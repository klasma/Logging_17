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45507</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45507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45507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45507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45507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45507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45507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45507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45507</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45507</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45507</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45507</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45507</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45507</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45507</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45507</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45507</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45507</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45507</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45507</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45507</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45507</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45507</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45507</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45507</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45507</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45507</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45507</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45507</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45507</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45507</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45507</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45507</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45507</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45507</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45507</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45507</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45507</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45507</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45507</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45507</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45507</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45507</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45507</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45507</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45507</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45507</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45507</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45507</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45507</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45507</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45507</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45507</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45507</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45507</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45507</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45507</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45507</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45507</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42882-2020</t>
        </is>
      </c>
      <c r="B61" s="1" t="n">
        <v>44078</v>
      </c>
      <c r="C61" s="1" t="n">
        <v>45507</v>
      </c>
      <c r="D61" t="inlineStr">
        <is>
          <t>VÄRMLANDS LÄN</t>
        </is>
      </c>
      <c r="E61" t="inlineStr">
        <is>
          <t>FILIPSTAD</t>
        </is>
      </c>
      <c r="F61" t="inlineStr">
        <is>
          <t>Bergvik skog väst AB</t>
        </is>
      </c>
      <c r="G61" t="n">
        <v>2.2</v>
      </c>
      <c r="H61" t="n">
        <v>2</v>
      </c>
      <c r="I61" t="n">
        <v>1</v>
      </c>
      <c r="J61" t="n">
        <v>4</v>
      </c>
      <c r="K61" t="n">
        <v>0</v>
      </c>
      <c r="L61" t="n">
        <v>0</v>
      </c>
      <c r="M61" t="n">
        <v>0</v>
      </c>
      <c r="N61" t="n">
        <v>0</v>
      </c>
      <c r="O61" t="n">
        <v>4</v>
      </c>
      <c r="P61" t="n">
        <v>0</v>
      </c>
      <c r="Q61" t="n">
        <v>6</v>
      </c>
      <c r="R61" s="2" t="inlineStr">
        <is>
          <t>Garnlav
Lunglav
Spillkråka
Stjärntagging
Vedticka
Fläcknycklar</t>
        </is>
      </c>
      <c r="S61">
        <f>HYPERLINK("https://klasma.github.io/Logging_1782/artfynd/A 42882-2020 artfynd.xlsx", "A 42882-2020")</f>
        <v/>
      </c>
      <c r="T61">
        <f>HYPERLINK("https://klasma.github.io/Logging_1782/kartor/A 42882-2020 karta.png", "A 42882-2020")</f>
        <v/>
      </c>
      <c r="V61">
        <f>HYPERLINK("https://klasma.github.io/Logging_1782/klagomål/A 42882-2020 FSC-klagomål.docx", "A 42882-2020")</f>
        <v/>
      </c>
      <c r="W61">
        <f>HYPERLINK("https://klasma.github.io/Logging_1782/klagomålsmail/A 42882-2020 FSC-klagomål mail.docx", "A 42882-2020")</f>
        <v/>
      </c>
      <c r="X61">
        <f>HYPERLINK("https://klasma.github.io/Logging_1782/tillsyn/A 42882-2020 tillsynsbegäran.docx", "A 42882-2020")</f>
        <v/>
      </c>
      <c r="Y61">
        <f>HYPERLINK("https://klasma.github.io/Logging_1782/tillsynsmail/A 42882-2020 tillsynsbegäran mail.docx", "A 42882-2020")</f>
        <v/>
      </c>
      <c r="Z61">
        <f>HYPERLINK("https://klasma.github.io/Logging_1782/fåglar/A 42882-2020 prioriterade fågelarter.docx", "A 42882-2020")</f>
        <v/>
      </c>
    </row>
    <row r="62" ht="15" customHeight="1">
      <c r="A62" t="inlineStr">
        <is>
          <t>A 43773-2020</t>
        </is>
      </c>
      <c r="B62" s="1" t="n">
        <v>44081</v>
      </c>
      <c r="C62" s="1" t="n">
        <v>45507</v>
      </c>
      <c r="D62" t="inlineStr">
        <is>
          <t>VÄRMLANDS LÄN</t>
        </is>
      </c>
      <c r="E62" t="inlineStr">
        <is>
          <t>KARLSTAD</t>
        </is>
      </c>
      <c r="G62" t="n">
        <v>16.7</v>
      </c>
      <c r="H62" t="n">
        <v>1</v>
      </c>
      <c r="I62" t="n">
        <v>5</v>
      </c>
      <c r="J62" t="n">
        <v>0</v>
      </c>
      <c r="K62" t="n">
        <v>0</v>
      </c>
      <c r="L62" t="n">
        <v>0</v>
      </c>
      <c r="M62" t="n">
        <v>0</v>
      </c>
      <c r="N62" t="n">
        <v>0</v>
      </c>
      <c r="O62" t="n">
        <v>0</v>
      </c>
      <c r="P62" t="n">
        <v>0</v>
      </c>
      <c r="Q62" t="n">
        <v>6</v>
      </c>
      <c r="R62" s="2" t="inlineStr">
        <is>
          <t>Blek stjärnmossa
Springkorn
Svart trolldruva
Underviol
Vårärt
Blåsippa</t>
        </is>
      </c>
      <c r="S62">
        <f>HYPERLINK("https://klasma.github.io/Logging_1780/artfynd/A 43773-2020 artfynd.xlsx", "A 43773-2020")</f>
        <v/>
      </c>
      <c r="T62">
        <f>HYPERLINK("https://klasma.github.io/Logging_1780/kartor/A 43773-2020 karta.png", "A 43773-2020")</f>
        <v/>
      </c>
      <c r="V62">
        <f>HYPERLINK("https://klasma.github.io/Logging_1780/klagomål/A 43773-2020 FSC-klagomål.docx", "A 43773-2020")</f>
        <v/>
      </c>
      <c r="W62">
        <f>HYPERLINK("https://klasma.github.io/Logging_1780/klagomålsmail/A 43773-2020 FSC-klagomål mail.docx", "A 43773-2020")</f>
        <v/>
      </c>
      <c r="X62">
        <f>HYPERLINK("https://klasma.github.io/Logging_1780/tillsyn/A 43773-2020 tillsynsbegäran.docx", "A 43773-2020")</f>
        <v/>
      </c>
      <c r="Y62">
        <f>HYPERLINK("https://klasma.github.io/Logging_1780/tillsynsmail/A 43773-2020 tillsynsbegäran mail.docx", "A 43773-2020")</f>
        <v/>
      </c>
    </row>
    <row r="63" ht="15" customHeight="1">
      <c r="A63" t="inlineStr">
        <is>
          <t>A 6858-2021</t>
        </is>
      </c>
      <c r="B63" s="1" t="n">
        <v>44237</v>
      </c>
      <c r="C63" s="1" t="n">
        <v>45507</v>
      </c>
      <c r="D63" t="inlineStr">
        <is>
          <t>VÄRMLANDS LÄN</t>
        </is>
      </c>
      <c r="E63" t="inlineStr">
        <is>
          <t>FORSHAGA</t>
        </is>
      </c>
      <c r="F63" t="inlineStr">
        <is>
          <t>Bergvik skog väst AB</t>
        </is>
      </c>
      <c r="G63" t="n">
        <v>7.9</v>
      </c>
      <c r="H63" t="n">
        <v>0</v>
      </c>
      <c r="I63" t="n">
        <v>4</v>
      </c>
      <c r="J63" t="n">
        <v>2</v>
      </c>
      <c r="K63" t="n">
        <v>0</v>
      </c>
      <c r="L63" t="n">
        <v>0</v>
      </c>
      <c r="M63" t="n">
        <v>0</v>
      </c>
      <c r="N63" t="n">
        <v>0</v>
      </c>
      <c r="O63" t="n">
        <v>2</v>
      </c>
      <c r="P63" t="n">
        <v>0</v>
      </c>
      <c r="Q63" t="n">
        <v>6</v>
      </c>
      <c r="R63" s="2" t="inlineStr">
        <is>
          <t>Cis submicans
Glansskenknäppare
Dorcatoma dresdensis
Robust tickgnagare
Thomsons trägnagare
Tvåtandad aspborre</t>
        </is>
      </c>
      <c r="S63">
        <f>HYPERLINK("https://klasma.github.io/Logging_1763/artfynd/A 6858-2021 artfynd.xlsx", "A 6858-2021")</f>
        <v/>
      </c>
      <c r="T63">
        <f>HYPERLINK("https://klasma.github.io/Logging_1763/kartor/A 6858-2021 karta.png", "A 6858-2021")</f>
        <v/>
      </c>
      <c r="V63">
        <f>HYPERLINK("https://klasma.github.io/Logging_1763/klagomål/A 6858-2021 FSC-klagomål.docx", "A 6858-2021")</f>
        <v/>
      </c>
      <c r="W63">
        <f>HYPERLINK("https://klasma.github.io/Logging_1763/klagomålsmail/A 6858-2021 FSC-klagomål mail.docx", "A 6858-2021")</f>
        <v/>
      </c>
      <c r="X63">
        <f>HYPERLINK("https://klasma.github.io/Logging_1763/tillsyn/A 6858-2021 tillsynsbegäran.docx", "A 6858-2021")</f>
        <v/>
      </c>
      <c r="Y63">
        <f>HYPERLINK("https://klasma.github.io/Logging_1763/tillsynsmail/A 6858-2021 tillsynsbegäran mail.docx", "A 6858-2021")</f>
        <v/>
      </c>
    </row>
    <row r="64" ht="15" customHeight="1">
      <c r="A64" t="inlineStr">
        <is>
          <t>A 7650-2021</t>
        </is>
      </c>
      <c r="B64" s="1" t="n">
        <v>44242</v>
      </c>
      <c r="C64" s="1" t="n">
        <v>45507</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58718-2021</t>
        </is>
      </c>
      <c r="B65" s="1" t="n">
        <v>44489</v>
      </c>
      <c r="C65" s="1" t="n">
        <v>45507</v>
      </c>
      <c r="D65" t="inlineStr">
        <is>
          <t>VÄRMLANDS LÄN</t>
        </is>
      </c>
      <c r="E65" t="inlineStr">
        <is>
          <t>FILIPSTAD</t>
        </is>
      </c>
      <c r="F65" t="inlineStr">
        <is>
          <t>Bergvik skog väst AB</t>
        </is>
      </c>
      <c r="G65" t="n">
        <v>12.2</v>
      </c>
      <c r="H65" t="n">
        <v>0</v>
      </c>
      <c r="I65" t="n">
        <v>4</v>
      </c>
      <c r="J65" t="n">
        <v>2</v>
      </c>
      <c r="K65" t="n">
        <v>0</v>
      </c>
      <c r="L65" t="n">
        <v>0</v>
      </c>
      <c r="M65" t="n">
        <v>0</v>
      </c>
      <c r="N65" t="n">
        <v>0</v>
      </c>
      <c r="O65" t="n">
        <v>2</v>
      </c>
      <c r="P65" t="n">
        <v>0</v>
      </c>
      <c r="Q65" t="n">
        <v>6</v>
      </c>
      <c r="R65" s="2" t="inlineStr">
        <is>
          <t>Garnlav
Ullticka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52132-2022</t>
        </is>
      </c>
      <c r="B66" s="1" t="n">
        <v>44873</v>
      </c>
      <c r="C66" s="1" t="n">
        <v>45507</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45507</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32845-2023</t>
        </is>
      </c>
      <c r="B68" s="1" t="n">
        <v>45109</v>
      </c>
      <c r="C68" s="1" t="n">
        <v>45507</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39705-2023</t>
        </is>
      </c>
      <c r="B69" s="1" t="n">
        <v>45167</v>
      </c>
      <c r="C69" s="1" t="n">
        <v>45507</v>
      </c>
      <c r="D69" t="inlineStr">
        <is>
          <t>VÄRMLANDS LÄN</t>
        </is>
      </c>
      <c r="E69" t="inlineStr">
        <is>
          <t>SUNNE</t>
        </is>
      </c>
      <c r="G69" t="n">
        <v>2.4</v>
      </c>
      <c r="H69" t="n">
        <v>1</v>
      </c>
      <c r="I69" t="n">
        <v>4</v>
      </c>
      <c r="J69" t="n">
        <v>1</v>
      </c>
      <c r="K69" t="n">
        <v>1</v>
      </c>
      <c r="L69" t="n">
        <v>0</v>
      </c>
      <c r="M69" t="n">
        <v>0</v>
      </c>
      <c r="N69" t="n">
        <v>0</v>
      </c>
      <c r="O69" t="n">
        <v>2</v>
      </c>
      <c r="P69" t="n">
        <v>1</v>
      </c>
      <c r="Q69" t="n">
        <v>6</v>
      </c>
      <c r="R69" s="2" t="inlineStr">
        <is>
          <t>Knärot
Vedtrappmossa
Bårdlav
Dropptaggsvamp
Fällmossa
Skarp dropptaggsvamp</t>
        </is>
      </c>
      <c r="S69">
        <f>HYPERLINK("https://klasma.github.io/Logging_1766/artfynd/A 39705-2023 artfynd.xlsx", "A 39705-2023")</f>
        <v/>
      </c>
      <c r="T69">
        <f>HYPERLINK("https://klasma.github.io/Logging_1766/kartor/A 39705-2023 karta.png", "A 39705-2023")</f>
        <v/>
      </c>
      <c r="U69">
        <f>HYPERLINK("https://klasma.github.io/Logging_1766/knärot/A 39705-2023 karta knärot.png", "A 39705-2023")</f>
        <v/>
      </c>
      <c r="V69">
        <f>HYPERLINK("https://klasma.github.io/Logging_1766/klagomål/A 39705-2023 FSC-klagomål.docx", "A 39705-2023")</f>
        <v/>
      </c>
      <c r="W69">
        <f>HYPERLINK("https://klasma.github.io/Logging_1766/klagomålsmail/A 39705-2023 FSC-klagomål mail.docx", "A 39705-2023")</f>
        <v/>
      </c>
      <c r="X69">
        <f>HYPERLINK("https://klasma.github.io/Logging_1766/tillsyn/A 39705-2023 tillsynsbegäran.docx", "A 39705-2023")</f>
        <v/>
      </c>
      <c r="Y69">
        <f>HYPERLINK("https://klasma.github.io/Logging_1766/tillsynsmail/A 39705-2023 tillsynsbegäran mail.docx", "A 39705-2023")</f>
        <v/>
      </c>
    </row>
    <row r="70" ht="15" customHeight="1">
      <c r="A70" t="inlineStr">
        <is>
          <t>A 40910-2023</t>
        </is>
      </c>
      <c r="B70" s="1" t="n">
        <v>45173</v>
      </c>
      <c r="C70" s="1" t="n">
        <v>45507</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44271-2023</t>
        </is>
      </c>
      <c r="B71" s="1" t="n">
        <v>45188</v>
      </c>
      <c r="C71" s="1" t="n">
        <v>45507</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53132-2023</t>
        </is>
      </c>
      <c r="B72" s="1" t="n">
        <v>45229</v>
      </c>
      <c r="C72" s="1" t="n">
        <v>45507</v>
      </c>
      <c r="D72" t="inlineStr">
        <is>
          <t>VÄRMLANDS LÄN</t>
        </is>
      </c>
      <c r="E72" t="inlineStr">
        <is>
          <t>KRISTINEHAMN</t>
        </is>
      </c>
      <c r="G72" t="n">
        <v>4.9</v>
      </c>
      <c r="H72" t="n">
        <v>3</v>
      </c>
      <c r="I72" t="n">
        <v>3</v>
      </c>
      <c r="J72" t="n">
        <v>1</v>
      </c>
      <c r="K72" t="n">
        <v>1</v>
      </c>
      <c r="L72" t="n">
        <v>0</v>
      </c>
      <c r="M72" t="n">
        <v>0</v>
      </c>
      <c r="N72" t="n">
        <v>0</v>
      </c>
      <c r="O72" t="n">
        <v>2</v>
      </c>
      <c r="P72" t="n">
        <v>1</v>
      </c>
      <c r="Q72" t="n">
        <v>6</v>
      </c>
      <c r="R72" s="2" t="inlineStr">
        <is>
          <t>Bombmurkla
Vedtrappmossa
Grön sköldmossa
Grönpyrola
Vågbandad barkbock
Blåsippa</t>
        </is>
      </c>
      <c r="S72">
        <f>HYPERLINK("https://klasma.github.io/Logging_1781/artfynd/A 53132-2023 artfynd.xlsx", "A 53132-2023")</f>
        <v/>
      </c>
      <c r="T72">
        <f>HYPERLINK("https://klasma.github.io/Logging_1781/kartor/A 53132-2023 karta.png", "A 53132-2023")</f>
        <v/>
      </c>
      <c r="V72">
        <f>HYPERLINK("https://klasma.github.io/Logging_1781/klagomål/A 53132-2023 FSC-klagomål.docx", "A 53132-2023")</f>
        <v/>
      </c>
      <c r="W72">
        <f>HYPERLINK("https://klasma.github.io/Logging_1781/klagomålsmail/A 53132-2023 FSC-klagomål mail.docx", "A 53132-2023")</f>
        <v/>
      </c>
      <c r="X72">
        <f>HYPERLINK("https://klasma.github.io/Logging_1781/tillsyn/A 53132-2023 tillsynsbegäran.docx", "A 53132-2023")</f>
        <v/>
      </c>
      <c r="Y72">
        <f>HYPERLINK("https://klasma.github.io/Logging_1781/tillsynsmail/A 53132-2023 tillsynsbegäran mail.docx", "A 53132-2023")</f>
        <v/>
      </c>
    </row>
    <row r="73" ht="15" customHeight="1">
      <c r="A73" t="inlineStr">
        <is>
          <t>A 65167-2023</t>
        </is>
      </c>
      <c r="B73" s="1" t="n">
        <v>45288</v>
      </c>
      <c r="C73" s="1" t="n">
        <v>45507</v>
      </c>
      <c r="D73" t="inlineStr">
        <is>
          <t>VÄRMLANDS LÄN</t>
        </is>
      </c>
      <c r="E73" t="inlineStr">
        <is>
          <t>ÅRJÄNG</t>
        </is>
      </c>
      <c r="G73" t="n">
        <v>3.5</v>
      </c>
      <c r="H73" t="n">
        <v>4</v>
      </c>
      <c r="I73" t="n">
        <v>2</v>
      </c>
      <c r="J73" t="n">
        <v>1</v>
      </c>
      <c r="K73" t="n">
        <v>0</v>
      </c>
      <c r="L73" t="n">
        <v>0</v>
      </c>
      <c r="M73" t="n">
        <v>0</v>
      </c>
      <c r="N73" t="n">
        <v>0</v>
      </c>
      <c r="O73" t="n">
        <v>1</v>
      </c>
      <c r="P73" t="n">
        <v>0</v>
      </c>
      <c r="Q73" t="n">
        <v>6</v>
      </c>
      <c r="R73" s="2" t="inlineStr">
        <is>
          <t>Spillkråka
Springkorn
Ögonpyrola
Blåsippa
Lopplummer
Revlummer</t>
        </is>
      </c>
      <c r="S73">
        <f>HYPERLINK("https://klasma.github.io/Logging_1765/artfynd/A 65167-2023 artfynd.xlsx", "A 65167-2023")</f>
        <v/>
      </c>
      <c r="T73">
        <f>HYPERLINK("https://klasma.github.io/Logging_1765/kartor/A 65167-2023 karta.png", "A 65167-2023")</f>
        <v/>
      </c>
      <c r="V73">
        <f>HYPERLINK("https://klasma.github.io/Logging_1765/klagomål/A 65167-2023 FSC-klagomål.docx", "A 65167-2023")</f>
        <v/>
      </c>
      <c r="W73">
        <f>HYPERLINK("https://klasma.github.io/Logging_1765/klagomålsmail/A 65167-2023 FSC-klagomål mail.docx", "A 65167-2023")</f>
        <v/>
      </c>
      <c r="X73">
        <f>HYPERLINK("https://klasma.github.io/Logging_1765/tillsyn/A 65167-2023 tillsynsbegäran.docx", "A 65167-2023")</f>
        <v/>
      </c>
      <c r="Y73">
        <f>HYPERLINK("https://klasma.github.io/Logging_1765/tillsynsmail/A 65167-2023 tillsynsbegäran mail.docx", "A 65167-2023")</f>
        <v/>
      </c>
      <c r="Z73">
        <f>HYPERLINK("https://klasma.github.io/Logging_1765/fåglar/A 65167-2023 prioriterade fågelarter.docx", "A 65167-2023")</f>
        <v/>
      </c>
    </row>
    <row r="74" ht="15" customHeight="1">
      <c r="A74" t="inlineStr">
        <is>
          <t>A 29038-2019</t>
        </is>
      </c>
      <c r="B74" s="1" t="n">
        <v>43621</v>
      </c>
      <c r="C74" s="1" t="n">
        <v>45507</v>
      </c>
      <c r="D74" t="inlineStr">
        <is>
          <t>VÄRMLANDS LÄN</t>
        </is>
      </c>
      <c r="E74" t="inlineStr">
        <is>
          <t>ÅRJÄNG</t>
        </is>
      </c>
      <c r="G74" t="n">
        <v>8.5</v>
      </c>
      <c r="H74" t="n">
        <v>1</v>
      </c>
      <c r="I74" t="n">
        <v>1</v>
      </c>
      <c r="J74" t="n">
        <v>2</v>
      </c>
      <c r="K74" t="n">
        <v>2</v>
      </c>
      <c r="L74" t="n">
        <v>0</v>
      </c>
      <c r="M74" t="n">
        <v>0</v>
      </c>
      <c r="N74" t="n">
        <v>0</v>
      </c>
      <c r="O74" t="n">
        <v>4</v>
      </c>
      <c r="P74" t="n">
        <v>2</v>
      </c>
      <c r="Q74" t="n">
        <v>5</v>
      </c>
      <c r="R74" s="2" t="inlineStr">
        <is>
          <t>Knärot
Lateritticka
Kådvaxskinn
Vitplätt
Gullgröppa</t>
        </is>
      </c>
      <c r="S74">
        <f>HYPERLINK("https://klasma.github.io/Logging_1765/artfynd/A 29038-2019 artfynd.xlsx", "A 29038-2019")</f>
        <v/>
      </c>
      <c r="T74">
        <f>HYPERLINK("https://klasma.github.io/Logging_1765/kartor/A 29038-2019 karta.png", "A 29038-2019")</f>
        <v/>
      </c>
      <c r="U74">
        <f>HYPERLINK("https://klasma.github.io/Logging_1765/knärot/A 29038-2019 karta knärot.png", "A 29038-2019")</f>
        <v/>
      </c>
      <c r="V74">
        <f>HYPERLINK("https://klasma.github.io/Logging_1765/klagomål/A 29038-2019 FSC-klagomål.docx", "A 29038-2019")</f>
        <v/>
      </c>
      <c r="W74">
        <f>HYPERLINK("https://klasma.github.io/Logging_1765/klagomålsmail/A 29038-2019 FSC-klagomål mail.docx", "A 29038-2019")</f>
        <v/>
      </c>
      <c r="X74">
        <f>HYPERLINK("https://klasma.github.io/Logging_1765/tillsyn/A 29038-2019 tillsynsbegäran.docx", "A 29038-2019")</f>
        <v/>
      </c>
      <c r="Y74">
        <f>HYPERLINK("https://klasma.github.io/Logging_1765/tillsynsmail/A 29038-2019 tillsynsbegäran mail.docx", "A 29038-2019")</f>
        <v/>
      </c>
    </row>
    <row r="75" ht="15" customHeight="1">
      <c r="A75" t="inlineStr">
        <is>
          <t>A 9453-2020</t>
        </is>
      </c>
      <c r="B75" s="1" t="n">
        <v>43880</v>
      </c>
      <c r="C75" s="1" t="n">
        <v>45507</v>
      </c>
      <c r="D75" t="inlineStr">
        <is>
          <t>VÄRMLANDS LÄN</t>
        </is>
      </c>
      <c r="E75" t="inlineStr">
        <is>
          <t>ÅRJÄNG</t>
        </is>
      </c>
      <c r="G75" t="n">
        <v>6.5</v>
      </c>
      <c r="H75" t="n">
        <v>0</v>
      </c>
      <c r="I75" t="n">
        <v>1</v>
      </c>
      <c r="J75" t="n">
        <v>4</v>
      </c>
      <c r="K75" t="n">
        <v>0</v>
      </c>
      <c r="L75" t="n">
        <v>0</v>
      </c>
      <c r="M75" t="n">
        <v>0</v>
      </c>
      <c r="N75" t="n">
        <v>0</v>
      </c>
      <c r="O75" t="n">
        <v>4</v>
      </c>
      <c r="P75" t="n">
        <v>0</v>
      </c>
      <c r="Q75" t="n">
        <v>5</v>
      </c>
      <c r="R75" s="2" t="inlineStr">
        <is>
          <t>Garnlav
Kådvaxskinn
Motaggsvamp
Nordtagging
Bronshjon</t>
        </is>
      </c>
      <c r="S75">
        <f>HYPERLINK("https://klasma.github.io/Logging_1765/artfynd/A 9453-2020 artfynd.xlsx", "A 9453-2020")</f>
        <v/>
      </c>
      <c r="T75">
        <f>HYPERLINK("https://klasma.github.io/Logging_1765/kartor/A 9453-2020 karta.png", "A 9453-2020")</f>
        <v/>
      </c>
      <c r="U75">
        <f>HYPERLINK("https://klasma.github.io/Logging_1765/knärot/A 9453-2020 karta knärot.png", "A 9453-2020")</f>
        <v/>
      </c>
      <c r="V75">
        <f>HYPERLINK("https://klasma.github.io/Logging_1765/klagomål/A 9453-2020 FSC-klagomål.docx", "A 9453-2020")</f>
        <v/>
      </c>
      <c r="W75">
        <f>HYPERLINK("https://klasma.github.io/Logging_1765/klagomålsmail/A 9453-2020 FSC-klagomål mail.docx", "A 9453-2020")</f>
        <v/>
      </c>
      <c r="X75">
        <f>HYPERLINK("https://klasma.github.io/Logging_1765/tillsyn/A 9453-2020 tillsynsbegäran.docx", "A 9453-2020")</f>
        <v/>
      </c>
      <c r="Y75">
        <f>HYPERLINK("https://klasma.github.io/Logging_1765/tillsynsmail/A 9453-2020 tillsynsbegäran mail.docx", "A 9453-2020")</f>
        <v/>
      </c>
    </row>
    <row r="76" ht="15" customHeight="1">
      <c r="A76" t="inlineStr">
        <is>
          <t>A 57758-2020</t>
        </is>
      </c>
      <c r="B76" s="1" t="n">
        <v>44140</v>
      </c>
      <c r="C76" s="1" t="n">
        <v>45507</v>
      </c>
      <c r="D76" t="inlineStr">
        <is>
          <t>VÄRMLANDS LÄN</t>
        </is>
      </c>
      <c r="E76" t="inlineStr">
        <is>
          <t>ÅRJÄNG</t>
        </is>
      </c>
      <c r="G76" t="n">
        <v>3.2</v>
      </c>
      <c r="H76" t="n">
        <v>1</v>
      </c>
      <c r="I76" t="n">
        <v>1</v>
      </c>
      <c r="J76" t="n">
        <v>2</v>
      </c>
      <c r="K76" t="n">
        <v>2</v>
      </c>
      <c r="L76" t="n">
        <v>0</v>
      </c>
      <c r="M76" t="n">
        <v>0</v>
      </c>
      <c r="N76" t="n">
        <v>0</v>
      </c>
      <c r="O76" t="n">
        <v>4</v>
      </c>
      <c r="P76" t="n">
        <v>2</v>
      </c>
      <c r="Q76" t="n">
        <v>5</v>
      </c>
      <c r="R76" s="2" t="inlineStr">
        <is>
          <t>Aspgelélav
Västlig njurlav
Lunglav
Talltita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9931-2021</t>
        </is>
      </c>
      <c r="B77" s="1" t="n">
        <v>44253</v>
      </c>
      <c r="C77" s="1" t="n">
        <v>45507</v>
      </c>
      <c r="D77" t="inlineStr">
        <is>
          <t>VÄRMLANDS LÄN</t>
        </is>
      </c>
      <c r="E77" t="inlineStr">
        <is>
          <t>FORSHAGA</t>
        </is>
      </c>
      <c r="F77" t="inlineStr">
        <is>
          <t>Bergvik skog väst AB</t>
        </is>
      </c>
      <c r="G77" t="n">
        <v>23.8</v>
      </c>
      <c r="H77" t="n">
        <v>5</v>
      </c>
      <c r="I77" t="n">
        <v>0</v>
      </c>
      <c r="J77" t="n">
        <v>0</v>
      </c>
      <c r="K77" t="n">
        <v>1</v>
      </c>
      <c r="L77" t="n">
        <v>0</v>
      </c>
      <c r="M77" t="n">
        <v>0</v>
      </c>
      <c r="N77" t="n">
        <v>0</v>
      </c>
      <c r="O77" t="n">
        <v>1</v>
      </c>
      <c r="P77" t="n">
        <v>1</v>
      </c>
      <c r="Q77" t="n">
        <v>5</v>
      </c>
      <c r="R77" s="2" t="inlineStr">
        <is>
          <t>Lappuggla
Större vattensalamander
Åkergroda
Mindre vattensalamander
Vanlig padda</t>
        </is>
      </c>
      <c r="S77">
        <f>HYPERLINK("https://klasma.github.io/Logging_1763/artfynd/A 9931-2021 artfynd.xlsx", "A 9931-2021")</f>
        <v/>
      </c>
      <c r="T77">
        <f>HYPERLINK("https://klasma.github.io/Logging_1763/kartor/A 9931-2021 karta.png", "A 9931-2021")</f>
        <v/>
      </c>
      <c r="V77">
        <f>HYPERLINK("https://klasma.github.io/Logging_1763/klagomål/A 9931-2021 FSC-klagomål.docx", "A 9931-2021")</f>
        <v/>
      </c>
      <c r="W77">
        <f>HYPERLINK("https://klasma.github.io/Logging_1763/klagomålsmail/A 9931-2021 FSC-klagomål mail.docx", "A 9931-2021")</f>
        <v/>
      </c>
      <c r="X77">
        <f>HYPERLINK("https://klasma.github.io/Logging_1763/tillsyn/A 9931-2021 tillsynsbegäran.docx", "A 9931-2021")</f>
        <v/>
      </c>
      <c r="Y77">
        <f>HYPERLINK("https://klasma.github.io/Logging_1763/tillsynsmail/A 9931-2021 tillsynsbegäran mail.docx", "A 9931-2021")</f>
        <v/>
      </c>
      <c r="Z77">
        <f>HYPERLINK("https://klasma.github.io/Logging_1763/fåglar/A 9931-2021 prioriterade fågelarter.docx", "A 9931-2021")</f>
        <v/>
      </c>
    </row>
    <row r="78" ht="15" customHeight="1">
      <c r="A78" t="inlineStr">
        <is>
          <t>A 17008-2021</t>
        </is>
      </c>
      <c r="B78" s="1" t="n">
        <v>44295</v>
      </c>
      <c r="C78" s="1" t="n">
        <v>45507</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23145-2021</t>
        </is>
      </c>
      <c r="B79" s="1" t="n">
        <v>44331</v>
      </c>
      <c r="C79" s="1" t="n">
        <v>45507</v>
      </c>
      <c r="D79" t="inlineStr">
        <is>
          <t>VÄRMLANDS LÄN</t>
        </is>
      </c>
      <c r="E79" t="inlineStr">
        <is>
          <t>SUNNE</t>
        </is>
      </c>
      <c r="G79" t="n">
        <v>4.8</v>
      </c>
      <c r="H79" t="n">
        <v>2</v>
      </c>
      <c r="I79" t="n">
        <v>2</v>
      </c>
      <c r="J79" t="n">
        <v>1</v>
      </c>
      <c r="K79" t="n">
        <v>1</v>
      </c>
      <c r="L79" t="n">
        <v>0</v>
      </c>
      <c r="M79" t="n">
        <v>0</v>
      </c>
      <c r="N79" t="n">
        <v>0</v>
      </c>
      <c r="O79" t="n">
        <v>2</v>
      </c>
      <c r="P79" t="n">
        <v>1</v>
      </c>
      <c r="Q79" t="n">
        <v>5</v>
      </c>
      <c r="R79" s="2" t="inlineStr">
        <is>
          <t>Knärot
Gammelgransskål
Thomsons trägnagare
Trådticka
Kungsfågel</t>
        </is>
      </c>
      <c r="S79">
        <f>HYPERLINK("https://klasma.github.io/Logging_1766/artfynd/A 23145-2021 artfynd.xlsx", "A 23145-2021")</f>
        <v/>
      </c>
      <c r="T79">
        <f>HYPERLINK("https://klasma.github.io/Logging_1766/kartor/A 23145-2021 karta.png", "A 23145-2021")</f>
        <v/>
      </c>
      <c r="U79">
        <f>HYPERLINK("https://klasma.github.io/Logging_1766/knärot/A 23145-2021 karta knärot.png", "A 23145-2021")</f>
        <v/>
      </c>
      <c r="V79">
        <f>HYPERLINK("https://klasma.github.io/Logging_1766/klagomål/A 23145-2021 FSC-klagomål.docx", "A 23145-2021")</f>
        <v/>
      </c>
      <c r="W79">
        <f>HYPERLINK("https://klasma.github.io/Logging_1766/klagomålsmail/A 23145-2021 FSC-klagomål mail.docx", "A 23145-2021")</f>
        <v/>
      </c>
      <c r="X79">
        <f>HYPERLINK("https://klasma.github.io/Logging_1766/tillsyn/A 23145-2021 tillsynsbegäran.docx", "A 23145-2021")</f>
        <v/>
      </c>
      <c r="Y79">
        <f>HYPERLINK("https://klasma.github.io/Logging_1766/tillsynsmail/A 23145-2021 tillsynsbegäran mail.docx", "A 23145-2021")</f>
        <v/>
      </c>
      <c r="Z79">
        <f>HYPERLINK("https://klasma.github.io/Logging_1766/fåglar/A 23145-2021 prioriterade fågelarter.docx", "A 23145-2021")</f>
        <v/>
      </c>
    </row>
    <row r="80" ht="15" customHeight="1">
      <c r="A80" t="inlineStr">
        <is>
          <t>A 41279-2021</t>
        </is>
      </c>
      <c r="B80" s="1" t="n">
        <v>44424</v>
      </c>
      <c r="C80" s="1" t="n">
        <v>45507</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49109-2021</t>
        </is>
      </c>
      <c r="B81" s="1" t="n">
        <v>44453</v>
      </c>
      <c r="C81" s="1" t="n">
        <v>45507</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58400-2021</t>
        </is>
      </c>
      <c r="B82" s="1" t="n">
        <v>44488</v>
      </c>
      <c r="C82" s="1" t="n">
        <v>45507</v>
      </c>
      <c r="D82" t="inlineStr">
        <is>
          <t>VÄRMLANDS LÄN</t>
        </is>
      </c>
      <c r="E82" t="inlineStr">
        <is>
          <t>KRISTINEHAMN</t>
        </is>
      </c>
      <c r="G82" t="n">
        <v>24</v>
      </c>
      <c r="H82" t="n">
        <v>2</v>
      </c>
      <c r="I82" t="n">
        <v>3</v>
      </c>
      <c r="J82" t="n">
        <v>2</v>
      </c>
      <c r="K82" t="n">
        <v>0</v>
      </c>
      <c r="L82" t="n">
        <v>0</v>
      </c>
      <c r="M82" t="n">
        <v>0</v>
      </c>
      <c r="N82" t="n">
        <v>0</v>
      </c>
      <c r="O82" t="n">
        <v>2</v>
      </c>
      <c r="P82" t="n">
        <v>0</v>
      </c>
      <c r="Q82" t="n">
        <v>5</v>
      </c>
      <c r="R82" s="2" t="inlineStr">
        <is>
          <t>Spillkråka
Tretåig hackspett
Kattfotslav
Rödgul trumpetsvamp
Stor revmossa</t>
        </is>
      </c>
      <c r="S82">
        <f>HYPERLINK("https://klasma.github.io/Logging_1781/artfynd/A 58400-2021 artfynd.xlsx", "A 58400-2021")</f>
        <v/>
      </c>
      <c r="T82">
        <f>HYPERLINK("https://klasma.github.io/Logging_1781/kartor/A 58400-2021 karta.png", "A 58400-2021")</f>
        <v/>
      </c>
      <c r="V82">
        <f>HYPERLINK("https://klasma.github.io/Logging_1781/klagomål/A 58400-2021 FSC-klagomål.docx", "A 58400-2021")</f>
        <v/>
      </c>
      <c r="W82">
        <f>HYPERLINK("https://klasma.github.io/Logging_1781/klagomålsmail/A 58400-2021 FSC-klagomål mail.docx", "A 58400-2021")</f>
        <v/>
      </c>
      <c r="X82">
        <f>HYPERLINK("https://klasma.github.io/Logging_1781/tillsyn/A 58400-2021 tillsynsbegäran.docx", "A 58400-2021")</f>
        <v/>
      </c>
      <c r="Y82">
        <f>HYPERLINK("https://klasma.github.io/Logging_1781/tillsynsmail/A 58400-2021 tillsynsbegäran mail.docx", "A 58400-2021")</f>
        <v/>
      </c>
      <c r="Z82">
        <f>HYPERLINK("https://klasma.github.io/Logging_1781/fåglar/A 58400-2021 prioriterade fågelarter.docx", "A 58400-2021")</f>
        <v/>
      </c>
    </row>
    <row r="83" ht="15" customHeight="1">
      <c r="A83" t="inlineStr">
        <is>
          <t>A 72312-2021</t>
        </is>
      </c>
      <c r="B83" s="1" t="n">
        <v>44545</v>
      </c>
      <c r="C83" s="1" t="n">
        <v>45507</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4972-2022</t>
        </is>
      </c>
      <c r="B84" s="1" t="n">
        <v>44593</v>
      </c>
      <c r="C84" s="1" t="n">
        <v>45507</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9573-2023</t>
        </is>
      </c>
      <c r="B85" s="1" t="n">
        <v>44982</v>
      </c>
      <c r="C85" s="1" t="n">
        <v>45507</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17619-2023</t>
        </is>
      </c>
      <c r="B86" s="1" t="n">
        <v>45036</v>
      </c>
      <c r="C86" s="1" t="n">
        <v>45507</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50311-2023</t>
        </is>
      </c>
      <c r="B87" s="1" t="n">
        <v>45216</v>
      </c>
      <c r="C87" s="1" t="n">
        <v>45507</v>
      </c>
      <c r="D87" t="inlineStr">
        <is>
          <t>VÄRMLANDS LÄN</t>
        </is>
      </c>
      <c r="E87" t="inlineStr">
        <is>
          <t>ARVIKA</t>
        </is>
      </c>
      <c r="F87" t="inlineStr">
        <is>
          <t>Bergvik skog väst AB</t>
        </is>
      </c>
      <c r="G87" t="n">
        <v>4.1</v>
      </c>
      <c r="H87" t="n">
        <v>0</v>
      </c>
      <c r="I87" t="n">
        <v>3</v>
      </c>
      <c r="J87" t="n">
        <v>1</v>
      </c>
      <c r="K87" t="n">
        <v>1</v>
      </c>
      <c r="L87" t="n">
        <v>0</v>
      </c>
      <c r="M87" t="n">
        <v>0</v>
      </c>
      <c r="N87" t="n">
        <v>0</v>
      </c>
      <c r="O87" t="n">
        <v>2</v>
      </c>
      <c r="P87" t="n">
        <v>1</v>
      </c>
      <c r="Q87" t="n">
        <v>5</v>
      </c>
      <c r="R87" s="2" t="inlineStr">
        <is>
          <t>Gyllenspindling
Kungsspindling
Dropptaggsvamp
Kamjordstjärna
Strimspindling</t>
        </is>
      </c>
      <c r="S87">
        <f>HYPERLINK("https://klasma.github.io/Logging_1784/artfynd/A 50311-2023 artfynd.xlsx", "A 50311-2023")</f>
        <v/>
      </c>
      <c r="T87">
        <f>HYPERLINK("https://klasma.github.io/Logging_1784/kartor/A 50311-2023 karta.png", "A 50311-2023")</f>
        <v/>
      </c>
      <c r="V87">
        <f>HYPERLINK("https://klasma.github.io/Logging_1784/klagomål/A 50311-2023 FSC-klagomål.docx", "A 50311-2023")</f>
        <v/>
      </c>
      <c r="W87">
        <f>HYPERLINK("https://klasma.github.io/Logging_1784/klagomålsmail/A 50311-2023 FSC-klagomål mail.docx", "A 50311-2023")</f>
        <v/>
      </c>
      <c r="X87">
        <f>HYPERLINK("https://klasma.github.io/Logging_1784/tillsyn/A 50311-2023 tillsynsbegäran.docx", "A 50311-2023")</f>
        <v/>
      </c>
      <c r="Y87">
        <f>HYPERLINK("https://klasma.github.io/Logging_1784/tillsynsmail/A 50311-2023 tillsynsbegäran mail.docx", "A 50311-2023")</f>
        <v/>
      </c>
    </row>
    <row r="88" ht="15" customHeight="1">
      <c r="A88" t="inlineStr">
        <is>
          <t>A 54109-2023</t>
        </is>
      </c>
      <c r="B88" s="1" t="n">
        <v>45232</v>
      </c>
      <c r="C88" s="1" t="n">
        <v>45507</v>
      </c>
      <c r="D88" t="inlineStr">
        <is>
          <t>VÄRMLANDS LÄN</t>
        </is>
      </c>
      <c r="E88" t="inlineStr">
        <is>
          <t>TORSBY</t>
        </is>
      </c>
      <c r="F88" t="inlineStr">
        <is>
          <t>Bergvik skog väst AB</t>
        </is>
      </c>
      <c r="G88" t="n">
        <v>26.6</v>
      </c>
      <c r="H88" t="n">
        <v>0</v>
      </c>
      <c r="I88" t="n">
        <v>0</v>
      </c>
      <c r="J88" t="n">
        <v>0</v>
      </c>
      <c r="K88" t="n">
        <v>2</v>
      </c>
      <c r="L88" t="n">
        <v>3</v>
      </c>
      <c r="M88" t="n">
        <v>0</v>
      </c>
      <c r="N88" t="n">
        <v>0</v>
      </c>
      <c r="O88" t="n">
        <v>5</v>
      </c>
      <c r="P88" t="n">
        <v>5</v>
      </c>
      <c r="Q88" t="n">
        <v>5</v>
      </c>
      <c r="R88" s="2" t="inlineStr">
        <is>
          <t>Gulgrå fibbla
Kopparbergsfibbla
Stråltandad fibbla
Skinkfibbla
Vitbandad fibbla</t>
        </is>
      </c>
      <c r="S88">
        <f>HYPERLINK("https://klasma.github.io/Logging_1737/artfynd/A 54109-2023 artfynd.xlsx", "A 54109-2023")</f>
        <v/>
      </c>
      <c r="T88">
        <f>HYPERLINK("https://klasma.github.io/Logging_1737/kartor/A 54109-2023 karta.png", "A 54109-2023")</f>
        <v/>
      </c>
      <c r="V88">
        <f>HYPERLINK("https://klasma.github.io/Logging_1737/klagomål/A 54109-2023 FSC-klagomål.docx", "A 54109-2023")</f>
        <v/>
      </c>
      <c r="W88">
        <f>HYPERLINK("https://klasma.github.io/Logging_1737/klagomålsmail/A 54109-2023 FSC-klagomål mail.docx", "A 54109-2023")</f>
        <v/>
      </c>
      <c r="X88">
        <f>HYPERLINK("https://klasma.github.io/Logging_1737/tillsyn/A 54109-2023 tillsynsbegäran.docx", "A 54109-2023")</f>
        <v/>
      </c>
      <c r="Y88">
        <f>HYPERLINK("https://klasma.github.io/Logging_1737/tillsynsmail/A 54109-2023 tillsynsbegäran mail.docx", "A 54109-2023")</f>
        <v/>
      </c>
    </row>
    <row r="89" ht="15" customHeight="1">
      <c r="A89" t="inlineStr">
        <is>
          <t>A 62275-2023</t>
        </is>
      </c>
      <c r="B89" s="1" t="n">
        <v>45267</v>
      </c>
      <c r="C89" s="1" t="n">
        <v>45507</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11144-2024</t>
        </is>
      </c>
      <c r="B90" s="1" t="n">
        <v>45371</v>
      </c>
      <c r="C90" s="1" t="n">
        <v>45507</v>
      </c>
      <c r="D90" t="inlineStr">
        <is>
          <t>VÄRMLANDS LÄN</t>
        </is>
      </c>
      <c r="E90" t="inlineStr">
        <is>
          <t>ÅRJÄNG</t>
        </is>
      </c>
      <c r="G90" t="n">
        <v>4.2</v>
      </c>
      <c r="H90" t="n">
        <v>1</v>
      </c>
      <c r="I90" t="n">
        <v>3</v>
      </c>
      <c r="J90" t="n">
        <v>2</v>
      </c>
      <c r="K90" t="n">
        <v>0</v>
      </c>
      <c r="L90" t="n">
        <v>0</v>
      </c>
      <c r="M90" t="n">
        <v>0</v>
      </c>
      <c r="N90" t="n">
        <v>0</v>
      </c>
      <c r="O90" t="n">
        <v>2</v>
      </c>
      <c r="P90" t="n">
        <v>0</v>
      </c>
      <c r="Q90" t="n">
        <v>5</v>
      </c>
      <c r="R90" s="2" t="inlineStr">
        <is>
          <t>Spillkråka
Ullticka
Dropptaggsvamp
Korallblylav
Vedticka</t>
        </is>
      </c>
      <c r="S90">
        <f>HYPERLINK("https://klasma.github.io/Logging_1765/artfynd/A 11144-2024 artfynd.xlsx", "A 11144-2024")</f>
        <v/>
      </c>
      <c r="T90">
        <f>HYPERLINK("https://klasma.github.io/Logging_1765/kartor/A 11144-2024 karta.png", "A 11144-2024")</f>
        <v/>
      </c>
      <c r="V90">
        <f>HYPERLINK("https://klasma.github.io/Logging_1765/klagomål/A 11144-2024 FSC-klagomål.docx", "A 11144-2024")</f>
        <v/>
      </c>
      <c r="W90">
        <f>HYPERLINK("https://klasma.github.io/Logging_1765/klagomålsmail/A 11144-2024 FSC-klagomål mail.docx", "A 11144-2024")</f>
        <v/>
      </c>
      <c r="X90">
        <f>HYPERLINK("https://klasma.github.io/Logging_1765/tillsyn/A 11144-2024 tillsynsbegäran.docx", "A 11144-2024")</f>
        <v/>
      </c>
      <c r="Y90">
        <f>HYPERLINK("https://klasma.github.io/Logging_1765/tillsynsmail/A 11144-2024 tillsynsbegäran mail.docx", "A 11144-2024")</f>
        <v/>
      </c>
      <c r="Z90">
        <f>HYPERLINK("https://klasma.github.io/Logging_1765/fåglar/A 11144-2024 prioriterade fågelarter.docx", "A 11144-2024")</f>
        <v/>
      </c>
    </row>
    <row r="91" ht="15" customHeight="1">
      <c r="A91" t="inlineStr">
        <is>
          <t>A 18465-2024</t>
        </is>
      </c>
      <c r="B91" s="1" t="n">
        <v>45425</v>
      </c>
      <c r="C91" s="1" t="n">
        <v>45507</v>
      </c>
      <c r="D91" t="inlineStr">
        <is>
          <t>VÄRMLANDS LÄN</t>
        </is>
      </c>
      <c r="E91" t="inlineStr">
        <is>
          <t>FORSHAGA</t>
        </is>
      </c>
      <c r="F91" t="inlineStr">
        <is>
          <t>Bergvik skog väst AB</t>
        </is>
      </c>
      <c r="G91" t="n">
        <v>2.9</v>
      </c>
      <c r="H91" t="n">
        <v>1</v>
      </c>
      <c r="I91" t="n">
        <v>2</v>
      </c>
      <c r="J91" t="n">
        <v>2</v>
      </c>
      <c r="K91" t="n">
        <v>0</v>
      </c>
      <c r="L91" t="n">
        <v>0</v>
      </c>
      <c r="M91" t="n">
        <v>0</v>
      </c>
      <c r="N91" t="n">
        <v>0</v>
      </c>
      <c r="O91" t="n">
        <v>2</v>
      </c>
      <c r="P91" t="n">
        <v>0</v>
      </c>
      <c r="Q91" t="n">
        <v>5</v>
      </c>
      <c r="R91" s="2" t="inlineStr">
        <is>
          <t>Granticka
Gränsticka
Svart trolldruva
Vedticka
Blåsippa</t>
        </is>
      </c>
      <c r="S91">
        <f>HYPERLINK("https://klasma.github.io/Logging_1763/artfynd/A 18465-2024 artfynd.xlsx", "A 18465-2024")</f>
        <v/>
      </c>
      <c r="T91">
        <f>HYPERLINK("https://klasma.github.io/Logging_1763/kartor/A 18465-2024 karta.png", "A 18465-2024")</f>
        <v/>
      </c>
      <c r="V91">
        <f>HYPERLINK("https://klasma.github.io/Logging_1763/klagomål/A 18465-2024 FSC-klagomål.docx", "A 18465-2024")</f>
        <v/>
      </c>
      <c r="W91">
        <f>HYPERLINK("https://klasma.github.io/Logging_1763/klagomålsmail/A 18465-2024 FSC-klagomål mail.docx", "A 18465-2024")</f>
        <v/>
      </c>
      <c r="X91">
        <f>HYPERLINK("https://klasma.github.io/Logging_1763/tillsyn/A 18465-2024 tillsynsbegäran.docx", "A 18465-2024")</f>
        <v/>
      </c>
      <c r="Y91">
        <f>HYPERLINK("https://klasma.github.io/Logging_1763/tillsynsmail/A 18465-2024 tillsynsbegäran mail.docx", "A 18465-2024")</f>
        <v/>
      </c>
    </row>
    <row r="92" ht="15" customHeight="1">
      <c r="A92" t="inlineStr">
        <is>
          <t>A 19307-2024</t>
        </is>
      </c>
      <c r="B92" s="1" t="n">
        <v>45428</v>
      </c>
      <c r="C92" s="1" t="n">
        <v>45507</v>
      </c>
      <c r="D92" t="inlineStr">
        <is>
          <t>VÄRMLANDS LÄN</t>
        </is>
      </c>
      <c r="E92" t="inlineStr">
        <is>
          <t>HAGFORS</t>
        </is>
      </c>
      <c r="F92" t="inlineStr">
        <is>
          <t>Bergvik skog väst AB</t>
        </is>
      </c>
      <c r="G92" t="n">
        <v>12.9</v>
      </c>
      <c r="H92" t="n">
        <v>0</v>
      </c>
      <c r="I92" t="n">
        <v>1</v>
      </c>
      <c r="J92" t="n">
        <v>4</v>
      </c>
      <c r="K92" t="n">
        <v>0</v>
      </c>
      <c r="L92" t="n">
        <v>0</v>
      </c>
      <c r="M92" t="n">
        <v>0</v>
      </c>
      <c r="N92" t="n">
        <v>0</v>
      </c>
      <c r="O92" t="n">
        <v>4</v>
      </c>
      <c r="P92" t="n">
        <v>0</v>
      </c>
      <c r="Q92" t="n">
        <v>5</v>
      </c>
      <c r="R92" s="2" t="inlineStr">
        <is>
          <t>Garnlav
Kolflarnlav
Mörk kolflarnlav
Vedskivlav
Mindre märgborre</t>
        </is>
      </c>
      <c r="S92">
        <f>HYPERLINK("https://klasma.github.io/Logging_1783/artfynd/A 19307-2024 artfynd.xlsx", "A 19307-2024")</f>
        <v/>
      </c>
      <c r="T92">
        <f>HYPERLINK("https://klasma.github.io/Logging_1783/kartor/A 19307-2024 karta.png", "A 19307-2024")</f>
        <v/>
      </c>
      <c r="V92">
        <f>HYPERLINK("https://klasma.github.io/Logging_1783/klagomål/A 19307-2024 FSC-klagomål.docx", "A 19307-2024")</f>
        <v/>
      </c>
      <c r="W92">
        <f>HYPERLINK("https://klasma.github.io/Logging_1783/klagomålsmail/A 19307-2024 FSC-klagomål mail.docx", "A 19307-2024")</f>
        <v/>
      </c>
      <c r="X92">
        <f>HYPERLINK("https://klasma.github.io/Logging_1783/tillsyn/A 19307-2024 tillsynsbegäran.docx", "A 19307-2024")</f>
        <v/>
      </c>
      <c r="Y92">
        <f>HYPERLINK("https://klasma.github.io/Logging_1783/tillsynsmail/A 19307-2024 tillsynsbegäran mail.docx", "A 19307-2024")</f>
        <v/>
      </c>
    </row>
    <row r="93" ht="15" customHeight="1">
      <c r="A93" t="inlineStr">
        <is>
          <t>A 23087-2024</t>
        </is>
      </c>
      <c r="B93" s="1" t="n">
        <v>45450</v>
      </c>
      <c r="C93" s="1" t="n">
        <v>45507</v>
      </c>
      <c r="D93" t="inlineStr">
        <is>
          <t>VÄRMLANDS LÄN</t>
        </is>
      </c>
      <c r="E93" t="inlineStr">
        <is>
          <t>ARVIKA</t>
        </is>
      </c>
      <c r="F93" t="inlineStr">
        <is>
          <t>Bergvik skog väst AB</t>
        </is>
      </c>
      <c r="G93" t="n">
        <v>3.2</v>
      </c>
      <c r="H93" t="n">
        <v>2</v>
      </c>
      <c r="I93" t="n">
        <v>2</v>
      </c>
      <c r="J93" t="n">
        <v>1</v>
      </c>
      <c r="K93" t="n">
        <v>1</v>
      </c>
      <c r="L93" t="n">
        <v>0</v>
      </c>
      <c r="M93" t="n">
        <v>0</v>
      </c>
      <c r="N93" t="n">
        <v>0</v>
      </c>
      <c r="O93" t="n">
        <v>2</v>
      </c>
      <c r="P93" t="n">
        <v>1</v>
      </c>
      <c r="Q93" t="n">
        <v>5</v>
      </c>
      <c r="R93" s="2" t="inlineStr">
        <is>
          <t>Knärot
Veckticka
Skinnlav
Vedticka
Fläcknycklar</t>
        </is>
      </c>
      <c r="S93">
        <f>HYPERLINK("https://klasma.github.io/Logging_1784/artfynd/A 23087-2024 artfynd.xlsx", "A 23087-2024")</f>
        <v/>
      </c>
      <c r="T93">
        <f>HYPERLINK("https://klasma.github.io/Logging_1784/kartor/A 23087-2024 karta.png", "A 23087-2024")</f>
        <v/>
      </c>
      <c r="U93">
        <f>HYPERLINK("https://klasma.github.io/Logging_1784/knärot/A 23087-2024 karta knärot.png", "A 23087-2024")</f>
        <v/>
      </c>
      <c r="V93">
        <f>HYPERLINK("https://klasma.github.io/Logging_1784/klagomål/A 23087-2024 FSC-klagomål.docx", "A 23087-2024")</f>
        <v/>
      </c>
      <c r="W93">
        <f>HYPERLINK("https://klasma.github.io/Logging_1784/klagomålsmail/A 23087-2024 FSC-klagomål mail.docx", "A 23087-2024")</f>
        <v/>
      </c>
      <c r="X93">
        <f>HYPERLINK("https://klasma.github.io/Logging_1784/tillsyn/A 23087-2024 tillsynsbegäran.docx", "A 23087-2024")</f>
        <v/>
      </c>
      <c r="Y93">
        <f>HYPERLINK("https://klasma.github.io/Logging_1784/tillsynsmail/A 23087-2024 tillsynsbegäran mail.docx", "A 23087-2024")</f>
        <v/>
      </c>
    </row>
    <row r="94" ht="15" customHeight="1">
      <c r="A94" t="inlineStr">
        <is>
          <t>A 3367-2020</t>
        </is>
      </c>
      <c r="B94" s="1" t="n">
        <v>43852</v>
      </c>
      <c r="C94" s="1" t="n">
        <v>45507</v>
      </c>
      <c r="D94" t="inlineStr">
        <is>
          <t>VÄRMLANDS LÄN</t>
        </is>
      </c>
      <c r="E94" t="inlineStr">
        <is>
          <t>ÅRJÄNG</t>
        </is>
      </c>
      <c r="G94" t="n">
        <v>3.6</v>
      </c>
      <c r="H94" t="n">
        <v>2</v>
      </c>
      <c r="I94" t="n">
        <v>0</v>
      </c>
      <c r="J94" t="n">
        <v>3</v>
      </c>
      <c r="K94" t="n">
        <v>1</v>
      </c>
      <c r="L94" t="n">
        <v>0</v>
      </c>
      <c r="M94" t="n">
        <v>0</v>
      </c>
      <c r="N94" t="n">
        <v>0</v>
      </c>
      <c r="O94" t="n">
        <v>4</v>
      </c>
      <c r="P94" t="n">
        <v>1</v>
      </c>
      <c r="Q94" t="n">
        <v>4</v>
      </c>
      <c r="R94" s="2" t="inlineStr">
        <is>
          <t>Knärot
Hornvaxskinn
Kådvaxskinn
Tretåig hackspett</t>
        </is>
      </c>
      <c r="S94">
        <f>HYPERLINK("https://klasma.github.io/Logging_1765/artfynd/A 3367-2020 artfynd.xlsx", "A 3367-2020")</f>
        <v/>
      </c>
      <c r="T94">
        <f>HYPERLINK("https://klasma.github.io/Logging_1765/kartor/A 3367-2020 karta.png", "A 3367-2020")</f>
        <v/>
      </c>
      <c r="U94">
        <f>HYPERLINK("https://klasma.github.io/Logging_1765/knärot/A 3367-2020 karta knärot.png", "A 3367-2020")</f>
        <v/>
      </c>
      <c r="V94">
        <f>HYPERLINK("https://klasma.github.io/Logging_1765/klagomål/A 3367-2020 FSC-klagomål.docx", "A 3367-2020")</f>
        <v/>
      </c>
      <c r="W94">
        <f>HYPERLINK("https://klasma.github.io/Logging_1765/klagomålsmail/A 3367-2020 FSC-klagomål mail.docx", "A 3367-2020")</f>
        <v/>
      </c>
      <c r="X94">
        <f>HYPERLINK("https://klasma.github.io/Logging_1765/tillsyn/A 3367-2020 tillsynsbegäran.docx", "A 3367-2020")</f>
        <v/>
      </c>
      <c r="Y94">
        <f>HYPERLINK("https://klasma.github.io/Logging_1765/tillsynsmail/A 3367-2020 tillsynsbegäran mail.docx", "A 3367-2020")</f>
        <v/>
      </c>
      <c r="Z94">
        <f>HYPERLINK("https://klasma.github.io/Logging_1765/fåglar/A 3367-2020 prioriterade fågelarter.docx", "A 3367-2020")</f>
        <v/>
      </c>
    </row>
    <row r="95" ht="15" customHeight="1">
      <c r="A95" t="inlineStr">
        <is>
          <t>A 30023-2020</t>
        </is>
      </c>
      <c r="B95" s="1" t="n">
        <v>44006</v>
      </c>
      <c r="C95" s="1" t="n">
        <v>45507</v>
      </c>
      <c r="D95" t="inlineStr">
        <is>
          <t>VÄRMLANDS LÄN</t>
        </is>
      </c>
      <c r="E95" t="inlineStr">
        <is>
          <t>FILIPSTAD</t>
        </is>
      </c>
      <c r="G95" t="n">
        <v>1.1</v>
      </c>
      <c r="H95" t="n">
        <v>2</v>
      </c>
      <c r="I95" t="n">
        <v>3</v>
      </c>
      <c r="J95" t="n">
        <v>0</v>
      </c>
      <c r="K95" t="n">
        <v>0</v>
      </c>
      <c r="L95" t="n">
        <v>0</v>
      </c>
      <c r="M95" t="n">
        <v>0</v>
      </c>
      <c r="N95" t="n">
        <v>0</v>
      </c>
      <c r="O95" t="n">
        <v>0</v>
      </c>
      <c r="P95" t="n">
        <v>0</v>
      </c>
      <c r="Q95" t="n">
        <v>4</v>
      </c>
      <c r="R95" s="2" t="inlineStr">
        <is>
          <t>Rödgul trumpetsvamp
Tvåblad
Vårärt
Blåsippa</t>
        </is>
      </c>
      <c r="S95">
        <f>HYPERLINK("https://klasma.github.io/Logging_1782/artfynd/A 30023-2020 artfynd.xlsx", "A 30023-2020")</f>
        <v/>
      </c>
      <c r="T95">
        <f>HYPERLINK("https://klasma.github.io/Logging_1782/kartor/A 30023-2020 karta.png", "A 30023-2020")</f>
        <v/>
      </c>
      <c r="V95">
        <f>HYPERLINK("https://klasma.github.io/Logging_1782/klagomål/A 30023-2020 FSC-klagomål.docx", "A 30023-2020")</f>
        <v/>
      </c>
      <c r="W95">
        <f>HYPERLINK("https://klasma.github.io/Logging_1782/klagomålsmail/A 30023-2020 FSC-klagomål mail.docx", "A 30023-2020")</f>
        <v/>
      </c>
      <c r="X95">
        <f>HYPERLINK("https://klasma.github.io/Logging_1782/tillsyn/A 30023-2020 tillsynsbegäran.docx", "A 30023-2020")</f>
        <v/>
      </c>
      <c r="Y95">
        <f>HYPERLINK("https://klasma.github.io/Logging_1782/tillsynsmail/A 30023-2020 tillsynsbegäran mail.docx", "A 30023-2020")</f>
        <v/>
      </c>
    </row>
    <row r="96" ht="15" customHeight="1">
      <c r="A96" t="inlineStr">
        <is>
          <t>A 34600-2020</t>
        </is>
      </c>
      <c r="B96" s="1" t="n">
        <v>44034</v>
      </c>
      <c r="C96" s="1" t="n">
        <v>45507</v>
      </c>
      <c r="D96" t="inlineStr">
        <is>
          <t>VÄRMLANDS LÄN</t>
        </is>
      </c>
      <c r="E96" t="inlineStr">
        <is>
          <t>SUNNE</t>
        </is>
      </c>
      <c r="F96" t="inlineStr">
        <is>
          <t>Övriga Aktiebolag</t>
        </is>
      </c>
      <c r="G96" t="n">
        <v>11.7</v>
      </c>
      <c r="H96" t="n">
        <v>1</v>
      </c>
      <c r="I96" t="n">
        <v>2</v>
      </c>
      <c r="J96" t="n">
        <v>1</v>
      </c>
      <c r="K96" t="n">
        <v>0</v>
      </c>
      <c r="L96" t="n">
        <v>0</v>
      </c>
      <c r="M96" t="n">
        <v>0</v>
      </c>
      <c r="N96" t="n">
        <v>0</v>
      </c>
      <c r="O96" t="n">
        <v>1</v>
      </c>
      <c r="P96" t="n">
        <v>0</v>
      </c>
      <c r="Q96" t="n">
        <v>4</v>
      </c>
      <c r="R96" s="2" t="inlineStr">
        <is>
          <t>Grynig filtlav
Dvärghäxört
Stuplav
Blåsippa</t>
        </is>
      </c>
      <c r="S96">
        <f>HYPERLINK("https://klasma.github.io/Logging_1766/artfynd/A 34600-2020 artfynd.xlsx", "A 34600-2020")</f>
        <v/>
      </c>
      <c r="T96">
        <f>HYPERLINK("https://klasma.github.io/Logging_1766/kartor/A 34600-2020 karta.png", "A 34600-2020")</f>
        <v/>
      </c>
      <c r="V96">
        <f>HYPERLINK("https://klasma.github.io/Logging_1766/klagomål/A 34600-2020 FSC-klagomål.docx", "A 34600-2020")</f>
        <v/>
      </c>
      <c r="W96">
        <f>HYPERLINK("https://klasma.github.io/Logging_1766/klagomålsmail/A 34600-2020 FSC-klagomål mail.docx", "A 34600-2020")</f>
        <v/>
      </c>
      <c r="X96">
        <f>HYPERLINK("https://klasma.github.io/Logging_1766/tillsyn/A 34600-2020 tillsynsbegäran.docx", "A 34600-2020")</f>
        <v/>
      </c>
      <c r="Y96">
        <f>HYPERLINK("https://klasma.github.io/Logging_1766/tillsynsmail/A 34600-2020 tillsynsbegäran mail.docx", "A 34600-2020")</f>
        <v/>
      </c>
    </row>
    <row r="97" ht="15" customHeight="1">
      <c r="A97" t="inlineStr">
        <is>
          <t>A 40945-2020</t>
        </is>
      </c>
      <c r="B97" s="1" t="n">
        <v>44070</v>
      </c>
      <c r="C97" s="1" t="n">
        <v>45507</v>
      </c>
      <c r="D97" t="inlineStr">
        <is>
          <t>VÄRMLANDS LÄN</t>
        </is>
      </c>
      <c r="E97" t="inlineStr">
        <is>
          <t>KARLSTAD</t>
        </is>
      </c>
      <c r="F97" t="inlineStr">
        <is>
          <t>Kommuner</t>
        </is>
      </c>
      <c r="G97" t="n">
        <v>5.6</v>
      </c>
      <c r="H97" t="n">
        <v>2</v>
      </c>
      <c r="I97" t="n">
        <v>1</v>
      </c>
      <c r="J97" t="n">
        <v>1</v>
      </c>
      <c r="K97" t="n">
        <v>1</v>
      </c>
      <c r="L97" t="n">
        <v>0</v>
      </c>
      <c r="M97" t="n">
        <v>0</v>
      </c>
      <c r="N97" t="n">
        <v>0</v>
      </c>
      <c r="O97" t="n">
        <v>2</v>
      </c>
      <c r="P97" t="n">
        <v>1</v>
      </c>
      <c r="Q97" t="n">
        <v>4</v>
      </c>
      <c r="R97" s="2" t="inlineStr">
        <is>
          <t>Knärot
Ullticka
Bronshjon
Kungsfågel</t>
        </is>
      </c>
      <c r="S97">
        <f>HYPERLINK("https://klasma.github.io/Logging_1780/artfynd/A 40945-2020 artfynd.xlsx", "A 40945-2020")</f>
        <v/>
      </c>
      <c r="T97">
        <f>HYPERLINK("https://klasma.github.io/Logging_1780/kartor/A 40945-2020 karta.png", "A 40945-2020")</f>
        <v/>
      </c>
      <c r="U97">
        <f>HYPERLINK("https://klasma.github.io/Logging_1780/knärot/A 40945-2020 karta knärot.png", "A 40945-2020")</f>
        <v/>
      </c>
      <c r="V97">
        <f>HYPERLINK("https://klasma.github.io/Logging_1780/klagomål/A 40945-2020 FSC-klagomål.docx", "A 40945-2020")</f>
        <v/>
      </c>
      <c r="W97">
        <f>HYPERLINK("https://klasma.github.io/Logging_1780/klagomålsmail/A 40945-2020 FSC-klagomål mail.docx", "A 40945-2020")</f>
        <v/>
      </c>
      <c r="X97">
        <f>HYPERLINK("https://klasma.github.io/Logging_1780/tillsyn/A 40945-2020 tillsynsbegäran.docx", "A 40945-2020")</f>
        <v/>
      </c>
      <c r="Y97">
        <f>HYPERLINK("https://klasma.github.io/Logging_1780/tillsynsmail/A 40945-2020 tillsynsbegäran mail.docx", "A 40945-2020")</f>
        <v/>
      </c>
      <c r="Z97">
        <f>HYPERLINK("https://klasma.github.io/Logging_1780/fåglar/A 40945-2020 prioriterade fågelarter.docx", "A 40945-2020")</f>
        <v/>
      </c>
    </row>
    <row r="98" ht="15" customHeight="1">
      <c r="A98" t="inlineStr">
        <is>
          <t>A 45428-2020</t>
        </is>
      </c>
      <c r="B98" s="1" t="n">
        <v>44089</v>
      </c>
      <c r="C98" s="1" t="n">
        <v>45507</v>
      </c>
      <c r="D98" t="inlineStr">
        <is>
          <t>VÄRMLANDS LÄN</t>
        </is>
      </c>
      <c r="E98" t="inlineStr">
        <is>
          <t>ARVIKA</t>
        </is>
      </c>
      <c r="G98" t="n">
        <v>19.3</v>
      </c>
      <c r="H98" t="n">
        <v>2</v>
      </c>
      <c r="I98" t="n">
        <v>2</v>
      </c>
      <c r="J98" t="n">
        <v>1</v>
      </c>
      <c r="K98" t="n">
        <v>1</v>
      </c>
      <c r="L98" t="n">
        <v>0</v>
      </c>
      <c r="M98" t="n">
        <v>0</v>
      </c>
      <c r="N98" t="n">
        <v>0</v>
      </c>
      <c r="O98" t="n">
        <v>2</v>
      </c>
      <c r="P98" t="n">
        <v>1</v>
      </c>
      <c r="Q98" t="n">
        <v>4</v>
      </c>
      <c r="R98" s="2" t="inlineStr">
        <is>
          <t>Knärot
Mindre hackspett
Blomkålssvamp
Västlig hakmossa</t>
        </is>
      </c>
      <c r="S98">
        <f>HYPERLINK("https://klasma.github.io/Logging_1784/artfynd/A 45428-2020 artfynd.xlsx", "A 45428-2020")</f>
        <v/>
      </c>
      <c r="T98">
        <f>HYPERLINK("https://klasma.github.io/Logging_1784/kartor/A 45428-2020 karta.png", "A 45428-2020")</f>
        <v/>
      </c>
      <c r="U98">
        <f>HYPERLINK("https://klasma.github.io/Logging_1784/knärot/A 45428-2020 karta knärot.png", "A 45428-2020")</f>
        <v/>
      </c>
      <c r="V98">
        <f>HYPERLINK("https://klasma.github.io/Logging_1784/klagomål/A 45428-2020 FSC-klagomål.docx", "A 45428-2020")</f>
        <v/>
      </c>
      <c r="W98">
        <f>HYPERLINK("https://klasma.github.io/Logging_1784/klagomålsmail/A 45428-2020 FSC-klagomål mail.docx", "A 45428-2020")</f>
        <v/>
      </c>
      <c r="X98">
        <f>HYPERLINK("https://klasma.github.io/Logging_1784/tillsyn/A 45428-2020 tillsynsbegäran.docx", "A 45428-2020")</f>
        <v/>
      </c>
      <c r="Y98">
        <f>HYPERLINK("https://klasma.github.io/Logging_1784/tillsynsmail/A 45428-2020 tillsynsbegäran mail.docx", "A 45428-2020")</f>
        <v/>
      </c>
      <c r="Z98">
        <f>HYPERLINK("https://klasma.github.io/Logging_1784/fåglar/A 45428-2020 prioriterade fågelarter.docx", "A 45428-2020")</f>
        <v/>
      </c>
    </row>
    <row r="99" ht="15" customHeight="1">
      <c r="A99" t="inlineStr">
        <is>
          <t>A 46072-2020</t>
        </is>
      </c>
      <c r="B99" s="1" t="n">
        <v>44091</v>
      </c>
      <c r="C99" s="1" t="n">
        <v>45507</v>
      </c>
      <c r="D99" t="inlineStr">
        <is>
          <t>VÄRMLANDS LÄN</t>
        </is>
      </c>
      <c r="E99" t="inlineStr">
        <is>
          <t>FILIPSTAD</t>
        </is>
      </c>
      <c r="F99" t="inlineStr">
        <is>
          <t>Bergvik skog väst AB</t>
        </is>
      </c>
      <c r="G99" t="n">
        <v>1.6</v>
      </c>
      <c r="H99" t="n">
        <v>1</v>
      </c>
      <c r="I99" t="n">
        <v>2</v>
      </c>
      <c r="J99" t="n">
        <v>1</v>
      </c>
      <c r="K99" t="n">
        <v>0</v>
      </c>
      <c r="L99" t="n">
        <v>0</v>
      </c>
      <c r="M99" t="n">
        <v>0</v>
      </c>
      <c r="N99" t="n">
        <v>0</v>
      </c>
      <c r="O99" t="n">
        <v>1</v>
      </c>
      <c r="P99" t="n">
        <v>0</v>
      </c>
      <c r="Q99" t="n">
        <v>4</v>
      </c>
      <c r="R99" s="2" t="inlineStr">
        <is>
          <t>Garnlav
Skuggblåslav
Vedticka
Fläcknycklar</t>
        </is>
      </c>
      <c r="S99">
        <f>HYPERLINK("https://klasma.github.io/Logging_1782/artfynd/A 46072-2020 artfynd.xlsx", "A 46072-2020")</f>
        <v/>
      </c>
      <c r="T99">
        <f>HYPERLINK("https://klasma.github.io/Logging_1782/kartor/A 46072-2020 karta.png", "A 46072-2020")</f>
        <v/>
      </c>
      <c r="V99">
        <f>HYPERLINK("https://klasma.github.io/Logging_1782/klagomål/A 46072-2020 FSC-klagomål.docx", "A 46072-2020")</f>
        <v/>
      </c>
      <c r="W99">
        <f>HYPERLINK("https://klasma.github.io/Logging_1782/klagomålsmail/A 46072-2020 FSC-klagomål mail.docx", "A 46072-2020")</f>
        <v/>
      </c>
      <c r="X99">
        <f>HYPERLINK("https://klasma.github.io/Logging_1782/tillsyn/A 46072-2020 tillsynsbegäran.docx", "A 46072-2020")</f>
        <v/>
      </c>
      <c r="Y99">
        <f>HYPERLINK("https://klasma.github.io/Logging_1782/tillsynsmail/A 46072-2020 tillsynsbegäran mail.docx", "A 46072-2020")</f>
        <v/>
      </c>
    </row>
    <row r="100" ht="15" customHeight="1">
      <c r="A100" t="inlineStr">
        <is>
          <t>A 173-2021</t>
        </is>
      </c>
      <c r="B100" s="1" t="n">
        <v>44200</v>
      </c>
      <c r="C100" s="1" t="n">
        <v>45507</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8325-2021</t>
        </is>
      </c>
      <c r="B101" s="1" t="n">
        <v>44244</v>
      </c>
      <c r="C101" s="1" t="n">
        <v>45507</v>
      </c>
      <c r="D101" t="inlineStr">
        <is>
          <t>VÄRMLANDS LÄN</t>
        </is>
      </c>
      <c r="E101" t="inlineStr">
        <is>
          <t>FORSHAGA</t>
        </is>
      </c>
      <c r="F101" t="inlineStr">
        <is>
          <t>Bergvik skog väst AB</t>
        </is>
      </c>
      <c r="G101" t="n">
        <v>12.8</v>
      </c>
      <c r="H101" t="n">
        <v>3</v>
      </c>
      <c r="I101" t="n">
        <v>2</v>
      </c>
      <c r="J101" t="n">
        <v>0</v>
      </c>
      <c r="K101" t="n">
        <v>0</v>
      </c>
      <c r="L101" t="n">
        <v>0</v>
      </c>
      <c r="M101" t="n">
        <v>0</v>
      </c>
      <c r="N101" t="n">
        <v>0</v>
      </c>
      <c r="O101" t="n">
        <v>0</v>
      </c>
      <c r="P101" t="n">
        <v>0</v>
      </c>
      <c r="Q101" t="n">
        <v>4</v>
      </c>
      <c r="R101" s="2" t="inlineStr">
        <is>
          <t>Dvärghäxört
Nästrot
Nattviol
Blåsippa</t>
        </is>
      </c>
      <c r="S101">
        <f>HYPERLINK("https://klasma.github.io/Logging_1763/artfynd/A 8325-2021 artfynd.xlsx", "A 8325-2021")</f>
        <v/>
      </c>
      <c r="T101">
        <f>HYPERLINK("https://klasma.github.io/Logging_1763/kartor/A 8325-2021 karta.png", "A 8325-2021")</f>
        <v/>
      </c>
      <c r="V101">
        <f>HYPERLINK("https://klasma.github.io/Logging_1763/klagomål/A 8325-2021 FSC-klagomål.docx", "A 8325-2021")</f>
        <v/>
      </c>
      <c r="W101">
        <f>HYPERLINK("https://klasma.github.io/Logging_1763/klagomålsmail/A 8325-2021 FSC-klagomål mail.docx", "A 8325-2021")</f>
        <v/>
      </c>
      <c r="X101">
        <f>HYPERLINK("https://klasma.github.io/Logging_1763/tillsyn/A 8325-2021 tillsynsbegäran.docx", "A 8325-2021")</f>
        <v/>
      </c>
      <c r="Y101">
        <f>HYPERLINK("https://klasma.github.io/Logging_1763/tillsynsmail/A 8325-2021 tillsynsbegäran mail.docx", "A 8325-2021")</f>
        <v/>
      </c>
    </row>
    <row r="102" ht="15" customHeight="1">
      <c r="A102" t="inlineStr">
        <is>
          <t>A 36422-2021</t>
        </is>
      </c>
      <c r="B102" s="1" t="n">
        <v>44375</v>
      </c>
      <c r="C102" s="1" t="n">
        <v>45507</v>
      </c>
      <c r="D102" t="inlineStr">
        <is>
          <t>VÄRMLANDS LÄN</t>
        </is>
      </c>
      <c r="E102" t="inlineStr">
        <is>
          <t>EDA</t>
        </is>
      </c>
      <c r="G102" t="n">
        <v>1.9</v>
      </c>
      <c r="H102" t="n">
        <v>0</v>
      </c>
      <c r="I102" t="n">
        <v>1</v>
      </c>
      <c r="J102" t="n">
        <v>3</v>
      </c>
      <c r="K102" t="n">
        <v>0</v>
      </c>
      <c r="L102" t="n">
        <v>0</v>
      </c>
      <c r="M102" t="n">
        <v>0</v>
      </c>
      <c r="N102" t="n">
        <v>0</v>
      </c>
      <c r="O102" t="n">
        <v>3</v>
      </c>
      <c r="P102" t="n">
        <v>0</v>
      </c>
      <c r="Q102" t="n">
        <v>4</v>
      </c>
      <c r="R102" s="2" t="inlineStr">
        <is>
          <t>Dofttaggsvamp
Gul taggsvamp
Orange taggsvamp
Fällmossa</t>
        </is>
      </c>
      <c r="S102">
        <f>HYPERLINK("https://klasma.github.io/Logging_1730/artfynd/A 36422-2021 artfynd.xlsx", "A 36422-2021")</f>
        <v/>
      </c>
      <c r="T102">
        <f>HYPERLINK("https://klasma.github.io/Logging_1730/kartor/A 36422-2021 karta.png", "A 36422-2021")</f>
        <v/>
      </c>
      <c r="V102">
        <f>HYPERLINK("https://klasma.github.io/Logging_1730/klagomål/A 36422-2021 FSC-klagomål.docx", "A 36422-2021")</f>
        <v/>
      </c>
      <c r="W102">
        <f>HYPERLINK("https://klasma.github.io/Logging_1730/klagomålsmail/A 36422-2021 FSC-klagomål mail.docx", "A 36422-2021")</f>
        <v/>
      </c>
      <c r="X102">
        <f>HYPERLINK("https://klasma.github.io/Logging_1730/tillsyn/A 36422-2021 tillsynsbegäran.docx", "A 36422-2021")</f>
        <v/>
      </c>
      <c r="Y102">
        <f>HYPERLINK("https://klasma.github.io/Logging_1730/tillsynsmail/A 36422-2021 tillsynsbegäran mail.docx", "A 36422-2021")</f>
        <v/>
      </c>
    </row>
    <row r="103" ht="15" customHeight="1">
      <c r="A103" t="inlineStr">
        <is>
          <t>A 32762-2021</t>
        </is>
      </c>
      <c r="B103" s="1" t="n">
        <v>44375</v>
      </c>
      <c r="C103" s="1" t="n">
        <v>45507</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45507</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17268-2022</t>
        </is>
      </c>
      <c r="B105" s="1" t="n">
        <v>44678</v>
      </c>
      <c r="C105" s="1" t="n">
        <v>45507</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42501-2022</t>
        </is>
      </c>
      <c r="B106" s="1" t="n">
        <v>44831</v>
      </c>
      <c r="C106" s="1" t="n">
        <v>45507</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54297-2022</t>
        </is>
      </c>
      <c r="B107" s="1" t="n">
        <v>44882</v>
      </c>
      <c r="C107" s="1" t="n">
        <v>45507</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7484-2023</t>
        </is>
      </c>
      <c r="B108" s="1" t="n">
        <v>44971</v>
      </c>
      <c r="C108" s="1" t="n">
        <v>45507</v>
      </c>
      <c r="D108" t="inlineStr">
        <is>
          <t>VÄRMLANDS LÄN</t>
        </is>
      </c>
      <c r="E108" t="inlineStr">
        <is>
          <t>KARLSTAD</t>
        </is>
      </c>
      <c r="F108" t="inlineStr">
        <is>
          <t>Bergvik skog väst AB</t>
        </is>
      </c>
      <c r="G108" t="n">
        <v>6.6</v>
      </c>
      <c r="H108" t="n">
        <v>1</v>
      </c>
      <c r="I108" t="n">
        <v>3</v>
      </c>
      <c r="J108" t="n">
        <v>1</v>
      </c>
      <c r="K108" t="n">
        <v>0</v>
      </c>
      <c r="L108" t="n">
        <v>0</v>
      </c>
      <c r="M108" t="n">
        <v>0</v>
      </c>
      <c r="N108" t="n">
        <v>0</v>
      </c>
      <c r="O108" t="n">
        <v>1</v>
      </c>
      <c r="P108" t="n">
        <v>0</v>
      </c>
      <c r="Q108" t="n">
        <v>4</v>
      </c>
      <c r="R108" s="2" t="inlineStr">
        <is>
          <t>Mindre hackspett
Bårdlav
Rävticka
Stubbspretmossa</t>
        </is>
      </c>
      <c r="S108">
        <f>HYPERLINK("https://klasma.github.io/Logging_1780/artfynd/A 7484-2023 artfynd.xlsx", "A 7484-2023")</f>
        <v/>
      </c>
      <c r="T108">
        <f>HYPERLINK("https://klasma.github.io/Logging_1780/kartor/A 7484-2023 karta.png", "A 7484-2023")</f>
        <v/>
      </c>
      <c r="V108">
        <f>HYPERLINK("https://klasma.github.io/Logging_1780/klagomål/A 7484-2023 FSC-klagomål.docx", "A 7484-2023")</f>
        <v/>
      </c>
      <c r="W108">
        <f>HYPERLINK("https://klasma.github.io/Logging_1780/klagomålsmail/A 7484-2023 FSC-klagomål mail.docx", "A 7484-2023")</f>
        <v/>
      </c>
      <c r="X108">
        <f>HYPERLINK("https://klasma.github.io/Logging_1780/tillsyn/A 7484-2023 tillsynsbegäran.docx", "A 7484-2023")</f>
        <v/>
      </c>
      <c r="Y108">
        <f>HYPERLINK("https://klasma.github.io/Logging_1780/tillsynsmail/A 7484-2023 tillsynsbegäran mail.docx", "A 7484-2023")</f>
        <v/>
      </c>
      <c r="Z108">
        <f>HYPERLINK("https://klasma.github.io/Logging_1780/fåglar/A 7484-2023 prioriterade fågelarter.docx", "A 7484-2023")</f>
        <v/>
      </c>
    </row>
    <row r="109" ht="15" customHeight="1">
      <c r="A109" t="inlineStr">
        <is>
          <t>A 16134-2023</t>
        </is>
      </c>
      <c r="B109" s="1" t="n">
        <v>45021</v>
      </c>
      <c r="C109" s="1" t="n">
        <v>45507</v>
      </c>
      <c r="D109" t="inlineStr">
        <is>
          <t>VÄRMLANDS LÄN</t>
        </is>
      </c>
      <c r="E109" t="inlineStr">
        <is>
          <t>TORSBY</t>
        </is>
      </c>
      <c r="G109" t="n">
        <v>15.5</v>
      </c>
      <c r="H109" t="n">
        <v>0</v>
      </c>
      <c r="I109" t="n">
        <v>1</v>
      </c>
      <c r="J109" t="n">
        <v>3</v>
      </c>
      <c r="K109" t="n">
        <v>0</v>
      </c>
      <c r="L109" t="n">
        <v>0</v>
      </c>
      <c r="M109" t="n">
        <v>0</v>
      </c>
      <c r="N109" t="n">
        <v>0</v>
      </c>
      <c r="O109" t="n">
        <v>3</v>
      </c>
      <c r="P109" t="n">
        <v>0</v>
      </c>
      <c r="Q109" t="n">
        <v>4</v>
      </c>
      <c r="R109" s="2" t="inlineStr">
        <is>
          <t>Skrovlig taggsvamp
Svartvit taggsvamp
Vitgrynig nållav
Dropptaggsvamp</t>
        </is>
      </c>
      <c r="S109">
        <f>HYPERLINK("https://klasma.github.io/Logging_1737/artfynd/A 16134-2023 artfynd.xlsx", "A 16134-2023")</f>
        <v/>
      </c>
      <c r="T109">
        <f>HYPERLINK("https://klasma.github.io/Logging_1737/kartor/A 16134-2023 karta.png", "A 16134-2023")</f>
        <v/>
      </c>
      <c r="V109">
        <f>HYPERLINK("https://klasma.github.io/Logging_1737/klagomål/A 16134-2023 FSC-klagomål.docx", "A 16134-2023")</f>
        <v/>
      </c>
      <c r="W109">
        <f>HYPERLINK("https://klasma.github.io/Logging_1737/klagomålsmail/A 16134-2023 FSC-klagomål mail.docx", "A 16134-2023")</f>
        <v/>
      </c>
      <c r="X109">
        <f>HYPERLINK("https://klasma.github.io/Logging_1737/tillsyn/A 16134-2023 tillsynsbegäran.docx", "A 16134-2023")</f>
        <v/>
      </c>
      <c r="Y109">
        <f>HYPERLINK("https://klasma.github.io/Logging_1737/tillsynsmail/A 16134-2023 tillsynsbegäran mail.docx", "A 16134-2023")</f>
        <v/>
      </c>
    </row>
    <row r="110" ht="15" customHeight="1">
      <c r="A110" t="inlineStr">
        <is>
          <t>A 19980-2023</t>
        </is>
      </c>
      <c r="B110" s="1" t="n">
        <v>45051</v>
      </c>
      <c r="C110" s="1" t="n">
        <v>45507</v>
      </c>
      <c r="D110" t="inlineStr">
        <is>
          <t>VÄRMLANDS LÄN</t>
        </is>
      </c>
      <c r="E110" t="inlineStr">
        <is>
          <t>ÅRJÄNG</t>
        </is>
      </c>
      <c r="G110" t="n">
        <v>7.9</v>
      </c>
      <c r="H110" t="n">
        <v>1</v>
      </c>
      <c r="I110" t="n">
        <v>2</v>
      </c>
      <c r="J110" t="n">
        <v>2</v>
      </c>
      <c r="K110" t="n">
        <v>0</v>
      </c>
      <c r="L110" t="n">
        <v>0</v>
      </c>
      <c r="M110" t="n">
        <v>0</v>
      </c>
      <c r="N110" t="n">
        <v>0</v>
      </c>
      <c r="O110" t="n">
        <v>2</v>
      </c>
      <c r="P110" t="n">
        <v>0</v>
      </c>
      <c r="Q110" t="n">
        <v>4</v>
      </c>
      <c r="R110" s="2" t="inlineStr">
        <is>
          <t>Lunglav
Talltita
Korallblylav
Skinnlav</t>
        </is>
      </c>
      <c r="S110">
        <f>HYPERLINK("https://klasma.github.io/Logging_1765/artfynd/A 19980-2023 artfynd.xlsx", "A 19980-2023")</f>
        <v/>
      </c>
      <c r="T110">
        <f>HYPERLINK("https://klasma.github.io/Logging_1765/kartor/A 19980-2023 karta.png", "A 19980-2023")</f>
        <v/>
      </c>
      <c r="V110">
        <f>HYPERLINK("https://klasma.github.io/Logging_1765/klagomål/A 19980-2023 FSC-klagomål.docx", "A 19980-2023")</f>
        <v/>
      </c>
      <c r="W110">
        <f>HYPERLINK("https://klasma.github.io/Logging_1765/klagomålsmail/A 19980-2023 FSC-klagomål mail.docx", "A 19980-2023")</f>
        <v/>
      </c>
      <c r="X110">
        <f>HYPERLINK("https://klasma.github.io/Logging_1765/tillsyn/A 19980-2023 tillsynsbegäran.docx", "A 19980-2023")</f>
        <v/>
      </c>
      <c r="Y110">
        <f>HYPERLINK("https://klasma.github.io/Logging_1765/tillsynsmail/A 19980-2023 tillsynsbegäran mail.docx", "A 19980-2023")</f>
        <v/>
      </c>
      <c r="Z110">
        <f>HYPERLINK("https://klasma.github.io/Logging_1765/fåglar/A 19980-2023 prioriterade fågelarter.docx", "A 19980-2023")</f>
        <v/>
      </c>
    </row>
    <row r="111" ht="15" customHeight="1">
      <c r="A111" t="inlineStr">
        <is>
          <t>A 41227-2023</t>
        </is>
      </c>
      <c r="B111" s="1" t="n">
        <v>45174</v>
      </c>
      <c r="C111" s="1" t="n">
        <v>45507</v>
      </c>
      <c r="D111" t="inlineStr">
        <is>
          <t>VÄRMLANDS LÄN</t>
        </is>
      </c>
      <c r="E111" t="inlineStr">
        <is>
          <t>KARLSTAD</t>
        </is>
      </c>
      <c r="G111" t="n">
        <v>7.4</v>
      </c>
      <c r="H111" t="n">
        <v>0</v>
      </c>
      <c r="I111" t="n">
        <v>2</v>
      </c>
      <c r="J111" t="n">
        <v>2</v>
      </c>
      <c r="K111" t="n">
        <v>0</v>
      </c>
      <c r="L111" t="n">
        <v>0</v>
      </c>
      <c r="M111" t="n">
        <v>0</v>
      </c>
      <c r="N111" t="n">
        <v>0</v>
      </c>
      <c r="O111" t="n">
        <v>2</v>
      </c>
      <c r="P111" t="n">
        <v>0</v>
      </c>
      <c r="Q111" t="n">
        <v>4</v>
      </c>
      <c r="R111" s="2" t="inlineStr">
        <is>
          <t>Blå taggsvamp
Motaggsvamp
Flagellkvastmossa
Mindre märgborre</t>
        </is>
      </c>
      <c r="S111">
        <f>HYPERLINK("https://klasma.github.io/Logging_1780/artfynd/A 41227-2023 artfynd.xlsx", "A 41227-2023")</f>
        <v/>
      </c>
      <c r="T111">
        <f>HYPERLINK("https://klasma.github.io/Logging_1780/kartor/A 41227-2023 karta.png", "A 41227-2023")</f>
        <v/>
      </c>
      <c r="V111">
        <f>HYPERLINK("https://klasma.github.io/Logging_1780/klagomål/A 41227-2023 FSC-klagomål.docx", "A 41227-2023")</f>
        <v/>
      </c>
      <c r="W111">
        <f>HYPERLINK("https://klasma.github.io/Logging_1780/klagomålsmail/A 41227-2023 FSC-klagomål mail.docx", "A 41227-2023")</f>
        <v/>
      </c>
      <c r="X111">
        <f>HYPERLINK("https://klasma.github.io/Logging_1780/tillsyn/A 41227-2023 tillsynsbegäran.docx", "A 41227-2023")</f>
        <v/>
      </c>
      <c r="Y111">
        <f>HYPERLINK("https://klasma.github.io/Logging_1780/tillsynsmail/A 41227-2023 tillsynsbegäran mail.docx", "A 41227-2023")</f>
        <v/>
      </c>
    </row>
    <row r="112" ht="15" customHeight="1">
      <c r="A112" t="inlineStr">
        <is>
          <t>A 44837-2023</t>
        </is>
      </c>
      <c r="B112" s="1" t="n">
        <v>45190</v>
      </c>
      <c r="C112" s="1" t="n">
        <v>45507</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55969-2023</t>
        </is>
      </c>
      <c r="B113" s="1" t="n">
        <v>45240</v>
      </c>
      <c r="C113" s="1" t="n">
        <v>45507</v>
      </c>
      <c r="D113" t="inlineStr">
        <is>
          <t>VÄRMLANDS LÄN</t>
        </is>
      </c>
      <c r="E113" t="inlineStr">
        <is>
          <t>KARLSTAD</t>
        </is>
      </c>
      <c r="G113" t="n">
        <v>12.8</v>
      </c>
      <c r="H113" t="n">
        <v>3</v>
      </c>
      <c r="I113" t="n">
        <v>0</v>
      </c>
      <c r="J113" t="n">
        <v>3</v>
      </c>
      <c r="K113" t="n">
        <v>0</v>
      </c>
      <c r="L113" t="n">
        <v>0</v>
      </c>
      <c r="M113" t="n">
        <v>0</v>
      </c>
      <c r="N113" t="n">
        <v>0</v>
      </c>
      <c r="O113" t="n">
        <v>3</v>
      </c>
      <c r="P113" t="n">
        <v>0</v>
      </c>
      <c r="Q113" t="n">
        <v>4</v>
      </c>
      <c r="R113" s="2" t="inlineStr">
        <is>
          <t>Järpe
Motaggsvamp
Spillkråka
Tjäder</t>
        </is>
      </c>
      <c r="S113">
        <f>HYPERLINK("https://klasma.github.io/Logging_1780/artfynd/A 55969-2023 artfynd.xlsx", "A 55969-2023")</f>
        <v/>
      </c>
      <c r="T113">
        <f>HYPERLINK("https://klasma.github.io/Logging_1780/kartor/A 55969-2023 karta.png", "A 55969-2023")</f>
        <v/>
      </c>
      <c r="V113">
        <f>HYPERLINK("https://klasma.github.io/Logging_1780/klagomål/A 55969-2023 FSC-klagomål.docx", "A 55969-2023")</f>
        <v/>
      </c>
      <c r="W113">
        <f>HYPERLINK("https://klasma.github.io/Logging_1780/klagomålsmail/A 55969-2023 FSC-klagomål mail.docx", "A 55969-2023")</f>
        <v/>
      </c>
      <c r="X113">
        <f>HYPERLINK("https://klasma.github.io/Logging_1780/tillsyn/A 55969-2023 tillsynsbegäran.docx", "A 55969-2023")</f>
        <v/>
      </c>
      <c r="Y113">
        <f>HYPERLINK("https://klasma.github.io/Logging_1780/tillsynsmail/A 55969-2023 tillsynsbegäran mail.docx", "A 55969-2023")</f>
        <v/>
      </c>
      <c r="Z113">
        <f>HYPERLINK("https://klasma.github.io/Logging_1780/fåglar/A 55969-2023 prioriterade fågelarter.docx", "A 55969-2023")</f>
        <v/>
      </c>
    </row>
    <row r="114" ht="15" customHeight="1">
      <c r="A114" t="inlineStr">
        <is>
          <t>A 56466-2023</t>
        </is>
      </c>
      <c r="B114" s="1" t="n">
        <v>45243</v>
      </c>
      <c r="C114" s="1" t="n">
        <v>45507</v>
      </c>
      <c r="D114" t="inlineStr">
        <is>
          <t>VÄRMLANDS LÄN</t>
        </is>
      </c>
      <c r="E114" t="inlineStr">
        <is>
          <t>EDA</t>
        </is>
      </c>
      <c r="G114" t="n">
        <v>12.8</v>
      </c>
      <c r="H114" t="n">
        <v>1</v>
      </c>
      <c r="I114" t="n">
        <v>2</v>
      </c>
      <c r="J114" t="n">
        <v>1</v>
      </c>
      <c r="K114" t="n">
        <v>1</v>
      </c>
      <c r="L114" t="n">
        <v>0</v>
      </c>
      <c r="M114" t="n">
        <v>0</v>
      </c>
      <c r="N114" t="n">
        <v>0</v>
      </c>
      <c r="O114" t="n">
        <v>2</v>
      </c>
      <c r="P114" t="n">
        <v>1</v>
      </c>
      <c r="Q114" t="n">
        <v>4</v>
      </c>
      <c r="R114" s="2" t="inlineStr">
        <is>
          <t>Knärot
Garnlav
Purpurmylia
Vedticka</t>
        </is>
      </c>
      <c r="S114">
        <f>HYPERLINK("https://klasma.github.io/Logging_1730/artfynd/A 56466-2023 artfynd.xlsx", "A 56466-2023")</f>
        <v/>
      </c>
      <c r="T114">
        <f>HYPERLINK("https://klasma.github.io/Logging_1730/kartor/A 56466-2023 karta.png", "A 56466-2023")</f>
        <v/>
      </c>
      <c r="U114">
        <f>HYPERLINK("https://klasma.github.io/Logging_1730/knärot/A 56466-2023 karta knärot.png", "A 56466-2023")</f>
        <v/>
      </c>
      <c r="V114">
        <f>HYPERLINK("https://klasma.github.io/Logging_1730/klagomål/A 56466-2023 FSC-klagomål.docx", "A 56466-2023")</f>
        <v/>
      </c>
      <c r="W114">
        <f>HYPERLINK("https://klasma.github.io/Logging_1730/klagomålsmail/A 56466-2023 FSC-klagomål mail.docx", "A 56466-2023")</f>
        <v/>
      </c>
      <c r="X114">
        <f>HYPERLINK("https://klasma.github.io/Logging_1730/tillsyn/A 56466-2023 tillsynsbegäran.docx", "A 56466-2023")</f>
        <v/>
      </c>
      <c r="Y114">
        <f>HYPERLINK("https://klasma.github.io/Logging_1730/tillsynsmail/A 56466-2023 tillsynsbegäran mail.docx", "A 56466-2023")</f>
        <v/>
      </c>
    </row>
    <row r="115" ht="15" customHeight="1">
      <c r="A115" t="inlineStr">
        <is>
          <t>A 65201-2023</t>
        </is>
      </c>
      <c r="B115" s="1" t="n">
        <v>45289</v>
      </c>
      <c r="C115" s="1" t="n">
        <v>45507</v>
      </c>
      <c r="D115" t="inlineStr">
        <is>
          <t>VÄRMLANDS LÄN</t>
        </is>
      </c>
      <c r="E115" t="inlineStr">
        <is>
          <t>FILIPSTAD</t>
        </is>
      </c>
      <c r="F115" t="inlineStr">
        <is>
          <t>Bergvik skog väst AB</t>
        </is>
      </c>
      <c r="G115" t="n">
        <v>7.5</v>
      </c>
      <c r="H115" t="n">
        <v>2</v>
      </c>
      <c r="I115" t="n">
        <v>0</v>
      </c>
      <c r="J115" t="n">
        <v>2</v>
      </c>
      <c r="K115" t="n">
        <v>1</v>
      </c>
      <c r="L115" t="n">
        <v>0</v>
      </c>
      <c r="M115" t="n">
        <v>0</v>
      </c>
      <c r="N115" t="n">
        <v>0</v>
      </c>
      <c r="O115" t="n">
        <v>3</v>
      </c>
      <c r="P115" t="n">
        <v>1</v>
      </c>
      <c r="Q115" t="n">
        <v>4</v>
      </c>
      <c r="R115" s="2" t="inlineStr">
        <is>
          <t>Knärot
Brunpudrad nållav
Vedtrappmossa
Blåsippa</t>
        </is>
      </c>
      <c r="S115">
        <f>HYPERLINK("https://klasma.github.io/Logging_1782/artfynd/A 65201-2023 artfynd.xlsx", "A 65201-2023")</f>
        <v/>
      </c>
      <c r="T115">
        <f>HYPERLINK("https://klasma.github.io/Logging_1782/kartor/A 65201-2023 karta.png", "A 65201-2023")</f>
        <v/>
      </c>
      <c r="U115">
        <f>HYPERLINK("https://klasma.github.io/Logging_1782/knärot/A 65201-2023 karta knärot.png", "A 65201-2023")</f>
        <v/>
      </c>
      <c r="V115">
        <f>HYPERLINK("https://klasma.github.io/Logging_1782/klagomål/A 65201-2023 FSC-klagomål.docx", "A 65201-2023")</f>
        <v/>
      </c>
      <c r="W115">
        <f>HYPERLINK("https://klasma.github.io/Logging_1782/klagomålsmail/A 65201-2023 FSC-klagomål mail.docx", "A 65201-2023")</f>
        <v/>
      </c>
      <c r="X115">
        <f>HYPERLINK("https://klasma.github.io/Logging_1782/tillsyn/A 65201-2023 tillsynsbegäran.docx", "A 65201-2023")</f>
        <v/>
      </c>
      <c r="Y115">
        <f>HYPERLINK("https://klasma.github.io/Logging_1782/tillsynsmail/A 65201-2023 tillsynsbegäran mail.docx", "A 65201-2023")</f>
        <v/>
      </c>
    </row>
    <row r="116" ht="15" customHeight="1">
      <c r="A116" t="inlineStr">
        <is>
          <t>A 1111-2024</t>
        </is>
      </c>
      <c r="B116" s="1" t="n">
        <v>45302</v>
      </c>
      <c r="C116" s="1" t="n">
        <v>45507</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11156-2024</t>
        </is>
      </c>
      <c r="B117" s="1" t="n">
        <v>45371</v>
      </c>
      <c r="C117" s="1" t="n">
        <v>45507</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13716-2024</t>
        </is>
      </c>
      <c r="B118" s="1" t="n">
        <v>45390</v>
      </c>
      <c r="C118" s="1" t="n">
        <v>45507</v>
      </c>
      <c r="D118" t="inlineStr">
        <is>
          <t>VÄRMLANDS LÄN</t>
        </is>
      </c>
      <c r="E118" t="inlineStr">
        <is>
          <t>SÄFFLE</t>
        </is>
      </c>
      <c r="G118" t="n">
        <v>7.4</v>
      </c>
      <c r="H118" t="n">
        <v>1</v>
      </c>
      <c r="I118" t="n">
        <v>0</v>
      </c>
      <c r="J118" t="n">
        <v>1</v>
      </c>
      <c r="K118" t="n">
        <v>0</v>
      </c>
      <c r="L118" t="n">
        <v>1</v>
      </c>
      <c r="M118" t="n">
        <v>1</v>
      </c>
      <c r="N118" t="n">
        <v>0</v>
      </c>
      <c r="O118" t="n">
        <v>3</v>
      </c>
      <c r="P118" t="n">
        <v>2</v>
      </c>
      <c r="Q118" t="n">
        <v>4</v>
      </c>
      <c r="R118" s="2" t="inlineStr">
        <is>
          <t>Skogsalm
Ask
Skogsklocka
Blåsippa</t>
        </is>
      </c>
      <c r="S118">
        <f>HYPERLINK("https://klasma.github.io/Logging_1785/artfynd/A 13716-2024 artfynd.xlsx", "A 13716-2024")</f>
        <v/>
      </c>
      <c r="T118">
        <f>HYPERLINK("https://klasma.github.io/Logging_1785/kartor/A 13716-2024 karta.png", "A 13716-2024")</f>
        <v/>
      </c>
      <c r="V118">
        <f>HYPERLINK("https://klasma.github.io/Logging_1785/klagomål/A 13716-2024 FSC-klagomål.docx", "A 13716-2024")</f>
        <v/>
      </c>
      <c r="W118">
        <f>HYPERLINK("https://klasma.github.io/Logging_1785/klagomålsmail/A 13716-2024 FSC-klagomål mail.docx", "A 13716-2024")</f>
        <v/>
      </c>
      <c r="X118">
        <f>HYPERLINK("https://klasma.github.io/Logging_1785/tillsyn/A 13716-2024 tillsynsbegäran.docx", "A 13716-2024")</f>
        <v/>
      </c>
      <c r="Y118">
        <f>HYPERLINK("https://klasma.github.io/Logging_1785/tillsynsmail/A 13716-2024 tillsynsbegäran mail.docx", "A 13716-2024")</f>
        <v/>
      </c>
    </row>
    <row r="119" ht="15" customHeight="1">
      <c r="A119" t="inlineStr">
        <is>
          <t>A 25899-2024</t>
        </is>
      </c>
      <c r="B119" s="1" t="n">
        <v>45467</v>
      </c>
      <c r="C119" s="1" t="n">
        <v>45507</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20798-2019</t>
        </is>
      </c>
      <c r="B120" s="1" t="n">
        <v>43573</v>
      </c>
      <c r="C120" s="1" t="n">
        <v>45507</v>
      </c>
      <c r="D120" t="inlineStr">
        <is>
          <t>VÄRMLANDS LÄN</t>
        </is>
      </c>
      <c r="E120" t="inlineStr">
        <is>
          <t>ÅRJÄNG</t>
        </is>
      </c>
      <c r="G120" t="n">
        <v>6.5</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HYPERLINK("https://klasma.github.io/Logging_1765/artfynd/A 20798-2019 artfynd.xlsx", "A 20798-2019")</f>
        <v/>
      </c>
      <c r="T120">
        <f>HYPERLINK("https://klasma.github.io/Logging_1765/kartor/A 20798-2019 karta.png", "A 20798-2019")</f>
        <v/>
      </c>
      <c r="U120">
        <f>HYPERLINK("https://klasma.github.io/Logging_1765/knärot/A 20798-2019 karta knärot.png", "A 20798-2019")</f>
        <v/>
      </c>
      <c r="V120">
        <f>HYPERLINK("https://klasma.github.io/Logging_1765/klagomål/A 20798-2019 FSC-klagomål.docx", "A 20798-2019")</f>
        <v/>
      </c>
      <c r="W120">
        <f>HYPERLINK("https://klasma.github.io/Logging_1765/klagomålsmail/A 20798-2019 FSC-klagomål mail.docx", "A 20798-2019")</f>
        <v/>
      </c>
      <c r="X120">
        <f>HYPERLINK("https://klasma.github.io/Logging_1765/tillsyn/A 20798-2019 tillsynsbegäran.docx", "A 20798-2019")</f>
        <v/>
      </c>
      <c r="Y120">
        <f>HYPERLINK("https://klasma.github.io/Logging_1765/tillsynsmail/A 20798-2019 tillsynsbegäran mail.docx", "A 20798-2019")</f>
        <v/>
      </c>
      <c r="Z120">
        <f>HYPERLINK("https://klasma.github.io/Logging_1765/fåglar/A 20798-2019 prioriterade fågelarter.docx", "A 20798-2019")</f>
        <v/>
      </c>
    </row>
    <row r="121" ht="15" customHeight="1">
      <c r="A121" t="inlineStr">
        <is>
          <t>A 22865-2019</t>
        </is>
      </c>
      <c r="B121" s="1" t="n">
        <v>43591</v>
      </c>
      <c r="C121" s="1" t="n">
        <v>45507</v>
      </c>
      <c r="D121" t="inlineStr">
        <is>
          <t>VÄRMLANDS LÄN</t>
        </is>
      </c>
      <c r="E121" t="inlineStr">
        <is>
          <t>KARLSTAD</t>
        </is>
      </c>
      <c r="F121" t="inlineStr">
        <is>
          <t>Kommuner</t>
        </is>
      </c>
      <c r="G121" t="n">
        <v>6</v>
      </c>
      <c r="H121" t="n">
        <v>1</v>
      </c>
      <c r="I121" t="n">
        <v>1</v>
      </c>
      <c r="J121" t="n">
        <v>1</v>
      </c>
      <c r="K121" t="n">
        <v>0</v>
      </c>
      <c r="L121" t="n">
        <v>0</v>
      </c>
      <c r="M121" t="n">
        <v>0</v>
      </c>
      <c r="N121" t="n">
        <v>0</v>
      </c>
      <c r="O121" t="n">
        <v>1</v>
      </c>
      <c r="P121" t="n">
        <v>0</v>
      </c>
      <c r="Q121" t="n">
        <v>3</v>
      </c>
      <c r="R121" s="2" t="inlineStr">
        <is>
          <t>Garnlav
Trådticka
Revlummer</t>
        </is>
      </c>
      <c r="S121">
        <f>HYPERLINK("https://klasma.github.io/Logging_1780/artfynd/A 22865-2019 artfynd.xlsx", "A 22865-2019")</f>
        <v/>
      </c>
      <c r="T121">
        <f>HYPERLINK("https://klasma.github.io/Logging_1780/kartor/A 22865-2019 karta.png", "A 22865-2019")</f>
        <v/>
      </c>
      <c r="V121">
        <f>HYPERLINK("https://klasma.github.io/Logging_1780/klagomål/A 22865-2019 FSC-klagomål.docx", "A 22865-2019")</f>
        <v/>
      </c>
      <c r="W121">
        <f>HYPERLINK("https://klasma.github.io/Logging_1780/klagomålsmail/A 22865-2019 FSC-klagomål mail.docx", "A 22865-2019")</f>
        <v/>
      </c>
      <c r="X121">
        <f>HYPERLINK("https://klasma.github.io/Logging_1780/tillsyn/A 22865-2019 tillsynsbegäran.docx", "A 22865-2019")</f>
        <v/>
      </c>
      <c r="Y121">
        <f>HYPERLINK("https://klasma.github.io/Logging_1780/tillsynsmail/A 22865-2019 tillsynsbegäran mail.docx", "A 22865-2019")</f>
        <v/>
      </c>
    </row>
    <row r="122" ht="15" customHeight="1">
      <c r="A122" t="inlineStr">
        <is>
          <t>A 23049-2019</t>
        </is>
      </c>
      <c r="B122" s="1" t="n">
        <v>43591</v>
      </c>
      <c r="C122" s="1" t="n">
        <v>45507</v>
      </c>
      <c r="D122" t="inlineStr">
        <is>
          <t>VÄRMLANDS LÄN</t>
        </is>
      </c>
      <c r="E122" t="inlineStr">
        <is>
          <t>KARLSTAD</t>
        </is>
      </c>
      <c r="F122" t="inlineStr">
        <is>
          <t>Kommuner</t>
        </is>
      </c>
      <c r="G122" t="n">
        <v>1.7</v>
      </c>
      <c r="H122" t="n">
        <v>1</v>
      </c>
      <c r="I122" t="n">
        <v>2</v>
      </c>
      <c r="J122" t="n">
        <v>1</v>
      </c>
      <c r="K122" t="n">
        <v>0</v>
      </c>
      <c r="L122" t="n">
        <v>0</v>
      </c>
      <c r="M122" t="n">
        <v>0</v>
      </c>
      <c r="N122" t="n">
        <v>0</v>
      </c>
      <c r="O122" t="n">
        <v>1</v>
      </c>
      <c r="P122" t="n">
        <v>0</v>
      </c>
      <c r="Q122" t="n">
        <v>3</v>
      </c>
      <c r="R122" s="2" t="inlineStr">
        <is>
          <t>Talltita
Brandticka
Vedticka</t>
        </is>
      </c>
      <c r="S122">
        <f>HYPERLINK("https://klasma.github.io/Logging_1780/artfynd/A 23049-2019 artfynd.xlsx", "A 23049-2019")</f>
        <v/>
      </c>
      <c r="T122">
        <f>HYPERLINK("https://klasma.github.io/Logging_1780/kartor/A 23049-2019 karta.png", "A 23049-2019")</f>
        <v/>
      </c>
      <c r="V122">
        <f>HYPERLINK("https://klasma.github.io/Logging_1780/klagomål/A 23049-2019 FSC-klagomål.docx", "A 23049-2019")</f>
        <v/>
      </c>
      <c r="W122">
        <f>HYPERLINK("https://klasma.github.io/Logging_1780/klagomålsmail/A 23049-2019 FSC-klagomål mail.docx", "A 23049-2019")</f>
        <v/>
      </c>
      <c r="X122">
        <f>HYPERLINK("https://klasma.github.io/Logging_1780/tillsyn/A 23049-2019 tillsynsbegäran.docx", "A 23049-2019")</f>
        <v/>
      </c>
      <c r="Y122">
        <f>HYPERLINK("https://klasma.github.io/Logging_1780/tillsynsmail/A 23049-2019 tillsynsbegäran mail.docx", "A 23049-2019")</f>
        <v/>
      </c>
      <c r="Z122">
        <f>HYPERLINK("https://klasma.github.io/Logging_1780/fåglar/A 23049-2019 prioriterade fågelarter.docx", "A 23049-2019")</f>
        <v/>
      </c>
    </row>
    <row r="123" ht="15" customHeight="1">
      <c r="A123" t="inlineStr">
        <is>
          <t>A 24010-2019</t>
        </is>
      </c>
      <c r="B123" s="1" t="n">
        <v>43598</v>
      </c>
      <c r="C123" s="1" t="n">
        <v>45507</v>
      </c>
      <c r="D123" t="inlineStr">
        <is>
          <t>VÄRMLANDS LÄN</t>
        </is>
      </c>
      <c r="E123" t="inlineStr">
        <is>
          <t>TORSBY</t>
        </is>
      </c>
      <c r="G123" t="n">
        <v>2.2</v>
      </c>
      <c r="H123" t="n">
        <v>0</v>
      </c>
      <c r="I123" t="n">
        <v>0</v>
      </c>
      <c r="J123" t="n">
        <v>3</v>
      </c>
      <c r="K123" t="n">
        <v>0</v>
      </c>
      <c r="L123" t="n">
        <v>0</v>
      </c>
      <c r="M123" t="n">
        <v>0</v>
      </c>
      <c r="N123" t="n">
        <v>0</v>
      </c>
      <c r="O123" t="n">
        <v>3</v>
      </c>
      <c r="P123" t="n">
        <v>0</v>
      </c>
      <c r="Q123" t="n">
        <v>3</v>
      </c>
      <c r="R123" s="2" t="inlineStr">
        <is>
          <t>Garnlav
Kolflarnlav
Vedskivlav</t>
        </is>
      </c>
      <c r="S123">
        <f>HYPERLINK("https://klasma.github.io/Logging_1737/artfynd/A 24010-2019 artfynd.xlsx", "A 24010-2019")</f>
        <v/>
      </c>
      <c r="T123">
        <f>HYPERLINK("https://klasma.github.io/Logging_1737/kartor/A 24010-2019 karta.png", "A 24010-2019")</f>
        <v/>
      </c>
      <c r="V123">
        <f>HYPERLINK("https://klasma.github.io/Logging_1737/klagomål/A 24010-2019 FSC-klagomål.docx", "A 24010-2019")</f>
        <v/>
      </c>
      <c r="W123">
        <f>HYPERLINK("https://klasma.github.io/Logging_1737/klagomålsmail/A 24010-2019 FSC-klagomål mail.docx", "A 24010-2019")</f>
        <v/>
      </c>
      <c r="X123">
        <f>HYPERLINK("https://klasma.github.io/Logging_1737/tillsyn/A 24010-2019 tillsynsbegäran.docx", "A 24010-2019")</f>
        <v/>
      </c>
      <c r="Y123">
        <f>HYPERLINK("https://klasma.github.io/Logging_1737/tillsynsmail/A 24010-2019 tillsynsbegäran mail.docx", "A 24010-2019")</f>
        <v/>
      </c>
    </row>
    <row r="124" ht="15" customHeight="1">
      <c r="A124" t="inlineStr">
        <is>
          <t>A 26276-2019</t>
        </is>
      </c>
      <c r="B124" s="1" t="n">
        <v>43611</v>
      </c>
      <c r="C124" s="1" t="n">
        <v>45507</v>
      </c>
      <c r="D124" t="inlineStr">
        <is>
          <t>VÄRMLANDS LÄN</t>
        </is>
      </c>
      <c r="E124" t="inlineStr">
        <is>
          <t>FILIPSTAD</t>
        </is>
      </c>
      <c r="F124" t="inlineStr">
        <is>
          <t>Bergvik skog väst AB</t>
        </is>
      </c>
      <c r="G124" t="n">
        <v>18</v>
      </c>
      <c r="H124" t="n">
        <v>3</v>
      </c>
      <c r="I124" t="n">
        <v>2</v>
      </c>
      <c r="J124" t="n">
        <v>0</v>
      </c>
      <c r="K124" t="n">
        <v>0</v>
      </c>
      <c r="L124" t="n">
        <v>0</v>
      </c>
      <c r="M124" t="n">
        <v>0</v>
      </c>
      <c r="N124" t="n">
        <v>0</v>
      </c>
      <c r="O124" t="n">
        <v>0</v>
      </c>
      <c r="P124" t="n">
        <v>0</v>
      </c>
      <c r="Q124" t="n">
        <v>3</v>
      </c>
      <c r="R124" s="2" t="inlineStr">
        <is>
          <t>Purpurknipprot
Tvåblad
Brudsporre</t>
        </is>
      </c>
      <c r="S124">
        <f>HYPERLINK("https://klasma.github.io/Logging_1782/artfynd/A 26276-2019 artfynd.xlsx", "A 26276-2019")</f>
        <v/>
      </c>
      <c r="T124">
        <f>HYPERLINK("https://klasma.github.io/Logging_1782/kartor/A 26276-2019 karta.png", "A 26276-2019")</f>
        <v/>
      </c>
      <c r="V124">
        <f>HYPERLINK("https://klasma.github.io/Logging_1782/klagomål/A 26276-2019 FSC-klagomål.docx", "A 26276-2019")</f>
        <v/>
      </c>
      <c r="W124">
        <f>HYPERLINK("https://klasma.github.io/Logging_1782/klagomålsmail/A 26276-2019 FSC-klagomål mail.docx", "A 26276-2019")</f>
        <v/>
      </c>
      <c r="X124">
        <f>HYPERLINK("https://klasma.github.io/Logging_1782/tillsyn/A 26276-2019 tillsynsbegäran.docx", "A 26276-2019")</f>
        <v/>
      </c>
      <c r="Y124">
        <f>HYPERLINK("https://klasma.github.io/Logging_1782/tillsynsmail/A 26276-2019 tillsynsbegäran mail.docx", "A 26276-2019")</f>
        <v/>
      </c>
    </row>
    <row r="125" ht="15" customHeight="1">
      <c r="A125" t="inlineStr">
        <is>
          <t>A 26919-2019</t>
        </is>
      </c>
      <c r="B125" s="1" t="n">
        <v>43613</v>
      </c>
      <c r="C125" s="1" t="n">
        <v>45507</v>
      </c>
      <c r="D125" t="inlineStr">
        <is>
          <t>VÄRMLANDS LÄN</t>
        </is>
      </c>
      <c r="E125" t="inlineStr">
        <is>
          <t>TORSBY</t>
        </is>
      </c>
      <c r="G125" t="n">
        <v>4.6</v>
      </c>
      <c r="H125" t="n">
        <v>0</v>
      </c>
      <c r="I125" t="n">
        <v>0</v>
      </c>
      <c r="J125" t="n">
        <v>2</v>
      </c>
      <c r="K125" t="n">
        <v>0</v>
      </c>
      <c r="L125" t="n">
        <v>1</v>
      </c>
      <c r="M125" t="n">
        <v>0</v>
      </c>
      <c r="N125" t="n">
        <v>0</v>
      </c>
      <c r="O125" t="n">
        <v>3</v>
      </c>
      <c r="P125" t="n">
        <v>1</v>
      </c>
      <c r="Q125" t="n">
        <v>3</v>
      </c>
      <c r="R125" s="2" t="inlineStr">
        <is>
          <t>Broktagel
Lunglav
Violettgrå tagellav</t>
        </is>
      </c>
      <c r="S125">
        <f>HYPERLINK("https://klasma.github.io/Logging_1737/artfynd/A 26919-2019 artfynd.xlsx", "A 26919-2019")</f>
        <v/>
      </c>
      <c r="T125">
        <f>HYPERLINK("https://klasma.github.io/Logging_1737/kartor/A 26919-2019 karta.png", "A 26919-2019")</f>
        <v/>
      </c>
      <c r="V125">
        <f>HYPERLINK("https://klasma.github.io/Logging_1737/klagomål/A 26919-2019 FSC-klagomål.docx", "A 26919-2019")</f>
        <v/>
      </c>
      <c r="W125">
        <f>HYPERLINK("https://klasma.github.io/Logging_1737/klagomålsmail/A 26919-2019 FSC-klagomål mail.docx", "A 26919-2019")</f>
        <v/>
      </c>
      <c r="X125">
        <f>HYPERLINK("https://klasma.github.io/Logging_1737/tillsyn/A 26919-2019 tillsynsbegäran.docx", "A 26919-2019")</f>
        <v/>
      </c>
      <c r="Y125">
        <f>HYPERLINK("https://klasma.github.io/Logging_1737/tillsynsmail/A 26919-2019 tillsynsbegäran mail.docx", "A 26919-2019")</f>
        <v/>
      </c>
    </row>
    <row r="126" ht="15" customHeight="1">
      <c r="A126" t="inlineStr">
        <is>
          <t>A 32928-2019</t>
        </is>
      </c>
      <c r="B126" s="1" t="n">
        <v>43648</v>
      </c>
      <c r="C126" s="1" t="n">
        <v>45507</v>
      </c>
      <c r="D126" t="inlineStr">
        <is>
          <t>VÄRMLANDS LÄN</t>
        </is>
      </c>
      <c r="E126" t="inlineStr">
        <is>
          <t>TORSBY</t>
        </is>
      </c>
      <c r="G126" t="n">
        <v>5.3</v>
      </c>
      <c r="H126" t="n">
        <v>0</v>
      </c>
      <c r="I126" t="n">
        <v>0</v>
      </c>
      <c r="J126" t="n">
        <v>3</v>
      </c>
      <c r="K126" t="n">
        <v>0</v>
      </c>
      <c r="L126" t="n">
        <v>0</v>
      </c>
      <c r="M126" t="n">
        <v>0</v>
      </c>
      <c r="N126" t="n">
        <v>0</v>
      </c>
      <c r="O126" t="n">
        <v>3</v>
      </c>
      <c r="P126" t="n">
        <v>0</v>
      </c>
      <c r="Q126" t="n">
        <v>3</v>
      </c>
      <c r="R126" s="2" t="inlineStr">
        <is>
          <t>Garnlav
Lunglav
Skrovellav</t>
        </is>
      </c>
      <c r="S126">
        <f>HYPERLINK("https://klasma.github.io/Logging_1737/artfynd/A 32928-2019 artfynd.xlsx", "A 32928-2019")</f>
        <v/>
      </c>
      <c r="T126">
        <f>HYPERLINK("https://klasma.github.io/Logging_1737/kartor/A 32928-2019 karta.png", "A 32928-2019")</f>
        <v/>
      </c>
      <c r="V126">
        <f>HYPERLINK("https://klasma.github.io/Logging_1737/klagomål/A 32928-2019 FSC-klagomål.docx", "A 32928-2019")</f>
        <v/>
      </c>
      <c r="W126">
        <f>HYPERLINK("https://klasma.github.io/Logging_1737/klagomålsmail/A 32928-2019 FSC-klagomål mail.docx", "A 32928-2019")</f>
        <v/>
      </c>
      <c r="X126">
        <f>HYPERLINK("https://klasma.github.io/Logging_1737/tillsyn/A 32928-2019 tillsynsbegäran.docx", "A 32928-2019")</f>
        <v/>
      </c>
      <c r="Y126">
        <f>HYPERLINK("https://klasma.github.io/Logging_1737/tillsynsmail/A 32928-2019 tillsynsbegäran mail.docx", "A 32928-2019")</f>
        <v/>
      </c>
    </row>
    <row r="127" ht="15" customHeight="1">
      <c r="A127" t="inlineStr">
        <is>
          <t>A 38932-2019</t>
        </is>
      </c>
      <c r="B127" s="1" t="n">
        <v>43689</v>
      </c>
      <c r="C127" s="1" t="n">
        <v>45507</v>
      </c>
      <c r="D127" t="inlineStr">
        <is>
          <t>VÄRMLANDS LÄN</t>
        </is>
      </c>
      <c r="E127" t="inlineStr">
        <is>
          <t>TORSBY</t>
        </is>
      </c>
      <c r="G127" t="n">
        <v>1.3</v>
      </c>
      <c r="H127" t="n">
        <v>3</v>
      </c>
      <c r="I127" t="n">
        <v>0</v>
      </c>
      <c r="J127" t="n">
        <v>3</v>
      </c>
      <c r="K127" t="n">
        <v>0</v>
      </c>
      <c r="L127" t="n">
        <v>0</v>
      </c>
      <c r="M127" t="n">
        <v>0</v>
      </c>
      <c r="N127" t="n">
        <v>0</v>
      </c>
      <c r="O127" t="n">
        <v>3</v>
      </c>
      <c r="P127" t="n">
        <v>0</v>
      </c>
      <c r="Q127" t="n">
        <v>3</v>
      </c>
      <c r="R127" s="2" t="inlineStr">
        <is>
          <t>Buskskvätta
Grönsångare
Gulsparv</t>
        </is>
      </c>
      <c r="S127">
        <f>HYPERLINK("https://klasma.github.io/Logging_1737/artfynd/A 38932-2019 artfynd.xlsx", "A 38932-2019")</f>
        <v/>
      </c>
      <c r="T127">
        <f>HYPERLINK("https://klasma.github.io/Logging_1737/kartor/A 38932-2019 karta.png", "A 38932-2019")</f>
        <v/>
      </c>
      <c r="V127">
        <f>HYPERLINK("https://klasma.github.io/Logging_1737/klagomål/A 38932-2019 FSC-klagomål.docx", "A 38932-2019")</f>
        <v/>
      </c>
      <c r="W127">
        <f>HYPERLINK("https://klasma.github.io/Logging_1737/klagomålsmail/A 38932-2019 FSC-klagomål mail.docx", "A 38932-2019")</f>
        <v/>
      </c>
      <c r="X127">
        <f>HYPERLINK("https://klasma.github.io/Logging_1737/tillsyn/A 38932-2019 tillsynsbegäran.docx", "A 38932-2019")</f>
        <v/>
      </c>
      <c r="Y127">
        <f>HYPERLINK("https://klasma.github.io/Logging_1737/tillsynsmail/A 38932-2019 tillsynsbegäran mail.docx", "A 38932-2019")</f>
        <v/>
      </c>
      <c r="Z127">
        <f>HYPERLINK("https://klasma.github.io/Logging_1737/fåglar/A 38932-2019 prioriterade fågelarter.docx", "A 38932-2019")</f>
        <v/>
      </c>
    </row>
    <row r="128" ht="15" customHeight="1">
      <c r="A128" t="inlineStr">
        <is>
          <t>A 56475-2019</t>
        </is>
      </c>
      <c r="B128" s="1" t="n">
        <v>43762</v>
      </c>
      <c r="C128" s="1" t="n">
        <v>45507</v>
      </c>
      <c r="D128" t="inlineStr">
        <is>
          <t>VÄRMLANDS LÄN</t>
        </is>
      </c>
      <c r="E128" t="inlineStr">
        <is>
          <t>KARLSTAD</t>
        </is>
      </c>
      <c r="G128" t="n">
        <v>2</v>
      </c>
      <c r="H128" t="n">
        <v>0</v>
      </c>
      <c r="I128" t="n">
        <v>3</v>
      </c>
      <c r="J128" t="n">
        <v>0</v>
      </c>
      <c r="K128" t="n">
        <v>0</v>
      </c>
      <c r="L128" t="n">
        <v>0</v>
      </c>
      <c r="M128" t="n">
        <v>0</v>
      </c>
      <c r="N128" t="n">
        <v>0</v>
      </c>
      <c r="O128" t="n">
        <v>0</v>
      </c>
      <c r="P128" t="n">
        <v>0</v>
      </c>
      <c r="Q128" t="n">
        <v>3</v>
      </c>
      <c r="R128" s="2" t="inlineStr">
        <is>
          <t>Fällmossa
Guldlockmossa
Platt fjädermossa</t>
        </is>
      </c>
      <c r="S128">
        <f>HYPERLINK("https://klasma.github.io/Logging_1780/artfynd/A 56475-2019 artfynd.xlsx", "A 56475-2019")</f>
        <v/>
      </c>
      <c r="T128">
        <f>HYPERLINK("https://klasma.github.io/Logging_1780/kartor/A 56475-2019 karta.png", "A 56475-2019")</f>
        <v/>
      </c>
      <c r="V128">
        <f>HYPERLINK("https://klasma.github.io/Logging_1780/klagomål/A 56475-2019 FSC-klagomål.docx", "A 56475-2019")</f>
        <v/>
      </c>
      <c r="W128">
        <f>HYPERLINK("https://klasma.github.io/Logging_1780/klagomålsmail/A 56475-2019 FSC-klagomål mail.docx", "A 56475-2019")</f>
        <v/>
      </c>
      <c r="X128">
        <f>HYPERLINK("https://klasma.github.io/Logging_1780/tillsyn/A 56475-2019 tillsynsbegäran.docx", "A 56475-2019")</f>
        <v/>
      </c>
      <c r="Y128">
        <f>HYPERLINK("https://klasma.github.io/Logging_1780/tillsynsmail/A 56475-2019 tillsynsbegäran mail.docx", "A 56475-2019")</f>
        <v/>
      </c>
    </row>
    <row r="129" ht="15" customHeight="1">
      <c r="A129" t="inlineStr">
        <is>
          <t>A 65913-2019</t>
        </is>
      </c>
      <c r="B129" s="1" t="n">
        <v>43805</v>
      </c>
      <c r="C129" s="1" t="n">
        <v>45507</v>
      </c>
      <c r="D129" t="inlineStr">
        <is>
          <t>VÄRMLANDS LÄN</t>
        </is>
      </c>
      <c r="E129" t="inlineStr">
        <is>
          <t>TORSBY</t>
        </is>
      </c>
      <c r="G129" t="n">
        <v>2.9</v>
      </c>
      <c r="H129" t="n">
        <v>3</v>
      </c>
      <c r="I129" t="n">
        <v>0</v>
      </c>
      <c r="J129" t="n">
        <v>3</v>
      </c>
      <c r="K129" t="n">
        <v>0</v>
      </c>
      <c r="L129" t="n">
        <v>0</v>
      </c>
      <c r="M129" t="n">
        <v>0</v>
      </c>
      <c r="N129" t="n">
        <v>0</v>
      </c>
      <c r="O129" t="n">
        <v>3</v>
      </c>
      <c r="P129" t="n">
        <v>0</v>
      </c>
      <c r="Q129" t="n">
        <v>3</v>
      </c>
      <c r="R129" s="2" t="inlineStr">
        <is>
          <t>Kråka
Spillkråka
Talltita</t>
        </is>
      </c>
      <c r="S129">
        <f>HYPERLINK("https://klasma.github.io/Logging_1737/artfynd/A 65913-2019 artfynd.xlsx", "A 65913-2019")</f>
        <v/>
      </c>
      <c r="T129">
        <f>HYPERLINK("https://klasma.github.io/Logging_1737/kartor/A 65913-2019 karta.png", "A 65913-2019")</f>
        <v/>
      </c>
      <c r="V129">
        <f>HYPERLINK("https://klasma.github.io/Logging_1737/klagomål/A 65913-2019 FSC-klagomål.docx", "A 65913-2019")</f>
        <v/>
      </c>
      <c r="W129">
        <f>HYPERLINK("https://klasma.github.io/Logging_1737/klagomålsmail/A 65913-2019 FSC-klagomål mail.docx", "A 65913-2019")</f>
        <v/>
      </c>
      <c r="X129">
        <f>HYPERLINK("https://klasma.github.io/Logging_1737/tillsyn/A 65913-2019 tillsynsbegäran.docx", "A 65913-2019")</f>
        <v/>
      </c>
      <c r="Y129">
        <f>HYPERLINK("https://klasma.github.io/Logging_1737/tillsynsmail/A 65913-2019 tillsynsbegäran mail.docx", "A 65913-2019")</f>
        <v/>
      </c>
      <c r="Z129">
        <f>HYPERLINK("https://klasma.github.io/Logging_1737/fåglar/A 65913-2019 prioriterade fågelarter.docx", "A 65913-2019")</f>
        <v/>
      </c>
    </row>
    <row r="130" ht="15" customHeight="1">
      <c r="A130" t="inlineStr">
        <is>
          <t>A 5520-2020</t>
        </is>
      </c>
      <c r="B130" s="1" t="n">
        <v>43861</v>
      </c>
      <c r="C130" s="1" t="n">
        <v>45507</v>
      </c>
      <c r="D130" t="inlineStr">
        <is>
          <t>VÄRMLANDS LÄN</t>
        </is>
      </c>
      <c r="E130" t="inlineStr">
        <is>
          <t>KARLSTAD</t>
        </is>
      </c>
      <c r="F130" t="inlineStr">
        <is>
          <t>Kommuner</t>
        </is>
      </c>
      <c r="G130" t="n">
        <v>0.8</v>
      </c>
      <c r="H130" t="n">
        <v>1</v>
      </c>
      <c r="I130" t="n">
        <v>2</v>
      </c>
      <c r="J130" t="n">
        <v>1</v>
      </c>
      <c r="K130" t="n">
        <v>0</v>
      </c>
      <c r="L130" t="n">
        <v>0</v>
      </c>
      <c r="M130" t="n">
        <v>0</v>
      </c>
      <c r="N130" t="n">
        <v>0</v>
      </c>
      <c r="O130" t="n">
        <v>1</v>
      </c>
      <c r="P130" t="n">
        <v>0</v>
      </c>
      <c r="Q130" t="n">
        <v>3</v>
      </c>
      <c r="R130" s="2" t="inlineStr">
        <is>
          <t>Svedjenäva
Skogsknipprot
Springkorn</t>
        </is>
      </c>
      <c r="S130">
        <f>HYPERLINK("https://klasma.github.io/Logging_1780/artfynd/A 5520-2020 artfynd.xlsx", "A 5520-2020")</f>
        <v/>
      </c>
      <c r="T130">
        <f>HYPERLINK("https://klasma.github.io/Logging_1780/kartor/A 5520-2020 karta.png", "A 5520-2020")</f>
        <v/>
      </c>
      <c r="V130">
        <f>HYPERLINK("https://klasma.github.io/Logging_1780/klagomål/A 5520-2020 FSC-klagomål.docx", "A 5520-2020")</f>
        <v/>
      </c>
      <c r="W130">
        <f>HYPERLINK("https://klasma.github.io/Logging_1780/klagomålsmail/A 5520-2020 FSC-klagomål mail.docx", "A 5520-2020")</f>
        <v/>
      </c>
      <c r="X130">
        <f>HYPERLINK("https://klasma.github.io/Logging_1780/tillsyn/A 5520-2020 tillsynsbegäran.docx", "A 5520-2020")</f>
        <v/>
      </c>
      <c r="Y130">
        <f>HYPERLINK("https://klasma.github.io/Logging_1780/tillsynsmail/A 5520-2020 tillsynsbegäran mail.docx", "A 5520-2020")</f>
        <v/>
      </c>
    </row>
    <row r="131" ht="15" customHeight="1">
      <c r="A131" t="inlineStr">
        <is>
          <t>A 10035-2020</t>
        </is>
      </c>
      <c r="B131" s="1" t="n">
        <v>43882</v>
      </c>
      <c r="C131" s="1" t="n">
        <v>45507</v>
      </c>
      <c r="D131" t="inlineStr">
        <is>
          <t>VÄRMLANDS LÄN</t>
        </is>
      </c>
      <c r="E131" t="inlineStr">
        <is>
          <t>TORSBY</t>
        </is>
      </c>
      <c r="F131" t="inlineStr">
        <is>
          <t>Kyrkan</t>
        </is>
      </c>
      <c r="G131" t="n">
        <v>11.2</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10035-2020 artfynd.xlsx", "A 10035-2020")</f>
        <v/>
      </c>
      <c r="T131">
        <f>HYPERLINK("https://klasma.github.io/Logging_1737/kartor/A 10035-2020 karta.png", "A 10035-2020")</f>
        <v/>
      </c>
      <c r="V131">
        <f>HYPERLINK("https://klasma.github.io/Logging_1737/klagomål/A 10035-2020 FSC-klagomål.docx", "A 10035-2020")</f>
        <v/>
      </c>
      <c r="W131">
        <f>HYPERLINK("https://klasma.github.io/Logging_1737/klagomålsmail/A 10035-2020 FSC-klagomål mail.docx", "A 10035-2020")</f>
        <v/>
      </c>
      <c r="X131">
        <f>HYPERLINK("https://klasma.github.io/Logging_1737/tillsyn/A 10035-2020 tillsynsbegäran.docx", "A 10035-2020")</f>
        <v/>
      </c>
      <c r="Y131">
        <f>HYPERLINK("https://klasma.github.io/Logging_1737/tillsynsmail/A 10035-2020 tillsynsbegäran mail.docx", "A 10035-2020")</f>
        <v/>
      </c>
    </row>
    <row r="132" ht="15" customHeight="1">
      <c r="A132" t="inlineStr">
        <is>
          <t>A 17212-2020</t>
        </is>
      </c>
      <c r="B132" s="1" t="n">
        <v>43922</v>
      </c>
      <c r="C132" s="1" t="n">
        <v>45507</v>
      </c>
      <c r="D132" t="inlineStr">
        <is>
          <t>VÄRMLANDS LÄN</t>
        </is>
      </c>
      <c r="E132" t="inlineStr">
        <is>
          <t>ÅRJÄNG</t>
        </is>
      </c>
      <c r="G132" t="n">
        <v>8.199999999999999</v>
      </c>
      <c r="H132" t="n">
        <v>2</v>
      </c>
      <c r="I132" t="n">
        <v>0</v>
      </c>
      <c r="J132" t="n">
        <v>1</v>
      </c>
      <c r="K132" t="n">
        <v>1</v>
      </c>
      <c r="L132" t="n">
        <v>0</v>
      </c>
      <c r="M132" t="n">
        <v>0</v>
      </c>
      <c r="N132" t="n">
        <v>0</v>
      </c>
      <c r="O132" t="n">
        <v>2</v>
      </c>
      <c r="P132" t="n">
        <v>1</v>
      </c>
      <c r="Q132" t="n">
        <v>3</v>
      </c>
      <c r="R132" s="2" t="inlineStr">
        <is>
          <t>Knärot
Tallticka
Fläcknycklar</t>
        </is>
      </c>
      <c r="S132">
        <f>HYPERLINK("https://klasma.github.io/Logging_1765/artfynd/A 17212-2020 artfynd.xlsx", "A 17212-2020")</f>
        <v/>
      </c>
      <c r="T132">
        <f>HYPERLINK("https://klasma.github.io/Logging_1765/kartor/A 17212-2020 karta.png", "A 17212-2020")</f>
        <v/>
      </c>
      <c r="U132">
        <f>HYPERLINK("https://klasma.github.io/Logging_1765/knärot/A 17212-2020 karta knärot.png", "A 17212-2020")</f>
        <v/>
      </c>
      <c r="V132">
        <f>HYPERLINK("https://klasma.github.io/Logging_1765/klagomål/A 17212-2020 FSC-klagomål.docx", "A 17212-2020")</f>
        <v/>
      </c>
      <c r="W132">
        <f>HYPERLINK("https://klasma.github.io/Logging_1765/klagomålsmail/A 17212-2020 FSC-klagomål mail.docx", "A 17212-2020")</f>
        <v/>
      </c>
      <c r="X132">
        <f>HYPERLINK("https://klasma.github.io/Logging_1765/tillsyn/A 17212-2020 tillsynsbegäran.docx", "A 17212-2020")</f>
        <v/>
      </c>
      <c r="Y132">
        <f>HYPERLINK("https://klasma.github.io/Logging_1765/tillsynsmail/A 17212-2020 tillsynsbegäran mail.docx", "A 17212-2020")</f>
        <v/>
      </c>
    </row>
    <row r="133" ht="15" customHeight="1">
      <c r="A133" t="inlineStr">
        <is>
          <t>A 34055-2020</t>
        </is>
      </c>
      <c r="B133" s="1" t="n">
        <v>44026</v>
      </c>
      <c r="C133" s="1" t="n">
        <v>45507</v>
      </c>
      <c r="D133" t="inlineStr">
        <is>
          <t>VÄRMLANDS LÄN</t>
        </is>
      </c>
      <c r="E133" t="inlineStr">
        <is>
          <t>ARVIKA</t>
        </is>
      </c>
      <c r="G133" t="n">
        <v>3.4</v>
      </c>
      <c r="H133" t="n">
        <v>0</v>
      </c>
      <c r="I133" t="n">
        <v>2</v>
      </c>
      <c r="J133" t="n">
        <v>0</v>
      </c>
      <c r="K133" t="n">
        <v>1</v>
      </c>
      <c r="L133" t="n">
        <v>0</v>
      </c>
      <c r="M133" t="n">
        <v>0</v>
      </c>
      <c r="N133" t="n">
        <v>0</v>
      </c>
      <c r="O133" t="n">
        <v>1</v>
      </c>
      <c r="P133" t="n">
        <v>1</v>
      </c>
      <c r="Q133" t="n">
        <v>3</v>
      </c>
      <c r="R133" s="2" t="inlineStr">
        <is>
          <t>Vågticka
Gulnål
Skinnlav</t>
        </is>
      </c>
      <c r="S133">
        <f>HYPERLINK("https://klasma.github.io/Logging_1784/artfynd/A 34055-2020 artfynd.xlsx", "A 34055-2020")</f>
        <v/>
      </c>
      <c r="T133">
        <f>HYPERLINK("https://klasma.github.io/Logging_1784/kartor/A 34055-2020 karta.png", "A 34055-2020")</f>
        <v/>
      </c>
      <c r="V133">
        <f>HYPERLINK("https://klasma.github.io/Logging_1784/klagomål/A 34055-2020 FSC-klagomål.docx", "A 34055-2020")</f>
        <v/>
      </c>
      <c r="W133">
        <f>HYPERLINK("https://klasma.github.io/Logging_1784/klagomålsmail/A 34055-2020 FSC-klagomål mail.docx", "A 34055-2020")</f>
        <v/>
      </c>
      <c r="X133">
        <f>HYPERLINK("https://klasma.github.io/Logging_1784/tillsyn/A 34055-2020 tillsynsbegäran.docx", "A 34055-2020")</f>
        <v/>
      </c>
      <c r="Y133">
        <f>HYPERLINK("https://klasma.github.io/Logging_1784/tillsynsmail/A 34055-2020 tillsynsbegäran mail.docx", "A 34055-2020")</f>
        <v/>
      </c>
    </row>
    <row r="134" ht="15" customHeight="1">
      <c r="A134" t="inlineStr">
        <is>
          <t>A 46200-2020</t>
        </is>
      </c>
      <c r="B134" s="1" t="n">
        <v>44092</v>
      </c>
      <c r="C134" s="1" t="n">
        <v>45507</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63491-2020</t>
        </is>
      </c>
      <c r="B135" s="1" t="n">
        <v>44165</v>
      </c>
      <c r="C135" s="1" t="n">
        <v>45507</v>
      </c>
      <c r="D135" t="inlineStr">
        <is>
          <t>VÄRMLANDS LÄN</t>
        </is>
      </c>
      <c r="E135" t="inlineStr">
        <is>
          <t>SUNNE</t>
        </is>
      </c>
      <c r="G135" t="n">
        <v>33.5</v>
      </c>
      <c r="H135" t="n">
        <v>0</v>
      </c>
      <c r="I135" t="n">
        <v>1</v>
      </c>
      <c r="J135" t="n">
        <v>2</v>
      </c>
      <c r="K135" t="n">
        <v>0</v>
      </c>
      <c r="L135" t="n">
        <v>0</v>
      </c>
      <c r="M135" t="n">
        <v>0</v>
      </c>
      <c r="N135" t="n">
        <v>0</v>
      </c>
      <c r="O135" t="n">
        <v>2</v>
      </c>
      <c r="P135" t="n">
        <v>0</v>
      </c>
      <c r="Q135" t="n">
        <v>3</v>
      </c>
      <c r="R135" s="2" t="inlineStr">
        <is>
          <t>Garnlav
Vedtrappmossa
Vedticka</t>
        </is>
      </c>
      <c r="S135">
        <f>HYPERLINK("https://klasma.github.io/Logging_1766/artfynd/A 63491-2020 artfynd.xlsx", "A 63491-2020")</f>
        <v/>
      </c>
      <c r="T135">
        <f>HYPERLINK("https://klasma.github.io/Logging_1766/kartor/A 63491-2020 karta.png", "A 63491-2020")</f>
        <v/>
      </c>
      <c r="V135">
        <f>HYPERLINK("https://klasma.github.io/Logging_1766/klagomål/A 63491-2020 FSC-klagomål.docx", "A 63491-2020")</f>
        <v/>
      </c>
      <c r="W135">
        <f>HYPERLINK("https://klasma.github.io/Logging_1766/klagomålsmail/A 63491-2020 FSC-klagomål mail.docx", "A 63491-2020")</f>
        <v/>
      </c>
      <c r="X135">
        <f>HYPERLINK("https://klasma.github.io/Logging_1766/tillsyn/A 63491-2020 tillsynsbegäran.docx", "A 63491-2020")</f>
        <v/>
      </c>
      <c r="Y135">
        <f>HYPERLINK("https://klasma.github.io/Logging_1766/tillsynsmail/A 63491-2020 tillsynsbegäran mail.docx", "A 63491-2020")</f>
        <v/>
      </c>
    </row>
    <row r="136" ht="15" customHeight="1">
      <c r="A136" t="inlineStr">
        <is>
          <t>A 69035-2020</t>
        </is>
      </c>
      <c r="B136" s="1" t="n">
        <v>44188</v>
      </c>
      <c r="C136" s="1" t="n">
        <v>45507</v>
      </c>
      <c r="D136" t="inlineStr">
        <is>
          <t>VÄRMLANDS LÄN</t>
        </is>
      </c>
      <c r="E136" t="inlineStr">
        <is>
          <t>FORSHAGA</t>
        </is>
      </c>
      <c r="F136" t="inlineStr">
        <is>
          <t>Bergvik skog väst AB</t>
        </is>
      </c>
      <c r="G136" t="n">
        <v>2.1</v>
      </c>
      <c r="H136" t="n">
        <v>3</v>
      </c>
      <c r="I136" t="n">
        <v>0</v>
      </c>
      <c r="J136" t="n">
        <v>2</v>
      </c>
      <c r="K136" t="n">
        <v>1</v>
      </c>
      <c r="L136" t="n">
        <v>0</v>
      </c>
      <c r="M136" t="n">
        <v>0</v>
      </c>
      <c r="N136" t="n">
        <v>0</v>
      </c>
      <c r="O136" t="n">
        <v>3</v>
      </c>
      <c r="P136" t="n">
        <v>1</v>
      </c>
      <c r="Q136" t="n">
        <v>3</v>
      </c>
      <c r="R136" s="2" t="inlineStr">
        <is>
          <t>Knärot
Spillkråka
Tretåig hackspett</t>
        </is>
      </c>
      <c r="S136">
        <f>HYPERLINK("https://klasma.github.io/Logging_1763/artfynd/A 69035-2020 artfynd.xlsx", "A 69035-2020")</f>
        <v/>
      </c>
      <c r="T136">
        <f>HYPERLINK("https://klasma.github.io/Logging_1763/kartor/A 69035-2020 karta.png", "A 69035-2020")</f>
        <v/>
      </c>
      <c r="U136">
        <f>HYPERLINK("https://klasma.github.io/Logging_1763/knärot/A 69035-2020 karta knärot.png", "A 69035-2020")</f>
        <v/>
      </c>
      <c r="V136">
        <f>HYPERLINK("https://klasma.github.io/Logging_1763/klagomål/A 69035-2020 FSC-klagomål.docx", "A 69035-2020")</f>
        <v/>
      </c>
      <c r="W136">
        <f>HYPERLINK("https://klasma.github.io/Logging_1763/klagomålsmail/A 69035-2020 FSC-klagomål mail.docx", "A 69035-2020")</f>
        <v/>
      </c>
      <c r="X136">
        <f>HYPERLINK("https://klasma.github.io/Logging_1763/tillsyn/A 69035-2020 tillsynsbegäran.docx", "A 69035-2020")</f>
        <v/>
      </c>
      <c r="Y136">
        <f>HYPERLINK("https://klasma.github.io/Logging_1763/tillsynsmail/A 69035-2020 tillsynsbegäran mail.docx", "A 69035-2020")</f>
        <v/>
      </c>
      <c r="Z136">
        <f>HYPERLINK("https://klasma.github.io/Logging_1763/fåglar/A 69035-2020 prioriterade fågelarter.docx", "A 69035-2020")</f>
        <v/>
      </c>
    </row>
    <row r="137" ht="15" customHeight="1">
      <c r="A137" t="inlineStr">
        <is>
          <t>A 4555-2021</t>
        </is>
      </c>
      <c r="B137" s="1" t="n">
        <v>44224</v>
      </c>
      <c r="C137" s="1" t="n">
        <v>45507</v>
      </c>
      <c r="D137" t="inlineStr">
        <is>
          <t>VÄRMLANDS LÄN</t>
        </is>
      </c>
      <c r="E137" t="inlineStr">
        <is>
          <t>TORSBY</t>
        </is>
      </c>
      <c r="G137" t="n">
        <v>11.3</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HYPERLINK("https://klasma.github.io/Logging_1737/artfynd/A 4555-2021 artfynd.xlsx", "A 4555-2021")</f>
        <v/>
      </c>
      <c r="T137">
        <f>HYPERLINK("https://klasma.github.io/Logging_1737/kartor/A 4555-2021 karta.png", "A 4555-2021")</f>
        <v/>
      </c>
      <c r="V137">
        <f>HYPERLINK("https://klasma.github.io/Logging_1737/klagomål/A 4555-2021 FSC-klagomål.docx", "A 4555-2021")</f>
        <v/>
      </c>
      <c r="W137">
        <f>HYPERLINK("https://klasma.github.io/Logging_1737/klagomålsmail/A 4555-2021 FSC-klagomål mail.docx", "A 4555-2021")</f>
        <v/>
      </c>
      <c r="X137">
        <f>HYPERLINK("https://klasma.github.io/Logging_1737/tillsyn/A 4555-2021 tillsynsbegäran.docx", "A 4555-2021")</f>
        <v/>
      </c>
      <c r="Y137">
        <f>HYPERLINK("https://klasma.github.io/Logging_1737/tillsynsmail/A 4555-2021 tillsynsbegäran mail.docx", "A 4555-2021")</f>
        <v/>
      </c>
    </row>
    <row r="138" ht="15" customHeight="1">
      <c r="A138" t="inlineStr">
        <is>
          <t>A 16545-2021</t>
        </is>
      </c>
      <c r="B138" s="1" t="n">
        <v>44293</v>
      </c>
      <c r="C138" s="1" t="n">
        <v>45507</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24836-2021</t>
        </is>
      </c>
      <c r="B139" s="1" t="n">
        <v>44340</v>
      </c>
      <c r="C139" s="1" t="n">
        <v>45507</v>
      </c>
      <c r="D139" t="inlineStr">
        <is>
          <t>VÄRMLANDS LÄN</t>
        </is>
      </c>
      <c r="E139" t="inlineStr">
        <is>
          <t>SUNNE</t>
        </is>
      </c>
      <c r="F139" t="inlineStr">
        <is>
          <t>Kommuner</t>
        </is>
      </c>
      <c r="G139" t="n">
        <v>19.2</v>
      </c>
      <c r="H139" t="n">
        <v>2</v>
      </c>
      <c r="I139" t="n">
        <v>0</v>
      </c>
      <c r="J139" t="n">
        <v>3</v>
      </c>
      <c r="K139" t="n">
        <v>0</v>
      </c>
      <c r="L139" t="n">
        <v>0</v>
      </c>
      <c r="M139" t="n">
        <v>0</v>
      </c>
      <c r="N139" t="n">
        <v>0</v>
      </c>
      <c r="O139" t="n">
        <v>3</v>
      </c>
      <c r="P139" t="n">
        <v>0</v>
      </c>
      <c r="Q139" t="n">
        <v>3</v>
      </c>
      <c r="R139" s="2" t="inlineStr">
        <is>
          <t>Grynig filtlav
Kråka
Tretåig hackspett</t>
        </is>
      </c>
      <c r="S139">
        <f>HYPERLINK("https://klasma.github.io/Logging_1766/artfynd/A 24836-2021 artfynd.xlsx", "A 24836-2021")</f>
        <v/>
      </c>
      <c r="T139">
        <f>HYPERLINK("https://klasma.github.io/Logging_1766/kartor/A 24836-2021 karta.png", "A 24836-2021")</f>
        <v/>
      </c>
      <c r="V139">
        <f>HYPERLINK("https://klasma.github.io/Logging_1766/klagomål/A 24836-2021 FSC-klagomål.docx", "A 24836-2021")</f>
        <v/>
      </c>
      <c r="W139">
        <f>HYPERLINK("https://klasma.github.io/Logging_1766/klagomålsmail/A 24836-2021 FSC-klagomål mail.docx", "A 24836-2021")</f>
        <v/>
      </c>
      <c r="X139">
        <f>HYPERLINK("https://klasma.github.io/Logging_1766/tillsyn/A 24836-2021 tillsynsbegäran.docx", "A 24836-2021")</f>
        <v/>
      </c>
      <c r="Y139">
        <f>HYPERLINK("https://klasma.github.io/Logging_1766/tillsynsmail/A 24836-2021 tillsynsbegäran mail.docx", "A 24836-2021")</f>
        <v/>
      </c>
      <c r="Z139">
        <f>HYPERLINK("https://klasma.github.io/Logging_1766/fåglar/A 24836-2021 prioriterade fågelarter.docx", "A 24836-2021")</f>
        <v/>
      </c>
    </row>
    <row r="140" ht="15" customHeight="1">
      <c r="A140" t="inlineStr">
        <is>
          <t>A 28169-2021</t>
        </is>
      </c>
      <c r="B140" s="1" t="n">
        <v>44355</v>
      </c>
      <c r="C140" s="1" t="n">
        <v>45507</v>
      </c>
      <c r="D140" t="inlineStr">
        <is>
          <t>VÄRMLANDS LÄN</t>
        </is>
      </c>
      <c r="E140" t="inlineStr">
        <is>
          <t>FILIPSTAD</t>
        </is>
      </c>
      <c r="F140" t="inlineStr">
        <is>
          <t>Bergvik skog väst AB</t>
        </is>
      </c>
      <c r="G140" t="n">
        <v>6.1</v>
      </c>
      <c r="H140" t="n">
        <v>1</v>
      </c>
      <c r="I140" t="n">
        <v>1</v>
      </c>
      <c r="J140" t="n">
        <v>1</v>
      </c>
      <c r="K140" t="n">
        <v>1</v>
      </c>
      <c r="L140" t="n">
        <v>0</v>
      </c>
      <c r="M140" t="n">
        <v>0</v>
      </c>
      <c r="N140" t="n">
        <v>0</v>
      </c>
      <c r="O140" t="n">
        <v>2</v>
      </c>
      <c r="P140" t="n">
        <v>1</v>
      </c>
      <c r="Q140" t="n">
        <v>3</v>
      </c>
      <c r="R140" s="2" t="inlineStr">
        <is>
          <t>Knärot
Garnlav
Mindre märgborre</t>
        </is>
      </c>
      <c r="S140">
        <f>HYPERLINK("https://klasma.github.io/Logging_1782/artfynd/A 28169-2021 artfynd.xlsx", "A 28169-2021")</f>
        <v/>
      </c>
      <c r="T140">
        <f>HYPERLINK("https://klasma.github.io/Logging_1782/kartor/A 28169-2021 karta.png", "A 28169-2021")</f>
        <v/>
      </c>
      <c r="U140">
        <f>HYPERLINK("https://klasma.github.io/Logging_1782/knärot/A 28169-2021 karta knärot.png", "A 28169-2021")</f>
        <v/>
      </c>
      <c r="V140">
        <f>HYPERLINK("https://klasma.github.io/Logging_1782/klagomål/A 28169-2021 FSC-klagomål.docx", "A 28169-2021")</f>
        <v/>
      </c>
      <c r="W140">
        <f>HYPERLINK("https://klasma.github.io/Logging_1782/klagomålsmail/A 28169-2021 FSC-klagomål mail.docx", "A 28169-2021")</f>
        <v/>
      </c>
      <c r="X140">
        <f>HYPERLINK("https://klasma.github.io/Logging_1782/tillsyn/A 28169-2021 tillsynsbegäran.docx", "A 28169-2021")</f>
        <v/>
      </c>
      <c r="Y140">
        <f>HYPERLINK("https://klasma.github.io/Logging_1782/tillsynsmail/A 28169-2021 tillsynsbegäran mail.docx", "A 28169-2021")</f>
        <v/>
      </c>
    </row>
    <row r="141" ht="15" customHeight="1">
      <c r="A141" t="inlineStr">
        <is>
          <t>A 36377-2021</t>
        </is>
      </c>
      <c r="B141" s="1" t="n">
        <v>44375</v>
      </c>
      <c r="C141" s="1" t="n">
        <v>45507</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33327-2021</t>
        </is>
      </c>
      <c r="B142" s="1" t="n">
        <v>44377</v>
      </c>
      <c r="C142" s="1" t="n">
        <v>45507</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63880-2021</t>
        </is>
      </c>
      <c r="B143" s="1" t="n">
        <v>44509</v>
      </c>
      <c r="C143" s="1" t="n">
        <v>45507</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63893-2021</t>
        </is>
      </c>
      <c r="B144" s="1" t="n">
        <v>44509</v>
      </c>
      <c r="C144" s="1" t="n">
        <v>45507</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67528-2021</t>
        </is>
      </c>
      <c r="B145" s="1" t="n">
        <v>44524</v>
      </c>
      <c r="C145" s="1" t="n">
        <v>45507</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70301-2021</t>
        </is>
      </c>
      <c r="B146" s="1" t="n">
        <v>44536</v>
      </c>
      <c r="C146" s="1" t="n">
        <v>45507</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8612-2022</t>
        </is>
      </c>
      <c r="B147" s="1" t="n">
        <v>44613</v>
      </c>
      <c r="C147" s="1" t="n">
        <v>45507</v>
      </c>
      <c r="D147" t="inlineStr">
        <is>
          <t>VÄRMLANDS LÄN</t>
        </is>
      </c>
      <c r="E147" t="inlineStr">
        <is>
          <t>ARVIKA</t>
        </is>
      </c>
      <c r="G147" t="n">
        <v>0.6</v>
      </c>
      <c r="H147" t="n">
        <v>0</v>
      </c>
      <c r="I147" t="n">
        <v>1</v>
      </c>
      <c r="J147" t="n">
        <v>2</v>
      </c>
      <c r="K147" t="n">
        <v>0</v>
      </c>
      <c r="L147" t="n">
        <v>0</v>
      </c>
      <c r="M147" t="n">
        <v>0</v>
      </c>
      <c r="N147" t="n">
        <v>0</v>
      </c>
      <c r="O147" t="n">
        <v>2</v>
      </c>
      <c r="P147" t="n">
        <v>0</v>
      </c>
      <c r="Q147" t="n">
        <v>3</v>
      </c>
      <c r="R147" s="2" t="inlineStr">
        <is>
          <t>Orange taggsvamp
Svart taggsvamp
Dropptaggsvamp</t>
        </is>
      </c>
      <c r="S147">
        <f>HYPERLINK("https://klasma.github.io/Logging_1784/artfynd/A 8612-2022 artfynd.xlsx", "A 8612-2022")</f>
        <v/>
      </c>
      <c r="T147">
        <f>HYPERLINK("https://klasma.github.io/Logging_1784/kartor/A 8612-2022 karta.png", "A 8612-2022")</f>
        <v/>
      </c>
      <c r="V147">
        <f>HYPERLINK("https://klasma.github.io/Logging_1784/klagomål/A 8612-2022 FSC-klagomål.docx", "A 8612-2022")</f>
        <v/>
      </c>
      <c r="W147">
        <f>HYPERLINK("https://klasma.github.io/Logging_1784/klagomålsmail/A 8612-2022 FSC-klagomål mail.docx", "A 8612-2022")</f>
        <v/>
      </c>
      <c r="X147">
        <f>HYPERLINK("https://klasma.github.io/Logging_1784/tillsyn/A 8612-2022 tillsynsbegäran.docx", "A 8612-2022")</f>
        <v/>
      </c>
      <c r="Y147">
        <f>HYPERLINK("https://klasma.github.io/Logging_1784/tillsynsmail/A 8612-2022 tillsynsbegäran mail.docx", "A 8612-2022")</f>
        <v/>
      </c>
    </row>
    <row r="148" ht="15" customHeight="1">
      <c r="A148" t="inlineStr">
        <is>
          <t>A 8514-2022</t>
        </is>
      </c>
      <c r="B148" s="1" t="n">
        <v>44613</v>
      </c>
      <c r="C148" s="1" t="n">
        <v>45507</v>
      </c>
      <c r="D148" t="inlineStr">
        <is>
          <t>VÄRMLANDS LÄN</t>
        </is>
      </c>
      <c r="E148" t="inlineStr">
        <is>
          <t>TORSBY</t>
        </is>
      </c>
      <c r="G148" t="n">
        <v>4.4</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8514-2022 artfynd.xlsx", "A 8514-2022")</f>
        <v/>
      </c>
      <c r="T148">
        <f>HYPERLINK("https://klasma.github.io/Logging_1737/kartor/A 8514-2022 karta.png", "A 8514-2022")</f>
        <v/>
      </c>
      <c r="V148">
        <f>HYPERLINK("https://klasma.github.io/Logging_1737/klagomål/A 8514-2022 FSC-klagomål.docx", "A 8514-2022")</f>
        <v/>
      </c>
      <c r="W148">
        <f>HYPERLINK("https://klasma.github.io/Logging_1737/klagomålsmail/A 8514-2022 FSC-klagomål mail.docx", "A 8514-2022")</f>
        <v/>
      </c>
      <c r="X148">
        <f>HYPERLINK("https://klasma.github.io/Logging_1737/tillsyn/A 8514-2022 tillsynsbegäran.docx", "A 8514-2022")</f>
        <v/>
      </c>
      <c r="Y148">
        <f>HYPERLINK("https://klasma.github.io/Logging_1737/tillsynsmail/A 8514-2022 tillsynsbegäran mail.docx", "A 8514-2022")</f>
        <v/>
      </c>
    </row>
    <row r="149" ht="15" customHeight="1">
      <c r="A149" t="inlineStr">
        <is>
          <t>A 11927-2022</t>
        </is>
      </c>
      <c r="B149" s="1" t="n">
        <v>44635</v>
      </c>
      <c r="C149" s="1" t="n">
        <v>45507</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23576-2022</t>
        </is>
      </c>
      <c r="B150" s="1" t="n">
        <v>44721</v>
      </c>
      <c r="C150" s="1" t="n">
        <v>45507</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45507</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26898-2022</t>
        </is>
      </c>
      <c r="B152" s="1" t="n">
        <v>44740</v>
      </c>
      <c r="C152" s="1" t="n">
        <v>45507</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31151-2022</t>
        </is>
      </c>
      <c r="B153" s="1" t="n">
        <v>44770</v>
      </c>
      <c r="C153" s="1" t="n">
        <v>45507</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34087-2022</t>
        </is>
      </c>
      <c r="B154" s="1" t="n">
        <v>44791</v>
      </c>
      <c r="C154" s="1" t="n">
        <v>45507</v>
      </c>
      <c r="D154" t="inlineStr">
        <is>
          <t>VÄRMLANDS LÄN</t>
        </is>
      </c>
      <c r="E154" t="inlineStr">
        <is>
          <t>EDA</t>
        </is>
      </c>
      <c r="G154" t="n">
        <v>6.7</v>
      </c>
      <c r="H154" t="n">
        <v>0</v>
      </c>
      <c r="I154" t="n">
        <v>2</v>
      </c>
      <c r="J154" t="n">
        <v>1</v>
      </c>
      <c r="K154" t="n">
        <v>0</v>
      </c>
      <c r="L154" t="n">
        <v>0</v>
      </c>
      <c r="M154" t="n">
        <v>0</v>
      </c>
      <c r="N154" t="n">
        <v>0</v>
      </c>
      <c r="O154" t="n">
        <v>1</v>
      </c>
      <c r="P154" t="n">
        <v>0</v>
      </c>
      <c r="Q154" t="n">
        <v>3</v>
      </c>
      <c r="R154" s="2" t="inlineStr">
        <is>
          <t>Garnlav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42480-2022</t>
        </is>
      </c>
      <c r="B155" s="1" t="n">
        <v>44831</v>
      </c>
      <c r="C155" s="1" t="n">
        <v>45507</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53051-2022</t>
        </is>
      </c>
      <c r="B156" s="1" t="n">
        <v>44876</v>
      </c>
      <c r="C156" s="1" t="n">
        <v>45507</v>
      </c>
      <c r="D156" t="inlineStr">
        <is>
          <t>VÄRMLANDS LÄN</t>
        </is>
      </c>
      <c r="E156" t="inlineStr">
        <is>
          <t>KARLSTAD</t>
        </is>
      </c>
      <c r="G156" t="n">
        <v>1.3</v>
      </c>
      <c r="H156" t="n">
        <v>1</v>
      </c>
      <c r="I156" t="n">
        <v>1</v>
      </c>
      <c r="J156" t="n">
        <v>1</v>
      </c>
      <c r="K156" t="n">
        <v>0</v>
      </c>
      <c r="L156" t="n">
        <v>0</v>
      </c>
      <c r="M156" t="n">
        <v>0</v>
      </c>
      <c r="N156" t="n">
        <v>0</v>
      </c>
      <c r="O156" t="n">
        <v>1</v>
      </c>
      <c r="P156" t="n">
        <v>0</v>
      </c>
      <c r="Q156" t="n">
        <v>3</v>
      </c>
      <c r="R156" s="2" t="inlineStr">
        <is>
          <t>Storgröe
Strutbräken
Blåsippa</t>
        </is>
      </c>
      <c r="S156">
        <f>HYPERLINK("https://klasma.github.io/Logging_1780/artfynd/A 53051-2022 artfynd.xlsx", "A 53051-2022")</f>
        <v/>
      </c>
      <c r="T156">
        <f>HYPERLINK("https://klasma.github.io/Logging_1780/kartor/A 53051-2022 karta.png", "A 53051-2022")</f>
        <v/>
      </c>
      <c r="V156">
        <f>HYPERLINK("https://klasma.github.io/Logging_1780/klagomål/A 53051-2022 FSC-klagomål.docx", "A 53051-2022")</f>
        <v/>
      </c>
      <c r="W156">
        <f>HYPERLINK("https://klasma.github.io/Logging_1780/klagomålsmail/A 53051-2022 FSC-klagomål mail.docx", "A 53051-2022")</f>
        <v/>
      </c>
      <c r="X156">
        <f>HYPERLINK("https://klasma.github.io/Logging_1780/tillsyn/A 53051-2022 tillsynsbegäran.docx", "A 53051-2022")</f>
        <v/>
      </c>
      <c r="Y156">
        <f>HYPERLINK("https://klasma.github.io/Logging_1780/tillsynsmail/A 53051-2022 tillsynsbegäran mail.docx", "A 53051-2022")</f>
        <v/>
      </c>
    </row>
    <row r="157" ht="15" customHeight="1">
      <c r="A157" t="inlineStr">
        <is>
          <t>A 592-2023</t>
        </is>
      </c>
      <c r="B157" s="1" t="n">
        <v>44930</v>
      </c>
      <c r="C157" s="1" t="n">
        <v>45507</v>
      </c>
      <c r="D157" t="inlineStr">
        <is>
          <t>VÄRMLANDS LÄN</t>
        </is>
      </c>
      <c r="E157" t="inlineStr">
        <is>
          <t>EDA</t>
        </is>
      </c>
      <c r="G157" t="n">
        <v>2.3</v>
      </c>
      <c r="H157" t="n">
        <v>2</v>
      </c>
      <c r="I157" t="n">
        <v>0</v>
      </c>
      <c r="J157" t="n">
        <v>3</v>
      </c>
      <c r="K157" t="n">
        <v>0</v>
      </c>
      <c r="L157" t="n">
        <v>0</v>
      </c>
      <c r="M157" t="n">
        <v>0</v>
      </c>
      <c r="N157" t="n">
        <v>0</v>
      </c>
      <c r="O157" t="n">
        <v>3</v>
      </c>
      <c r="P157" t="n">
        <v>0</v>
      </c>
      <c r="Q157" t="n">
        <v>3</v>
      </c>
      <c r="R157" s="2" t="inlineStr">
        <is>
          <t>Mindre hackspett
Skogsklocka
Spillkråka</t>
        </is>
      </c>
      <c r="S157">
        <f>HYPERLINK("https://klasma.github.io/Logging_1730/artfynd/A 592-2023 artfynd.xlsx", "A 592-2023")</f>
        <v/>
      </c>
      <c r="T157">
        <f>HYPERLINK("https://klasma.github.io/Logging_1730/kartor/A 592-2023 karta.png", "A 592-2023")</f>
        <v/>
      </c>
      <c r="V157">
        <f>HYPERLINK("https://klasma.github.io/Logging_1730/klagomål/A 592-2023 FSC-klagomål.docx", "A 592-2023")</f>
        <v/>
      </c>
      <c r="W157">
        <f>HYPERLINK("https://klasma.github.io/Logging_1730/klagomålsmail/A 592-2023 FSC-klagomål mail.docx", "A 592-2023")</f>
        <v/>
      </c>
      <c r="X157">
        <f>HYPERLINK("https://klasma.github.io/Logging_1730/tillsyn/A 592-2023 tillsynsbegäran.docx", "A 592-2023")</f>
        <v/>
      </c>
      <c r="Y157">
        <f>HYPERLINK("https://klasma.github.io/Logging_1730/tillsynsmail/A 592-2023 tillsynsbegäran mail.docx", "A 592-2023")</f>
        <v/>
      </c>
      <c r="Z157">
        <f>HYPERLINK("https://klasma.github.io/Logging_1730/fåglar/A 592-2023 prioriterade fågelarter.docx", "A 592-2023")</f>
        <v/>
      </c>
    </row>
    <row r="158" ht="15" customHeight="1">
      <c r="A158" t="inlineStr">
        <is>
          <t>A 2356-2023</t>
        </is>
      </c>
      <c r="B158" s="1" t="n">
        <v>44942</v>
      </c>
      <c r="C158" s="1" t="n">
        <v>45507</v>
      </c>
      <c r="D158" t="inlineStr">
        <is>
          <t>VÄRMLANDS LÄN</t>
        </is>
      </c>
      <c r="E158" t="inlineStr">
        <is>
          <t>FILIPSTAD</t>
        </is>
      </c>
      <c r="G158" t="n">
        <v>3.8</v>
      </c>
      <c r="H158" t="n">
        <v>1</v>
      </c>
      <c r="I158" t="n">
        <v>1</v>
      </c>
      <c r="J158" t="n">
        <v>2</v>
      </c>
      <c r="K158" t="n">
        <v>0</v>
      </c>
      <c r="L158" t="n">
        <v>0</v>
      </c>
      <c r="M158" t="n">
        <v>0</v>
      </c>
      <c r="N158" t="n">
        <v>0</v>
      </c>
      <c r="O158" t="n">
        <v>2</v>
      </c>
      <c r="P158" t="n">
        <v>0</v>
      </c>
      <c r="Q158" t="n">
        <v>3</v>
      </c>
      <c r="R158" s="2" t="inlineStr">
        <is>
          <t>Loppstarr
Majviva
Guckusko</t>
        </is>
      </c>
      <c r="S158">
        <f>HYPERLINK("https://klasma.github.io/Logging_1782/artfynd/A 2356-2023 artfynd.xlsx", "A 2356-2023")</f>
        <v/>
      </c>
      <c r="T158">
        <f>HYPERLINK("https://klasma.github.io/Logging_1782/kartor/A 2356-2023 karta.png", "A 2356-2023")</f>
        <v/>
      </c>
      <c r="V158">
        <f>HYPERLINK("https://klasma.github.io/Logging_1782/klagomål/A 2356-2023 FSC-klagomål.docx", "A 2356-2023")</f>
        <v/>
      </c>
      <c r="W158">
        <f>HYPERLINK("https://klasma.github.io/Logging_1782/klagomålsmail/A 2356-2023 FSC-klagomål mail.docx", "A 2356-2023")</f>
        <v/>
      </c>
      <c r="X158">
        <f>HYPERLINK("https://klasma.github.io/Logging_1782/tillsyn/A 2356-2023 tillsynsbegäran.docx", "A 2356-2023")</f>
        <v/>
      </c>
      <c r="Y158">
        <f>HYPERLINK("https://klasma.github.io/Logging_1782/tillsynsmail/A 2356-2023 tillsynsbegäran mail.docx", "A 2356-2023")</f>
        <v/>
      </c>
    </row>
    <row r="159" ht="15" customHeight="1">
      <c r="A159" t="inlineStr">
        <is>
          <t>A 4486-2023</t>
        </is>
      </c>
      <c r="B159" s="1" t="n">
        <v>44956</v>
      </c>
      <c r="C159" s="1" t="n">
        <v>45507</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Vedskivlav
Skinnlav</t>
        </is>
      </c>
      <c r="S159">
        <f>HYPERLINK("https://klasma.github.io/Logging_1737/artfynd/A 4486-2023 artfynd.xlsx", "A 4486-2023")</f>
        <v/>
      </c>
      <c r="T159">
        <f>HYPERLINK("https://klasma.github.io/Logging_1737/kartor/A 4486-2023 karta.png", "A 4486-2023")</f>
        <v/>
      </c>
      <c r="V159">
        <f>HYPERLINK("https://klasma.github.io/Logging_1737/klagomål/A 4486-2023 FSC-klagomål.docx", "A 4486-2023")</f>
        <v/>
      </c>
      <c r="W159">
        <f>HYPERLINK("https://klasma.github.io/Logging_1737/klagomålsmail/A 4486-2023 FSC-klagomål mail.docx", "A 4486-2023")</f>
        <v/>
      </c>
      <c r="X159">
        <f>HYPERLINK("https://klasma.github.io/Logging_1737/tillsyn/A 4486-2023 tillsynsbegäran.docx", "A 4486-2023")</f>
        <v/>
      </c>
      <c r="Y159">
        <f>HYPERLINK("https://klasma.github.io/Logging_1737/tillsynsmail/A 4486-2023 tillsynsbegäran mail.docx", "A 4486-2023")</f>
        <v/>
      </c>
    </row>
    <row r="160" ht="15" customHeight="1">
      <c r="A160" t="inlineStr">
        <is>
          <t>A 11615-2023</t>
        </is>
      </c>
      <c r="B160" s="1" t="n">
        <v>44994</v>
      </c>
      <c r="C160" s="1" t="n">
        <v>45507</v>
      </c>
      <c r="D160" t="inlineStr">
        <is>
          <t>VÄRMLANDS LÄN</t>
        </is>
      </c>
      <c r="E160" t="inlineStr">
        <is>
          <t>KARLSTAD</t>
        </is>
      </c>
      <c r="F160" t="inlineStr">
        <is>
          <t>Kommuner</t>
        </is>
      </c>
      <c r="G160" t="n">
        <v>0.8</v>
      </c>
      <c r="H160" t="n">
        <v>1</v>
      </c>
      <c r="I160" t="n">
        <v>2</v>
      </c>
      <c r="J160" t="n">
        <v>1</v>
      </c>
      <c r="K160" t="n">
        <v>0</v>
      </c>
      <c r="L160" t="n">
        <v>0</v>
      </c>
      <c r="M160" t="n">
        <v>0</v>
      </c>
      <c r="N160" t="n">
        <v>0</v>
      </c>
      <c r="O160" t="n">
        <v>1</v>
      </c>
      <c r="P160" t="n">
        <v>0</v>
      </c>
      <c r="Q160" t="n">
        <v>3</v>
      </c>
      <c r="R160" s="2" t="inlineStr">
        <is>
          <t>Svedjenäva
Skogsknipprot
Springkorn</t>
        </is>
      </c>
      <c r="S160">
        <f>HYPERLINK("https://klasma.github.io/Logging_1780/artfynd/A 11615-2023 artfynd.xlsx", "A 11615-2023")</f>
        <v/>
      </c>
      <c r="T160">
        <f>HYPERLINK("https://klasma.github.io/Logging_1780/kartor/A 11615-2023 karta.png", "A 11615-2023")</f>
        <v/>
      </c>
      <c r="V160">
        <f>HYPERLINK("https://klasma.github.io/Logging_1780/klagomål/A 11615-2023 FSC-klagomål.docx", "A 11615-2023")</f>
        <v/>
      </c>
      <c r="W160">
        <f>HYPERLINK("https://klasma.github.io/Logging_1780/klagomålsmail/A 11615-2023 FSC-klagomål mail.docx", "A 11615-2023")</f>
        <v/>
      </c>
      <c r="X160">
        <f>HYPERLINK("https://klasma.github.io/Logging_1780/tillsyn/A 11615-2023 tillsynsbegäran.docx", "A 11615-2023")</f>
        <v/>
      </c>
      <c r="Y160">
        <f>HYPERLINK("https://klasma.github.io/Logging_1780/tillsynsmail/A 11615-2023 tillsynsbegäran mail.docx", "A 11615-2023")</f>
        <v/>
      </c>
    </row>
    <row r="161" ht="15" customHeight="1">
      <c r="A161" t="inlineStr">
        <is>
          <t>A 12640-2023</t>
        </is>
      </c>
      <c r="B161" s="1" t="n">
        <v>45000</v>
      </c>
      <c r="C161" s="1" t="n">
        <v>45507</v>
      </c>
      <c r="D161" t="inlineStr">
        <is>
          <t>VÄRMLANDS LÄN</t>
        </is>
      </c>
      <c r="E161" t="inlineStr">
        <is>
          <t>HAGFORS</t>
        </is>
      </c>
      <c r="G161" t="n">
        <v>9.1</v>
      </c>
      <c r="H161" t="n">
        <v>0</v>
      </c>
      <c r="I161" t="n">
        <v>1</v>
      </c>
      <c r="J161" t="n">
        <v>2</v>
      </c>
      <c r="K161" t="n">
        <v>0</v>
      </c>
      <c r="L161" t="n">
        <v>0</v>
      </c>
      <c r="M161" t="n">
        <v>0</v>
      </c>
      <c r="N161" t="n">
        <v>0</v>
      </c>
      <c r="O161" t="n">
        <v>2</v>
      </c>
      <c r="P161" t="n">
        <v>0</v>
      </c>
      <c r="Q161" t="n">
        <v>3</v>
      </c>
      <c r="R161" s="2" t="inlineStr">
        <is>
          <t>Garnlav
Kolflarnlav
Korallblylav</t>
        </is>
      </c>
      <c r="S161">
        <f>HYPERLINK("https://klasma.github.io/Logging_1783/artfynd/A 12640-2023 artfynd.xlsx", "A 12640-2023")</f>
        <v/>
      </c>
      <c r="T161">
        <f>HYPERLINK("https://klasma.github.io/Logging_1783/kartor/A 12640-2023 karta.png", "A 12640-2023")</f>
        <v/>
      </c>
      <c r="V161">
        <f>HYPERLINK("https://klasma.github.io/Logging_1783/klagomål/A 12640-2023 FSC-klagomål.docx", "A 12640-2023")</f>
        <v/>
      </c>
      <c r="W161">
        <f>HYPERLINK("https://klasma.github.io/Logging_1783/klagomålsmail/A 12640-2023 FSC-klagomål mail.docx", "A 12640-2023")</f>
        <v/>
      </c>
      <c r="X161">
        <f>HYPERLINK("https://klasma.github.io/Logging_1783/tillsyn/A 12640-2023 tillsynsbegäran.docx", "A 12640-2023")</f>
        <v/>
      </c>
      <c r="Y161">
        <f>HYPERLINK("https://klasma.github.io/Logging_1783/tillsynsmail/A 12640-2023 tillsynsbegäran mail.docx", "A 12640-2023")</f>
        <v/>
      </c>
    </row>
    <row r="162" ht="15" customHeight="1">
      <c r="A162" t="inlineStr">
        <is>
          <t>A 14815-2023</t>
        </is>
      </c>
      <c r="B162" s="1" t="n">
        <v>45014</v>
      </c>
      <c r="C162" s="1" t="n">
        <v>45507</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26303-2023</t>
        </is>
      </c>
      <c r="B163" s="1" t="n">
        <v>45091</v>
      </c>
      <c r="C163" s="1" t="n">
        <v>45507</v>
      </c>
      <c r="D163" t="inlineStr">
        <is>
          <t>VÄRMLANDS LÄN</t>
        </is>
      </c>
      <c r="E163" t="inlineStr">
        <is>
          <t>FILIPSTAD</t>
        </is>
      </c>
      <c r="F163" t="inlineStr">
        <is>
          <t>Bergvik skog väst AB</t>
        </is>
      </c>
      <c r="G163" t="n">
        <v>8.4</v>
      </c>
      <c r="H163" t="n">
        <v>3</v>
      </c>
      <c r="I163" t="n">
        <v>2</v>
      </c>
      <c r="J163" t="n">
        <v>0</v>
      </c>
      <c r="K163" t="n">
        <v>0</v>
      </c>
      <c r="L163" t="n">
        <v>0</v>
      </c>
      <c r="M163" t="n">
        <v>0</v>
      </c>
      <c r="N163" t="n">
        <v>0</v>
      </c>
      <c r="O163" t="n">
        <v>0</v>
      </c>
      <c r="P163" t="n">
        <v>0</v>
      </c>
      <c r="Q163" t="n">
        <v>3</v>
      </c>
      <c r="R163" s="2" t="inlineStr">
        <is>
          <t>Purpurknipprot
Tvåblad
Brudsporre</t>
        </is>
      </c>
      <c r="S163">
        <f>HYPERLINK("https://klasma.github.io/Logging_1782/artfynd/A 26303-2023 artfynd.xlsx", "A 26303-2023")</f>
        <v/>
      </c>
      <c r="T163">
        <f>HYPERLINK("https://klasma.github.io/Logging_1782/kartor/A 26303-2023 karta.png", "A 26303-2023")</f>
        <v/>
      </c>
      <c r="V163">
        <f>HYPERLINK("https://klasma.github.io/Logging_1782/klagomål/A 26303-2023 FSC-klagomål.docx", "A 26303-2023")</f>
        <v/>
      </c>
      <c r="W163">
        <f>HYPERLINK("https://klasma.github.io/Logging_1782/klagomålsmail/A 26303-2023 FSC-klagomål mail.docx", "A 26303-2023")</f>
        <v/>
      </c>
      <c r="X163">
        <f>HYPERLINK("https://klasma.github.io/Logging_1782/tillsyn/A 26303-2023 tillsynsbegäran.docx", "A 26303-2023")</f>
        <v/>
      </c>
      <c r="Y163">
        <f>HYPERLINK("https://klasma.github.io/Logging_1782/tillsynsmail/A 26303-2023 tillsynsbegäran mail.docx", "A 26303-2023")</f>
        <v/>
      </c>
    </row>
    <row r="164" ht="15" customHeight="1">
      <c r="A164" t="inlineStr">
        <is>
          <t>A 29560-2023</t>
        </is>
      </c>
      <c r="B164" s="1" t="n">
        <v>45106</v>
      </c>
      <c r="C164" s="1" t="n">
        <v>45507</v>
      </c>
      <c r="D164" t="inlineStr">
        <is>
          <t>VÄRMLANDS LÄN</t>
        </is>
      </c>
      <c r="E164" t="inlineStr">
        <is>
          <t>TORSBY</t>
        </is>
      </c>
      <c r="G164" t="n">
        <v>10.3</v>
      </c>
      <c r="H164" t="n">
        <v>2</v>
      </c>
      <c r="I164" t="n">
        <v>1</v>
      </c>
      <c r="J164" t="n">
        <v>1</v>
      </c>
      <c r="K164" t="n">
        <v>0</v>
      </c>
      <c r="L164" t="n">
        <v>0</v>
      </c>
      <c r="M164" t="n">
        <v>0</v>
      </c>
      <c r="N164" t="n">
        <v>0</v>
      </c>
      <c r="O164" t="n">
        <v>1</v>
      </c>
      <c r="P164" t="n">
        <v>0</v>
      </c>
      <c r="Q164" t="n">
        <v>3</v>
      </c>
      <c r="R164" s="2" t="inlineStr">
        <is>
          <t>Spillkråka
Tibast
Orre</t>
        </is>
      </c>
      <c r="S164">
        <f>HYPERLINK("https://klasma.github.io/Logging_1737/artfynd/A 29560-2023 artfynd.xlsx", "A 29560-2023")</f>
        <v/>
      </c>
      <c r="T164">
        <f>HYPERLINK("https://klasma.github.io/Logging_1737/kartor/A 29560-2023 karta.png", "A 29560-2023")</f>
        <v/>
      </c>
      <c r="V164">
        <f>HYPERLINK("https://klasma.github.io/Logging_1737/klagomål/A 29560-2023 FSC-klagomål.docx", "A 29560-2023")</f>
        <v/>
      </c>
      <c r="W164">
        <f>HYPERLINK("https://klasma.github.io/Logging_1737/klagomålsmail/A 29560-2023 FSC-klagomål mail.docx", "A 29560-2023")</f>
        <v/>
      </c>
      <c r="X164">
        <f>HYPERLINK("https://klasma.github.io/Logging_1737/tillsyn/A 29560-2023 tillsynsbegäran.docx", "A 29560-2023")</f>
        <v/>
      </c>
      <c r="Y164">
        <f>HYPERLINK("https://klasma.github.io/Logging_1737/tillsynsmail/A 29560-2023 tillsynsbegäran mail.docx", "A 29560-2023")</f>
        <v/>
      </c>
      <c r="Z164">
        <f>HYPERLINK("https://klasma.github.io/Logging_1737/fåglar/A 29560-2023 prioriterade fågelarter.docx", "A 29560-2023")</f>
        <v/>
      </c>
    </row>
    <row r="165" ht="15" customHeight="1">
      <c r="A165" t="inlineStr">
        <is>
          <t>A 41572-2023</t>
        </is>
      </c>
      <c r="B165" s="1" t="n">
        <v>45175</v>
      </c>
      <c r="C165" s="1" t="n">
        <v>45507</v>
      </c>
      <c r="D165" t="inlineStr">
        <is>
          <t>VÄRMLANDS LÄN</t>
        </is>
      </c>
      <c r="E165" t="inlineStr">
        <is>
          <t>KARLSTAD</t>
        </is>
      </c>
      <c r="F165" t="inlineStr">
        <is>
          <t>Övriga Aktiebolag</t>
        </is>
      </c>
      <c r="G165" t="n">
        <v>6.5</v>
      </c>
      <c r="H165" t="n">
        <v>1</v>
      </c>
      <c r="I165" t="n">
        <v>1</v>
      </c>
      <c r="J165" t="n">
        <v>2</v>
      </c>
      <c r="K165" t="n">
        <v>0</v>
      </c>
      <c r="L165" t="n">
        <v>0</v>
      </c>
      <c r="M165" t="n">
        <v>0</v>
      </c>
      <c r="N165" t="n">
        <v>0</v>
      </c>
      <c r="O165" t="n">
        <v>2</v>
      </c>
      <c r="P165" t="n">
        <v>0</v>
      </c>
      <c r="Q165" t="n">
        <v>3</v>
      </c>
      <c r="R165" s="2" t="inlineStr">
        <is>
          <t>Motaggsvamp
Talltita
Blåmossa</t>
        </is>
      </c>
      <c r="S165">
        <f>HYPERLINK("https://klasma.github.io/Logging_1780/artfynd/A 41572-2023 artfynd.xlsx", "A 41572-2023")</f>
        <v/>
      </c>
      <c r="T165">
        <f>HYPERLINK("https://klasma.github.io/Logging_1780/kartor/A 41572-2023 karta.png", "A 41572-2023")</f>
        <v/>
      </c>
      <c r="V165">
        <f>HYPERLINK("https://klasma.github.io/Logging_1780/klagomål/A 41572-2023 FSC-klagomål.docx", "A 41572-2023")</f>
        <v/>
      </c>
      <c r="W165">
        <f>HYPERLINK("https://klasma.github.io/Logging_1780/klagomålsmail/A 41572-2023 FSC-klagomål mail.docx", "A 41572-2023")</f>
        <v/>
      </c>
      <c r="X165">
        <f>HYPERLINK("https://klasma.github.io/Logging_1780/tillsyn/A 41572-2023 tillsynsbegäran.docx", "A 41572-2023")</f>
        <v/>
      </c>
      <c r="Y165">
        <f>HYPERLINK("https://klasma.github.io/Logging_1780/tillsynsmail/A 41572-2023 tillsynsbegäran mail.docx", "A 41572-2023")</f>
        <v/>
      </c>
      <c r="Z165">
        <f>HYPERLINK("https://klasma.github.io/Logging_1780/fåglar/A 41572-2023 prioriterade fågelarter.docx", "A 41572-2023")</f>
        <v/>
      </c>
    </row>
    <row r="166" ht="15" customHeight="1">
      <c r="A166" t="inlineStr">
        <is>
          <t>A 42590-2023</t>
        </is>
      </c>
      <c r="B166" s="1" t="n">
        <v>45181</v>
      </c>
      <c r="C166" s="1" t="n">
        <v>45507</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46016-2023</t>
        </is>
      </c>
      <c r="B167" s="1" t="n">
        <v>45196</v>
      </c>
      <c r="C167" s="1" t="n">
        <v>45507</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48855-2023</t>
        </is>
      </c>
      <c r="B168" s="1" t="n">
        <v>45203</v>
      </c>
      <c r="C168" s="1" t="n">
        <v>45507</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60668-2023</t>
        </is>
      </c>
      <c r="B169" s="1" t="n">
        <v>45260</v>
      </c>
      <c r="C169" s="1" t="n">
        <v>45507</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61045-2023</t>
        </is>
      </c>
      <c r="B170" s="1" t="n">
        <v>45260</v>
      </c>
      <c r="C170" s="1" t="n">
        <v>45507</v>
      </c>
      <c r="D170" t="inlineStr">
        <is>
          <t>VÄRMLANDS LÄN</t>
        </is>
      </c>
      <c r="E170" t="inlineStr">
        <is>
          <t>ÅRJÄNG</t>
        </is>
      </c>
      <c r="G170" t="n">
        <v>0.7</v>
      </c>
      <c r="H170" t="n">
        <v>1</v>
      </c>
      <c r="I170" t="n">
        <v>1</v>
      </c>
      <c r="J170" t="n">
        <v>2</v>
      </c>
      <c r="K170" t="n">
        <v>0</v>
      </c>
      <c r="L170" t="n">
        <v>0</v>
      </c>
      <c r="M170" t="n">
        <v>0</v>
      </c>
      <c r="N170" t="n">
        <v>0</v>
      </c>
      <c r="O170" t="n">
        <v>2</v>
      </c>
      <c r="P170" t="n">
        <v>0</v>
      </c>
      <c r="Q170" t="n">
        <v>3</v>
      </c>
      <c r="R170" s="2" t="inlineStr">
        <is>
          <t>Gränsticka
Tretåig hackspett
Vedticka</t>
        </is>
      </c>
      <c r="S170">
        <f>HYPERLINK("https://klasma.github.io/Logging_1765/artfynd/A 61045-2023 artfynd.xlsx", "A 61045-2023")</f>
        <v/>
      </c>
      <c r="T170">
        <f>HYPERLINK("https://klasma.github.io/Logging_1765/kartor/A 61045-2023 karta.png", "A 61045-2023")</f>
        <v/>
      </c>
      <c r="U170">
        <f>HYPERLINK("https://klasma.github.io/Logging_1765/knärot/A 61045-2023 karta knärot.png", "A 61045-2023")</f>
        <v/>
      </c>
      <c r="V170">
        <f>HYPERLINK("https://klasma.github.io/Logging_1765/klagomål/A 61045-2023 FSC-klagomål.docx", "A 61045-2023")</f>
        <v/>
      </c>
      <c r="W170">
        <f>HYPERLINK("https://klasma.github.io/Logging_1765/klagomålsmail/A 61045-2023 FSC-klagomål mail.docx", "A 61045-2023")</f>
        <v/>
      </c>
      <c r="X170">
        <f>HYPERLINK("https://klasma.github.io/Logging_1765/tillsyn/A 61045-2023 tillsynsbegäran.docx", "A 61045-2023")</f>
        <v/>
      </c>
      <c r="Y170">
        <f>HYPERLINK("https://klasma.github.io/Logging_1765/tillsynsmail/A 61045-2023 tillsynsbegäran mail.docx", "A 61045-2023")</f>
        <v/>
      </c>
      <c r="Z170">
        <f>HYPERLINK("https://klasma.github.io/Logging_1765/fåglar/A 61045-2023 prioriterade fågelarter.docx", "A 61045-2023")</f>
        <v/>
      </c>
    </row>
    <row r="171" ht="15" customHeight="1">
      <c r="A171" t="inlineStr">
        <is>
          <t>A 61380-2023</t>
        </is>
      </c>
      <c r="B171" s="1" t="n">
        <v>45264</v>
      </c>
      <c r="C171" s="1" t="n">
        <v>45507</v>
      </c>
      <c r="D171" t="inlineStr">
        <is>
          <t>VÄRMLANDS LÄN</t>
        </is>
      </c>
      <c r="E171" t="inlineStr">
        <is>
          <t>HAMMARÖ</t>
        </is>
      </c>
      <c r="G171" t="n">
        <v>3.3</v>
      </c>
      <c r="H171" t="n">
        <v>1</v>
      </c>
      <c r="I171" t="n">
        <v>1</v>
      </c>
      <c r="J171" t="n">
        <v>1</v>
      </c>
      <c r="K171" t="n">
        <v>1</v>
      </c>
      <c r="L171" t="n">
        <v>0</v>
      </c>
      <c r="M171" t="n">
        <v>0</v>
      </c>
      <c r="N171" t="n">
        <v>0</v>
      </c>
      <c r="O171" t="n">
        <v>2</v>
      </c>
      <c r="P171" t="n">
        <v>1</v>
      </c>
      <c r="Q171" t="n">
        <v>3</v>
      </c>
      <c r="R171" s="2" t="inlineStr">
        <is>
          <t>Knärot
Gropticka
Gullgröppa</t>
        </is>
      </c>
      <c r="S171">
        <f>HYPERLINK("https://klasma.github.io/Logging_1761/artfynd/A 61380-2023 artfynd.xlsx", "A 61380-2023")</f>
        <v/>
      </c>
      <c r="T171">
        <f>HYPERLINK("https://klasma.github.io/Logging_1761/kartor/A 61380-2023 karta.png", "A 61380-2023")</f>
        <v/>
      </c>
      <c r="U171">
        <f>HYPERLINK("https://klasma.github.io/Logging_1761/knärot/A 61380-2023 karta knärot.png", "A 61380-2023")</f>
        <v/>
      </c>
      <c r="V171">
        <f>HYPERLINK("https://klasma.github.io/Logging_1761/klagomål/A 61380-2023 FSC-klagomål.docx", "A 61380-2023")</f>
        <v/>
      </c>
      <c r="W171">
        <f>HYPERLINK("https://klasma.github.io/Logging_1761/klagomålsmail/A 61380-2023 FSC-klagomål mail.docx", "A 61380-2023")</f>
        <v/>
      </c>
      <c r="X171">
        <f>HYPERLINK("https://klasma.github.io/Logging_1761/tillsyn/A 61380-2023 tillsynsbegäran.docx", "A 61380-2023")</f>
        <v/>
      </c>
      <c r="Y171">
        <f>HYPERLINK("https://klasma.github.io/Logging_1761/tillsynsmail/A 61380-2023 tillsynsbegäran mail.docx", "A 61380-2023")</f>
        <v/>
      </c>
    </row>
    <row r="172" ht="15" customHeight="1">
      <c r="A172" t="inlineStr">
        <is>
          <t>A 63921-2023</t>
        </is>
      </c>
      <c r="B172" s="1" t="n">
        <v>45278</v>
      </c>
      <c r="C172" s="1" t="n">
        <v>45507</v>
      </c>
      <c r="D172" t="inlineStr">
        <is>
          <t>VÄRMLANDS LÄN</t>
        </is>
      </c>
      <c r="E172" t="inlineStr">
        <is>
          <t>ÅRJÄNG</t>
        </is>
      </c>
      <c r="G172" t="n">
        <v>6.2</v>
      </c>
      <c r="H172" t="n">
        <v>2</v>
      </c>
      <c r="I172" t="n">
        <v>1</v>
      </c>
      <c r="J172" t="n">
        <v>2</v>
      </c>
      <c r="K172" t="n">
        <v>0</v>
      </c>
      <c r="L172" t="n">
        <v>0</v>
      </c>
      <c r="M172" t="n">
        <v>0</v>
      </c>
      <c r="N172" t="n">
        <v>0</v>
      </c>
      <c r="O172" t="n">
        <v>2</v>
      </c>
      <c r="P172" t="n">
        <v>0</v>
      </c>
      <c r="Q172" t="n">
        <v>3</v>
      </c>
      <c r="R172" s="2" t="inlineStr">
        <is>
          <t>Spillkråka
Talltita
Vedticka</t>
        </is>
      </c>
      <c r="S172">
        <f>HYPERLINK("https://klasma.github.io/Logging_1765/artfynd/A 63921-2023 artfynd.xlsx", "A 63921-2023")</f>
        <v/>
      </c>
      <c r="T172">
        <f>HYPERLINK("https://klasma.github.io/Logging_1765/kartor/A 63921-2023 karta.png", "A 63921-2023")</f>
        <v/>
      </c>
      <c r="V172">
        <f>HYPERLINK("https://klasma.github.io/Logging_1765/klagomål/A 63921-2023 FSC-klagomål.docx", "A 63921-2023")</f>
        <v/>
      </c>
      <c r="W172">
        <f>HYPERLINK("https://klasma.github.io/Logging_1765/klagomålsmail/A 63921-2023 FSC-klagomål mail.docx", "A 63921-2023")</f>
        <v/>
      </c>
      <c r="X172">
        <f>HYPERLINK("https://klasma.github.io/Logging_1765/tillsyn/A 63921-2023 tillsynsbegäran.docx", "A 63921-2023")</f>
        <v/>
      </c>
      <c r="Y172">
        <f>HYPERLINK("https://klasma.github.io/Logging_1765/tillsynsmail/A 63921-2023 tillsynsbegäran mail.docx", "A 63921-2023")</f>
        <v/>
      </c>
      <c r="Z172">
        <f>HYPERLINK("https://klasma.github.io/Logging_1765/fåglar/A 63921-2023 prioriterade fågelarter.docx", "A 63921-2023")</f>
        <v/>
      </c>
    </row>
    <row r="173" ht="15" customHeight="1">
      <c r="A173" t="inlineStr">
        <is>
          <t>A 3099-2024</t>
        </is>
      </c>
      <c r="B173" s="1" t="n">
        <v>45316</v>
      </c>
      <c r="C173" s="1" t="n">
        <v>45507</v>
      </c>
      <c r="D173" t="inlineStr">
        <is>
          <t>VÄRMLANDS LÄN</t>
        </is>
      </c>
      <c r="E173" t="inlineStr">
        <is>
          <t>TORSBY</t>
        </is>
      </c>
      <c r="G173" t="n">
        <v>6.3</v>
      </c>
      <c r="H173" t="n">
        <v>0</v>
      </c>
      <c r="I173" t="n">
        <v>1</v>
      </c>
      <c r="J173" t="n">
        <v>2</v>
      </c>
      <c r="K173" t="n">
        <v>0</v>
      </c>
      <c r="L173" t="n">
        <v>0</v>
      </c>
      <c r="M173" t="n">
        <v>0</v>
      </c>
      <c r="N173" t="n">
        <v>0</v>
      </c>
      <c r="O173" t="n">
        <v>2</v>
      </c>
      <c r="P173" t="n">
        <v>0</v>
      </c>
      <c r="Q173" t="n">
        <v>3</v>
      </c>
      <c r="R173" s="2" t="inlineStr">
        <is>
          <t>Dvärgbägarlav
Garnlav
Vedticka</t>
        </is>
      </c>
      <c r="S173">
        <f>HYPERLINK("https://klasma.github.io/Logging_1737/artfynd/A 3099-2024 artfynd.xlsx", "A 3099-2024")</f>
        <v/>
      </c>
      <c r="T173">
        <f>HYPERLINK("https://klasma.github.io/Logging_1737/kartor/A 3099-2024 karta.png", "A 3099-2024")</f>
        <v/>
      </c>
      <c r="V173">
        <f>HYPERLINK("https://klasma.github.io/Logging_1737/klagomål/A 3099-2024 FSC-klagomål.docx", "A 3099-2024")</f>
        <v/>
      </c>
      <c r="W173">
        <f>HYPERLINK("https://klasma.github.io/Logging_1737/klagomålsmail/A 3099-2024 FSC-klagomål mail.docx", "A 3099-2024")</f>
        <v/>
      </c>
      <c r="X173">
        <f>HYPERLINK("https://klasma.github.io/Logging_1737/tillsyn/A 3099-2024 tillsynsbegäran.docx", "A 3099-2024")</f>
        <v/>
      </c>
      <c r="Y173">
        <f>HYPERLINK("https://klasma.github.io/Logging_1737/tillsynsmail/A 3099-2024 tillsynsbegäran mail.docx", "A 3099-2024")</f>
        <v/>
      </c>
    </row>
    <row r="174" ht="15" customHeight="1">
      <c r="A174" t="inlineStr">
        <is>
          <t>A 3713-2024</t>
        </is>
      </c>
      <c r="B174" s="1" t="n">
        <v>45321</v>
      </c>
      <c r="C174" s="1" t="n">
        <v>45507</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5680-2024</t>
        </is>
      </c>
      <c r="B175" s="1" t="n">
        <v>45334</v>
      </c>
      <c r="C175" s="1" t="n">
        <v>45507</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12256-2024</t>
        </is>
      </c>
      <c r="B176" s="1" t="n">
        <v>45378</v>
      </c>
      <c r="C176" s="1" t="n">
        <v>45507</v>
      </c>
      <c r="D176" t="inlineStr">
        <is>
          <t>VÄRMLANDS LÄN</t>
        </is>
      </c>
      <c r="E176" t="inlineStr">
        <is>
          <t>ÅRJÄNG</t>
        </is>
      </c>
      <c r="G176" t="n">
        <v>5.2</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HYPERLINK("https://klasma.github.io/Logging_1765/artfynd/A 12256-2024 artfynd.xlsx", "A 12256-2024")</f>
        <v/>
      </c>
      <c r="T176">
        <f>HYPERLINK("https://klasma.github.io/Logging_1765/kartor/A 12256-2024 karta.png", "A 12256-2024")</f>
        <v/>
      </c>
      <c r="V176">
        <f>HYPERLINK("https://klasma.github.io/Logging_1765/klagomål/A 12256-2024 FSC-klagomål.docx", "A 12256-2024")</f>
        <v/>
      </c>
      <c r="W176">
        <f>HYPERLINK("https://klasma.github.io/Logging_1765/klagomålsmail/A 12256-2024 FSC-klagomål mail.docx", "A 12256-2024")</f>
        <v/>
      </c>
      <c r="X176">
        <f>HYPERLINK("https://klasma.github.io/Logging_1765/tillsyn/A 12256-2024 tillsynsbegäran.docx", "A 12256-2024")</f>
        <v/>
      </c>
      <c r="Y176">
        <f>HYPERLINK("https://klasma.github.io/Logging_1765/tillsynsmail/A 12256-2024 tillsynsbegäran mail.docx", "A 12256-2024")</f>
        <v/>
      </c>
      <c r="Z176">
        <f>HYPERLINK("https://klasma.github.io/Logging_1765/fåglar/A 12256-2024 prioriterade fågelarter.docx", "A 12256-2024")</f>
        <v/>
      </c>
    </row>
    <row r="177" ht="15" customHeight="1">
      <c r="A177" t="inlineStr">
        <is>
          <t>A 20946-2024</t>
        </is>
      </c>
      <c r="B177" s="1" t="n">
        <v>45439</v>
      </c>
      <c r="C177" s="1" t="n">
        <v>45507</v>
      </c>
      <c r="D177" t="inlineStr">
        <is>
          <t>VÄRMLANDS LÄN</t>
        </is>
      </c>
      <c r="E177" t="inlineStr">
        <is>
          <t>KARLSTAD</t>
        </is>
      </c>
      <c r="F177" t="inlineStr">
        <is>
          <t>Kommuner</t>
        </is>
      </c>
      <c r="G177" t="n">
        <v>4.9</v>
      </c>
      <c r="H177" t="n">
        <v>2</v>
      </c>
      <c r="I177" t="n">
        <v>1</v>
      </c>
      <c r="J177" t="n">
        <v>2</v>
      </c>
      <c r="K177" t="n">
        <v>0</v>
      </c>
      <c r="L177" t="n">
        <v>0</v>
      </c>
      <c r="M177" t="n">
        <v>0</v>
      </c>
      <c r="N177" t="n">
        <v>0</v>
      </c>
      <c r="O177" t="n">
        <v>2</v>
      </c>
      <c r="P177" t="n">
        <v>0</v>
      </c>
      <c r="Q177" t="n">
        <v>3</v>
      </c>
      <c r="R177" s="2" t="inlineStr">
        <is>
          <t>Entita
Spillkråka
Vågbandad barkbock</t>
        </is>
      </c>
      <c r="S177">
        <f>HYPERLINK("https://klasma.github.io/Logging_1780/artfynd/A 20946-2024 artfynd.xlsx", "A 20946-2024")</f>
        <v/>
      </c>
      <c r="T177">
        <f>HYPERLINK("https://klasma.github.io/Logging_1780/kartor/A 20946-2024 karta.png", "A 20946-2024")</f>
        <v/>
      </c>
      <c r="V177">
        <f>HYPERLINK("https://klasma.github.io/Logging_1780/klagomål/A 20946-2024 FSC-klagomål.docx", "A 20946-2024")</f>
        <v/>
      </c>
      <c r="W177">
        <f>HYPERLINK("https://klasma.github.io/Logging_1780/klagomålsmail/A 20946-2024 FSC-klagomål mail.docx", "A 20946-2024")</f>
        <v/>
      </c>
      <c r="X177">
        <f>HYPERLINK("https://klasma.github.io/Logging_1780/tillsyn/A 20946-2024 tillsynsbegäran.docx", "A 20946-2024")</f>
        <v/>
      </c>
      <c r="Y177">
        <f>HYPERLINK("https://klasma.github.io/Logging_1780/tillsynsmail/A 20946-2024 tillsynsbegäran mail.docx", "A 20946-2024")</f>
        <v/>
      </c>
      <c r="Z177">
        <f>HYPERLINK("https://klasma.github.io/Logging_1780/fåglar/A 20946-2024 prioriterade fågelarter.docx", "A 20946-2024")</f>
        <v/>
      </c>
    </row>
    <row r="178" ht="15" customHeight="1">
      <c r="A178" t="inlineStr">
        <is>
          <t>A 23086-2024</t>
        </is>
      </c>
      <c r="B178" s="1" t="n">
        <v>45450</v>
      </c>
      <c r="C178" s="1" t="n">
        <v>45507</v>
      </c>
      <c r="D178" t="inlineStr">
        <is>
          <t>VÄRMLANDS LÄN</t>
        </is>
      </c>
      <c r="E178" t="inlineStr">
        <is>
          <t>ARVIKA</t>
        </is>
      </c>
      <c r="F178" t="inlineStr">
        <is>
          <t>Bergvik skog väst AB</t>
        </is>
      </c>
      <c r="G178" t="n">
        <v>1.5</v>
      </c>
      <c r="H178" t="n">
        <v>1</v>
      </c>
      <c r="I178" t="n">
        <v>1</v>
      </c>
      <c r="J178" t="n">
        <v>1</v>
      </c>
      <c r="K178" t="n">
        <v>1</v>
      </c>
      <c r="L178" t="n">
        <v>0</v>
      </c>
      <c r="M178" t="n">
        <v>0</v>
      </c>
      <c r="N178" t="n">
        <v>0</v>
      </c>
      <c r="O178" t="n">
        <v>2</v>
      </c>
      <c r="P178" t="n">
        <v>1</v>
      </c>
      <c r="Q178" t="n">
        <v>3</v>
      </c>
      <c r="R178" s="2" t="inlineStr">
        <is>
          <t>Knärot
Vedtrappmossa
Flagellkvastmossa</t>
        </is>
      </c>
      <c r="S178">
        <f>HYPERLINK("https://klasma.github.io/Logging_1784/artfynd/A 23086-2024 artfynd.xlsx", "A 23086-2024")</f>
        <v/>
      </c>
      <c r="T178">
        <f>HYPERLINK("https://klasma.github.io/Logging_1784/kartor/A 23086-2024 karta.png", "A 23086-2024")</f>
        <v/>
      </c>
      <c r="U178">
        <f>HYPERLINK("https://klasma.github.io/Logging_1784/knärot/A 23086-2024 karta knärot.png", "A 23086-2024")</f>
        <v/>
      </c>
      <c r="V178">
        <f>HYPERLINK("https://klasma.github.io/Logging_1784/klagomål/A 23086-2024 FSC-klagomål.docx", "A 23086-2024")</f>
        <v/>
      </c>
      <c r="W178">
        <f>HYPERLINK("https://klasma.github.io/Logging_1784/klagomålsmail/A 23086-2024 FSC-klagomål mail.docx", "A 23086-2024")</f>
        <v/>
      </c>
      <c r="X178">
        <f>HYPERLINK("https://klasma.github.io/Logging_1784/tillsyn/A 23086-2024 tillsynsbegäran.docx", "A 23086-2024")</f>
        <v/>
      </c>
      <c r="Y178">
        <f>HYPERLINK("https://klasma.github.io/Logging_1784/tillsynsmail/A 23086-2024 tillsynsbegäran mail.docx", "A 23086-2024")</f>
        <v/>
      </c>
    </row>
    <row r="179" ht="15" customHeight="1">
      <c r="A179" t="inlineStr">
        <is>
          <t>A 27272-2024</t>
        </is>
      </c>
      <c r="B179" s="1" t="n">
        <v>45471</v>
      </c>
      <c r="C179" s="1" t="n">
        <v>45507</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18528-2019</t>
        </is>
      </c>
      <c r="B180" s="1" t="n">
        <v>43559</v>
      </c>
      <c r="C180" s="1" t="n">
        <v>45507</v>
      </c>
      <c r="D180" t="inlineStr">
        <is>
          <t>VÄRMLANDS LÄN</t>
        </is>
      </c>
      <c r="E180" t="inlineStr">
        <is>
          <t>TORSBY</t>
        </is>
      </c>
      <c r="G180" t="n">
        <v>1.9</v>
      </c>
      <c r="H180" t="n">
        <v>0</v>
      </c>
      <c r="I180" t="n">
        <v>1</v>
      </c>
      <c r="J180" t="n">
        <v>1</v>
      </c>
      <c r="K180" t="n">
        <v>0</v>
      </c>
      <c r="L180" t="n">
        <v>0</v>
      </c>
      <c r="M180" t="n">
        <v>0</v>
      </c>
      <c r="N180" t="n">
        <v>0</v>
      </c>
      <c r="O180" t="n">
        <v>1</v>
      </c>
      <c r="P180" t="n">
        <v>0</v>
      </c>
      <c r="Q180" t="n">
        <v>2</v>
      </c>
      <c r="R180" s="2" t="inlineStr">
        <is>
          <t>Lunglav
Kattfotslav</t>
        </is>
      </c>
      <c r="S180">
        <f>HYPERLINK("https://klasma.github.io/Logging_1737/artfynd/A 18528-2019 artfynd.xlsx", "A 18528-2019")</f>
        <v/>
      </c>
      <c r="T180">
        <f>HYPERLINK("https://klasma.github.io/Logging_1737/kartor/A 18528-2019 karta.png", "A 18528-2019")</f>
        <v/>
      </c>
      <c r="V180">
        <f>HYPERLINK("https://klasma.github.io/Logging_1737/klagomål/A 18528-2019 FSC-klagomål.docx", "A 18528-2019")</f>
        <v/>
      </c>
      <c r="W180">
        <f>HYPERLINK("https://klasma.github.io/Logging_1737/klagomålsmail/A 18528-2019 FSC-klagomål mail.docx", "A 18528-2019")</f>
        <v/>
      </c>
      <c r="X180">
        <f>HYPERLINK("https://klasma.github.io/Logging_1737/tillsyn/A 18528-2019 tillsynsbegäran.docx", "A 18528-2019")</f>
        <v/>
      </c>
      <c r="Y180">
        <f>HYPERLINK("https://klasma.github.io/Logging_1737/tillsynsmail/A 18528-2019 tillsynsbegäran mail.docx", "A 18528-2019")</f>
        <v/>
      </c>
    </row>
    <row r="181" ht="15" customHeight="1">
      <c r="A181" t="inlineStr">
        <is>
          <t>A 26083-2019</t>
        </is>
      </c>
      <c r="B181" s="1" t="n">
        <v>43609</v>
      </c>
      <c r="C181" s="1" t="n">
        <v>45507</v>
      </c>
      <c r="D181" t="inlineStr">
        <is>
          <t>VÄRMLANDS LÄN</t>
        </is>
      </c>
      <c r="E181" t="inlineStr">
        <is>
          <t>ÅRJÄNG</t>
        </is>
      </c>
      <c r="F181" t="inlineStr">
        <is>
          <t>Bergvik skog väst AB</t>
        </is>
      </c>
      <c r="G181" t="n">
        <v>5.5</v>
      </c>
      <c r="H181" t="n">
        <v>2</v>
      </c>
      <c r="I181" t="n">
        <v>0</v>
      </c>
      <c r="J181" t="n">
        <v>1</v>
      </c>
      <c r="K181" t="n">
        <v>0</v>
      </c>
      <c r="L181" t="n">
        <v>0</v>
      </c>
      <c r="M181" t="n">
        <v>0</v>
      </c>
      <c r="N181" t="n">
        <v>0</v>
      </c>
      <c r="O181" t="n">
        <v>1</v>
      </c>
      <c r="P181" t="n">
        <v>0</v>
      </c>
      <c r="Q181" t="n">
        <v>2</v>
      </c>
      <c r="R181" s="2" t="inlineStr">
        <is>
          <t>Talltita
Orre</t>
        </is>
      </c>
      <c r="S181">
        <f>HYPERLINK("https://klasma.github.io/Logging_1765/artfynd/A 26083-2019 artfynd.xlsx", "A 26083-2019")</f>
        <v/>
      </c>
      <c r="T181">
        <f>HYPERLINK("https://klasma.github.io/Logging_1765/kartor/A 26083-2019 karta.png", "A 26083-2019")</f>
        <v/>
      </c>
      <c r="V181">
        <f>HYPERLINK("https://klasma.github.io/Logging_1765/klagomål/A 26083-2019 FSC-klagomål.docx", "A 26083-2019")</f>
        <v/>
      </c>
      <c r="W181">
        <f>HYPERLINK("https://klasma.github.io/Logging_1765/klagomålsmail/A 26083-2019 FSC-klagomål mail.docx", "A 26083-2019")</f>
        <v/>
      </c>
      <c r="X181">
        <f>HYPERLINK("https://klasma.github.io/Logging_1765/tillsyn/A 26083-2019 tillsynsbegäran.docx", "A 26083-2019")</f>
        <v/>
      </c>
      <c r="Y181">
        <f>HYPERLINK("https://klasma.github.io/Logging_1765/tillsynsmail/A 26083-2019 tillsynsbegäran mail.docx", "A 26083-2019")</f>
        <v/>
      </c>
      <c r="Z181">
        <f>HYPERLINK("https://klasma.github.io/Logging_1765/fåglar/A 26083-2019 prioriterade fågelarter.docx", "A 26083-2019")</f>
        <v/>
      </c>
    </row>
    <row r="182" ht="15" customHeight="1">
      <c r="A182" t="inlineStr">
        <is>
          <t>A 47423-2019</t>
        </is>
      </c>
      <c r="B182" s="1" t="n">
        <v>43723</v>
      </c>
      <c r="C182" s="1" t="n">
        <v>45507</v>
      </c>
      <c r="D182" t="inlineStr">
        <is>
          <t>VÄRMLANDS LÄN</t>
        </is>
      </c>
      <c r="E182" t="inlineStr">
        <is>
          <t>TORSBY</t>
        </is>
      </c>
      <c r="G182" t="n">
        <v>5.1</v>
      </c>
      <c r="H182" t="n">
        <v>0</v>
      </c>
      <c r="I182" t="n">
        <v>0</v>
      </c>
      <c r="J182" t="n">
        <v>2</v>
      </c>
      <c r="K182" t="n">
        <v>0</v>
      </c>
      <c r="L182" t="n">
        <v>0</v>
      </c>
      <c r="M182" t="n">
        <v>0</v>
      </c>
      <c r="N182" t="n">
        <v>0</v>
      </c>
      <c r="O182" t="n">
        <v>2</v>
      </c>
      <c r="P182" t="n">
        <v>0</v>
      </c>
      <c r="Q182" t="n">
        <v>2</v>
      </c>
      <c r="R182" s="2" t="inlineStr">
        <is>
          <t>Gammelgransskål
Garnlav</t>
        </is>
      </c>
      <c r="S182">
        <f>HYPERLINK("https://klasma.github.io/Logging_1737/artfynd/A 47423-2019 artfynd.xlsx", "A 47423-2019")</f>
        <v/>
      </c>
      <c r="T182">
        <f>HYPERLINK("https://klasma.github.io/Logging_1737/kartor/A 47423-2019 karta.png", "A 47423-2019")</f>
        <v/>
      </c>
      <c r="V182">
        <f>HYPERLINK("https://klasma.github.io/Logging_1737/klagomål/A 47423-2019 FSC-klagomål.docx", "A 47423-2019")</f>
        <v/>
      </c>
      <c r="W182">
        <f>HYPERLINK("https://klasma.github.io/Logging_1737/klagomålsmail/A 47423-2019 FSC-klagomål mail.docx", "A 47423-2019")</f>
        <v/>
      </c>
      <c r="X182">
        <f>HYPERLINK("https://klasma.github.io/Logging_1737/tillsyn/A 47423-2019 tillsynsbegäran.docx", "A 47423-2019")</f>
        <v/>
      </c>
      <c r="Y182">
        <f>HYPERLINK("https://klasma.github.io/Logging_1737/tillsynsmail/A 47423-2019 tillsynsbegäran mail.docx", "A 47423-2019")</f>
        <v/>
      </c>
    </row>
    <row r="183" ht="15" customHeight="1">
      <c r="A183" t="inlineStr">
        <is>
          <t>A 60661-2019</t>
        </is>
      </c>
      <c r="B183" s="1" t="n">
        <v>43781</v>
      </c>
      <c r="C183" s="1" t="n">
        <v>45507</v>
      </c>
      <c r="D183" t="inlineStr">
        <is>
          <t>VÄRMLANDS LÄN</t>
        </is>
      </c>
      <c r="E183" t="inlineStr">
        <is>
          <t>TORSBY</t>
        </is>
      </c>
      <c r="F183" t="inlineStr">
        <is>
          <t>Bergvik skog väst AB</t>
        </is>
      </c>
      <c r="G183" t="n">
        <v>40.4</v>
      </c>
      <c r="H183" t="n">
        <v>2</v>
      </c>
      <c r="I183" t="n">
        <v>0</v>
      </c>
      <c r="J183" t="n">
        <v>2</v>
      </c>
      <c r="K183" t="n">
        <v>0</v>
      </c>
      <c r="L183" t="n">
        <v>0</v>
      </c>
      <c r="M183" t="n">
        <v>0</v>
      </c>
      <c r="N183" t="n">
        <v>0</v>
      </c>
      <c r="O183" t="n">
        <v>2</v>
      </c>
      <c r="P183" t="n">
        <v>0</v>
      </c>
      <c r="Q183" t="n">
        <v>2</v>
      </c>
      <c r="R183" s="2" t="inlineStr">
        <is>
          <t>Kråka
Spillkråka</t>
        </is>
      </c>
      <c r="S183">
        <f>HYPERLINK("https://klasma.github.io/Logging_1737/artfynd/A 60661-2019 artfynd.xlsx", "A 60661-2019")</f>
        <v/>
      </c>
      <c r="T183">
        <f>HYPERLINK("https://klasma.github.io/Logging_1737/kartor/A 60661-2019 karta.png", "A 60661-2019")</f>
        <v/>
      </c>
      <c r="V183">
        <f>HYPERLINK("https://klasma.github.io/Logging_1737/klagomål/A 60661-2019 FSC-klagomål.docx", "A 60661-2019")</f>
        <v/>
      </c>
      <c r="W183">
        <f>HYPERLINK("https://klasma.github.io/Logging_1737/klagomålsmail/A 60661-2019 FSC-klagomål mail.docx", "A 60661-2019")</f>
        <v/>
      </c>
      <c r="X183">
        <f>HYPERLINK("https://klasma.github.io/Logging_1737/tillsyn/A 60661-2019 tillsynsbegäran.docx", "A 60661-2019")</f>
        <v/>
      </c>
      <c r="Y183">
        <f>HYPERLINK("https://klasma.github.io/Logging_1737/tillsynsmail/A 60661-2019 tillsynsbegäran mail.docx", "A 60661-2019")</f>
        <v/>
      </c>
      <c r="Z183">
        <f>HYPERLINK("https://klasma.github.io/Logging_1737/fåglar/A 60661-2019 prioriterade fågelarter.docx", "A 60661-2019")</f>
        <v/>
      </c>
    </row>
    <row r="184" ht="15" customHeight="1">
      <c r="A184" t="inlineStr">
        <is>
          <t>A 68629-2019</t>
        </is>
      </c>
      <c r="B184" s="1" t="n">
        <v>43819</v>
      </c>
      <c r="C184" s="1" t="n">
        <v>45507</v>
      </c>
      <c r="D184" t="inlineStr">
        <is>
          <t>VÄRMLANDS LÄN</t>
        </is>
      </c>
      <c r="E184" t="inlineStr">
        <is>
          <t>ARVIKA</t>
        </is>
      </c>
      <c r="G184" t="n">
        <v>11.3</v>
      </c>
      <c r="H184" t="n">
        <v>1</v>
      </c>
      <c r="I184" t="n">
        <v>0</v>
      </c>
      <c r="J184" t="n">
        <v>2</v>
      </c>
      <c r="K184" t="n">
        <v>0</v>
      </c>
      <c r="L184" t="n">
        <v>0</v>
      </c>
      <c r="M184" t="n">
        <v>0</v>
      </c>
      <c r="N184" t="n">
        <v>0</v>
      </c>
      <c r="O184" t="n">
        <v>2</v>
      </c>
      <c r="P184" t="n">
        <v>0</v>
      </c>
      <c r="Q184" t="n">
        <v>2</v>
      </c>
      <c r="R184" s="2" t="inlineStr">
        <is>
          <t>Dvärglin
Havsörn</t>
        </is>
      </c>
      <c r="S184">
        <f>HYPERLINK("https://klasma.github.io/Logging_1784/artfynd/A 68629-2019 artfynd.xlsx", "A 68629-2019")</f>
        <v/>
      </c>
      <c r="T184">
        <f>HYPERLINK("https://klasma.github.io/Logging_1784/kartor/A 68629-2019 karta.png", "A 68629-2019")</f>
        <v/>
      </c>
      <c r="V184">
        <f>HYPERLINK("https://klasma.github.io/Logging_1784/klagomål/A 68629-2019 FSC-klagomål.docx", "A 68629-2019")</f>
        <v/>
      </c>
      <c r="W184">
        <f>HYPERLINK("https://klasma.github.io/Logging_1784/klagomålsmail/A 68629-2019 FSC-klagomål mail.docx", "A 68629-2019")</f>
        <v/>
      </c>
      <c r="X184">
        <f>HYPERLINK("https://klasma.github.io/Logging_1784/tillsyn/A 68629-2019 tillsynsbegäran.docx", "A 68629-2019")</f>
        <v/>
      </c>
      <c r="Y184">
        <f>HYPERLINK("https://klasma.github.io/Logging_1784/tillsynsmail/A 68629-2019 tillsynsbegäran mail.docx", "A 68629-2019")</f>
        <v/>
      </c>
      <c r="Z184">
        <f>HYPERLINK("https://klasma.github.io/Logging_1784/fåglar/A 68629-2019 prioriterade fågelarter.docx", "A 68629-2019")</f>
        <v/>
      </c>
    </row>
    <row r="185" ht="15" customHeight="1">
      <c r="A185" t="inlineStr">
        <is>
          <t>A 3380-2020</t>
        </is>
      </c>
      <c r="B185" s="1" t="n">
        <v>43852</v>
      </c>
      <c r="C185" s="1" t="n">
        <v>45507</v>
      </c>
      <c r="D185" t="inlineStr">
        <is>
          <t>VÄRMLANDS LÄN</t>
        </is>
      </c>
      <c r="E185" t="inlineStr">
        <is>
          <t>ÅRJÄNG</t>
        </is>
      </c>
      <c r="G185" t="n">
        <v>3.8</v>
      </c>
      <c r="H185" t="n">
        <v>1</v>
      </c>
      <c r="I185" t="n">
        <v>1</v>
      </c>
      <c r="J185" t="n">
        <v>1</v>
      </c>
      <c r="K185" t="n">
        <v>0</v>
      </c>
      <c r="L185" t="n">
        <v>0</v>
      </c>
      <c r="M185" t="n">
        <v>0</v>
      </c>
      <c r="N185" t="n">
        <v>0</v>
      </c>
      <c r="O185" t="n">
        <v>1</v>
      </c>
      <c r="P185" t="n">
        <v>0</v>
      </c>
      <c r="Q185" t="n">
        <v>2</v>
      </c>
      <c r="R185" s="2" t="inlineStr">
        <is>
          <t>Kådvaxskinn
Spindelblomster</t>
        </is>
      </c>
      <c r="S185">
        <f>HYPERLINK("https://klasma.github.io/Logging_1765/artfynd/A 3380-2020 artfynd.xlsx", "A 3380-2020")</f>
        <v/>
      </c>
      <c r="T185">
        <f>HYPERLINK("https://klasma.github.io/Logging_1765/kartor/A 3380-2020 karta.png", "A 3380-2020")</f>
        <v/>
      </c>
      <c r="V185">
        <f>HYPERLINK("https://klasma.github.io/Logging_1765/klagomål/A 3380-2020 FSC-klagomål.docx", "A 3380-2020")</f>
        <v/>
      </c>
      <c r="W185">
        <f>HYPERLINK("https://klasma.github.io/Logging_1765/klagomålsmail/A 3380-2020 FSC-klagomål mail.docx", "A 3380-2020")</f>
        <v/>
      </c>
      <c r="X185">
        <f>HYPERLINK("https://klasma.github.io/Logging_1765/tillsyn/A 3380-2020 tillsynsbegäran.docx", "A 3380-2020")</f>
        <v/>
      </c>
      <c r="Y185">
        <f>HYPERLINK("https://klasma.github.io/Logging_1765/tillsynsmail/A 3380-2020 tillsynsbegäran mail.docx", "A 3380-2020")</f>
        <v/>
      </c>
    </row>
    <row r="186" ht="15" customHeight="1">
      <c r="A186" t="inlineStr">
        <is>
          <t>A 9464-2020</t>
        </is>
      </c>
      <c r="B186" s="1" t="n">
        <v>43880</v>
      </c>
      <c r="C186" s="1" t="n">
        <v>45507</v>
      </c>
      <c r="D186" t="inlineStr">
        <is>
          <t>VÄRMLANDS LÄN</t>
        </is>
      </c>
      <c r="E186" t="inlineStr">
        <is>
          <t>ÅRJÄNG</t>
        </is>
      </c>
      <c r="G186" t="n">
        <v>5.3</v>
      </c>
      <c r="H186" t="n">
        <v>1</v>
      </c>
      <c r="I186" t="n">
        <v>1</v>
      </c>
      <c r="J186" t="n">
        <v>0</v>
      </c>
      <c r="K186" t="n">
        <v>1</v>
      </c>
      <c r="L186" t="n">
        <v>0</v>
      </c>
      <c r="M186" t="n">
        <v>0</v>
      </c>
      <c r="N186" t="n">
        <v>0</v>
      </c>
      <c r="O186" t="n">
        <v>1</v>
      </c>
      <c r="P186" t="n">
        <v>1</v>
      </c>
      <c r="Q186" t="n">
        <v>2</v>
      </c>
      <c r="R186" s="2" t="inlineStr">
        <is>
          <t>Knärot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18231-2020</t>
        </is>
      </c>
      <c r="B187" s="1" t="n">
        <v>43928</v>
      </c>
      <c r="C187" s="1" t="n">
        <v>45507</v>
      </c>
      <c r="D187" t="inlineStr">
        <is>
          <t>VÄRMLANDS LÄN</t>
        </is>
      </c>
      <c r="E187" t="inlineStr">
        <is>
          <t>KARLSTAD</t>
        </is>
      </c>
      <c r="G187" t="n">
        <v>0.5</v>
      </c>
      <c r="H187" t="n">
        <v>2</v>
      </c>
      <c r="I187" t="n">
        <v>0</v>
      </c>
      <c r="J187" t="n">
        <v>0</v>
      </c>
      <c r="K187" t="n">
        <v>1</v>
      </c>
      <c r="L187" t="n">
        <v>0</v>
      </c>
      <c r="M187" t="n">
        <v>0</v>
      </c>
      <c r="N187" t="n">
        <v>0</v>
      </c>
      <c r="O187" t="n">
        <v>1</v>
      </c>
      <c r="P187" t="n">
        <v>1</v>
      </c>
      <c r="Q187" t="n">
        <v>2</v>
      </c>
      <c r="R187" s="2" t="inlineStr">
        <is>
          <t>Knärot
Mattlummer</t>
        </is>
      </c>
      <c r="S187">
        <f>HYPERLINK("https://klasma.github.io/Logging_1780/artfynd/A 18231-2020 artfynd.xlsx", "A 18231-2020")</f>
        <v/>
      </c>
      <c r="T187">
        <f>HYPERLINK("https://klasma.github.io/Logging_1780/kartor/A 18231-2020 karta.png", "A 18231-2020")</f>
        <v/>
      </c>
      <c r="U187">
        <f>HYPERLINK("https://klasma.github.io/Logging_1780/knärot/A 18231-2020 karta knärot.png", "A 18231-2020")</f>
        <v/>
      </c>
      <c r="V187">
        <f>HYPERLINK("https://klasma.github.io/Logging_1780/klagomål/A 18231-2020 FSC-klagomål.docx", "A 18231-2020")</f>
        <v/>
      </c>
      <c r="W187">
        <f>HYPERLINK("https://klasma.github.io/Logging_1780/klagomålsmail/A 18231-2020 FSC-klagomål mail.docx", "A 18231-2020")</f>
        <v/>
      </c>
      <c r="X187">
        <f>HYPERLINK("https://klasma.github.io/Logging_1780/tillsyn/A 18231-2020 tillsynsbegäran.docx", "A 18231-2020")</f>
        <v/>
      </c>
      <c r="Y187">
        <f>HYPERLINK("https://klasma.github.io/Logging_1780/tillsynsmail/A 18231-2020 tillsynsbegäran mail.docx", "A 18231-2020")</f>
        <v/>
      </c>
    </row>
    <row r="188" ht="15" customHeight="1">
      <c r="A188" t="inlineStr">
        <is>
          <t>A 34418-2020</t>
        </is>
      </c>
      <c r="B188" s="1" t="n">
        <v>44029</v>
      </c>
      <c r="C188" s="1" t="n">
        <v>45507</v>
      </c>
      <c r="D188" t="inlineStr">
        <is>
          <t>VÄRMLANDS LÄN</t>
        </is>
      </c>
      <c r="E188" t="inlineStr">
        <is>
          <t>STORFORS</t>
        </is>
      </c>
      <c r="G188" t="n">
        <v>3.1</v>
      </c>
      <c r="H188" t="n">
        <v>0</v>
      </c>
      <c r="I188" t="n">
        <v>1</v>
      </c>
      <c r="J188" t="n">
        <v>1</v>
      </c>
      <c r="K188" t="n">
        <v>0</v>
      </c>
      <c r="L188" t="n">
        <v>0</v>
      </c>
      <c r="M188" t="n">
        <v>0</v>
      </c>
      <c r="N188" t="n">
        <v>0</v>
      </c>
      <c r="O188" t="n">
        <v>1</v>
      </c>
      <c r="P188" t="n">
        <v>0</v>
      </c>
      <c r="Q188" t="n">
        <v>2</v>
      </c>
      <c r="R188" s="2" t="inlineStr">
        <is>
          <t>Lunglav
Fällmossa</t>
        </is>
      </c>
      <c r="S188">
        <f>HYPERLINK("https://klasma.github.io/Logging_1760/artfynd/A 34418-2020 artfynd.xlsx", "A 34418-2020")</f>
        <v/>
      </c>
      <c r="T188">
        <f>HYPERLINK("https://klasma.github.io/Logging_1760/kartor/A 34418-2020 karta.png", "A 34418-2020")</f>
        <v/>
      </c>
      <c r="V188">
        <f>HYPERLINK("https://klasma.github.io/Logging_1760/klagomål/A 34418-2020 FSC-klagomål.docx", "A 34418-2020")</f>
        <v/>
      </c>
      <c r="W188">
        <f>HYPERLINK("https://klasma.github.io/Logging_1760/klagomålsmail/A 34418-2020 FSC-klagomål mail.docx", "A 34418-2020")</f>
        <v/>
      </c>
      <c r="X188">
        <f>HYPERLINK("https://klasma.github.io/Logging_1760/tillsyn/A 34418-2020 tillsynsbegäran.docx", "A 34418-2020")</f>
        <v/>
      </c>
      <c r="Y188">
        <f>HYPERLINK("https://klasma.github.io/Logging_1760/tillsynsmail/A 34418-2020 tillsynsbegäran mail.docx", "A 34418-2020")</f>
        <v/>
      </c>
    </row>
    <row r="189" ht="15" customHeight="1">
      <c r="A189" t="inlineStr">
        <is>
          <t>A 43407-2020</t>
        </is>
      </c>
      <c r="B189" s="1" t="n">
        <v>44081</v>
      </c>
      <c r="C189" s="1" t="n">
        <v>45507</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45507</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45507</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45507</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45507</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45507</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45507</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45507</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45507</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45507</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45507</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45507</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45507</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45507</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45507</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45507</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45507</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45507</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45507</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45507</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45507</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45507</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45507</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45507</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45507</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45507</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45507</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45507</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45507</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45507</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45507</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28156-2022</t>
        </is>
      </c>
      <c r="B220" s="1" t="n">
        <v>44746</v>
      </c>
      <c r="C220" s="1" t="n">
        <v>45507</v>
      </c>
      <c r="D220" t="inlineStr">
        <is>
          <t>VÄRMLANDS LÄN</t>
        </is>
      </c>
      <c r="E220" t="inlineStr">
        <is>
          <t>TORSBY</t>
        </is>
      </c>
      <c r="F220" t="inlineStr">
        <is>
          <t>Bergvik skog väst AB</t>
        </is>
      </c>
      <c r="G220" t="n">
        <v>8.300000000000001</v>
      </c>
      <c r="H220" t="n">
        <v>0</v>
      </c>
      <c r="I220" t="n">
        <v>0</v>
      </c>
      <c r="J220" t="n">
        <v>1</v>
      </c>
      <c r="K220" t="n">
        <v>1</v>
      </c>
      <c r="L220" t="n">
        <v>0</v>
      </c>
      <c r="M220" t="n">
        <v>0</v>
      </c>
      <c r="N220" t="n">
        <v>0</v>
      </c>
      <c r="O220" t="n">
        <v>2</v>
      </c>
      <c r="P220" t="n">
        <v>1</v>
      </c>
      <c r="Q220" t="n">
        <v>2</v>
      </c>
      <c r="R220" s="2" t="inlineStr">
        <is>
          <t>Raggbock
Tallticka</t>
        </is>
      </c>
      <c r="S220">
        <f>HYPERLINK("https://klasma.github.io/Logging_1737/artfynd/A 28156-2022 artfynd.xlsx", "A 28156-2022")</f>
        <v/>
      </c>
      <c r="T220">
        <f>HYPERLINK("https://klasma.github.io/Logging_1737/kartor/A 28156-2022 karta.png", "A 28156-2022")</f>
        <v/>
      </c>
      <c r="V220">
        <f>HYPERLINK("https://klasma.github.io/Logging_1737/klagomål/A 28156-2022 FSC-klagomål.docx", "A 28156-2022")</f>
        <v/>
      </c>
      <c r="W220">
        <f>HYPERLINK("https://klasma.github.io/Logging_1737/klagomålsmail/A 28156-2022 FSC-klagomål mail.docx", "A 28156-2022")</f>
        <v/>
      </c>
      <c r="X220">
        <f>HYPERLINK("https://klasma.github.io/Logging_1737/tillsyn/A 28156-2022 tillsynsbegäran.docx", "A 28156-2022")</f>
        <v/>
      </c>
      <c r="Y220">
        <f>HYPERLINK("https://klasma.github.io/Logging_1737/tillsynsmail/A 28156-2022 tillsynsbegäran mail.docx", "A 28156-2022")</f>
        <v/>
      </c>
    </row>
    <row r="221" ht="15" customHeight="1">
      <c r="A221" t="inlineStr">
        <is>
          <t>A 31603-2022</t>
        </is>
      </c>
      <c r="B221" s="1" t="n">
        <v>44775</v>
      </c>
      <c r="C221" s="1" t="n">
        <v>45507</v>
      </c>
      <c r="D221" t="inlineStr">
        <is>
          <t>VÄRMLANDS LÄN</t>
        </is>
      </c>
      <c r="E221" t="inlineStr">
        <is>
          <t>SUNNE</t>
        </is>
      </c>
      <c r="G221" t="n">
        <v>4.8</v>
      </c>
      <c r="H221" t="n">
        <v>1</v>
      </c>
      <c r="I221" t="n">
        <v>1</v>
      </c>
      <c r="J221" t="n">
        <v>0</v>
      </c>
      <c r="K221" t="n">
        <v>0</v>
      </c>
      <c r="L221" t="n">
        <v>0</v>
      </c>
      <c r="M221" t="n">
        <v>0</v>
      </c>
      <c r="N221" t="n">
        <v>0</v>
      </c>
      <c r="O221" t="n">
        <v>0</v>
      </c>
      <c r="P221" t="n">
        <v>0</v>
      </c>
      <c r="Q221" t="n">
        <v>2</v>
      </c>
      <c r="R221" s="2" t="inlineStr">
        <is>
          <t>Springkorn
Fläcknycklar</t>
        </is>
      </c>
      <c r="S221">
        <f>HYPERLINK("https://klasma.github.io/Logging_1766/artfynd/A 31603-2022 artfynd.xlsx", "A 31603-2022")</f>
        <v/>
      </c>
      <c r="T221">
        <f>HYPERLINK("https://klasma.github.io/Logging_1766/kartor/A 31603-2022 karta.png", "A 31603-2022")</f>
        <v/>
      </c>
      <c r="V221">
        <f>HYPERLINK("https://klasma.github.io/Logging_1766/klagomål/A 31603-2022 FSC-klagomål.docx", "A 31603-2022")</f>
        <v/>
      </c>
      <c r="W221">
        <f>HYPERLINK("https://klasma.github.io/Logging_1766/klagomålsmail/A 31603-2022 FSC-klagomål mail.docx", "A 31603-2022")</f>
        <v/>
      </c>
      <c r="X221">
        <f>HYPERLINK("https://klasma.github.io/Logging_1766/tillsyn/A 31603-2022 tillsynsbegäran.docx", "A 31603-2022")</f>
        <v/>
      </c>
      <c r="Y221">
        <f>HYPERLINK("https://klasma.github.io/Logging_1766/tillsynsmail/A 31603-2022 tillsynsbegäran mail.docx", "A 31603-2022")</f>
        <v/>
      </c>
    </row>
    <row r="222" ht="15" customHeight="1">
      <c r="A222" t="inlineStr">
        <is>
          <t>A 34930-2022</t>
        </is>
      </c>
      <c r="B222" s="1" t="n">
        <v>44796</v>
      </c>
      <c r="C222" s="1" t="n">
        <v>45507</v>
      </c>
      <c r="D222" t="inlineStr">
        <is>
          <t>VÄRMLANDS LÄN</t>
        </is>
      </c>
      <c r="E222" t="inlineStr">
        <is>
          <t>TORSBY</t>
        </is>
      </c>
      <c r="G222" t="n">
        <v>3.3</v>
      </c>
      <c r="H222" t="n">
        <v>0</v>
      </c>
      <c r="I222" t="n">
        <v>2</v>
      </c>
      <c r="J222" t="n">
        <v>0</v>
      </c>
      <c r="K222" t="n">
        <v>0</v>
      </c>
      <c r="L222" t="n">
        <v>0</v>
      </c>
      <c r="M222" t="n">
        <v>0</v>
      </c>
      <c r="N222" t="n">
        <v>0</v>
      </c>
      <c r="O222" t="n">
        <v>0</v>
      </c>
      <c r="P222" t="n">
        <v>0</v>
      </c>
      <c r="Q222" t="n">
        <v>2</v>
      </c>
      <c r="R222" s="2" t="inlineStr">
        <is>
          <t>Mörk husmossa
Terpentinmossa</t>
        </is>
      </c>
      <c r="S222">
        <f>HYPERLINK("https://klasma.github.io/Logging_1737/artfynd/A 34930-2022 artfynd.xlsx", "A 34930-2022")</f>
        <v/>
      </c>
      <c r="T222">
        <f>HYPERLINK("https://klasma.github.io/Logging_1737/kartor/A 34930-2022 karta.png", "A 34930-2022")</f>
        <v/>
      </c>
      <c r="V222">
        <f>HYPERLINK("https://klasma.github.io/Logging_1737/klagomål/A 34930-2022 FSC-klagomål.docx", "A 34930-2022")</f>
        <v/>
      </c>
      <c r="W222">
        <f>HYPERLINK("https://klasma.github.io/Logging_1737/klagomålsmail/A 34930-2022 FSC-klagomål mail.docx", "A 34930-2022")</f>
        <v/>
      </c>
      <c r="X222">
        <f>HYPERLINK("https://klasma.github.io/Logging_1737/tillsyn/A 34930-2022 tillsynsbegäran.docx", "A 34930-2022")</f>
        <v/>
      </c>
      <c r="Y222">
        <f>HYPERLINK("https://klasma.github.io/Logging_1737/tillsynsmail/A 34930-2022 tillsynsbegäran mail.docx", "A 34930-2022")</f>
        <v/>
      </c>
    </row>
    <row r="223" ht="15" customHeight="1">
      <c r="A223" t="inlineStr">
        <is>
          <t>A 45523-2022</t>
        </is>
      </c>
      <c r="B223" s="1" t="n">
        <v>44845</v>
      </c>
      <c r="C223" s="1" t="n">
        <v>45507</v>
      </c>
      <c r="D223" t="inlineStr">
        <is>
          <t>VÄRMLANDS LÄN</t>
        </is>
      </c>
      <c r="E223" t="inlineStr">
        <is>
          <t>FILIPSTAD</t>
        </is>
      </c>
      <c r="G223" t="n">
        <v>7.7</v>
      </c>
      <c r="H223" t="n">
        <v>0</v>
      </c>
      <c r="I223" t="n">
        <v>2</v>
      </c>
      <c r="J223" t="n">
        <v>0</v>
      </c>
      <c r="K223" t="n">
        <v>0</v>
      </c>
      <c r="L223" t="n">
        <v>0</v>
      </c>
      <c r="M223" t="n">
        <v>0</v>
      </c>
      <c r="N223" t="n">
        <v>0</v>
      </c>
      <c r="O223" t="n">
        <v>0</v>
      </c>
      <c r="P223" t="n">
        <v>0</v>
      </c>
      <c r="Q223" t="n">
        <v>2</v>
      </c>
      <c r="R223" s="2" t="inlineStr">
        <is>
          <t>Bronshjon
Korallblylav</t>
        </is>
      </c>
      <c r="S223">
        <f>HYPERLINK("https://klasma.github.io/Logging_1782/artfynd/A 45523-2022 artfynd.xlsx", "A 45523-2022")</f>
        <v/>
      </c>
      <c r="T223">
        <f>HYPERLINK("https://klasma.github.io/Logging_1782/kartor/A 45523-2022 karta.png", "A 45523-2022")</f>
        <v/>
      </c>
      <c r="V223">
        <f>HYPERLINK("https://klasma.github.io/Logging_1782/klagomål/A 45523-2022 FSC-klagomål.docx", "A 45523-2022")</f>
        <v/>
      </c>
      <c r="W223">
        <f>HYPERLINK("https://klasma.github.io/Logging_1782/klagomålsmail/A 45523-2022 FSC-klagomål mail.docx", "A 45523-2022")</f>
        <v/>
      </c>
      <c r="X223">
        <f>HYPERLINK("https://klasma.github.io/Logging_1782/tillsyn/A 45523-2022 tillsynsbegäran.docx", "A 45523-2022")</f>
        <v/>
      </c>
      <c r="Y223">
        <f>HYPERLINK("https://klasma.github.io/Logging_1782/tillsynsmail/A 45523-2022 tillsynsbegäran mail.docx", "A 45523-2022")</f>
        <v/>
      </c>
    </row>
    <row r="224" ht="15" customHeight="1">
      <c r="A224" t="inlineStr">
        <is>
          <t>A 50431-2022</t>
        </is>
      </c>
      <c r="B224" s="1" t="n">
        <v>44861</v>
      </c>
      <c r="C224" s="1" t="n">
        <v>45507</v>
      </c>
      <c r="D224" t="inlineStr">
        <is>
          <t>VÄRMLANDS LÄN</t>
        </is>
      </c>
      <c r="E224" t="inlineStr">
        <is>
          <t>SÄFFLE</t>
        </is>
      </c>
      <c r="G224" t="n">
        <v>1.9</v>
      </c>
      <c r="H224" t="n">
        <v>1</v>
      </c>
      <c r="I224" t="n">
        <v>0</v>
      </c>
      <c r="J224" t="n">
        <v>1</v>
      </c>
      <c r="K224" t="n">
        <v>0</v>
      </c>
      <c r="L224" t="n">
        <v>0</v>
      </c>
      <c r="M224" t="n">
        <v>0</v>
      </c>
      <c r="N224" t="n">
        <v>0</v>
      </c>
      <c r="O224" t="n">
        <v>1</v>
      </c>
      <c r="P224" t="n">
        <v>0</v>
      </c>
      <c r="Q224" t="n">
        <v>2</v>
      </c>
      <c r="R224" s="2" t="inlineStr">
        <is>
          <t>Skogsklocka
Nattviol</t>
        </is>
      </c>
      <c r="S224">
        <f>HYPERLINK("https://klasma.github.io/Logging_1785/artfynd/A 50431-2022 artfynd.xlsx", "A 50431-2022")</f>
        <v/>
      </c>
      <c r="T224">
        <f>HYPERLINK("https://klasma.github.io/Logging_1785/kartor/A 50431-2022 karta.png", "A 50431-2022")</f>
        <v/>
      </c>
      <c r="V224">
        <f>HYPERLINK("https://klasma.github.io/Logging_1785/klagomål/A 50431-2022 FSC-klagomål.docx", "A 50431-2022")</f>
        <v/>
      </c>
      <c r="W224">
        <f>HYPERLINK("https://klasma.github.io/Logging_1785/klagomålsmail/A 50431-2022 FSC-klagomål mail.docx", "A 50431-2022")</f>
        <v/>
      </c>
      <c r="X224">
        <f>HYPERLINK("https://klasma.github.io/Logging_1785/tillsyn/A 50431-2022 tillsynsbegäran.docx", "A 50431-2022")</f>
        <v/>
      </c>
      <c r="Y224">
        <f>HYPERLINK("https://klasma.github.io/Logging_1785/tillsynsmail/A 50431-2022 tillsynsbegäran mail.docx", "A 50431-2022")</f>
        <v/>
      </c>
    </row>
    <row r="225" ht="15" customHeight="1">
      <c r="A225" t="inlineStr">
        <is>
          <t>A 50102-2022</t>
        </is>
      </c>
      <c r="B225" s="1" t="n">
        <v>44865</v>
      </c>
      <c r="C225" s="1" t="n">
        <v>45507</v>
      </c>
      <c r="D225" t="inlineStr">
        <is>
          <t>VÄRMLANDS LÄN</t>
        </is>
      </c>
      <c r="E225" t="inlineStr">
        <is>
          <t>EDA</t>
        </is>
      </c>
      <c r="G225" t="n">
        <v>2.6</v>
      </c>
      <c r="H225" t="n">
        <v>0</v>
      </c>
      <c r="I225" t="n">
        <v>1</v>
      </c>
      <c r="J225" t="n">
        <v>1</v>
      </c>
      <c r="K225" t="n">
        <v>0</v>
      </c>
      <c r="L225" t="n">
        <v>0</v>
      </c>
      <c r="M225" t="n">
        <v>0</v>
      </c>
      <c r="N225" t="n">
        <v>0</v>
      </c>
      <c r="O225" t="n">
        <v>1</v>
      </c>
      <c r="P225" t="n">
        <v>0</v>
      </c>
      <c r="Q225" t="n">
        <v>2</v>
      </c>
      <c r="R225" s="2" t="inlineStr">
        <is>
          <t>Ullticka
Tibast</t>
        </is>
      </c>
      <c r="S225">
        <f>HYPERLINK("https://klasma.github.io/Logging_1730/artfynd/A 50102-2022 artfynd.xlsx", "A 50102-2022")</f>
        <v/>
      </c>
      <c r="T225">
        <f>HYPERLINK("https://klasma.github.io/Logging_1730/kartor/A 50102-2022 karta.png", "A 50102-2022")</f>
        <v/>
      </c>
      <c r="V225">
        <f>HYPERLINK("https://klasma.github.io/Logging_1730/klagomål/A 50102-2022 FSC-klagomål.docx", "A 50102-2022")</f>
        <v/>
      </c>
      <c r="W225">
        <f>HYPERLINK("https://klasma.github.io/Logging_1730/klagomålsmail/A 50102-2022 FSC-klagomål mail.docx", "A 50102-2022")</f>
        <v/>
      </c>
      <c r="X225">
        <f>HYPERLINK("https://klasma.github.io/Logging_1730/tillsyn/A 50102-2022 tillsynsbegäran.docx", "A 50102-2022")</f>
        <v/>
      </c>
      <c r="Y225">
        <f>HYPERLINK("https://klasma.github.io/Logging_1730/tillsynsmail/A 50102-2022 tillsynsbegäran mail.docx", "A 50102-2022")</f>
        <v/>
      </c>
    </row>
    <row r="226" ht="15" customHeight="1">
      <c r="A226" t="inlineStr">
        <is>
          <t>A 51253-2022</t>
        </is>
      </c>
      <c r="B226" s="1" t="n">
        <v>44868</v>
      </c>
      <c r="C226" s="1" t="n">
        <v>45507</v>
      </c>
      <c r="D226" t="inlineStr">
        <is>
          <t>VÄRMLANDS LÄN</t>
        </is>
      </c>
      <c r="E226" t="inlineStr">
        <is>
          <t>EDA</t>
        </is>
      </c>
      <c r="G226" t="n">
        <v>8.9</v>
      </c>
      <c r="H226" t="n">
        <v>0</v>
      </c>
      <c r="I226" t="n">
        <v>1</v>
      </c>
      <c r="J226" t="n">
        <v>1</v>
      </c>
      <c r="K226" t="n">
        <v>0</v>
      </c>
      <c r="L226" t="n">
        <v>0</v>
      </c>
      <c r="M226" t="n">
        <v>0</v>
      </c>
      <c r="N226" t="n">
        <v>0</v>
      </c>
      <c r="O226" t="n">
        <v>1</v>
      </c>
      <c r="P226" t="n">
        <v>0</v>
      </c>
      <c r="Q226" t="n">
        <v>2</v>
      </c>
      <c r="R226" s="2" t="inlineStr">
        <is>
          <t>Garnlav
Dropptaggsvamp</t>
        </is>
      </c>
      <c r="S226">
        <f>HYPERLINK("https://klasma.github.io/Logging_1730/artfynd/A 51253-2022 artfynd.xlsx", "A 51253-2022")</f>
        <v/>
      </c>
      <c r="T226">
        <f>HYPERLINK("https://klasma.github.io/Logging_1730/kartor/A 51253-2022 karta.png", "A 51253-2022")</f>
        <v/>
      </c>
      <c r="V226">
        <f>HYPERLINK("https://klasma.github.io/Logging_1730/klagomål/A 51253-2022 FSC-klagomål.docx", "A 51253-2022")</f>
        <v/>
      </c>
      <c r="W226">
        <f>HYPERLINK("https://klasma.github.io/Logging_1730/klagomålsmail/A 51253-2022 FSC-klagomål mail.docx", "A 51253-2022")</f>
        <v/>
      </c>
      <c r="X226">
        <f>HYPERLINK("https://klasma.github.io/Logging_1730/tillsyn/A 51253-2022 tillsynsbegäran.docx", "A 51253-2022")</f>
        <v/>
      </c>
      <c r="Y226">
        <f>HYPERLINK("https://klasma.github.io/Logging_1730/tillsynsmail/A 51253-2022 tillsynsbegäran mail.docx", "A 51253-2022")</f>
        <v/>
      </c>
    </row>
    <row r="227" ht="15" customHeight="1">
      <c r="A227" t="inlineStr">
        <is>
          <t>A 51769-2022</t>
        </is>
      </c>
      <c r="B227" s="1" t="n">
        <v>44872</v>
      </c>
      <c r="C227" s="1" t="n">
        <v>45507</v>
      </c>
      <c r="D227" t="inlineStr">
        <is>
          <t>VÄRMLANDS LÄN</t>
        </is>
      </c>
      <c r="E227" t="inlineStr">
        <is>
          <t>ARVIKA</t>
        </is>
      </c>
      <c r="F227" t="inlineStr">
        <is>
          <t>Kyrkan</t>
        </is>
      </c>
      <c r="G227" t="n">
        <v>1.9</v>
      </c>
      <c r="H227" t="n">
        <v>1</v>
      </c>
      <c r="I227" t="n">
        <v>1</v>
      </c>
      <c r="J227" t="n">
        <v>0</v>
      </c>
      <c r="K227" t="n">
        <v>1</v>
      </c>
      <c r="L227" t="n">
        <v>0</v>
      </c>
      <c r="M227" t="n">
        <v>0</v>
      </c>
      <c r="N227" t="n">
        <v>0</v>
      </c>
      <c r="O227" t="n">
        <v>1</v>
      </c>
      <c r="P227" t="n">
        <v>1</v>
      </c>
      <c r="Q227" t="n">
        <v>2</v>
      </c>
      <c r="R227" s="2" t="inlineStr">
        <is>
          <t>Knärot
Grönpyrola</t>
        </is>
      </c>
      <c r="S227">
        <f>HYPERLINK("https://klasma.github.io/Logging_1784/artfynd/A 51769-2022 artfynd.xlsx", "A 51769-2022")</f>
        <v/>
      </c>
      <c r="T227">
        <f>HYPERLINK("https://klasma.github.io/Logging_1784/kartor/A 51769-2022 karta.png", "A 51769-2022")</f>
        <v/>
      </c>
      <c r="U227">
        <f>HYPERLINK("https://klasma.github.io/Logging_1784/knärot/A 51769-2022 karta knärot.png", "A 51769-2022")</f>
        <v/>
      </c>
      <c r="V227">
        <f>HYPERLINK("https://klasma.github.io/Logging_1784/klagomål/A 51769-2022 FSC-klagomål.docx", "A 51769-2022")</f>
        <v/>
      </c>
      <c r="W227">
        <f>HYPERLINK("https://klasma.github.io/Logging_1784/klagomålsmail/A 51769-2022 FSC-klagomål mail.docx", "A 51769-2022")</f>
        <v/>
      </c>
      <c r="X227">
        <f>HYPERLINK("https://klasma.github.io/Logging_1784/tillsyn/A 51769-2022 tillsynsbegäran.docx", "A 51769-2022")</f>
        <v/>
      </c>
      <c r="Y227">
        <f>HYPERLINK("https://klasma.github.io/Logging_1784/tillsynsmail/A 51769-2022 tillsynsbegäran mail.docx", "A 51769-2022")</f>
        <v/>
      </c>
    </row>
    <row r="228" ht="15" customHeight="1">
      <c r="A228" t="inlineStr">
        <is>
          <t>A 51928-2022</t>
        </is>
      </c>
      <c r="B228" s="1" t="n">
        <v>44872</v>
      </c>
      <c r="C228" s="1" t="n">
        <v>45507</v>
      </c>
      <c r="D228" t="inlineStr">
        <is>
          <t>VÄRMLANDS LÄN</t>
        </is>
      </c>
      <c r="E228" t="inlineStr">
        <is>
          <t>ÅRJÄNG</t>
        </is>
      </c>
      <c r="G228" t="n">
        <v>14.1</v>
      </c>
      <c r="H228" t="n">
        <v>1</v>
      </c>
      <c r="I228" t="n">
        <v>1</v>
      </c>
      <c r="J228" t="n">
        <v>0</v>
      </c>
      <c r="K228" t="n">
        <v>1</v>
      </c>
      <c r="L228" t="n">
        <v>0</v>
      </c>
      <c r="M228" t="n">
        <v>0</v>
      </c>
      <c r="N228" t="n">
        <v>0</v>
      </c>
      <c r="O228" t="n">
        <v>1</v>
      </c>
      <c r="P228" t="n">
        <v>1</v>
      </c>
      <c r="Q228" t="n">
        <v>2</v>
      </c>
      <c r="R228" s="2" t="inlineStr">
        <is>
          <t>Knärot
Dropptaggsvamp</t>
        </is>
      </c>
      <c r="S228">
        <f>HYPERLINK("https://klasma.github.io/Logging_1765/artfynd/A 51928-2022 artfynd.xlsx", "A 51928-2022")</f>
        <v/>
      </c>
      <c r="T228">
        <f>HYPERLINK("https://klasma.github.io/Logging_1765/kartor/A 51928-2022 karta.png", "A 51928-2022")</f>
        <v/>
      </c>
      <c r="U228">
        <f>HYPERLINK("https://klasma.github.io/Logging_1765/knärot/A 51928-2022 karta knärot.png", "A 51928-2022")</f>
        <v/>
      </c>
      <c r="V228">
        <f>HYPERLINK("https://klasma.github.io/Logging_1765/klagomål/A 51928-2022 FSC-klagomål.docx", "A 51928-2022")</f>
        <v/>
      </c>
      <c r="W228">
        <f>HYPERLINK("https://klasma.github.io/Logging_1765/klagomålsmail/A 51928-2022 FSC-klagomål mail.docx", "A 51928-2022")</f>
        <v/>
      </c>
      <c r="X228">
        <f>HYPERLINK("https://klasma.github.io/Logging_1765/tillsyn/A 51928-2022 tillsynsbegäran.docx", "A 51928-2022")</f>
        <v/>
      </c>
      <c r="Y228">
        <f>HYPERLINK("https://klasma.github.io/Logging_1765/tillsynsmail/A 51928-2022 tillsynsbegäran mail.docx", "A 51928-2022")</f>
        <v/>
      </c>
    </row>
    <row r="229" ht="15" customHeight="1">
      <c r="A229" t="inlineStr">
        <is>
          <t>A 53155-2022</t>
        </is>
      </c>
      <c r="B229" s="1" t="n">
        <v>44876</v>
      </c>
      <c r="C229" s="1" t="n">
        <v>45507</v>
      </c>
      <c r="D229" t="inlineStr">
        <is>
          <t>VÄRMLANDS LÄN</t>
        </is>
      </c>
      <c r="E229" t="inlineStr">
        <is>
          <t>KARLSTAD</t>
        </is>
      </c>
      <c r="G229" t="n">
        <v>32.8</v>
      </c>
      <c r="H229" t="n">
        <v>2</v>
      </c>
      <c r="I229" t="n">
        <v>0</v>
      </c>
      <c r="J229" t="n">
        <v>1</v>
      </c>
      <c r="K229" t="n">
        <v>0</v>
      </c>
      <c r="L229" t="n">
        <v>0</v>
      </c>
      <c r="M229" t="n">
        <v>0</v>
      </c>
      <c r="N229" t="n">
        <v>0</v>
      </c>
      <c r="O229" t="n">
        <v>1</v>
      </c>
      <c r="P229" t="n">
        <v>0</v>
      </c>
      <c r="Q229" t="n">
        <v>2</v>
      </c>
      <c r="R229" s="2" t="inlineStr">
        <is>
          <t>Gulsparv
Trana</t>
        </is>
      </c>
      <c r="S229">
        <f>HYPERLINK("https://klasma.github.io/Logging_1780/artfynd/A 53155-2022 artfynd.xlsx", "A 53155-2022")</f>
        <v/>
      </c>
      <c r="T229">
        <f>HYPERLINK("https://klasma.github.io/Logging_1780/kartor/A 53155-2022 karta.png", "A 53155-2022")</f>
        <v/>
      </c>
      <c r="V229">
        <f>HYPERLINK("https://klasma.github.io/Logging_1780/klagomål/A 53155-2022 FSC-klagomål.docx", "A 53155-2022")</f>
        <v/>
      </c>
      <c r="W229">
        <f>HYPERLINK("https://klasma.github.io/Logging_1780/klagomålsmail/A 53155-2022 FSC-klagomål mail.docx", "A 53155-2022")</f>
        <v/>
      </c>
      <c r="X229">
        <f>HYPERLINK("https://klasma.github.io/Logging_1780/tillsyn/A 53155-2022 tillsynsbegäran.docx", "A 53155-2022")</f>
        <v/>
      </c>
      <c r="Y229">
        <f>HYPERLINK("https://klasma.github.io/Logging_1780/tillsynsmail/A 53155-2022 tillsynsbegäran mail.docx", "A 53155-2022")</f>
        <v/>
      </c>
      <c r="Z229">
        <f>HYPERLINK("https://klasma.github.io/Logging_1780/fåglar/A 53155-2022 prioriterade fågelarter.docx", "A 53155-2022")</f>
        <v/>
      </c>
    </row>
    <row r="230" ht="15" customHeight="1">
      <c r="A230" t="inlineStr">
        <is>
          <t>A 54195-2022</t>
        </is>
      </c>
      <c r="B230" s="1" t="n">
        <v>44881</v>
      </c>
      <c r="C230" s="1" t="n">
        <v>45507</v>
      </c>
      <c r="D230" t="inlineStr">
        <is>
          <t>VÄRMLANDS LÄN</t>
        </is>
      </c>
      <c r="E230" t="inlineStr">
        <is>
          <t>EDA</t>
        </is>
      </c>
      <c r="G230" t="n">
        <v>11</v>
      </c>
      <c r="H230" t="n">
        <v>0</v>
      </c>
      <c r="I230" t="n">
        <v>2</v>
      </c>
      <c r="J230" t="n">
        <v>0</v>
      </c>
      <c r="K230" t="n">
        <v>0</v>
      </c>
      <c r="L230" t="n">
        <v>0</v>
      </c>
      <c r="M230" t="n">
        <v>0</v>
      </c>
      <c r="N230" t="n">
        <v>0</v>
      </c>
      <c r="O230" t="n">
        <v>0</v>
      </c>
      <c r="P230" t="n">
        <v>0</v>
      </c>
      <c r="Q230" t="n">
        <v>2</v>
      </c>
      <c r="R230" s="2" t="inlineStr">
        <is>
          <t>Dvärghäxört
Springkorn</t>
        </is>
      </c>
      <c r="S230">
        <f>HYPERLINK("https://klasma.github.io/Logging_1730/artfynd/A 54195-2022 artfynd.xlsx", "A 54195-2022")</f>
        <v/>
      </c>
      <c r="T230">
        <f>HYPERLINK("https://klasma.github.io/Logging_1730/kartor/A 54195-2022 karta.png", "A 54195-2022")</f>
        <v/>
      </c>
      <c r="V230">
        <f>HYPERLINK("https://klasma.github.io/Logging_1730/klagomål/A 54195-2022 FSC-klagomål.docx", "A 54195-2022")</f>
        <v/>
      </c>
      <c r="W230">
        <f>HYPERLINK("https://klasma.github.io/Logging_1730/klagomålsmail/A 54195-2022 FSC-klagomål mail.docx", "A 54195-2022")</f>
        <v/>
      </c>
      <c r="X230">
        <f>HYPERLINK("https://klasma.github.io/Logging_1730/tillsyn/A 54195-2022 tillsynsbegäran.docx", "A 54195-2022")</f>
        <v/>
      </c>
      <c r="Y230">
        <f>HYPERLINK("https://klasma.github.io/Logging_1730/tillsynsmail/A 54195-2022 tillsynsbegäran mail.docx", "A 54195-2022")</f>
        <v/>
      </c>
    </row>
    <row r="231" ht="15" customHeight="1">
      <c r="A231" t="inlineStr">
        <is>
          <t>A 56624-2022</t>
        </is>
      </c>
      <c r="B231" s="1" t="n">
        <v>44893</v>
      </c>
      <c r="C231" s="1" t="n">
        <v>45507</v>
      </c>
      <c r="D231" t="inlineStr">
        <is>
          <t>VÄRMLANDS LÄN</t>
        </is>
      </c>
      <c r="E231" t="inlineStr">
        <is>
          <t>SUNNE</t>
        </is>
      </c>
      <c r="G231" t="n">
        <v>3</v>
      </c>
      <c r="H231" t="n">
        <v>0</v>
      </c>
      <c r="I231" t="n">
        <v>2</v>
      </c>
      <c r="J231" t="n">
        <v>0</v>
      </c>
      <c r="K231" t="n">
        <v>0</v>
      </c>
      <c r="L231" t="n">
        <v>0</v>
      </c>
      <c r="M231" t="n">
        <v>0</v>
      </c>
      <c r="N231" t="n">
        <v>0</v>
      </c>
      <c r="O231" t="n">
        <v>0</v>
      </c>
      <c r="P231" t="n">
        <v>0</v>
      </c>
      <c r="Q231" t="n">
        <v>2</v>
      </c>
      <c r="R231" s="2" t="inlineStr">
        <is>
          <t>Bronshjon
Kattfotslav</t>
        </is>
      </c>
      <c r="S231">
        <f>HYPERLINK("https://klasma.github.io/Logging_1766/artfynd/A 56624-2022 artfynd.xlsx", "A 56624-2022")</f>
        <v/>
      </c>
      <c r="T231">
        <f>HYPERLINK("https://klasma.github.io/Logging_1766/kartor/A 56624-2022 karta.png", "A 56624-2022")</f>
        <v/>
      </c>
      <c r="V231">
        <f>HYPERLINK("https://klasma.github.io/Logging_1766/klagomål/A 56624-2022 FSC-klagomål.docx", "A 56624-2022")</f>
        <v/>
      </c>
      <c r="W231">
        <f>HYPERLINK("https://klasma.github.io/Logging_1766/klagomålsmail/A 56624-2022 FSC-klagomål mail.docx", "A 56624-2022")</f>
        <v/>
      </c>
      <c r="X231">
        <f>HYPERLINK("https://klasma.github.io/Logging_1766/tillsyn/A 56624-2022 tillsynsbegäran.docx", "A 56624-2022")</f>
        <v/>
      </c>
      <c r="Y231">
        <f>HYPERLINK("https://klasma.github.io/Logging_1766/tillsynsmail/A 56624-2022 tillsynsbegäran mail.docx", "A 56624-2022")</f>
        <v/>
      </c>
    </row>
    <row r="232" ht="15" customHeight="1">
      <c r="A232" t="inlineStr">
        <is>
          <t>A 60826-2022</t>
        </is>
      </c>
      <c r="B232" s="1" t="n">
        <v>44907</v>
      </c>
      <c r="C232" s="1" t="n">
        <v>45507</v>
      </c>
      <c r="D232" t="inlineStr">
        <is>
          <t>VÄRMLANDS LÄN</t>
        </is>
      </c>
      <c r="E232" t="inlineStr">
        <is>
          <t>GRUMS</t>
        </is>
      </c>
      <c r="G232" t="n">
        <v>2.2</v>
      </c>
      <c r="H232" t="n">
        <v>0</v>
      </c>
      <c r="I232" t="n">
        <v>1</v>
      </c>
      <c r="J232" t="n">
        <v>1</v>
      </c>
      <c r="K232" t="n">
        <v>0</v>
      </c>
      <c r="L232" t="n">
        <v>0</v>
      </c>
      <c r="M232" t="n">
        <v>0</v>
      </c>
      <c r="N232" t="n">
        <v>0</v>
      </c>
      <c r="O232" t="n">
        <v>1</v>
      </c>
      <c r="P232" t="n">
        <v>0</v>
      </c>
      <c r="Q232" t="n">
        <v>2</v>
      </c>
      <c r="R232" s="2" t="inlineStr">
        <is>
          <t>Orange taggsvamp
Rödgul trumpetsvamp</t>
        </is>
      </c>
      <c r="S232">
        <f>HYPERLINK("https://klasma.github.io/Logging_1764/artfynd/A 60826-2022 artfynd.xlsx", "A 60826-2022")</f>
        <v/>
      </c>
      <c r="T232">
        <f>HYPERLINK("https://klasma.github.io/Logging_1764/kartor/A 60826-2022 karta.png", "A 60826-2022")</f>
        <v/>
      </c>
      <c r="V232">
        <f>HYPERLINK("https://klasma.github.io/Logging_1764/klagomål/A 60826-2022 FSC-klagomål.docx", "A 60826-2022")</f>
        <v/>
      </c>
      <c r="W232">
        <f>HYPERLINK("https://klasma.github.io/Logging_1764/klagomålsmail/A 60826-2022 FSC-klagomål mail.docx", "A 60826-2022")</f>
        <v/>
      </c>
      <c r="X232">
        <f>HYPERLINK("https://klasma.github.io/Logging_1764/tillsyn/A 60826-2022 tillsynsbegäran.docx", "A 60826-2022")</f>
        <v/>
      </c>
      <c r="Y232">
        <f>HYPERLINK("https://klasma.github.io/Logging_1764/tillsynsmail/A 60826-2022 tillsynsbegäran mail.docx", "A 60826-2022")</f>
        <v/>
      </c>
    </row>
    <row r="233" ht="15" customHeight="1">
      <c r="A233" t="inlineStr">
        <is>
          <t>A 1198-2023</t>
        </is>
      </c>
      <c r="B233" s="1" t="n">
        <v>44935</v>
      </c>
      <c r="C233" s="1" t="n">
        <v>45507</v>
      </c>
      <c r="D233" t="inlineStr">
        <is>
          <t>VÄRMLANDS LÄN</t>
        </is>
      </c>
      <c r="E233" t="inlineStr">
        <is>
          <t>ÅRJÄNG</t>
        </is>
      </c>
      <c r="G233" t="n">
        <v>19</v>
      </c>
      <c r="H233" t="n">
        <v>2</v>
      </c>
      <c r="I233" t="n">
        <v>0</v>
      </c>
      <c r="J233" t="n">
        <v>1</v>
      </c>
      <c r="K233" t="n">
        <v>0</v>
      </c>
      <c r="L233" t="n">
        <v>0</v>
      </c>
      <c r="M233" t="n">
        <v>0</v>
      </c>
      <c r="N233" t="n">
        <v>0</v>
      </c>
      <c r="O233" t="n">
        <v>1</v>
      </c>
      <c r="P233" t="n">
        <v>0</v>
      </c>
      <c r="Q233" t="n">
        <v>2</v>
      </c>
      <c r="R233" s="2" t="inlineStr">
        <is>
          <t>Talltita
Revlummer</t>
        </is>
      </c>
      <c r="S233">
        <f>HYPERLINK("https://klasma.github.io/Logging_1765/artfynd/A 1198-2023 artfynd.xlsx", "A 1198-2023")</f>
        <v/>
      </c>
      <c r="T233">
        <f>HYPERLINK("https://klasma.github.io/Logging_1765/kartor/A 1198-2023 karta.png", "A 1198-2023")</f>
        <v/>
      </c>
      <c r="V233">
        <f>HYPERLINK("https://klasma.github.io/Logging_1765/klagomål/A 1198-2023 FSC-klagomål.docx", "A 1198-2023")</f>
        <v/>
      </c>
      <c r="W233">
        <f>HYPERLINK("https://klasma.github.io/Logging_1765/klagomålsmail/A 1198-2023 FSC-klagomål mail.docx", "A 1198-2023")</f>
        <v/>
      </c>
      <c r="X233">
        <f>HYPERLINK("https://klasma.github.io/Logging_1765/tillsyn/A 1198-2023 tillsynsbegäran.docx", "A 1198-2023")</f>
        <v/>
      </c>
      <c r="Y233">
        <f>HYPERLINK("https://klasma.github.io/Logging_1765/tillsynsmail/A 1198-2023 tillsynsbegäran mail.docx", "A 1198-2023")</f>
        <v/>
      </c>
      <c r="Z233">
        <f>HYPERLINK("https://klasma.github.io/Logging_1765/fåglar/A 1198-2023 prioriterade fågelarter.docx", "A 1198-2023")</f>
        <v/>
      </c>
    </row>
    <row r="234" ht="15" customHeight="1">
      <c r="A234" t="inlineStr">
        <is>
          <t>A 2000-2023</t>
        </is>
      </c>
      <c r="B234" s="1" t="n">
        <v>44939</v>
      </c>
      <c r="C234" s="1" t="n">
        <v>45507</v>
      </c>
      <c r="D234" t="inlineStr">
        <is>
          <t>VÄRMLANDS LÄN</t>
        </is>
      </c>
      <c r="E234" t="inlineStr">
        <is>
          <t>TORSBY</t>
        </is>
      </c>
      <c r="G234" t="n">
        <v>3.2</v>
      </c>
      <c r="H234" t="n">
        <v>2</v>
      </c>
      <c r="I234" t="n">
        <v>1</v>
      </c>
      <c r="J234" t="n">
        <v>0</v>
      </c>
      <c r="K234" t="n">
        <v>0</v>
      </c>
      <c r="L234" t="n">
        <v>0</v>
      </c>
      <c r="M234" t="n">
        <v>0</v>
      </c>
      <c r="N234" t="n">
        <v>0</v>
      </c>
      <c r="O234" t="n">
        <v>0</v>
      </c>
      <c r="P234" t="n">
        <v>0</v>
      </c>
      <c r="Q234" t="n">
        <v>2</v>
      </c>
      <c r="R234" s="2" t="inlineStr">
        <is>
          <t>Spindelblomster
Mattlummer</t>
        </is>
      </c>
      <c r="S234">
        <f>HYPERLINK("https://klasma.github.io/Logging_1737/artfynd/A 2000-2023 artfynd.xlsx", "A 2000-2023")</f>
        <v/>
      </c>
      <c r="T234">
        <f>HYPERLINK("https://klasma.github.io/Logging_1737/kartor/A 2000-2023 karta.png", "A 2000-2023")</f>
        <v/>
      </c>
      <c r="V234">
        <f>HYPERLINK("https://klasma.github.io/Logging_1737/klagomål/A 2000-2023 FSC-klagomål.docx", "A 2000-2023")</f>
        <v/>
      </c>
      <c r="W234">
        <f>HYPERLINK("https://klasma.github.io/Logging_1737/klagomålsmail/A 2000-2023 FSC-klagomål mail.docx", "A 2000-2023")</f>
        <v/>
      </c>
      <c r="X234">
        <f>HYPERLINK("https://klasma.github.io/Logging_1737/tillsyn/A 2000-2023 tillsynsbegäran.docx", "A 2000-2023")</f>
        <v/>
      </c>
      <c r="Y234">
        <f>HYPERLINK("https://klasma.github.io/Logging_1737/tillsynsmail/A 2000-2023 tillsynsbegäran mail.docx", "A 2000-2023")</f>
        <v/>
      </c>
    </row>
    <row r="235" ht="15" customHeight="1">
      <c r="A235" t="inlineStr">
        <is>
          <t>A 4718-2023</t>
        </is>
      </c>
      <c r="B235" s="1" t="n">
        <v>44957</v>
      </c>
      <c r="C235" s="1" t="n">
        <v>45507</v>
      </c>
      <c r="D235" t="inlineStr">
        <is>
          <t>VÄRMLANDS LÄN</t>
        </is>
      </c>
      <c r="E235" t="inlineStr">
        <is>
          <t>TORSBY</t>
        </is>
      </c>
      <c r="G235" t="n">
        <v>8.5</v>
      </c>
      <c r="H235" t="n">
        <v>0</v>
      </c>
      <c r="I235" t="n">
        <v>0</v>
      </c>
      <c r="J235" t="n">
        <v>2</v>
      </c>
      <c r="K235" t="n">
        <v>0</v>
      </c>
      <c r="L235" t="n">
        <v>0</v>
      </c>
      <c r="M235" t="n">
        <v>0</v>
      </c>
      <c r="N235" t="n">
        <v>0</v>
      </c>
      <c r="O235" t="n">
        <v>2</v>
      </c>
      <c r="P235" t="n">
        <v>0</v>
      </c>
      <c r="Q235" t="n">
        <v>2</v>
      </c>
      <c r="R235" s="2" t="inlineStr">
        <is>
          <t>Garnlav
Violettgrå tagellav</t>
        </is>
      </c>
      <c r="S235">
        <f>HYPERLINK("https://klasma.github.io/Logging_1737/artfynd/A 4718-2023 artfynd.xlsx", "A 4718-2023")</f>
        <v/>
      </c>
      <c r="T235">
        <f>HYPERLINK("https://klasma.github.io/Logging_1737/kartor/A 4718-2023 karta.png", "A 4718-2023")</f>
        <v/>
      </c>
      <c r="V235">
        <f>HYPERLINK("https://klasma.github.io/Logging_1737/klagomål/A 4718-2023 FSC-klagomål.docx", "A 4718-2023")</f>
        <v/>
      </c>
      <c r="W235">
        <f>HYPERLINK("https://klasma.github.io/Logging_1737/klagomålsmail/A 4718-2023 FSC-klagomål mail.docx", "A 4718-2023")</f>
        <v/>
      </c>
      <c r="X235">
        <f>HYPERLINK("https://klasma.github.io/Logging_1737/tillsyn/A 4718-2023 tillsynsbegäran.docx", "A 4718-2023")</f>
        <v/>
      </c>
      <c r="Y235">
        <f>HYPERLINK("https://klasma.github.io/Logging_1737/tillsynsmail/A 4718-2023 tillsynsbegäran mail.docx", "A 4718-2023")</f>
        <v/>
      </c>
    </row>
    <row r="236" ht="15" customHeight="1">
      <c r="A236" t="inlineStr">
        <is>
          <t>A 12949-2023</t>
        </is>
      </c>
      <c r="B236" s="1" t="n">
        <v>45001</v>
      </c>
      <c r="C236" s="1" t="n">
        <v>45507</v>
      </c>
      <c r="D236" t="inlineStr">
        <is>
          <t>VÄRMLANDS LÄN</t>
        </is>
      </c>
      <c r="E236" t="inlineStr">
        <is>
          <t>ÅRJÄNG</t>
        </is>
      </c>
      <c r="G236" t="n">
        <v>10.4</v>
      </c>
      <c r="H236" t="n">
        <v>0</v>
      </c>
      <c r="I236" t="n">
        <v>1</v>
      </c>
      <c r="J236" t="n">
        <v>1</v>
      </c>
      <c r="K236" t="n">
        <v>0</v>
      </c>
      <c r="L236" t="n">
        <v>0</v>
      </c>
      <c r="M236" t="n">
        <v>0</v>
      </c>
      <c r="N236" t="n">
        <v>0</v>
      </c>
      <c r="O236" t="n">
        <v>1</v>
      </c>
      <c r="P236" t="n">
        <v>0</v>
      </c>
      <c r="Q236" t="n">
        <v>2</v>
      </c>
      <c r="R236" s="2" t="inlineStr">
        <is>
          <t>Motaggsvamp
Dropptaggsvamp</t>
        </is>
      </c>
      <c r="S236">
        <f>HYPERLINK("https://klasma.github.io/Logging_1765/artfynd/A 12949-2023 artfynd.xlsx", "A 12949-2023")</f>
        <v/>
      </c>
      <c r="T236">
        <f>HYPERLINK("https://klasma.github.io/Logging_1765/kartor/A 12949-2023 karta.png", "A 12949-2023")</f>
        <v/>
      </c>
      <c r="V236">
        <f>HYPERLINK("https://klasma.github.io/Logging_1765/klagomål/A 12949-2023 FSC-klagomål.docx", "A 12949-2023")</f>
        <v/>
      </c>
      <c r="W236">
        <f>HYPERLINK("https://klasma.github.io/Logging_1765/klagomålsmail/A 12949-2023 FSC-klagomål mail.docx", "A 12949-2023")</f>
        <v/>
      </c>
      <c r="X236">
        <f>HYPERLINK("https://klasma.github.io/Logging_1765/tillsyn/A 12949-2023 tillsynsbegäran.docx", "A 12949-2023")</f>
        <v/>
      </c>
      <c r="Y236">
        <f>HYPERLINK("https://klasma.github.io/Logging_1765/tillsynsmail/A 12949-2023 tillsynsbegäran mail.docx", "A 12949-2023")</f>
        <v/>
      </c>
    </row>
    <row r="237" ht="15" customHeight="1">
      <c r="A237" t="inlineStr">
        <is>
          <t>A 13364-2023</t>
        </is>
      </c>
      <c r="B237" s="1" t="n">
        <v>45005</v>
      </c>
      <c r="C237" s="1" t="n">
        <v>45507</v>
      </c>
      <c r="D237" t="inlineStr">
        <is>
          <t>VÄRMLANDS LÄN</t>
        </is>
      </c>
      <c r="E237" t="inlineStr">
        <is>
          <t>TORSBY</t>
        </is>
      </c>
      <c r="G237" t="n">
        <v>16.3</v>
      </c>
      <c r="H237" t="n">
        <v>0</v>
      </c>
      <c r="I237" t="n">
        <v>1</v>
      </c>
      <c r="J237" t="n">
        <v>1</v>
      </c>
      <c r="K237" t="n">
        <v>0</v>
      </c>
      <c r="L237" t="n">
        <v>0</v>
      </c>
      <c r="M237" t="n">
        <v>0</v>
      </c>
      <c r="N237" t="n">
        <v>0</v>
      </c>
      <c r="O237" t="n">
        <v>1</v>
      </c>
      <c r="P237" t="n">
        <v>0</v>
      </c>
      <c r="Q237" t="n">
        <v>2</v>
      </c>
      <c r="R237" s="2" t="inlineStr">
        <is>
          <t>Mörk kolflarnlav
Dropptaggsvamp</t>
        </is>
      </c>
      <c r="S237">
        <f>HYPERLINK("https://klasma.github.io/Logging_1737/artfynd/A 13364-2023 artfynd.xlsx", "A 13364-2023")</f>
        <v/>
      </c>
      <c r="T237">
        <f>HYPERLINK("https://klasma.github.io/Logging_1737/kartor/A 13364-2023 karta.png", "A 13364-2023")</f>
        <v/>
      </c>
      <c r="V237">
        <f>HYPERLINK("https://klasma.github.io/Logging_1737/klagomål/A 13364-2023 FSC-klagomål.docx", "A 13364-2023")</f>
        <v/>
      </c>
      <c r="W237">
        <f>HYPERLINK("https://klasma.github.io/Logging_1737/klagomålsmail/A 13364-2023 FSC-klagomål mail.docx", "A 13364-2023")</f>
        <v/>
      </c>
      <c r="X237">
        <f>HYPERLINK("https://klasma.github.io/Logging_1737/tillsyn/A 13364-2023 tillsynsbegäran.docx", "A 13364-2023")</f>
        <v/>
      </c>
      <c r="Y237">
        <f>HYPERLINK("https://klasma.github.io/Logging_1737/tillsynsmail/A 13364-2023 tillsynsbegäran mail.docx", "A 13364-2023")</f>
        <v/>
      </c>
    </row>
    <row r="238" ht="15" customHeight="1">
      <c r="A238" t="inlineStr">
        <is>
          <t>A 13630-2023</t>
        </is>
      </c>
      <c r="B238" s="1" t="n">
        <v>45006</v>
      </c>
      <c r="C238" s="1" t="n">
        <v>45507</v>
      </c>
      <c r="D238" t="inlineStr">
        <is>
          <t>VÄRMLANDS LÄN</t>
        </is>
      </c>
      <c r="E238" t="inlineStr">
        <is>
          <t>ARVIKA</t>
        </is>
      </c>
      <c r="G238" t="n">
        <v>11.2</v>
      </c>
      <c r="H238" t="n">
        <v>0</v>
      </c>
      <c r="I238" t="n">
        <v>1</v>
      </c>
      <c r="J238" t="n">
        <v>0</v>
      </c>
      <c r="K238" t="n">
        <v>0</v>
      </c>
      <c r="L238" t="n">
        <v>0</v>
      </c>
      <c r="M238" t="n">
        <v>1</v>
      </c>
      <c r="N238" t="n">
        <v>0</v>
      </c>
      <c r="O238" t="n">
        <v>1</v>
      </c>
      <c r="P238" t="n">
        <v>1</v>
      </c>
      <c r="Q238" t="n">
        <v>2</v>
      </c>
      <c r="R238" s="2" t="inlineStr">
        <is>
          <t>Skogsalm
Tibast</t>
        </is>
      </c>
      <c r="S238">
        <f>HYPERLINK("https://klasma.github.io/Logging_1784/artfynd/A 13630-2023 artfynd.xlsx", "A 13630-2023")</f>
        <v/>
      </c>
      <c r="T238">
        <f>HYPERLINK("https://klasma.github.io/Logging_1784/kartor/A 13630-2023 karta.png", "A 13630-2023")</f>
        <v/>
      </c>
      <c r="V238">
        <f>HYPERLINK("https://klasma.github.io/Logging_1784/klagomål/A 13630-2023 FSC-klagomål.docx", "A 13630-2023")</f>
        <v/>
      </c>
      <c r="W238">
        <f>HYPERLINK("https://klasma.github.io/Logging_1784/klagomålsmail/A 13630-2023 FSC-klagomål mail.docx", "A 13630-2023")</f>
        <v/>
      </c>
      <c r="X238">
        <f>HYPERLINK("https://klasma.github.io/Logging_1784/tillsyn/A 13630-2023 tillsynsbegäran.docx", "A 13630-2023")</f>
        <v/>
      </c>
      <c r="Y238">
        <f>HYPERLINK("https://klasma.github.io/Logging_1784/tillsynsmail/A 13630-2023 tillsynsbegäran mail.docx", "A 13630-2023")</f>
        <v/>
      </c>
    </row>
    <row r="239" ht="15" customHeight="1">
      <c r="A239" t="inlineStr">
        <is>
          <t>A 16414-2023</t>
        </is>
      </c>
      <c r="B239" s="1" t="n">
        <v>45022</v>
      </c>
      <c r="C239" s="1" t="n">
        <v>45507</v>
      </c>
      <c r="D239" t="inlineStr">
        <is>
          <t>VÄRMLANDS LÄN</t>
        </is>
      </c>
      <c r="E239" t="inlineStr">
        <is>
          <t>TORSBY</t>
        </is>
      </c>
      <c r="G239" t="n">
        <v>8.800000000000001</v>
      </c>
      <c r="H239" t="n">
        <v>2</v>
      </c>
      <c r="I239" t="n">
        <v>0</v>
      </c>
      <c r="J239" t="n">
        <v>2</v>
      </c>
      <c r="K239" t="n">
        <v>0</v>
      </c>
      <c r="L239" t="n">
        <v>0</v>
      </c>
      <c r="M239" t="n">
        <v>0</v>
      </c>
      <c r="N239" t="n">
        <v>0</v>
      </c>
      <c r="O239" t="n">
        <v>2</v>
      </c>
      <c r="P239" t="n">
        <v>0</v>
      </c>
      <c r="Q239" t="n">
        <v>2</v>
      </c>
      <c r="R239" s="2" t="inlineStr">
        <is>
          <t>Spillkråka
Talltita</t>
        </is>
      </c>
      <c r="S239">
        <f>HYPERLINK("https://klasma.github.io/Logging_1737/artfynd/A 16414-2023 artfynd.xlsx", "A 16414-2023")</f>
        <v/>
      </c>
      <c r="T239">
        <f>HYPERLINK("https://klasma.github.io/Logging_1737/kartor/A 16414-2023 karta.png", "A 16414-2023")</f>
        <v/>
      </c>
      <c r="V239">
        <f>HYPERLINK("https://klasma.github.io/Logging_1737/klagomål/A 16414-2023 FSC-klagomål.docx", "A 16414-2023")</f>
        <v/>
      </c>
      <c r="W239">
        <f>HYPERLINK("https://klasma.github.io/Logging_1737/klagomålsmail/A 16414-2023 FSC-klagomål mail.docx", "A 16414-2023")</f>
        <v/>
      </c>
      <c r="X239">
        <f>HYPERLINK("https://klasma.github.io/Logging_1737/tillsyn/A 16414-2023 tillsynsbegäran.docx", "A 16414-2023")</f>
        <v/>
      </c>
      <c r="Y239">
        <f>HYPERLINK("https://klasma.github.io/Logging_1737/tillsynsmail/A 16414-2023 tillsynsbegäran mail.docx", "A 16414-2023")</f>
        <v/>
      </c>
      <c r="Z239">
        <f>HYPERLINK("https://klasma.github.io/Logging_1737/fåglar/A 16414-2023 prioriterade fågelarter.docx", "A 16414-2023")</f>
        <v/>
      </c>
    </row>
    <row r="240" ht="15" customHeight="1">
      <c r="A240" t="inlineStr">
        <is>
          <t>A 16442-2023</t>
        </is>
      </c>
      <c r="B240" s="1" t="n">
        <v>45026</v>
      </c>
      <c r="C240" s="1" t="n">
        <v>45507</v>
      </c>
      <c r="D240" t="inlineStr">
        <is>
          <t>VÄRMLANDS LÄN</t>
        </is>
      </c>
      <c r="E240" t="inlineStr">
        <is>
          <t>TORSBY</t>
        </is>
      </c>
      <c r="G240" t="n">
        <v>2.1</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16442-2023 artfynd.xlsx", "A 16442-2023")</f>
        <v/>
      </c>
      <c r="T240">
        <f>HYPERLINK("https://klasma.github.io/Logging_1737/kartor/A 16442-2023 karta.png", "A 16442-2023")</f>
        <v/>
      </c>
      <c r="V240">
        <f>HYPERLINK("https://klasma.github.io/Logging_1737/klagomål/A 16442-2023 FSC-klagomål.docx", "A 16442-2023")</f>
        <v/>
      </c>
      <c r="W240">
        <f>HYPERLINK("https://klasma.github.io/Logging_1737/klagomålsmail/A 16442-2023 FSC-klagomål mail.docx", "A 16442-2023")</f>
        <v/>
      </c>
      <c r="X240">
        <f>HYPERLINK("https://klasma.github.io/Logging_1737/tillsyn/A 16442-2023 tillsynsbegäran.docx", "A 16442-2023")</f>
        <v/>
      </c>
      <c r="Y240">
        <f>HYPERLINK("https://klasma.github.io/Logging_1737/tillsynsmail/A 16442-2023 tillsynsbegäran mail.docx", "A 16442-2023")</f>
        <v/>
      </c>
    </row>
    <row r="241" ht="15" customHeight="1">
      <c r="A241" t="inlineStr">
        <is>
          <t>A 19945-2023</t>
        </is>
      </c>
      <c r="B241" s="1" t="n">
        <v>45054</v>
      </c>
      <c r="C241" s="1" t="n">
        <v>45507</v>
      </c>
      <c r="D241" t="inlineStr">
        <is>
          <t>VÄRMLANDS LÄN</t>
        </is>
      </c>
      <c r="E241" t="inlineStr">
        <is>
          <t>FILIPSTAD</t>
        </is>
      </c>
      <c r="G241" t="n">
        <v>3.3</v>
      </c>
      <c r="H241" t="n">
        <v>1</v>
      </c>
      <c r="I241" t="n">
        <v>2</v>
      </c>
      <c r="J241" t="n">
        <v>0</v>
      </c>
      <c r="K241" t="n">
        <v>0</v>
      </c>
      <c r="L241" t="n">
        <v>0</v>
      </c>
      <c r="M241" t="n">
        <v>0</v>
      </c>
      <c r="N241" t="n">
        <v>0</v>
      </c>
      <c r="O241" t="n">
        <v>0</v>
      </c>
      <c r="P241" t="n">
        <v>0</v>
      </c>
      <c r="Q241" t="n">
        <v>2</v>
      </c>
      <c r="R241" s="2" t="inlineStr">
        <is>
          <t>Guckusko
Kransrams</t>
        </is>
      </c>
      <c r="S241">
        <f>HYPERLINK("https://klasma.github.io/Logging_1782/artfynd/A 19945-2023 artfynd.xlsx", "A 19945-2023")</f>
        <v/>
      </c>
      <c r="T241">
        <f>HYPERLINK("https://klasma.github.io/Logging_1782/kartor/A 19945-2023 karta.png", "A 19945-2023")</f>
        <v/>
      </c>
      <c r="V241">
        <f>HYPERLINK("https://klasma.github.io/Logging_1782/klagomål/A 19945-2023 FSC-klagomål.docx", "A 19945-2023")</f>
        <v/>
      </c>
      <c r="W241">
        <f>HYPERLINK("https://klasma.github.io/Logging_1782/klagomålsmail/A 19945-2023 FSC-klagomål mail.docx", "A 19945-2023")</f>
        <v/>
      </c>
      <c r="X241">
        <f>HYPERLINK("https://klasma.github.io/Logging_1782/tillsyn/A 19945-2023 tillsynsbegäran.docx", "A 19945-2023")</f>
        <v/>
      </c>
      <c r="Y241">
        <f>HYPERLINK("https://klasma.github.io/Logging_1782/tillsynsmail/A 19945-2023 tillsynsbegäran mail.docx", "A 19945-2023")</f>
        <v/>
      </c>
    </row>
    <row r="242" ht="15" customHeight="1">
      <c r="A242" t="inlineStr">
        <is>
          <t>A 26039-2023</t>
        </is>
      </c>
      <c r="B242" s="1" t="n">
        <v>45091</v>
      </c>
      <c r="C242" s="1" t="n">
        <v>45507</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39251-2023</t>
        </is>
      </c>
      <c r="B243" s="1" t="n">
        <v>45166</v>
      </c>
      <c r="C243" s="1" t="n">
        <v>45507</v>
      </c>
      <c r="D243" t="inlineStr">
        <is>
          <t>VÄRMLANDS LÄN</t>
        </is>
      </c>
      <c r="E243" t="inlineStr">
        <is>
          <t>ÅRJÄNG</t>
        </is>
      </c>
      <c r="F243" t="inlineStr">
        <is>
          <t>Kyrkan</t>
        </is>
      </c>
      <c r="G243" t="n">
        <v>5.1</v>
      </c>
      <c r="H243" t="n">
        <v>2</v>
      </c>
      <c r="I243" t="n">
        <v>0</v>
      </c>
      <c r="J243" t="n">
        <v>1</v>
      </c>
      <c r="K243" t="n">
        <v>0</v>
      </c>
      <c r="L243" t="n">
        <v>0</v>
      </c>
      <c r="M243" t="n">
        <v>0</v>
      </c>
      <c r="N243" t="n">
        <v>0</v>
      </c>
      <c r="O243" t="n">
        <v>1</v>
      </c>
      <c r="P243" t="n">
        <v>0</v>
      </c>
      <c r="Q243" t="n">
        <v>2</v>
      </c>
      <c r="R243" s="2" t="inlineStr">
        <is>
          <t>Nordfladdermus
Vattenfladdermus</t>
        </is>
      </c>
      <c r="S243">
        <f>HYPERLINK("https://klasma.github.io/Logging_1765/artfynd/A 39251-2023 artfynd.xlsx", "A 39251-2023")</f>
        <v/>
      </c>
      <c r="T243">
        <f>HYPERLINK("https://klasma.github.io/Logging_1765/kartor/A 39251-2023 karta.png", "A 39251-2023")</f>
        <v/>
      </c>
      <c r="V243">
        <f>HYPERLINK("https://klasma.github.io/Logging_1765/klagomål/A 39251-2023 FSC-klagomål.docx", "A 39251-2023")</f>
        <v/>
      </c>
      <c r="W243">
        <f>HYPERLINK("https://klasma.github.io/Logging_1765/klagomålsmail/A 39251-2023 FSC-klagomål mail.docx", "A 39251-2023")</f>
        <v/>
      </c>
      <c r="X243">
        <f>HYPERLINK("https://klasma.github.io/Logging_1765/tillsyn/A 39251-2023 tillsynsbegäran.docx", "A 39251-2023")</f>
        <v/>
      </c>
      <c r="Y243">
        <f>HYPERLINK("https://klasma.github.io/Logging_1765/tillsynsmail/A 39251-2023 tillsynsbegäran mail.docx", "A 39251-2023")</f>
        <v/>
      </c>
    </row>
    <row r="244" ht="15" customHeight="1">
      <c r="A244" t="inlineStr">
        <is>
          <t>A 41507-2023</t>
        </is>
      </c>
      <c r="B244" s="1" t="n">
        <v>45175</v>
      </c>
      <c r="C244" s="1" t="n">
        <v>45507</v>
      </c>
      <c r="D244" t="inlineStr">
        <is>
          <t>VÄRMLANDS LÄN</t>
        </is>
      </c>
      <c r="E244" t="inlineStr">
        <is>
          <t>KARLSTAD</t>
        </is>
      </c>
      <c r="G244" t="n">
        <v>11.4</v>
      </c>
      <c r="H244" t="n">
        <v>0</v>
      </c>
      <c r="I244" t="n">
        <v>2</v>
      </c>
      <c r="J244" t="n">
        <v>0</v>
      </c>
      <c r="K244" t="n">
        <v>0</v>
      </c>
      <c r="L244" t="n">
        <v>0</v>
      </c>
      <c r="M244" t="n">
        <v>0</v>
      </c>
      <c r="N244" t="n">
        <v>0</v>
      </c>
      <c r="O244" t="n">
        <v>0</v>
      </c>
      <c r="P244" t="n">
        <v>0</v>
      </c>
      <c r="Q244" t="n">
        <v>2</v>
      </c>
      <c r="R244" s="2" t="inlineStr">
        <is>
          <t>Blåmossa
Thomsons trägnagare</t>
        </is>
      </c>
      <c r="S244">
        <f>HYPERLINK("https://klasma.github.io/Logging_1780/artfynd/A 41507-2023 artfynd.xlsx", "A 41507-2023")</f>
        <v/>
      </c>
      <c r="T244">
        <f>HYPERLINK("https://klasma.github.io/Logging_1780/kartor/A 41507-2023 karta.png", "A 41507-2023")</f>
        <v/>
      </c>
      <c r="V244">
        <f>HYPERLINK("https://klasma.github.io/Logging_1780/klagomål/A 41507-2023 FSC-klagomål.docx", "A 41507-2023")</f>
        <v/>
      </c>
      <c r="W244">
        <f>HYPERLINK("https://klasma.github.io/Logging_1780/klagomålsmail/A 41507-2023 FSC-klagomål mail.docx", "A 41507-2023")</f>
        <v/>
      </c>
      <c r="X244">
        <f>HYPERLINK("https://klasma.github.io/Logging_1780/tillsyn/A 41507-2023 tillsynsbegäran.docx", "A 41507-2023")</f>
        <v/>
      </c>
      <c r="Y244">
        <f>HYPERLINK("https://klasma.github.io/Logging_1780/tillsynsmail/A 41507-2023 tillsynsbegäran mail.docx", "A 41507-2023")</f>
        <v/>
      </c>
    </row>
    <row r="245" ht="15" customHeight="1">
      <c r="A245" t="inlineStr">
        <is>
          <t>A 42610-2023</t>
        </is>
      </c>
      <c r="B245" s="1" t="n">
        <v>45181</v>
      </c>
      <c r="C245" s="1" t="n">
        <v>45507</v>
      </c>
      <c r="D245" t="inlineStr">
        <is>
          <t>VÄRMLANDS LÄN</t>
        </is>
      </c>
      <c r="E245" t="inlineStr">
        <is>
          <t>TORSBY</t>
        </is>
      </c>
      <c r="G245" t="n">
        <v>16.9</v>
      </c>
      <c r="H245" t="n">
        <v>1</v>
      </c>
      <c r="I245" t="n">
        <v>0</v>
      </c>
      <c r="J245" t="n">
        <v>1</v>
      </c>
      <c r="K245" t="n">
        <v>0</v>
      </c>
      <c r="L245" t="n">
        <v>0</v>
      </c>
      <c r="M245" t="n">
        <v>0</v>
      </c>
      <c r="N245" t="n">
        <v>0</v>
      </c>
      <c r="O245" t="n">
        <v>1</v>
      </c>
      <c r="P245" t="n">
        <v>0</v>
      </c>
      <c r="Q245" t="n">
        <v>2</v>
      </c>
      <c r="R245" s="2" t="inlineStr">
        <is>
          <t>Garnlav
Tjäder</t>
        </is>
      </c>
      <c r="S245">
        <f>HYPERLINK("https://klasma.github.io/Logging_1737/artfynd/A 42610-2023 artfynd.xlsx", "A 42610-2023")</f>
        <v/>
      </c>
      <c r="T245">
        <f>HYPERLINK("https://klasma.github.io/Logging_1737/kartor/A 42610-2023 karta.png", "A 42610-2023")</f>
        <v/>
      </c>
      <c r="V245">
        <f>HYPERLINK("https://klasma.github.io/Logging_1737/klagomål/A 42610-2023 FSC-klagomål.docx", "A 42610-2023")</f>
        <v/>
      </c>
      <c r="W245">
        <f>HYPERLINK("https://klasma.github.io/Logging_1737/klagomålsmail/A 42610-2023 FSC-klagomål mail.docx", "A 42610-2023")</f>
        <v/>
      </c>
      <c r="X245">
        <f>HYPERLINK("https://klasma.github.io/Logging_1737/tillsyn/A 42610-2023 tillsynsbegäran.docx", "A 42610-2023")</f>
        <v/>
      </c>
      <c r="Y245">
        <f>HYPERLINK("https://klasma.github.io/Logging_1737/tillsynsmail/A 42610-2023 tillsynsbegäran mail.docx", "A 42610-2023")</f>
        <v/>
      </c>
      <c r="Z245">
        <f>HYPERLINK("https://klasma.github.io/Logging_1737/fåglar/A 42610-2023 prioriterade fågelarter.docx", "A 42610-2023")</f>
        <v/>
      </c>
    </row>
    <row r="246" ht="15" customHeight="1">
      <c r="A246" t="inlineStr">
        <is>
          <t>A 43389-2023</t>
        </is>
      </c>
      <c r="B246" s="1" t="n">
        <v>45183</v>
      </c>
      <c r="C246" s="1" t="n">
        <v>45507</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45401-2023</t>
        </is>
      </c>
      <c r="B247" s="1" t="n">
        <v>45194</v>
      </c>
      <c r="C247" s="1" t="n">
        <v>45507</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46008-2023</t>
        </is>
      </c>
      <c r="B248" s="1" t="n">
        <v>45196</v>
      </c>
      <c r="C248" s="1" t="n">
        <v>45507</v>
      </c>
      <c r="D248" t="inlineStr">
        <is>
          <t>VÄRMLANDS LÄN</t>
        </is>
      </c>
      <c r="E248" t="inlineStr">
        <is>
          <t>TORSBY</t>
        </is>
      </c>
      <c r="G248" t="n">
        <v>15.4</v>
      </c>
      <c r="H248" t="n">
        <v>0</v>
      </c>
      <c r="I248" t="n">
        <v>0</v>
      </c>
      <c r="J248" t="n">
        <v>2</v>
      </c>
      <c r="K248" t="n">
        <v>0</v>
      </c>
      <c r="L248" t="n">
        <v>0</v>
      </c>
      <c r="M248" t="n">
        <v>0</v>
      </c>
      <c r="N248" t="n">
        <v>0</v>
      </c>
      <c r="O248" t="n">
        <v>2</v>
      </c>
      <c r="P248" t="n">
        <v>0</v>
      </c>
      <c r="Q248" t="n">
        <v>2</v>
      </c>
      <c r="R248" s="2" t="inlineStr">
        <is>
          <t>Dvärgbägarlav
Garnlav</t>
        </is>
      </c>
      <c r="S248">
        <f>HYPERLINK("https://klasma.github.io/Logging_1737/artfynd/A 46008-2023 artfynd.xlsx", "A 46008-2023")</f>
        <v/>
      </c>
      <c r="T248">
        <f>HYPERLINK("https://klasma.github.io/Logging_1737/kartor/A 46008-2023 karta.png", "A 46008-2023")</f>
        <v/>
      </c>
      <c r="V248">
        <f>HYPERLINK("https://klasma.github.io/Logging_1737/klagomål/A 46008-2023 FSC-klagomål.docx", "A 46008-2023")</f>
        <v/>
      </c>
      <c r="W248">
        <f>HYPERLINK("https://klasma.github.io/Logging_1737/klagomålsmail/A 46008-2023 FSC-klagomål mail.docx", "A 46008-2023")</f>
        <v/>
      </c>
      <c r="X248">
        <f>HYPERLINK("https://klasma.github.io/Logging_1737/tillsyn/A 46008-2023 tillsynsbegäran.docx", "A 46008-2023")</f>
        <v/>
      </c>
      <c r="Y248">
        <f>HYPERLINK("https://klasma.github.io/Logging_1737/tillsynsmail/A 46008-2023 tillsynsbegäran mail.docx", "A 46008-2023")</f>
        <v/>
      </c>
    </row>
    <row r="249" ht="15" customHeight="1">
      <c r="A249" t="inlineStr">
        <is>
          <t>A 47551-2023</t>
        </is>
      </c>
      <c r="B249" s="1" t="n">
        <v>45203</v>
      </c>
      <c r="C249" s="1" t="n">
        <v>45507</v>
      </c>
      <c r="D249" t="inlineStr">
        <is>
          <t>VÄRMLANDS LÄN</t>
        </is>
      </c>
      <c r="E249" t="inlineStr">
        <is>
          <t>SÄFFLE</t>
        </is>
      </c>
      <c r="G249" t="n">
        <v>1.4</v>
      </c>
      <c r="H249" t="n">
        <v>2</v>
      </c>
      <c r="I249" t="n">
        <v>0</v>
      </c>
      <c r="J249" t="n">
        <v>0</v>
      </c>
      <c r="K249" t="n">
        <v>0</v>
      </c>
      <c r="L249" t="n">
        <v>0</v>
      </c>
      <c r="M249" t="n">
        <v>0</v>
      </c>
      <c r="N249" t="n">
        <v>0</v>
      </c>
      <c r="O249" t="n">
        <v>0</v>
      </c>
      <c r="P249" t="n">
        <v>0</v>
      </c>
      <c r="Q249" t="n">
        <v>2</v>
      </c>
      <c r="R249" s="2" t="inlineStr">
        <is>
          <t>Större vattensalamander
Vanlig snok</t>
        </is>
      </c>
      <c r="S249">
        <f>HYPERLINK("https://klasma.github.io/Logging_1785/artfynd/A 47551-2023 artfynd.xlsx", "A 47551-2023")</f>
        <v/>
      </c>
      <c r="T249">
        <f>HYPERLINK("https://klasma.github.io/Logging_1785/kartor/A 47551-2023 karta.png", "A 47551-2023")</f>
        <v/>
      </c>
      <c r="V249">
        <f>HYPERLINK("https://klasma.github.io/Logging_1785/klagomål/A 47551-2023 FSC-klagomål.docx", "A 47551-2023")</f>
        <v/>
      </c>
      <c r="W249">
        <f>HYPERLINK("https://klasma.github.io/Logging_1785/klagomålsmail/A 47551-2023 FSC-klagomål mail.docx", "A 47551-2023")</f>
        <v/>
      </c>
      <c r="X249">
        <f>HYPERLINK("https://klasma.github.io/Logging_1785/tillsyn/A 47551-2023 tillsynsbegäran.docx", "A 47551-2023")</f>
        <v/>
      </c>
      <c r="Y249">
        <f>HYPERLINK("https://klasma.github.io/Logging_1785/tillsynsmail/A 47551-2023 tillsynsbegäran mail.docx", "A 47551-2023")</f>
        <v/>
      </c>
    </row>
    <row r="250" ht="15" customHeight="1">
      <c r="A250" t="inlineStr">
        <is>
          <t>A 48292-2023</t>
        </is>
      </c>
      <c r="B250" s="1" t="n">
        <v>45205</v>
      </c>
      <c r="C250" s="1" t="n">
        <v>45507</v>
      </c>
      <c r="D250" t="inlineStr">
        <is>
          <t>VÄRMLANDS LÄN</t>
        </is>
      </c>
      <c r="E250" t="inlineStr">
        <is>
          <t>TORSBY</t>
        </is>
      </c>
      <c r="G250" t="n">
        <v>2.3</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48292-2023 artfynd.xlsx", "A 48292-2023")</f>
        <v/>
      </c>
      <c r="T250">
        <f>HYPERLINK("https://klasma.github.io/Logging_1737/kartor/A 48292-2023 karta.png", "A 48292-2023")</f>
        <v/>
      </c>
      <c r="V250">
        <f>HYPERLINK("https://klasma.github.io/Logging_1737/klagomål/A 48292-2023 FSC-klagomål.docx", "A 48292-2023")</f>
        <v/>
      </c>
      <c r="W250">
        <f>HYPERLINK("https://klasma.github.io/Logging_1737/klagomålsmail/A 48292-2023 FSC-klagomål mail.docx", "A 48292-2023")</f>
        <v/>
      </c>
      <c r="X250">
        <f>HYPERLINK("https://klasma.github.io/Logging_1737/tillsyn/A 48292-2023 tillsynsbegäran.docx", "A 48292-2023")</f>
        <v/>
      </c>
      <c r="Y250">
        <f>HYPERLINK("https://klasma.github.io/Logging_1737/tillsynsmail/A 48292-2023 tillsynsbegäran mail.docx", "A 48292-2023")</f>
        <v/>
      </c>
    </row>
    <row r="251" ht="15" customHeight="1">
      <c r="A251" t="inlineStr">
        <is>
          <t>A 48678-2023</t>
        </is>
      </c>
      <c r="B251" s="1" t="n">
        <v>45208</v>
      </c>
      <c r="C251" s="1" t="n">
        <v>45507</v>
      </c>
      <c r="D251" t="inlineStr">
        <is>
          <t>VÄRMLANDS LÄN</t>
        </is>
      </c>
      <c r="E251" t="inlineStr">
        <is>
          <t>ÅRJÄNG</t>
        </is>
      </c>
      <c r="G251" t="n">
        <v>7.5</v>
      </c>
      <c r="H251" t="n">
        <v>1</v>
      </c>
      <c r="I251" t="n">
        <v>1</v>
      </c>
      <c r="J251" t="n">
        <v>0</v>
      </c>
      <c r="K251" t="n">
        <v>0</v>
      </c>
      <c r="L251" t="n">
        <v>0</v>
      </c>
      <c r="M251" t="n">
        <v>0</v>
      </c>
      <c r="N251" t="n">
        <v>0</v>
      </c>
      <c r="O251" t="n">
        <v>0</v>
      </c>
      <c r="P251" t="n">
        <v>0</v>
      </c>
      <c r="Q251" t="n">
        <v>2</v>
      </c>
      <c r="R251" s="2" t="inlineStr">
        <is>
          <t>Dropptaggsvamp
Tjäder</t>
        </is>
      </c>
      <c r="S251">
        <f>HYPERLINK("https://klasma.github.io/Logging_1765/artfynd/A 48678-2023 artfynd.xlsx", "A 48678-2023")</f>
        <v/>
      </c>
      <c r="T251">
        <f>HYPERLINK("https://klasma.github.io/Logging_1765/kartor/A 48678-2023 karta.png", "A 48678-2023")</f>
        <v/>
      </c>
      <c r="V251">
        <f>HYPERLINK("https://klasma.github.io/Logging_1765/klagomål/A 48678-2023 FSC-klagomål.docx", "A 48678-2023")</f>
        <v/>
      </c>
      <c r="W251">
        <f>HYPERLINK("https://klasma.github.io/Logging_1765/klagomålsmail/A 48678-2023 FSC-klagomål mail.docx", "A 48678-2023")</f>
        <v/>
      </c>
      <c r="X251">
        <f>HYPERLINK("https://klasma.github.io/Logging_1765/tillsyn/A 48678-2023 tillsynsbegäran.docx", "A 48678-2023")</f>
        <v/>
      </c>
      <c r="Y251">
        <f>HYPERLINK("https://klasma.github.io/Logging_1765/tillsynsmail/A 48678-2023 tillsynsbegäran mail.docx", "A 48678-2023")</f>
        <v/>
      </c>
      <c r="Z251">
        <f>HYPERLINK("https://klasma.github.io/Logging_1765/fåglar/A 48678-2023 prioriterade fågelarter.docx", "A 48678-2023")</f>
        <v/>
      </c>
    </row>
    <row r="252" ht="15" customHeight="1">
      <c r="A252" t="inlineStr">
        <is>
          <t>A 53000-2023</t>
        </is>
      </c>
      <c r="B252" s="1" t="n">
        <v>45226</v>
      </c>
      <c r="C252" s="1" t="n">
        <v>45507</v>
      </c>
      <c r="D252" t="inlineStr">
        <is>
          <t>VÄRMLANDS LÄN</t>
        </is>
      </c>
      <c r="E252" t="inlineStr">
        <is>
          <t>FORSHAGA</t>
        </is>
      </c>
      <c r="F252" t="inlineStr">
        <is>
          <t>Bergvik skog väst AB</t>
        </is>
      </c>
      <c r="G252" t="n">
        <v>13.2</v>
      </c>
      <c r="H252" t="n">
        <v>1</v>
      </c>
      <c r="I252" t="n">
        <v>1</v>
      </c>
      <c r="J252" t="n">
        <v>0</v>
      </c>
      <c r="K252" t="n">
        <v>0</v>
      </c>
      <c r="L252" t="n">
        <v>0</v>
      </c>
      <c r="M252" t="n">
        <v>0</v>
      </c>
      <c r="N252" t="n">
        <v>0</v>
      </c>
      <c r="O252" t="n">
        <v>0</v>
      </c>
      <c r="P252" t="n">
        <v>0</v>
      </c>
      <c r="Q252" t="n">
        <v>2</v>
      </c>
      <c r="R252" s="2" t="inlineStr">
        <is>
          <t>Svart trolldruva
Blåsippa</t>
        </is>
      </c>
      <c r="S252">
        <f>HYPERLINK("https://klasma.github.io/Logging_1763/artfynd/A 53000-2023 artfynd.xlsx", "A 53000-2023")</f>
        <v/>
      </c>
      <c r="T252">
        <f>HYPERLINK("https://klasma.github.io/Logging_1763/kartor/A 53000-2023 karta.png", "A 53000-2023")</f>
        <v/>
      </c>
      <c r="V252">
        <f>HYPERLINK("https://klasma.github.io/Logging_1763/klagomål/A 53000-2023 FSC-klagomål.docx", "A 53000-2023")</f>
        <v/>
      </c>
      <c r="W252">
        <f>HYPERLINK("https://klasma.github.io/Logging_1763/klagomålsmail/A 53000-2023 FSC-klagomål mail.docx", "A 53000-2023")</f>
        <v/>
      </c>
      <c r="X252">
        <f>HYPERLINK("https://klasma.github.io/Logging_1763/tillsyn/A 53000-2023 tillsynsbegäran.docx", "A 53000-2023")</f>
        <v/>
      </c>
      <c r="Y252">
        <f>HYPERLINK("https://klasma.github.io/Logging_1763/tillsynsmail/A 53000-2023 tillsynsbegäran mail.docx", "A 53000-2023")</f>
        <v/>
      </c>
    </row>
    <row r="253" ht="15" customHeight="1">
      <c r="A253" t="inlineStr">
        <is>
          <t>A 60741-2023</t>
        </is>
      </c>
      <c r="B253" s="1" t="n">
        <v>45260</v>
      </c>
      <c r="C253" s="1" t="n">
        <v>45507</v>
      </c>
      <c r="D253" t="inlineStr">
        <is>
          <t>VÄRMLANDS LÄN</t>
        </is>
      </c>
      <c r="E253" t="inlineStr">
        <is>
          <t>ÅRJÄNG</t>
        </is>
      </c>
      <c r="G253" t="n">
        <v>2.7</v>
      </c>
      <c r="H253" t="n">
        <v>0</v>
      </c>
      <c r="I253" t="n">
        <v>0</v>
      </c>
      <c r="J253" t="n">
        <v>2</v>
      </c>
      <c r="K253" t="n">
        <v>0</v>
      </c>
      <c r="L253" t="n">
        <v>0</v>
      </c>
      <c r="M253" t="n">
        <v>0</v>
      </c>
      <c r="N253" t="n">
        <v>0</v>
      </c>
      <c r="O253" t="n">
        <v>2</v>
      </c>
      <c r="P253" t="n">
        <v>0</v>
      </c>
      <c r="Q253" t="n">
        <v>2</v>
      </c>
      <c r="R253" s="2" t="inlineStr">
        <is>
          <t>Garnlav
Vedskivlav</t>
        </is>
      </c>
      <c r="S253">
        <f>HYPERLINK("https://klasma.github.io/Logging_1765/artfynd/A 60741-2023 artfynd.xlsx", "A 60741-2023")</f>
        <v/>
      </c>
      <c r="T253">
        <f>HYPERLINK("https://klasma.github.io/Logging_1765/kartor/A 60741-2023 karta.png", "A 60741-2023")</f>
        <v/>
      </c>
      <c r="V253">
        <f>HYPERLINK("https://klasma.github.io/Logging_1765/klagomål/A 60741-2023 FSC-klagomål.docx", "A 60741-2023")</f>
        <v/>
      </c>
      <c r="W253">
        <f>HYPERLINK("https://klasma.github.io/Logging_1765/klagomålsmail/A 60741-2023 FSC-klagomål mail.docx", "A 60741-2023")</f>
        <v/>
      </c>
      <c r="X253">
        <f>HYPERLINK("https://klasma.github.io/Logging_1765/tillsyn/A 60741-2023 tillsynsbegäran.docx", "A 60741-2023")</f>
        <v/>
      </c>
      <c r="Y253">
        <f>HYPERLINK("https://klasma.github.io/Logging_1765/tillsynsmail/A 60741-2023 tillsynsbegäran mail.docx", "A 60741-2023")</f>
        <v/>
      </c>
    </row>
    <row r="254" ht="15" customHeight="1">
      <c r="A254" t="inlineStr">
        <is>
          <t>A 60688-2023</t>
        </is>
      </c>
      <c r="B254" s="1" t="n">
        <v>45260</v>
      </c>
      <c r="C254" s="1" t="n">
        <v>45507</v>
      </c>
      <c r="D254" t="inlineStr">
        <is>
          <t>VÄRMLANDS LÄN</t>
        </is>
      </c>
      <c r="E254" t="inlineStr">
        <is>
          <t>ÅRJÄNG</t>
        </is>
      </c>
      <c r="G254" t="n">
        <v>4.2</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60688-2023 artfynd.xlsx", "A 60688-2023")</f>
        <v/>
      </c>
      <c r="T254">
        <f>HYPERLINK("https://klasma.github.io/Logging_1765/kartor/A 60688-2023 karta.png", "A 60688-2023")</f>
        <v/>
      </c>
      <c r="V254">
        <f>HYPERLINK("https://klasma.github.io/Logging_1765/klagomål/A 60688-2023 FSC-klagomål.docx", "A 60688-2023")</f>
        <v/>
      </c>
      <c r="W254">
        <f>HYPERLINK("https://klasma.github.io/Logging_1765/klagomålsmail/A 60688-2023 FSC-klagomål mail.docx", "A 60688-2023")</f>
        <v/>
      </c>
      <c r="X254">
        <f>HYPERLINK("https://klasma.github.io/Logging_1765/tillsyn/A 60688-2023 tillsynsbegäran.docx", "A 60688-2023")</f>
        <v/>
      </c>
      <c r="Y254">
        <f>HYPERLINK("https://klasma.github.io/Logging_1765/tillsynsmail/A 60688-2023 tillsynsbegäran mail.docx", "A 60688-2023")</f>
        <v/>
      </c>
    </row>
    <row r="255" ht="15" customHeight="1">
      <c r="A255" t="inlineStr">
        <is>
          <t>A 61722-2023</t>
        </is>
      </c>
      <c r="B255" s="1" t="n">
        <v>45265</v>
      </c>
      <c r="C255" s="1" t="n">
        <v>45507</v>
      </c>
      <c r="D255" t="inlineStr">
        <is>
          <t>VÄRMLANDS LÄN</t>
        </is>
      </c>
      <c r="E255" t="inlineStr">
        <is>
          <t>FORSHAGA</t>
        </is>
      </c>
      <c r="G255" t="n">
        <v>1.7</v>
      </c>
      <c r="H255" t="n">
        <v>2</v>
      </c>
      <c r="I255" t="n">
        <v>0</v>
      </c>
      <c r="J255" t="n">
        <v>1</v>
      </c>
      <c r="K255" t="n">
        <v>0</v>
      </c>
      <c r="L255" t="n">
        <v>0</v>
      </c>
      <c r="M255" t="n">
        <v>0</v>
      </c>
      <c r="N255" t="n">
        <v>0</v>
      </c>
      <c r="O255" t="n">
        <v>1</v>
      </c>
      <c r="P255" t="n">
        <v>0</v>
      </c>
      <c r="Q255" t="n">
        <v>2</v>
      </c>
      <c r="R255" s="2" t="inlineStr">
        <is>
          <t>Spillkråka
Vanlig groda</t>
        </is>
      </c>
      <c r="S255">
        <f>HYPERLINK("https://klasma.github.io/Logging_1763/artfynd/A 61722-2023 artfynd.xlsx", "A 61722-2023")</f>
        <v/>
      </c>
      <c r="T255">
        <f>HYPERLINK("https://klasma.github.io/Logging_1763/kartor/A 61722-2023 karta.png", "A 61722-2023")</f>
        <v/>
      </c>
      <c r="V255">
        <f>HYPERLINK("https://klasma.github.io/Logging_1763/klagomål/A 61722-2023 FSC-klagomål.docx", "A 61722-2023")</f>
        <v/>
      </c>
      <c r="W255">
        <f>HYPERLINK("https://klasma.github.io/Logging_1763/klagomålsmail/A 61722-2023 FSC-klagomål mail.docx", "A 61722-2023")</f>
        <v/>
      </c>
      <c r="X255">
        <f>HYPERLINK("https://klasma.github.io/Logging_1763/tillsyn/A 61722-2023 tillsynsbegäran.docx", "A 61722-2023")</f>
        <v/>
      </c>
      <c r="Y255">
        <f>HYPERLINK("https://klasma.github.io/Logging_1763/tillsynsmail/A 61722-2023 tillsynsbegäran mail.docx", "A 61722-2023")</f>
        <v/>
      </c>
      <c r="Z255">
        <f>HYPERLINK("https://klasma.github.io/Logging_1763/fåglar/A 61722-2023 prioriterade fågelarter.docx", "A 61722-2023")</f>
        <v/>
      </c>
    </row>
    <row r="256" ht="15" customHeight="1">
      <c r="A256" t="inlineStr">
        <is>
          <t>A 62955-2023</t>
        </is>
      </c>
      <c r="B256" s="1" t="n">
        <v>45271</v>
      </c>
      <c r="C256" s="1" t="n">
        <v>45507</v>
      </c>
      <c r="D256" t="inlineStr">
        <is>
          <t>VÄRMLANDS LÄN</t>
        </is>
      </c>
      <c r="E256" t="inlineStr">
        <is>
          <t>TORSBY</t>
        </is>
      </c>
      <c r="F256" t="inlineStr">
        <is>
          <t>Övriga statliga verk och myndigheter</t>
        </is>
      </c>
      <c r="G256" t="n">
        <v>4.2</v>
      </c>
      <c r="H256" t="n">
        <v>0</v>
      </c>
      <c r="I256" t="n">
        <v>0</v>
      </c>
      <c r="J256" t="n">
        <v>2</v>
      </c>
      <c r="K256" t="n">
        <v>0</v>
      </c>
      <c r="L256" t="n">
        <v>0</v>
      </c>
      <c r="M256" t="n">
        <v>0</v>
      </c>
      <c r="N256" t="n">
        <v>0</v>
      </c>
      <c r="O256" t="n">
        <v>2</v>
      </c>
      <c r="P256" t="n">
        <v>0</v>
      </c>
      <c r="Q256" t="n">
        <v>2</v>
      </c>
      <c r="R256" s="2" t="inlineStr">
        <is>
          <t>Garnlav
Vedtrappmossa</t>
        </is>
      </c>
      <c r="S256">
        <f>HYPERLINK("https://klasma.github.io/Logging_1737/artfynd/A 62955-2023 artfynd.xlsx", "A 62955-2023")</f>
        <v/>
      </c>
      <c r="T256">
        <f>HYPERLINK("https://klasma.github.io/Logging_1737/kartor/A 62955-2023 karta.png", "A 62955-2023")</f>
        <v/>
      </c>
      <c r="V256">
        <f>HYPERLINK("https://klasma.github.io/Logging_1737/klagomål/A 62955-2023 FSC-klagomål.docx", "A 62955-2023")</f>
        <v/>
      </c>
      <c r="W256">
        <f>HYPERLINK("https://klasma.github.io/Logging_1737/klagomålsmail/A 62955-2023 FSC-klagomål mail.docx", "A 62955-2023")</f>
        <v/>
      </c>
      <c r="X256">
        <f>HYPERLINK("https://klasma.github.io/Logging_1737/tillsyn/A 62955-2023 tillsynsbegäran.docx", "A 62955-2023")</f>
        <v/>
      </c>
      <c r="Y256">
        <f>HYPERLINK("https://klasma.github.io/Logging_1737/tillsynsmail/A 62955-2023 tillsynsbegäran mail.docx", "A 62955-2023")</f>
        <v/>
      </c>
    </row>
    <row r="257" ht="15" customHeight="1">
      <c r="A257" t="inlineStr">
        <is>
          <t>A 63625-2023</t>
        </is>
      </c>
      <c r="B257" s="1" t="n">
        <v>45275</v>
      </c>
      <c r="C257" s="1" t="n">
        <v>45507</v>
      </c>
      <c r="D257" t="inlineStr">
        <is>
          <t>VÄRMLANDS LÄN</t>
        </is>
      </c>
      <c r="E257" t="inlineStr">
        <is>
          <t>FILIPSTAD</t>
        </is>
      </c>
      <c r="G257" t="n">
        <v>1.9</v>
      </c>
      <c r="H257" t="n">
        <v>0</v>
      </c>
      <c r="I257" t="n">
        <v>0</v>
      </c>
      <c r="J257" t="n">
        <v>1</v>
      </c>
      <c r="K257" t="n">
        <v>1</v>
      </c>
      <c r="L257" t="n">
        <v>0</v>
      </c>
      <c r="M257" t="n">
        <v>0</v>
      </c>
      <c r="N257" t="n">
        <v>0</v>
      </c>
      <c r="O257" t="n">
        <v>2</v>
      </c>
      <c r="P257" t="n">
        <v>1</v>
      </c>
      <c r="Q257" t="n">
        <v>2</v>
      </c>
      <c r="R257" s="2" t="inlineStr">
        <is>
          <t>Smalfotad taggsvamp
Vaddporing</t>
        </is>
      </c>
      <c r="S257">
        <f>HYPERLINK("https://klasma.github.io/Logging_1782/artfynd/A 63625-2023 artfynd.xlsx", "A 63625-2023")</f>
        <v/>
      </c>
      <c r="T257">
        <f>HYPERLINK("https://klasma.github.io/Logging_1782/kartor/A 63625-2023 karta.png", "A 63625-2023")</f>
        <v/>
      </c>
      <c r="V257">
        <f>HYPERLINK("https://klasma.github.io/Logging_1782/klagomål/A 63625-2023 FSC-klagomål.docx", "A 63625-2023")</f>
        <v/>
      </c>
      <c r="W257">
        <f>HYPERLINK("https://klasma.github.io/Logging_1782/klagomålsmail/A 63625-2023 FSC-klagomål mail.docx", "A 63625-2023")</f>
        <v/>
      </c>
      <c r="X257">
        <f>HYPERLINK("https://klasma.github.io/Logging_1782/tillsyn/A 63625-2023 tillsynsbegäran.docx", "A 63625-2023")</f>
        <v/>
      </c>
      <c r="Y257">
        <f>HYPERLINK("https://klasma.github.io/Logging_1782/tillsynsmail/A 63625-2023 tillsynsbegäran mail.docx", "A 63625-2023")</f>
        <v/>
      </c>
    </row>
    <row r="258" ht="15" customHeight="1">
      <c r="A258" t="inlineStr">
        <is>
          <t>A 65232-2023</t>
        </is>
      </c>
      <c r="B258" s="1" t="n">
        <v>45289</v>
      </c>
      <c r="C258" s="1" t="n">
        <v>45507</v>
      </c>
      <c r="D258" t="inlineStr">
        <is>
          <t>VÄRMLANDS LÄN</t>
        </is>
      </c>
      <c r="E258" t="inlineStr">
        <is>
          <t>FILIPSTAD</t>
        </is>
      </c>
      <c r="F258" t="inlineStr">
        <is>
          <t>Bergvik skog väst AB</t>
        </is>
      </c>
      <c r="G258" t="n">
        <v>26.4</v>
      </c>
      <c r="H258" t="n">
        <v>0</v>
      </c>
      <c r="I258" t="n">
        <v>2</v>
      </c>
      <c r="J258" t="n">
        <v>0</v>
      </c>
      <c r="K258" t="n">
        <v>0</v>
      </c>
      <c r="L258" t="n">
        <v>0</v>
      </c>
      <c r="M258" t="n">
        <v>0</v>
      </c>
      <c r="N258" t="n">
        <v>0</v>
      </c>
      <c r="O258" t="n">
        <v>0</v>
      </c>
      <c r="P258" t="n">
        <v>0</v>
      </c>
      <c r="Q258" t="n">
        <v>2</v>
      </c>
      <c r="R258" s="2" t="inlineStr">
        <is>
          <t>Spetsvaxskivling
Ögonpyrola</t>
        </is>
      </c>
      <c r="S258">
        <f>HYPERLINK("https://klasma.github.io/Logging_1782/artfynd/A 65232-2023 artfynd.xlsx", "A 65232-2023")</f>
        <v/>
      </c>
      <c r="T258">
        <f>HYPERLINK("https://klasma.github.io/Logging_1782/kartor/A 65232-2023 karta.png", "A 65232-2023")</f>
        <v/>
      </c>
      <c r="V258">
        <f>HYPERLINK("https://klasma.github.io/Logging_1782/klagomål/A 65232-2023 FSC-klagomål.docx", "A 65232-2023")</f>
        <v/>
      </c>
      <c r="W258">
        <f>HYPERLINK("https://klasma.github.io/Logging_1782/klagomålsmail/A 65232-2023 FSC-klagomål mail.docx", "A 65232-2023")</f>
        <v/>
      </c>
      <c r="X258">
        <f>HYPERLINK("https://klasma.github.io/Logging_1782/tillsyn/A 65232-2023 tillsynsbegäran.docx", "A 65232-2023")</f>
        <v/>
      </c>
      <c r="Y258">
        <f>HYPERLINK("https://klasma.github.io/Logging_1782/tillsynsmail/A 65232-2023 tillsynsbegäran mail.docx", "A 65232-2023")</f>
        <v/>
      </c>
    </row>
    <row r="259" ht="15" customHeight="1">
      <c r="A259" t="inlineStr">
        <is>
          <t>A 4068-2024</t>
        </is>
      </c>
      <c r="B259" s="1" t="n">
        <v>45323</v>
      </c>
      <c r="C259" s="1" t="n">
        <v>45507</v>
      </c>
      <c r="D259" t="inlineStr">
        <is>
          <t>VÄRMLANDS LÄN</t>
        </is>
      </c>
      <c r="E259" t="inlineStr">
        <is>
          <t>TORSBY</t>
        </is>
      </c>
      <c r="G259" t="n">
        <v>2.9</v>
      </c>
      <c r="H259" t="n">
        <v>1</v>
      </c>
      <c r="I259" t="n">
        <v>2</v>
      </c>
      <c r="J259" t="n">
        <v>0</v>
      </c>
      <c r="K259" t="n">
        <v>0</v>
      </c>
      <c r="L259" t="n">
        <v>0</v>
      </c>
      <c r="M259" t="n">
        <v>0</v>
      </c>
      <c r="N259" t="n">
        <v>0</v>
      </c>
      <c r="O259" t="n">
        <v>0</v>
      </c>
      <c r="P259" t="n">
        <v>0</v>
      </c>
      <c r="Q259" t="n">
        <v>2</v>
      </c>
      <c r="R259" s="2" t="inlineStr">
        <is>
          <t>Korallrot
Springkorn</t>
        </is>
      </c>
      <c r="S259">
        <f>HYPERLINK("https://klasma.github.io/Logging_1737/artfynd/A 4068-2024 artfynd.xlsx", "A 4068-2024")</f>
        <v/>
      </c>
      <c r="T259">
        <f>HYPERLINK("https://klasma.github.io/Logging_1737/kartor/A 4068-2024 karta.png", "A 4068-2024")</f>
        <v/>
      </c>
      <c r="V259">
        <f>HYPERLINK("https://klasma.github.io/Logging_1737/klagomål/A 4068-2024 FSC-klagomål.docx", "A 4068-2024")</f>
        <v/>
      </c>
      <c r="W259">
        <f>HYPERLINK("https://klasma.github.io/Logging_1737/klagomålsmail/A 4068-2024 FSC-klagomål mail.docx", "A 4068-2024")</f>
        <v/>
      </c>
      <c r="X259">
        <f>HYPERLINK("https://klasma.github.io/Logging_1737/tillsyn/A 4068-2024 tillsynsbegäran.docx", "A 4068-2024")</f>
        <v/>
      </c>
      <c r="Y259">
        <f>HYPERLINK("https://klasma.github.io/Logging_1737/tillsynsmail/A 4068-2024 tillsynsbegäran mail.docx", "A 4068-2024")</f>
        <v/>
      </c>
    </row>
    <row r="260" ht="15" customHeight="1">
      <c r="A260" t="inlineStr">
        <is>
          <t>A 4296-2024</t>
        </is>
      </c>
      <c r="B260" s="1" t="n">
        <v>45324</v>
      </c>
      <c r="C260" s="1" t="n">
        <v>45507</v>
      </c>
      <c r="D260" t="inlineStr">
        <is>
          <t>VÄRMLANDS LÄN</t>
        </is>
      </c>
      <c r="E260" t="inlineStr">
        <is>
          <t>KARLSTAD</t>
        </is>
      </c>
      <c r="G260" t="n">
        <v>7.1</v>
      </c>
      <c r="H260" t="n">
        <v>2</v>
      </c>
      <c r="I260" t="n">
        <v>0</v>
      </c>
      <c r="J260" t="n">
        <v>2</v>
      </c>
      <c r="K260" t="n">
        <v>0</v>
      </c>
      <c r="L260" t="n">
        <v>0</v>
      </c>
      <c r="M260" t="n">
        <v>0</v>
      </c>
      <c r="N260" t="n">
        <v>0</v>
      </c>
      <c r="O260" t="n">
        <v>2</v>
      </c>
      <c r="P260" t="n">
        <v>0</v>
      </c>
      <c r="Q260" t="n">
        <v>2</v>
      </c>
      <c r="R260" s="2" t="inlineStr">
        <is>
          <t>Duvhök
Spillkråka</t>
        </is>
      </c>
      <c r="S260">
        <f>HYPERLINK("https://klasma.github.io/Logging_1780/artfynd/A 4296-2024 artfynd.xlsx", "A 4296-2024")</f>
        <v/>
      </c>
      <c r="T260">
        <f>HYPERLINK("https://klasma.github.io/Logging_1780/kartor/A 4296-2024 karta.png", "A 4296-2024")</f>
        <v/>
      </c>
      <c r="V260">
        <f>HYPERLINK("https://klasma.github.io/Logging_1780/klagomål/A 4296-2024 FSC-klagomål.docx", "A 4296-2024")</f>
        <v/>
      </c>
      <c r="W260">
        <f>HYPERLINK("https://klasma.github.io/Logging_1780/klagomålsmail/A 4296-2024 FSC-klagomål mail.docx", "A 4296-2024")</f>
        <v/>
      </c>
      <c r="X260">
        <f>HYPERLINK("https://klasma.github.io/Logging_1780/tillsyn/A 4296-2024 tillsynsbegäran.docx", "A 4296-2024")</f>
        <v/>
      </c>
      <c r="Y260">
        <f>HYPERLINK("https://klasma.github.io/Logging_1780/tillsynsmail/A 4296-2024 tillsynsbegäran mail.docx", "A 4296-2024")</f>
        <v/>
      </c>
      <c r="Z260">
        <f>HYPERLINK("https://klasma.github.io/Logging_1780/fåglar/A 4296-2024 prioriterade fågelarter.docx", "A 4296-2024")</f>
        <v/>
      </c>
    </row>
    <row r="261" ht="15" customHeight="1">
      <c r="A261" t="inlineStr">
        <is>
          <t>A 5978-2024</t>
        </is>
      </c>
      <c r="B261" s="1" t="n">
        <v>45336</v>
      </c>
      <c r="C261" s="1" t="n">
        <v>45507</v>
      </c>
      <c r="D261" t="inlineStr">
        <is>
          <t>VÄRMLANDS LÄN</t>
        </is>
      </c>
      <c r="E261" t="inlineStr">
        <is>
          <t>SUNNE</t>
        </is>
      </c>
      <c r="G261" t="n">
        <v>1.2</v>
      </c>
      <c r="H261" t="n">
        <v>0</v>
      </c>
      <c r="I261" t="n">
        <v>1</v>
      </c>
      <c r="J261" t="n">
        <v>1</v>
      </c>
      <c r="K261" t="n">
        <v>0</v>
      </c>
      <c r="L261" t="n">
        <v>0</v>
      </c>
      <c r="M261" t="n">
        <v>0</v>
      </c>
      <c r="N261" t="n">
        <v>0</v>
      </c>
      <c r="O261" t="n">
        <v>1</v>
      </c>
      <c r="P261" t="n">
        <v>0</v>
      </c>
      <c r="Q261" t="n">
        <v>2</v>
      </c>
      <c r="R261" s="2" t="inlineStr">
        <is>
          <t>Violettgrå tagellav
Skuggblåslav</t>
        </is>
      </c>
      <c r="S261">
        <f>HYPERLINK("https://klasma.github.io/Logging_1766/artfynd/A 5978-2024 artfynd.xlsx", "A 5978-2024")</f>
        <v/>
      </c>
      <c r="T261">
        <f>HYPERLINK("https://klasma.github.io/Logging_1766/kartor/A 5978-2024 karta.png", "A 5978-2024")</f>
        <v/>
      </c>
      <c r="V261">
        <f>HYPERLINK("https://klasma.github.io/Logging_1766/klagomål/A 5978-2024 FSC-klagomål.docx", "A 5978-2024")</f>
        <v/>
      </c>
      <c r="W261">
        <f>HYPERLINK("https://klasma.github.io/Logging_1766/klagomålsmail/A 5978-2024 FSC-klagomål mail.docx", "A 5978-2024")</f>
        <v/>
      </c>
      <c r="X261">
        <f>HYPERLINK("https://klasma.github.io/Logging_1766/tillsyn/A 5978-2024 tillsynsbegäran.docx", "A 5978-2024")</f>
        <v/>
      </c>
      <c r="Y261">
        <f>HYPERLINK("https://klasma.github.io/Logging_1766/tillsynsmail/A 5978-2024 tillsynsbegäran mail.docx", "A 5978-2024")</f>
        <v/>
      </c>
    </row>
    <row r="262" ht="15" customHeight="1">
      <c r="A262" t="inlineStr">
        <is>
          <t>A 7438-2024</t>
        </is>
      </c>
      <c r="B262" s="1" t="n">
        <v>45345</v>
      </c>
      <c r="C262" s="1" t="n">
        <v>45507</v>
      </c>
      <c r="D262" t="inlineStr">
        <is>
          <t>VÄRMLANDS LÄN</t>
        </is>
      </c>
      <c r="E262" t="inlineStr">
        <is>
          <t>ÅRJÄNG</t>
        </is>
      </c>
      <c r="G262" t="n">
        <v>12.3</v>
      </c>
      <c r="H262" t="n">
        <v>1</v>
      </c>
      <c r="I262" t="n">
        <v>1</v>
      </c>
      <c r="J262" t="n">
        <v>0</v>
      </c>
      <c r="K262" t="n">
        <v>0</v>
      </c>
      <c r="L262" t="n">
        <v>0</v>
      </c>
      <c r="M262" t="n">
        <v>0</v>
      </c>
      <c r="N262" t="n">
        <v>0</v>
      </c>
      <c r="O262" t="n">
        <v>0</v>
      </c>
      <c r="P262" t="n">
        <v>0</v>
      </c>
      <c r="Q262" t="n">
        <v>2</v>
      </c>
      <c r="R262" s="2" t="inlineStr">
        <is>
          <t>Dropptaggsvamp
Tjäder</t>
        </is>
      </c>
      <c r="S262">
        <f>HYPERLINK("https://klasma.github.io/Logging_1765/artfynd/A 7438-2024 artfynd.xlsx", "A 7438-2024")</f>
        <v/>
      </c>
      <c r="T262">
        <f>HYPERLINK("https://klasma.github.io/Logging_1765/kartor/A 7438-2024 karta.png", "A 7438-2024")</f>
        <v/>
      </c>
      <c r="V262">
        <f>HYPERLINK("https://klasma.github.io/Logging_1765/klagomål/A 7438-2024 FSC-klagomål.docx", "A 7438-2024")</f>
        <v/>
      </c>
      <c r="W262">
        <f>HYPERLINK("https://klasma.github.io/Logging_1765/klagomålsmail/A 7438-2024 FSC-klagomål mail.docx", "A 7438-2024")</f>
        <v/>
      </c>
      <c r="X262">
        <f>HYPERLINK("https://klasma.github.io/Logging_1765/tillsyn/A 7438-2024 tillsynsbegäran.docx", "A 7438-2024")</f>
        <v/>
      </c>
      <c r="Y262">
        <f>HYPERLINK("https://klasma.github.io/Logging_1765/tillsynsmail/A 7438-2024 tillsynsbegäran mail.docx", "A 7438-2024")</f>
        <v/>
      </c>
      <c r="Z262">
        <f>HYPERLINK("https://klasma.github.io/Logging_1765/fåglar/A 7438-2024 prioriterade fågelarter.docx", "A 7438-2024")</f>
        <v/>
      </c>
    </row>
    <row r="263" ht="15" customHeight="1">
      <c r="A263" t="inlineStr">
        <is>
          <t>A 9157-2024</t>
        </is>
      </c>
      <c r="B263" s="1" t="n">
        <v>45358</v>
      </c>
      <c r="C263" s="1" t="n">
        <v>45507</v>
      </c>
      <c r="D263" t="inlineStr">
        <is>
          <t>VÄRMLANDS LÄN</t>
        </is>
      </c>
      <c r="E263" t="inlineStr">
        <is>
          <t>EDA</t>
        </is>
      </c>
      <c r="G263" t="n">
        <v>1.3</v>
      </c>
      <c r="H263" t="n">
        <v>0</v>
      </c>
      <c r="I263" t="n">
        <v>1</v>
      </c>
      <c r="J263" t="n">
        <v>1</v>
      </c>
      <c r="K263" t="n">
        <v>0</v>
      </c>
      <c r="L263" t="n">
        <v>0</v>
      </c>
      <c r="M263" t="n">
        <v>0</v>
      </c>
      <c r="N263" t="n">
        <v>0</v>
      </c>
      <c r="O263" t="n">
        <v>1</v>
      </c>
      <c r="P263" t="n">
        <v>0</v>
      </c>
      <c r="Q263" t="n">
        <v>2</v>
      </c>
      <c r="R263" s="2" t="inlineStr">
        <is>
          <t>Ullticka
Bronshjon</t>
        </is>
      </c>
      <c r="S263">
        <f>HYPERLINK("https://klasma.github.io/Logging_1730/artfynd/A 9157-2024 artfynd.xlsx", "A 9157-2024")</f>
        <v/>
      </c>
      <c r="T263">
        <f>HYPERLINK("https://klasma.github.io/Logging_1730/kartor/A 9157-2024 karta.png", "A 9157-2024")</f>
        <v/>
      </c>
      <c r="V263">
        <f>HYPERLINK("https://klasma.github.io/Logging_1730/klagomål/A 9157-2024 FSC-klagomål.docx", "A 9157-2024")</f>
        <v/>
      </c>
      <c r="W263">
        <f>HYPERLINK("https://klasma.github.io/Logging_1730/klagomålsmail/A 9157-2024 FSC-klagomål mail.docx", "A 9157-2024")</f>
        <v/>
      </c>
      <c r="X263">
        <f>HYPERLINK("https://klasma.github.io/Logging_1730/tillsyn/A 9157-2024 tillsynsbegäran.docx", "A 9157-2024")</f>
        <v/>
      </c>
      <c r="Y263">
        <f>HYPERLINK("https://klasma.github.io/Logging_1730/tillsynsmail/A 9157-2024 tillsynsbegäran mail.docx", "A 9157-2024")</f>
        <v/>
      </c>
    </row>
    <row r="264" ht="15" customHeight="1">
      <c r="A264" t="inlineStr">
        <is>
          <t>A 17288-2024</t>
        </is>
      </c>
      <c r="B264" s="1" t="n">
        <v>45414</v>
      </c>
      <c r="C264" s="1" t="n">
        <v>45507</v>
      </c>
      <c r="D264" t="inlineStr">
        <is>
          <t>VÄRMLANDS LÄN</t>
        </is>
      </c>
      <c r="E264" t="inlineStr">
        <is>
          <t>FORSHAGA</t>
        </is>
      </c>
      <c r="F264" t="inlineStr">
        <is>
          <t>Bergvik skog väst AB</t>
        </is>
      </c>
      <c r="G264" t="n">
        <v>20.8</v>
      </c>
      <c r="H264" t="n">
        <v>2</v>
      </c>
      <c r="I264" t="n">
        <v>1</v>
      </c>
      <c r="J264" t="n">
        <v>0</v>
      </c>
      <c r="K264" t="n">
        <v>0</v>
      </c>
      <c r="L264" t="n">
        <v>0</v>
      </c>
      <c r="M264" t="n">
        <v>0</v>
      </c>
      <c r="N264" t="n">
        <v>0</v>
      </c>
      <c r="O264" t="n">
        <v>0</v>
      </c>
      <c r="P264" t="n">
        <v>0</v>
      </c>
      <c r="Q264" t="n">
        <v>2</v>
      </c>
      <c r="R264" s="2" t="inlineStr">
        <is>
          <t>Skogsknipprot
Blåsippa</t>
        </is>
      </c>
      <c r="S264">
        <f>HYPERLINK("https://klasma.github.io/Logging_1763/artfynd/A 17288-2024 artfynd.xlsx", "A 17288-2024")</f>
        <v/>
      </c>
      <c r="T264">
        <f>HYPERLINK("https://klasma.github.io/Logging_1763/kartor/A 17288-2024 karta.png", "A 17288-2024")</f>
        <v/>
      </c>
      <c r="V264">
        <f>HYPERLINK("https://klasma.github.io/Logging_1763/klagomål/A 17288-2024 FSC-klagomål.docx", "A 17288-2024")</f>
        <v/>
      </c>
      <c r="W264">
        <f>HYPERLINK("https://klasma.github.io/Logging_1763/klagomålsmail/A 17288-2024 FSC-klagomål mail.docx", "A 17288-2024")</f>
        <v/>
      </c>
      <c r="X264">
        <f>HYPERLINK("https://klasma.github.io/Logging_1763/tillsyn/A 17288-2024 tillsynsbegäran.docx", "A 17288-2024")</f>
        <v/>
      </c>
      <c r="Y264">
        <f>HYPERLINK("https://klasma.github.io/Logging_1763/tillsynsmail/A 17288-2024 tillsynsbegäran mail.docx", "A 17288-2024")</f>
        <v/>
      </c>
    </row>
    <row r="265" ht="15" customHeight="1">
      <c r="A265" t="inlineStr">
        <is>
          <t>A 17953-2024</t>
        </is>
      </c>
      <c r="B265" s="1" t="n">
        <v>45419</v>
      </c>
      <c r="C265" s="1" t="n">
        <v>45507</v>
      </c>
      <c r="D265" t="inlineStr">
        <is>
          <t>VÄRMLANDS LÄN</t>
        </is>
      </c>
      <c r="E265" t="inlineStr">
        <is>
          <t>FORSHAGA</t>
        </is>
      </c>
      <c r="F265" t="inlineStr">
        <is>
          <t>Bergvik skog väst AB</t>
        </is>
      </c>
      <c r="G265" t="n">
        <v>3.2</v>
      </c>
      <c r="H265" t="n">
        <v>0</v>
      </c>
      <c r="I265" t="n">
        <v>2</v>
      </c>
      <c r="J265" t="n">
        <v>0</v>
      </c>
      <c r="K265" t="n">
        <v>0</v>
      </c>
      <c r="L265" t="n">
        <v>0</v>
      </c>
      <c r="M265" t="n">
        <v>0</v>
      </c>
      <c r="N265" t="n">
        <v>0</v>
      </c>
      <c r="O265" t="n">
        <v>0</v>
      </c>
      <c r="P265" t="n">
        <v>0</v>
      </c>
      <c r="Q265" t="n">
        <v>2</v>
      </c>
      <c r="R265" s="2" t="inlineStr">
        <is>
          <t>Svart trolldruva
Tibast</t>
        </is>
      </c>
      <c r="S265">
        <f>HYPERLINK("https://klasma.github.io/Logging_1763/artfynd/A 17953-2024 artfynd.xlsx", "A 17953-2024")</f>
        <v/>
      </c>
      <c r="T265">
        <f>HYPERLINK("https://klasma.github.io/Logging_1763/kartor/A 17953-2024 karta.png", "A 17953-2024")</f>
        <v/>
      </c>
      <c r="V265">
        <f>HYPERLINK("https://klasma.github.io/Logging_1763/klagomål/A 17953-2024 FSC-klagomål.docx", "A 17953-2024")</f>
        <v/>
      </c>
      <c r="W265">
        <f>HYPERLINK("https://klasma.github.io/Logging_1763/klagomålsmail/A 17953-2024 FSC-klagomål mail.docx", "A 17953-2024")</f>
        <v/>
      </c>
      <c r="X265">
        <f>HYPERLINK("https://klasma.github.io/Logging_1763/tillsyn/A 17953-2024 tillsynsbegäran.docx", "A 17953-2024")</f>
        <v/>
      </c>
      <c r="Y265">
        <f>HYPERLINK("https://klasma.github.io/Logging_1763/tillsynsmail/A 17953-2024 tillsynsbegäran mail.docx", "A 17953-2024")</f>
        <v/>
      </c>
    </row>
    <row r="266" ht="15" customHeight="1">
      <c r="A266" t="inlineStr">
        <is>
          <t>A 18748-2024</t>
        </is>
      </c>
      <c r="B266" s="1" t="n">
        <v>45426</v>
      </c>
      <c r="C266" s="1" t="n">
        <v>45507</v>
      </c>
      <c r="D266" t="inlineStr">
        <is>
          <t>VÄRMLANDS LÄN</t>
        </is>
      </c>
      <c r="E266" t="inlineStr">
        <is>
          <t>EDA</t>
        </is>
      </c>
      <c r="G266" t="n">
        <v>16.7</v>
      </c>
      <c r="H266" t="n">
        <v>2</v>
      </c>
      <c r="I266" t="n">
        <v>0</v>
      </c>
      <c r="J266" t="n">
        <v>1</v>
      </c>
      <c r="K266" t="n">
        <v>0</v>
      </c>
      <c r="L266" t="n">
        <v>0</v>
      </c>
      <c r="M266" t="n">
        <v>0</v>
      </c>
      <c r="N266" t="n">
        <v>0</v>
      </c>
      <c r="O266" t="n">
        <v>1</v>
      </c>
      <c r="P266" t="n">
        <v>0</v>
      </c>
      <c r="Q266" t="n">
        <v>2</v>
      </c>
      <c r="R266" s="2" t="inlineStr">
        <is>
          <t>Spillkråka
Tjäder</t>
        </is>
      </c>
      <c r="S266">
        <f>HYPERLINK("https://klasma.github.io/Logging_1730/artfynd/A 18748-2024 artfynd.xlsx", "A 18748-2024")</f>
        <v/>
      </c>
      <c r="T266">
        <f>HYPERLINK("https://klasma.github.io/Logging_1730/kartor/A 18748-2024 karta.png", "A 18748-2024")</f>
        <v/>
      </c>
      <c r="V266">
        <f>HYPERLINK("https://klasma.github.io/Logging_1730/klagomål/A 18748-2024 FSC-klagomål.docx", "A 18748-2024")</f>
        <v/>
      </c>
      <c r="W266">
        <f>HYPERLINK("https://klasma.github.io/Logging_1730/klagomålsmail/A 18748-2024 FSC-klagomål mail.docx", "A 18748-2024")</f>
        <v/>
      </c>
      <c r="X266">
        <f>HYPERLINK("https://klasma.github.io/Logging_1730/tillsyn/A 18748-2024 tillsynsbegäran.docx", "A 18748-2024")</f>
        <v/>
      </c>
      <c r="Y266">
        <f>HYPERLINK("https://klasma.github.io/Logging_1730/tillsynsmail/A 18748-2024 tillsynsbegäran mail.docx", "A 18748-2024")</f>
        <v/>
      </c>
      <c r="Z266">
        <f>HYPERLINK("https://klasma.github.io/Logging_1730/fåglar/A 18748-2024 prioriterade fågelarter.docx", "A 18748-2024")</f>
        <v/>
      </c>
    </row>
    <row r="267" ht="15" customHeight="1">
      <c r="A267" t="inlineStr">
        <is>
          <t>A 18763-2024</t>
        </is>
      </c>
      <c r="B267" s="1" t="n">
        <v>45426</v>
      </c>
      <c r="C267" s="1" t="n">
        <v>45507</v>
      </c>
      <c r="D267" t="inlineStr">
        <is>
          <t>VÄRMLANDS LÄN</t>
        </is>
      </c>
      <c r="E267" t="inlineStr">
        <is>
          <t>EDA</t>
        </is>
      </c>
      <c r="G267" t="n">
        <v>2.4</v>
      </c>
      <c r="H267" t="n">
        <v>0</v>
      </c>
      <c r="I267" t="n">
        <v>1</v>
      </c>
      <c r="J267" t="n">
        <v>1</v>
      </c>
      <c r="K267" t="n">
        <v>0</v>
      </c>
      <c r="L267" t="n">
        <v>0</v>
      </c>
      <c r="M267" t="n">
        <v>0</v>
      </c>
      <c r="N267" t="n">
        <v>0</v>
      </c>
      <c r="O267" t="n">
        <v>1</v>
      </c>
      <c r="P267" t="n">
        <v>0</v>
      </c>
      <c r="Q267" t="n">
        <v>2</v>
      </c>
      <c r="R267" s="2" t="inlineStr">
        <is>
          <t>Ullticka
Bronshjon</t>
        </is>
      </c>
      <c r="S267">
        <f>HYPERLINK("https://klasma.github.io/Logging_1730/artfynd/A 18763-2024 artfynd.xlsx", "A 18763-2024")</f>
        <v/>
      </c>
      <c r="T267">
        <f>HYPERLINK("https://klasma.github.io/Logging_1730/kartor/A 18763-2024 karta.png", "A 18763-2024")</f>
        <v/>
      </c>
      <c r="V267">
        <f>HYPERLINK("https://klasma.github.io/Logging_1730/klagomål/A 18763-2024 FSC-klagomål.docx", "A 18763-2024")</f>
        <v/>
      </c>
      <c r="W267">
        <f>HYPERLINK("https://klasma.github.io/Logging_1730/klagomålsmail/A 18763-2024 FSC-klagomål mail.docx", "A 18763-2024")</f>
        <v/>
      </c>
      <c r="X267">
        <f>HYPERLINK("https://klasma.github.io/Logging_1730/tillsyn/A 18763-2024 tillsynsbegäran.docx", "A 18763-2024")</f>
        <v/>
      </c>
      <c r="Y267">
        <f>HYPERLINK("https://klasma.github.io/Logging_1730/tillsynsmail/A 18763-2024 tillsynsbegäran mail.docx", "A 18763-2024")</f>
        <v/>
      </c>
    </row>
    <row r="268" ht="15" customHeight="1">
      <c r="A268" t="inlineStr">
        <is>
          <t>A 19133-2024</t>
        </is>
      </c>
      <c r="B268" s="1" t="n">
        <v>45428</v>
      </c>
      <c r="C268" s="1" t="n">
        <v>45507</v>
      </c>
      <c r="D268" t="inlineStr">
        <is>
          <t>VÄRMLANDS LÄN</t>
        </is>
      </c>
      <c r="E268" t="inlineStr">
        <is>
          <t>KARLSTAD</t>
        </is>
      </c>
      <c r="F268" t="inlineStr">
        <is>
          <t>Kommuner</t>
        </is>
      </c>
      <c r="G268" t="n">
        <v>2.8</v>
      </c>
      <c r="H268" t="n">
        <v>1</v>
      </c>
      <c r="I268" t="n">
        <v>1</v>
      </c>
      <c r="J268" t="n">
        <v>0</v>
      </c>
      <c r="K268" t="n">
        <v>1</v>
      </c>
      <c r="L268" t="n">
        <v>0</v>
      </c>
      <c r="M268" t="n">
        <v>0</v>
      </c>
      <c r="N268" t="n">
        <v>0</v>
      </c>
      <c r="O268" t="n">
        <v>1</v>
      </c>
      <c r="P268" t="n">
        <v>1</v>
      </c>
      <c r="Q268" t="n">
        <v>2</v>
      </c>
      <c r="R268" s="2" t="inlineStr">
        <is>
          <t>Knärot
Blåmossa</t>
        </is>
      </c>
      <c r="S268">
        <f>HYPERLINK("https://klasma.github.io/Logging_1780/artfynd/A 19133-2024 artfynd.xlsx", "A 19133-2024")</f>
        <v/>
      </c>
      <c r="T268">
        <f>HYPERLINK("https://klasma.github.io/Logging_1780/kartor/A 19133-2024 karta.png", "A 19133-2024")</f>
        <v/>
      </c>
      <c r="U268">
        <f>HYPERLINK("https://klasma.github.io/Logging_1780/knärot/A 19133-2024 karta knärot.png", "A 19133-2024")</f>
        <v/>
      </c>
      <c r="V268">
        <f>HYPERLINK("https://klasma.github.io/Logging_1780/klagomål/A 19133-2024 FSC-klagomål.docx", "A 19133-2024")</f>
        <v/>
      </c>
      <c r="W268">
        <f>HYPERLINK("https://klasma.github.io/Logging_1780/klagomålsmail/A 19133-2024 FSC-klagomål mail.docx", "A 19133-2024")</f>
        <v/>
      </c>
      <c r="X268">
        <f>HYPERLINK("https://klasma.github.io/Logging_1780/tillsyn/A 19133-2024 tillsynsbegäran.docx", "A 19133-2024")</f>
        <v/>
      </c>
      <c r="Y268">
        <f>HYPERLINK("https://klasma.github.io/Logging_1780/tillsynsmail/A 19133-2024 tillsynsbegäran mail.docx", "A 19133-2024")</f>
        <v/>
      </c>
    </row>
    <row r="269" ht="15" customHeight="1">
      <c r="A269" t="inlineStr">
        <is>
          <t>A 21224-2024</t>
        </is>
      </c>
      <c r="B269" s="1" t="n">
        <v>45440</v>
      </c>
      <c r="C269" s="1" t="n">
        <v>45507</v>
      </c>
      <c r="D269" t="inlineStr">
        <is>
          <t>VÄRMLANDS LÄN</t>
        </is>
      </c>
      <c r="E269" t="inlineStr">
        <is>
          <t>ARVIKA</t>
        </is>
      </c>
      <c r="F269" t="inlineStr">
        <is>
          <t>Bergvik skog väst AB</t>
        </is>
      </c>
      <c r="G269" t="n">
        <v>2.4</v>
      </c>
      <c r="H269" t="n">
        <v>1</v>
      </c>
      <c r="I269" t="n">
        <v>0</v>
      </c>
      <c r="J269" t="n">
        <v>2</v>
      </c>
      <c r="K269" t="n">
        <v>0</v>
      </c>
      <c r="L269" t="n">
        <v>0</v>
      </c>
      <c r="M269" t="n">
        <v>0</v>
      </c>
      <c r="N269" t="n">
        <v>0</v>
      </c>
      <c r="O269" t="n">
        <v>2</v>
      </c>
      <c r="P269" t="n">
        <v>0</v>
      </c>
      <c r="Q269" t="n">
        <v>2</v>
      </c>
      <c r="R269" s="2" t="inlineStr">
        <is>
          <t>Kortskaftad ärgspik
Spillkråka</t>
        </is>
      </c>
      <c r="S269">
        <f>HYPERLINK("https://klasma.github.io/Logging_1784/artfynd/A 21224-2024 artfynd.xlsx", "A 21224-2024")</f>
        <v/>
      </c>
      <c r="T269">
        <f>HYPERLINK("https://klasma.github.io/Logging_1784/kartor/A 21224-2024 karta.png", "A 21224-2024")</f>
        <v/>
      </c>
      <c r="V269">
        <f>HYPERLINK("https://klasma.github.io/Logging_1784/klagomål/A 21224-2024 FSC-klagomål.docx", "A 21224-2024")</f>
        <v/>
      </c>
      <c r="W269">
        <f>HYPERLINK("https://klasma.github.io/Logging_1784/klagomålsmail/A 21224-2024 FSC-klagomål mail.docx", "A 21224-2024")</f>
        <v/>
      </c>
      <c r="X269">
        <f>HYPERLINK("https://klasma.github.io/Logging_1784/tillsyn/A 21224-2024 tillsynsbegäran.docx", "A 21224-2024")</f>
        <v/>
      </c>
      <c r="Y269">
        <f>HYPERLINK("https://klasma.github.io/Logging_1784/tillsynsmail/A 21224-2024 tillsynsbegäran mail.docx", "A 21224-2024")</f>
        <v/>
      </c>
      <c r="Z269">
        <f>HYPERLINK("https://klasma.github.io/Logging_1784/fåglar/A 21224-2024 prioriterade fågelarter.docx", "A 21224-2024")</f>
        <v/>
      </c>
    </row>
    <row r="270" ht="15" customHeight="1">
      <c r="A270" t="inlineStr">
        <is>
          <t>A 23084-2024</t>
        </is>
      </c>
      <c r="B270" s="1" t="n">
        <v>45450</v>
      </c>
      <c r="C270" s="1" t="n">
        <v>45507</v>
      </c>
      <c r="D270" t="inlineStr">
        <is>
          <t>VÄRMLANDS LÄN</t>
        </is>
      </c>
      <c r="E270" t="inlineStr">
        <is>
          <t>ARVIKA</t>
        </is>
      </c>
      <c r="F270" t="inlineStr">
        <is>
          <t>Bergvik skog väst AB</t>
        </is>
      </c>
      <c r="G270" t="n">
        <v>0.7</v>
      </c>
      <c r="H270" t="n">
        <v>1</v>
      </c>
      <c r="I270" t="n">
        <v>0</v>
      </c>
      <c r="J270" t="n">
        <v>1</v>
      </c>
      <c r="K270" t="n">
        <v>1</v>
      </c>
      <c r="L270" t="n">
        <v>0</v>
      </c>
      <c r="M270" t="n">
        <v>0</v>
      </c>
      <c r="N270" t="n">
        <v>0</v>
      </c>
      <c r="O270" t="n">
        <v>2</v>
      </c>
      <c r="P270" t="n">
        <v>1</v>
      </c>
      <c r="Q270" t="n">
        <v>2</v>
      </c>
      <c r="R270" s="2" t="inlineStr">
        <is>
          <t>Knärot
Vedskivlav</t>
        </is>
      </c>
      <c r="S270">
        <f>HYPERLINK("https://klasma.github.io/Logging_1784/artfynd/A 23084-2024 artfynd.xlsx", "A 23084-2024")</f>
        <v/>
      </c>
      <c r="T270">
        <f>HYPERLINK("https://klasma.github.io/Logging_1784/kartor/A 23084-2024 karta.png", "A 23084-2024")</f>
        <v/>
      </c>
      <c r="U270">
        <f>HYPERLINK("https://klasma.github.io/Logging_1784/knärot/A 23084-2024 karta knärot.png", "A 23084-2024")</f>
        <v/>
      </c>
      <c r="V270">
        <f>HYPERLINK("https://klasma.github.io/Logging_1784/klagomål/A 23084-2024 FSC-klagomål.docx", "A 23084-2024")</f>
        <v/>
      </c>
      <c r="W270">
        <f>HYPERLINK("https://klasma.github.io/Logging_1784/klagomålsmail/A 23084-2024 FSC-klagomål mail.docx", "A 23084-2024")</f>
        <v/>
      </c>
      <c r="X270">
        <f>HYPERLINK("https://klasma.github.io/Logging_1784/tillsyn/A 23084-2024 tillsynsbegäran.docx", "A 23084-2024")</f>
        <v/>
      </c>
      <c r="Y270">
        <f>HYPERLINK("https://klasma.github.io/Logging_1784/tillsynsmail/A 23084-2024 tillsynsbegäran mail.docx", "A 23084-2024")</f>
        <v/>
      </c>
    </row>
    <row r="271" ht="15" customHeight="1">
      <c r="A271" t="inlineStr">
        <is>
          <t>A 23091-2024</t>
        </is>
      </c>
      <c r="B271" s="1" t="n">
        <v>45450</v>
      </c>
      <c r="C271" s="1" t="n">
        <v>45507</v>
      </c>
      <c r="D271" t="inlineStr">
        <is>
          <t>VÄRMLANDS LÄN</t>
        </is>
      </c>
      <c r="E271" t="inlineStr">
        <is>
          <t>TORSBY</t>
        </is>
      </c>
      <c r="F271" t="inlineStr">
        <is>
          <t>Bergvik skog väst AB</t>
        </is>
      </c>
      <c r="G271" t="n">
        <v>14.3</v>
      </c>
      <c r="H271" t="n">
        <v>0</v>
      </c>
      <c r="I271" t="n">
        <v>1</v>
      </c>
      <c r="J271" t="n">
        <v>1</v>
      </c>
      <c r="K271" t="n">
        <v>0</v>
      </c>
      <c r="L271" t="n">
        <v>0</v>
      </c>
      <c r="M271" t="n">
        <v>0</v>
      </c>
      <c r="N271" t="n">
        <v>0</v>
      </c>
      <c r="O271" t="n">
        <v>1</v>
      </c>
      <c r="P271" t="n">
        <v>0</v>
      </c>
      <c r="Q271" t="n">
        <v>2</v>
      </c>
      <c r="R271" s="2" t="inlineStr">
        <is>
          <t>Vedskivlav
Kambräken</t>
        </is>
      </c>
      <c r="S271">
        <f>HYPERLINK("https://klasma.github.io/Logging_1737/artfynd/A 23091-2024 artfynd.xlsx", "A 23091-2024")</f>
        <v/>
      </c>
      <c r="T271">
        <f>HYPERLINK("https://klasma.github.io/Logging_1737/kartor/A 23091-2024 karta.png", "A 23091-2024")</f>
        <v/>
      </c>
      <c r="V271">
        <f>HYPERLINK("https://klasma.github.io/Logging_1737/klagomål/A 23091-2024 FSC-klagomål.docx", "A 23091-2024")</f>
        <v/>
      </c>
      <c r="W271">
        <f>HYPERLINK("https://klasma.github.io/Logging_1737/klagomålsmail/A 23091-2024 FSC-klagomål mail.docx", "A 23091-2024")</f>
        <v/>
      </c>
      <c r="X271">
        <f>HYPERLINK("https://klasma.github.io/Logging_1737/tillsyn/A 23091-2024 tillsynsbegäran.docx", "A 23091-2024")</f>
        <v/>
      </c>
      <c r="Y271">
        <f>HYPERLINK("https://klasma.github.io/Logging_1737/tillsynsmail/A 23091-2024 tillsynsbegäran mail.docx", "A 23091-2024")</f>
        <v/>
      </c>
    </row>
    <row r="272" ht="15" customHeight="1">
      <c r="A272" t="inlineStr">
        <is>
          <t>A 24697-2024</t>
        </is>
      </c>
      <c r="B272" s="1" t="n">
        <v>45460</v>
      </c>
      <c r="C272" s="1" t="n">
        <v>45507</v>
      </c>
      <c r="D272" t="inlineStr">
        <is>
          <t>VÄRMLANDS LÄN</t>
        </is>
      </c>
      <c r="E272" t="inlineStr">
        <is>
          <t>SÄFFLE</t>
        </is>
      </c>
      <c r="G272" t="n">
        <v>16.9</v>
      </c>
      <c r="H272" t="n">
        <v>0</v>
      </c>
      <c r="I272" t="n">
        <v>2</v>
      </c>
      <c r="J272" t="n">
        <v>0</v>
      </c>
      <c r="K272" t="n">
        <v>0</v>
      </c>
      <c r="L272" t="n">
        <v>0</v>
      </c>
      <c r="M272" t="n">
        <v>0</v>
      </c>
      <c r="N272" t="n">
        <v>0</v>
      </c>
      <c r="O272" t="n">
        <v>0</v>
      </c>
      <c r="P272" t="n">
        <v>0</v>
      </c>
      <c r="Q272" t="n">
        <v>2</v>
      </c>
      <c r="R272" s="2" t="inlineStr">
        <is>
          <t>Blåmossa
Dropptaggsvamp</t>
        </is>
      </c>
      <c r="S272">
        <f>HYPERLINK("https://klasma.github.io/Logging_1785/artfynd/A 24697-2024 artfynd.xlsx", "A 24697-2024")</f>
        <v/>
      </c>
      <c r="T272">
        <f>HYPERLINK("https://klasma.github.io/Logging_1785/kartor/A 24697-2024 karta.png", "A 24697-2024")</f>
        <v/>
      </c>
      <c r="V272">
        <f>HYPERLINK("https://klasma.github.io/Logging_1785/klagomål/A 24697-2024 FSC-klagomål.docx", "A 24697-2024")</f>
        <v/>
      </c>
      <c r="W272">
        <f>HYPERLINK("https://klasma.github.io/Logging_1785/klagomålsmail/A 24697-2024 FSC-klagomål mail.docx", "A 24697-2024")</f>
        <v/>
      </c>
      <c r="X272">
        <f>HYPERLINK("https://klasma.github.io/Logging_1785/tillsyn/A 24697-2024 tillsynsbegäran.docx", "A 24697-2024")</f>
        <v/>
      </c>
      <c r="Y272">
        <f>HYPERLINK("https://klasma.github.io/Logging_1785/tillsynsmail/A 24697-2024 tillsynsbegäran mail.docx", "A 24697-2024")</f>
        <v/>
      </c>
    </row>
    <row r="273" ht="15" customHeight="1">
      <c r="A273" t="inlineStr">
        <is>
          <t>A 18499-2019</t>
        </is>
      </c>
      <c r="B273" s="1" t="n">
        <v>43559</v>
      </c>
      <c r="C273" s="1" t="n">
        <v>45507</v>
      </c>
      <c r="D273" t="inlineStr">
        <is>
          <t>VÄRMLANDS LÄN</t>
        </is>
      </c>
      <c r="E273" t="inlineStr">
        <is>
          <t>TORSBY</t>
        </is>
      </c>
      <c r="G273" t="n">
        <v>4.8</v>
      </c>
      <c r="H273" t="n">
        <v>0</v>
      </c>
      <c r="I273" t="n">
        <v>0</v>
      </c>
      <c r="J273" t="n">
        <v>0</v>
      </c>
      <c r="K273" t="n">
        <v>1</v>
      </c>
      <c r="L273" t="n">
        <v>0</v>
      </c>
      <c r="M273" t="n">
        <v>0</v>
      </c>
      <c r="N273" t="n">
        <v>0</v>
      </c>
      <c r="O273" t="n">
        <v>1</v>
      </c>
      <c r="P273" t="n">
        <v>1</v>
      </c>
      <c r="Q273" t="n">
        <v>1</v>
      </c>
      <c r="R273" s="2" t="inlineStr">
        <is>
          <t>Raggbock</t>
        </is>
      </c>
      <c r="S273">
        <f>HYPERLINK("https://klasma.github.io/Logging_1737/artfynd/A 18499-2019 artfynd.xlsx", "A 18499-2019")</f>
        <v/>
      </c>
      <c r="T273">
        <f>HYPERLINK("https://klasma.github.io/Logging_1737/kartor/A 18499-2019 karta.png", "A 18499-2019")</f>
        <v/>
      </c>
      <c r="V273">
        <f>HYPERLINK("https://klasma.github.io/Logging_1737/klagomål/A 18499-2019 FSC-klagomål.docx", "A 18499-2019")</f>
        <v/>
      </c>
      <c r="W273">
        <f>HYPERLINK("https://klasma.github.io/Logging_1737/klagomålsmail/A 18499-2019 FSC-klagomål mail.docx", "A 18499-2019")</f>
        <v/>
      </c>
      <c r="X273">
        <f>HYPERLINK("https://klasma.github.io/Logging_1737/tillsyn/A 18499-2019 tillsynsbegäran.docx", "A 18499-2019")</f>
        <v/>
      </c>
      <c r="Y273">
        <f>HYPERLINK("https://klasma.github.io/Logging_1737/tillsynsmail/A 18499-2019 tillsynsbegäran mail.docx", "A 18499-2019")</f>
        <v/>
      </c>
    </row>
    <row r="274" ht="15" customHeight="1">
      <c r="A274" t="inlineStr">
        <is>
          <t>A 18838-2019</t>
        </is>
      </c>
      <c r="B274" s="1" t="n">
        <v>43563</v>
      </c>
      <c r="C274" s="1" t="n">
        <v>45507</v>
      </c>
      <c r="D274" t="inlineStr">
        <is>
          <t>VÄRMLANDS LÄN</t>
        </is>
      </c>
      <c r="E274" t="inlineStr">
        <is>
          <t>KARLSTAD</t>
        </is>
      </c>
      <c r="G274" t="n">
        <v>7.7</v>
      </c>
      <c r="H274" t="n">
        <v>1</v>
      </c>
      <c r="I274" t="n">
        <v>0</v>
      </c>
      <c r="J274" t="n">
        <v>0</v>
      </c>
      <c r="K274" t="n">
        <v>0</v>
      </c>
      <c r="L274" t="n">
        <v>0</v>
      </c>
      <c r="M274" t="n">
        <v>0</v>
      </c>
      <c r="N274" t="n">
        <v>0</v>
      </c>
      <c r="O274" t="n">
        <v>0</v>
      </c>
      <c r="P274" t="n">
        <v>0</v>
      </c>
      <c r="Q274" t="n">
        <v>1</v>
      </c>
      <c r="R274" s="2" t="inlineStr">
        <is>
          <t>Fläcknycklar</t>
        </is>
      </c>
      <c r="S274">
        <f>HYPERLINK("https://klasma.github.io/Logging_1780/artfynd/A 18838-2019 artfynd.xlsx", "A 18838-2019")</f>
        <v/>
      </c>
      <c r="T274">
        <f>HYPERLINK("https://klasma.github.io/Logging_1780/kartor/A 18838-2019 karta.png", "A 18838-2019")</f>
        <v/>
      </c>
      <c r="V274">
        <f>HYPERLINK("https://klasma.github.io/Logging_1780/klagomål/A 18838-2019 FSC-klagomål.docx", "A 18838-2019")</f>
        <v/>
      </c>
      <c r="W274">
        <f>HYPERLINK("https://klasma.github.io/Logging_1780/klagomålsmail/A 18838-2019 FSC-klagomål mail.docx", "A 18838-2019")</f>
        <v/>
      </c>
      <c r="X274">
        <f>HYPERLINK("https://klasma.github.io/Logging_1780/tillsyn/A 18838-2019 tillsynsbegäran.docx", "A 18838-2019")</f>
        <v/>
      </c>
      <c r="Y274">
        <f>HYPERLINK("https://klasma.github.io/Logging_1780/tillsynsmail/A 18838-2019 tillsynsbegäran mail.docx", "A 18838-2019")</f>
        <v/>
      </c>
    </row>
    <row r="275" ht="15" customHeight="1">
      <c r="A275" t="inlineStr">
        <is>
          <t>A 19213-2019</t>
        </is>
      </c>
      <c r="B275" s="1" t="n">
        <v>43564</v>
      </c>
      <c r="C275" s="1" t="n">
        <v>45507</v>
      </c>
      <c r="D275" t="inlineStr">
        <is>
          <t>VÄRMLANDS LÄN</t>
        </is>
      </c>
      <c r="E275" t="inlineStr">
        <is>
          <t>ARVIKA</t>
        </is>
      </c>
      <c r="G275" t="n">
        <v>7.8</v>
      </c>
      <c r="H275" t="n">
        <v>0</v>
      </c>
      <c r="I275" t="n">
        <v>0</v>
      </c>
      <c r="J275" t="n">
        <v>1</v>
      </c>
      <c r="K275" t="n">
        <v>0</v>
      </c>
      <c r="L275" t="n">
        <v>0</v>
      </c>
      <c r="M275" t="n">
        <v>0</v>
      </c>
      <c r="N275" t="n">
        <v>0</v>
      </c>
      <c r="O275" t="n">
        <v>1</v>
      </c>
      <c r="P275" t="n">
        <v>0</v>
      </c>
      <c r="Q275" t="n">
        <v>1</v>
      </c>
      <c r="R275" s="2" t="inlineStr">
        <is>
          <t>Skogsklocka</t>
        </is>
      </c>
      <c r="S275">
        <f>HYPERLINK("https://klasma.github.io/Logging_1784/artfynd/A 19213-2019 artfynd.xlsx", "A 19213-2019")</f>
        <v/>
      </c>
      <c r="T275">
        <f>HYPERLINK("https://klasma.github.io/Logging_1784/kartor/A 19213-2019 karta.png", "A 19213-2019")</f>
        <v/>
      </c>
      <c r="V275">
        <f>HYPERLINK("https://klasma.github.io/Logging_1784/klagomål/A 19213-2019 FSC-klagomål.docx", "A 19213-2019")</f>
        <v/>
      </c>
      <c r="W275">
        <f>HYPERLINK("https://klasma.github.io/Logging_1784/klagomålsmail/A 19213-2019 FSC-klagomål mail.docx", "A 19213-2019")</f>
        <v/>
      </c>
      <c r="X275">
        <f>HYPERLINK("https://klasma.github.io/Logging_1784/tillsyn/A 19213-2019 tillsynsbegäran.docx", "A 19213-2019")</f>
        <v/>
      </c>
      <c r="Y275">
        <f>HYPERLINK("https://klasma.github.io/Logging_1784/tillsynsmail/A 19213-2019 tillsynsbegäran mail.docx", "A 19213-2019")</f>
        <v/>
      </c>
    </row>
    <row r="276" ht="15" customHeight="1">
      <c r="A276" t="inlineStr">
        <is>
          <t>A 20385-2019</t>
        </is>
      </c>
      <c r="B276" s="1" t="n">
        <v>43571</v>
      </c>
      <c r="C276" s="1" t="n">
        <v>45507</v>
      </c>
      <c r="D276" t="inlineStr">
        <is>
          <t>VÄRMLANDS LÄN</t>
        </is>
      </c>
      <c r="E276" t="inlineStr">
        <is>
          <t>KIL</t>
        </is>
      </c>
      <c r="G276" t="n">
        <v>1.6</v>
      </c>
      <c r="H276" t="n">
        <v>0</v>
      </c>
      <c r="I276" t="n">
        <v>0</v>
      </c>
      <c r="J276" t="n">
        <v>1</v>
      </c>
      <c r="K276" t="n">
        <v>0</v>
      </c>
      <c r="L276" t="n">
        <v>0</v>
      </c>
      <c r="M276" t="n">
        <v>0</v>
      </c>
      <c r="N276" t="n">
        <v>0</v>
      </c>
      <c r="O276" t="n">
        <v>1</v>
      </c>
      <c r="P276" t="n">
        <v>0</v>
      </c>
      <c r="Q276" t="n">
        <v>1</v>
      </c>
      <c r="R276" s="2" t="inlineStr">
        <is>
          <t>Violettkantad guldvinge</t>
        </is>
      </c>
      <c r="S276">
        <f>HYPERLINK("https://klasma.github.io/Logging_1715/artfynd/A 20385-2019 artfynd.xlsx", "A 20385-2019")</f>
        <v/>
      </c>
      <c r="T276">
        <f>HYPERLINK("https://klasma.github.io/Logging_1715/kartor/A 20385-2019 karta.png", "A 20385-2019")</f>
        <v/>
      </c>
      <c r="V276">
        <f>HYPERLINK("https://klasma.github.io/Logging_1715/klagomål/A 20385-2019 FSC-klagomål.docx", "A 20385-2019")</f>
        <v/>
      </c>
      <c r="W276">
        <f>HYPERLINK("https://klasma.github.io/Logging_1715/klagomålsmail/A 20385-2019 FSC-klagomål mail.docx", "A 20385-2019")</f>
        <v/>
      </c>
      <c r="X276">
        <f>HYPERLINK("https://klasma.github.io/Logging_1715/tillsyn/A 20385-2019 tillsynsbegäran.docx", "A 20385-2019")</f>
        <v/>
      </c>
      <c r="Y276">
        <f>HYPERLINK("https://klasma.github.io/Logging_1715/tillsynsmail/A 20385-2019 tillsynsbegäran mail.docx", "A 20385-2019")</f>
        <v/>
      </c>
    </row>
    <row r="277" ht="15" customHeight="1">
      <c r="A277" t="inlineStr">
        <is>
          <t>A 22914-2019</t>
        </is>
      </c>
      <c r="B277" s="1" t="n">
        <v>43591</v>
      </c>
      <c r="C277" s="1" t="n">
        <v>45507</v>
      </c>
      <c r="D277" t="inlineStr">
        <is>
          <t>VÄRMLANDS LÄN</t>
        </is>
      </c>
      <c r="E277" t="inlineStr">
        <is>
          <t>KARLSTAD</t>
        </is>
      </c>
      <c r="F277" t="inlineStr">
        <is>
          <t>Bergvik skog väst AB</t>
        </is>
      </c>
      <c r="G277" t="n">
        <v>6.3</v>
      </c>
      <c r="H277" t="n">
        <v>1</v>
      </c>
      <c r="I277" t="n">
        <v>0</v>
      </c>
      <c r="J277" t="n">
        <v>0</v>
      </c>
      <c r="K277" t="n">
        <v>0</v>
      </c>
      <c r="L277" t="n">
        <v>0</v>
      </c>
      <c r="M277" t="n">
        <v>0</v>
      </c>
      <c r="N277" t="n">
        <v>0</v>
      </c>
      <c r="O277" t="n">
        <v>0</v>
      </c>
      <c r="P277" t="n">
        <v>0</v>
      </c>
      <c r="Q277" t="n">
        <v>1</v>
      </c>
      <c r="R277" s="2" t="inlineStr">
        <is>
          <t>Törnskata</t>
        </is>
      </c>
      <c r="S277">
        <f>HYPERLINK("https://klasma.github.io/Logging_1780/artfynd/A 22914-2019 artfynd.xlsx", "A 22914-2019")</f>
        <v/>
      </c>
      <c r="T277">
        <f>HYPERLINK("https://klasma.github.io/Logging_1780/kartor/A 22914-2019 karta.png", "A 22914-2019")</f>
        <v/>
      </c>
      <c r="V277">
        <f>HYPERLINK("https://klasma.github.io/Logging_1780/klagomål/A 22914-2019 FSC-klagomål.docx", "A 22914-2019")</f>
        <v/>
      </c>
      <c r="W277">
        <f>HYPERLINK("https://klasma.github.io/Logging_1780/klagomålsmail/A 22914-2019 FSC-klagomål mail.docx", "A 22914-2019")</f>
        <v/>
      </c>
      <c r="X277">
        <f>HYPERLINK("https://klasma.github.io/Logging_1780/tillsyn/A 22914-2019 tillsynsbegäran.docx", "A 22914-2019")</f>
        <v/>
      </c>
      <c r="Y277">
        <f>HYPERLINK("https://klasma.github.io/Logging_1780/tillsynsmail/A 22914-2019 tillsynsbegäran mail.docx", "A 22914-2019")</f>
        <v/>
      </c>
      <c r="Z277">
        <f>HYPERLINK("https://klasma.github.io/Logging_1780/fåglar/A 22914-2019 prioriterade fågelarter.docx", "A 22914-2019")</f>
        <v/>
      </c>
    </row>
    <row r="278" ht="15" customHeight="1">
      <c r="A278" t="inlineStr">
        <is>
          <t>A 23681-2019</t>
        </is>
      </c>
      <c r="B278" s="1" t="n">
        <v>43594</v>
      </c>
      <c r="C278" s="1" t="n">
        <v>45507</v>
      </c>
      <c r="D278" t="inlineStr">
        <is>
          <t>VÄRMLANDS LÄN</t>
        </is>
      </c>
      <c r="E278" t="inlineStr">
        <is>
          <t>SÄFFLE</t>
        </is>
      </c>
      <c r="G278" t="n">
        <v>1.1</v>
      </c>
      <c r="H278" t="n">
        <v>0</v>
      </c>
      <c r="I278" t="n">
        <v>0</v>
      </c>
      <c r="J278" t="n">
        <v>1</v>
      </c>
      <c r="K278" t="n">
        <v>0</v>
      </c>
      <c r="L278" t="n">
        <v>0</v>
      </c>
      <c r="M278" t="n">
        <v>0</v>
      </c>
      <c r="N278" t="n">
        <v>0</v>
      </c>
      <c r="O278" t="n">
        <v>1</v>
      </c>
      <c r="P278" t="n">
        <v>0</v>
      </c>
      <c r="Q278" t="n">
        <v>1</v>
      </c>
      <c r="R278" s="2" t="inlineStr">
        <is>
          <t>Svinrot</t>
        </is>
      </c>
      <c r="S278">
        <f>HYPERLINK("https://klasma.github.io/Logging_1785/artfynd/A 23681-2019 artfynd.xlsx", "A 23681-2019")</f>
        <v/>
      </c>
      <c r="T278">
        <f>HYPERLINK("https://klasma.github.io/Logging_1785/kartor/A 23681-2019 karta.png", "A 23681-2019")</f>
        <v/>
      </c>
      <c r="V278">
        <f>HYPERLINK("https://klasma.github.io/Logging_1785/klagomål/A 23681-2019 FSC-klagomål.docx", "A 23681-2019")</f>
        <v/>
      </c>
      <c r="W278">
        <f>HYPERLINK("https://klasma.github.io/Logging_1785/klagomålsmail/A 23681-2019 FSC-klagomål mail.docx", "A 23681-2019")</f>
        <v/>
      </c>
      <c r="X278">
        <f>HYPERLINK("https://klasma.github.io/Logging_1785/tillsyn/A 23681-2019 tillsynsbegäran.docx", "A 23681-2019")</f>
        <v/>
      </c>
      <c r="Y278">
        <f>HYPERLINK("https://klasma.github.io/Logging_1785/tillsynsmail/A 23681-2019 tillsynsbegäran mail.docx", "A 23681-2019")</f>
        <v/>
      </c>
    </row>
    <row r="279" ht="15" customHeight="1">
      <c r="A279" t="inlineStr">
        <is>
          <t>A 25652-2019</t>
        </is>
      </c>
      <c r="B279" s="1" t="n">
        <v>43607</v>
      </c>
      <c r="C279" s="1" t="n">
        <v>45507</v>
      </c>
      <c r="D279" t="inlineStr">
        <is>
          <t>VÄRMLANDS LÄN</t>
        </is>
      </c>
      <c r="E279" t="inlineStr">
        <is>
          <t>KARLSTAD</t>
        </is>
      </c>
      <c r="G279" t="n">
        <v>1.9</v>
      </c>
      <c r="H279" t="n">
        <v>0</v>
      </c>
      <c r="I279" t="n">
        <v>1</v>
      </c>
      <c r="J279" t="n">
        <v>0</v>
      </c>
      <c r="K279" t="n">
        <v>0</v>
      </c>
      <c r="L279" t="n">
        <v>0</v>
      </c>
      <c r="M279" t="n">
        <v>0</v>
      </c>
      <c r="N279" t="n">
        <v>0</v>
      </c>
      <c r="O279" t="n">
        <v>0</v>
      </c>
      <c r="P279" t="n">
        <v>0</v>
      </c>
      <c r="Q279" t="n">
        <v>1</v>
      </c>
      <c r="R279" s="2" t="inlineStr">
        <is>
          <t>Vedticka</t>
        </is>
      </c>
      <c r="S279">
        <f>HYPERLINK("https://klasma.github.io/Logging_1780/artfynd/A 25652-2019 artfynd.xlsx", "A 25652-2019")</f>
        <v/>
      </c>
      <c r="T279">
        <f>HYPERLINK("https://klasma.github.io/Logging_1780/kartor/A 25652-2019 karta.png", "A 25652-2019")</f>
        <v/>
      </c>
      <c r="V279">
        <f>HYPERLINK("https://klasma.github.io/Logging_1780/klagomål/A 25652-2019 FSC-klagomål.docx", "A 25652-2019")</f>
        <v/>
      </c>
      <c r="W279">
        <f>HYPERLINK("https://klasma.github.io/Logging_1780/klagomålsmail/A 25652-2019 FSC-klagomål mail.docx", "A 25652-2019")</f>
        <v/>
      </c>
      <c r="X279">
        <f>HYPERLINK("https://klasma.github.io/Logging_1780/tillsyn/A 25652-2019 tillsynsbegäran.docx", "A 25652-2019")</f>
        <v/>
      </c>
      <c r="Y279">
        <f>HYPERLINK("https://klasma.github.io/Logging_1780/tillsynsmail/A 25652-2019 tillsynsbegäran mail.docx", "A 25652-2019")</f>
        <v/>
      </c>
    </row>
    <row r="280" ht="15" customHeight="1">
      <c r="A280" t="inlineStr">
        <is>
          <t>A 27311-2019</t>
        </is>
      </c>
      <c r="B280" s="1" t="n">
        <v>43616</v>
      </c>
      <c r="C280" s="1" t="n">
        <v>45507</v>
      </c>
      <c r="D280" t="inlineStr">
        <is>
          <t>VÄRMLANDS LÄN</t>
        </is>
      </c>
      <c r="E280" t="inlineStr">
        <is>
          <t>KARLSTAD</t>
        </is>
      </c>
      <c r="F280" t="inlineStr">
        <is>
          <t>Kommuner</t>
        </is>
      </c>
      <c r="G280" t="n">
        <v>2</v>
      </c>
      <c r="H280" t="n">
        <v>0</v>
      </c>
      <c r="I280" t="n">
        <v>0</v>
      </c>
      <c r="J280" t="n">
        <v>1</v>
      </c>
      <c r="K280" t="n">
        <v>0</v>
      </c>
      <c r="L280" t="n">
        <v>0</v>
      </c>
      <c r="M280" t="n">
        <v>0</v>
      </c>
      <c r="N280" t="n">
        <v>0</v>
      </c>
      <c r="O280" t="n">
        <v>1</v>
      </c>
      <c r="P280" t="n">
        <v>0</v>
      </c>
      <c r="Q280" t="n">
        <v>1</v>
      </c>
      <c r="R280" s="2" t="inlineStr">
        <is>
          <t>Ängsmetallvinge</t>
        </is>
      </c>
      <c r="S280">
        <f>HYPERLINK("https://klasma.github.io/Logging_1780/artfynd/A 27311-2019 artfynd.xlsx", "A 27311-2019")</f>
        <v/>
      </c>
      <c r="T280">
        <f>HYPERLINK("https://klasma.github.io/Logging_1780/kartor/A 27311-2019 karta.png", "A 27311-2019")</f>
        <v/>
      </c>
      <c r="V280">
        <f>HYPERLINK("https://klasma.github.io/Logging_1780/klagomål/A 27311-2019 FSC-klagomål.docx", "A 27311-2019")</f>
        <v/>
      </c>
      <c r="W280">
        <f>HYPERLINK("https://klasma.github.io/Logging_1780/klagomålsmail/A 27311-2019 FSC-klagomål mail.docx", "A 27311-2019")</f>
        <v/>
      </c>
      <c r="X280">
        <f>HYPERLINK("https://klasma.github.io/Logging_1780/tillsyn/A 27311-2019 tillsynsbegäran.docx", "A 27311-2019")</f>
        <v/>
      </c>
      <c r="Y280">
        <f>HYPERLINK("https://klasma.github.io/Logging_1780/tillsynsmail/A 27311-2019 tillsynsbegäran mail.docx", "A 27311-2019")</f>
        <v/>
      </c>
    </row>
    <row r="281" ht="15" customHeight="1">
      <c r="A281" t="inlineStr">
        <is>
          <t>A 29032-2019</t>
        </is>
      </c>
      <c r="B281" s="1" t="n">
        <v>43621</v>
      </c>
      <c r="C281" s="1" t="n">
        <v>45507</v>
      </c>
      <c r="D281" t="inlineStr">
        <is>
          <t>VÄRMLANDS LÄN</t>
        </is>
      </c>
      <c r="E281" t="inlineStr">
        <is>
          <t>ÅRJÄNG</t>
        </is>
      </c>
      <c r="G281" t="n">
        <v>4.8</v>
      </c>
      <c r="H281" t="n">
        <v>0</v>
      </c>
      <c r="I281" t="n">
        <v>0</v>
      </c>
      <c r="J281" t="n">
        <v>1</v>
      </c>
      <c r="K281" t="n">
        <v>0</v>
      </c>
      <c r="L281" t="n">
        <v>0</v>
      </c>
      <c r="M281" t="n">
        <v>0</v>
      </c>
      <c r="N281" t="n">
        <v>0</v>
      </c>
      <c r="O281" t="n">
        <v>1</v>
      </c>
      <c r="P281" t="n">
        <v>0</v>
      </c>
      <c r="Q281" t="n">
        <v>1</v>
      </c>
      <c r="R281" s="2" t="inlineStr">
        <is>
          <t>Veckticka</t>
        </is>
      </c>
      <c r="S281">
        <f>HYPERLINK("https://klasma.github.io/Logging_1765/artfynd/A 29032-2019 artfynd.xlsx", "A 29032-2019")</f>
        <v/>
      </c>
      <c r="T281">
        <f>HYPERLINK("https://klasma.github.io/Logging_1765/kartor/A 29032-2019 karta.png", "A 29032-2019")</f>
        <v/>
      </c>
      <c r="U281">
        <f>HYPERLINK("https://klasma.github.io/Logging_1765/knärot/A 29032-2019 karta knärot.png", "A 29032-2019")</f>
        <v/>
      </c>
      <c r="V281">
        <f>HYPERLINK("https://klasma.github.io/Logging_1765/klagomål/A 29032-2019 FSC-klagomål.docx", "A 29032-2019")</f>
        <v/>
      </c>
      <c r="W281">
        <f>HYPERLINK("https://klasma.github.io/Logging_1765/klagomålsmail/A 29032-2019 FSC-klagomål mail.docx", "A 29032-2019")</f>
        <v/>
      </c>
      <c r="X281">
        <f>HYPERLINK("https://klasma.github.io/Logging_1765/tillsyn/A 29032-2019 tillsynsbegäran.docx", "A 29032-2019")</f>
        <v/>
      </c>
      <c r="Y281">
        <f>HYPERLINK("https://klasma.github.io/Logging_1765/tillsynsmail/A 29032-2019 tillsynsbegäran mail.docx", "A 29032-2019")</f>
        <v/>
      </c>
    </row>
    <row r="282" ht="15" customHeight="1">
      <c r="A282" t="inlineStr">
        <is>
          <t>A 28904-2019</t>
        </is>
      </c>
      <c r="B282" s="1" t="n">
        <v>43628</v>
      </c>
      <c r="C282" s="1" t="n">
        <v>45507</v>
      </c>
      <c r="D282" t="inlineStr">
        <is>
          <t>VÄRMLANDS LÄN</t>
        </is>
      </c>
      <c r="E282" t="inlineStr">
        <is>
          <t>FORSHAGA</t>
        </is>
      </c>
      <c r="G282" t="n">
        <v>6.7</v>
      </c>
      <c r="H282" t="n">
        <v>1</v>
      </c>
      <c r="I282" t="n">
        <v>0</v>
      </c>
      <c r="J282" t="n">
        <v>0</v>
      </c>
      <c r="K282" t="n">
        <v>0</v>
      </c>
      <c r="L282" t="n">
        <v>0</v>
      </c>
      <c r="M282" t="n">
        <v>0</v>
      </c>
      <c r="N282" t="n">
        <v>0</v>
      </c>
      <c r="O282" t="n">
        <v>0</v>
      </c>
      <c r="P282" t="n">
        <v>0</v>
      </c>
      <c r="Q282" t="n">
        <v>1</v>
      </c>
      <c r="R282" s="2" t="inlineStr">
        <is>
          <t>Lopplummer</t>
        </is>
      </c>
      <c r="S282">
        <f>HYPERLINK("https://klasma.github.io/Logging_1763/artfynd/A 28904-2019 artfynd.xlsx", "A 28904-2019")</f>
        <v/>
      </c>
      <c r="T282">
        <f>HYPERLINK("https://klasma.github.io/Logging_1763/kartor/A 28904-2019 karta.png", "A 28904-2019")</f>
        <v/>
      </c>
      <c r="V282">
        <f>HYPERLINK("https://klasma.github.io/Logging_1763/klagomål/A 28904-2019 FSC-klagomål.docx", "A 28904-2019")</f>
        <v/>
      </c>
      <c r="W282">
        <f>HYPERLINK("https://klasma.github.io/Logging_1763/klagomålsmail/A 28904-2019 FSC-klagomål mail.docx", "A 28904-2019")</f>
        <v/>
      </c>
      <c r="X282">
        <f>HYPERLINK("https://klasma.github.io/Logging_1763/tillsyn/A 28904-2019 tillsynsbegäran.docx", "A 28904-2019")</f>
        <v/>
      </c>
      <c r="Y282">
        <f>HYPERLINK("https://klasma.github.io/Logging_1763/tillsynsmail/A 28904-2019 tillsynsbegäran mail.docx", "A 28904-2019")</f>
        <v/>
      </c>
    </row>
    <row r="283" ht="15" customHeight="1">
      <c r="A283" t="inlineStr">
        <is>
          <t>A 30304-2019</t>
        </is>
      </c>
      <c r="B283" s="1" t="n">
        <v>43634</v>
      </c>
      <c r="C283" s="1" t="n">
        <v>45507</v>
      </c>
      <c r="D283" t="inlineStr">
        <is>
          <t>VÄRMLANDS LÄN</t>
        </is>
      </c>
      <c r="E283" t="inlineStr">
        <is>
          <t>ARVIKA</t>
        </is>
      </c>
      <c r="G283" t="n">
        <v>0.6</v>
      </c>
      <c r="H283" t="n">
        <v>1</v>
      </c>
      <c r="I283" t="n">
        <v>0</v>
      </c>
      <c r="J283" t="n">
        <v>0</v>
      </c>
      <c r="K283" t="n">
        <v>1</v>
      </c>
      <c r="L283" t="n">
        <v>0</v>
      </c>
      <c r="M283" t="n">
        <v>0</v>
      </c>
      <c r="N283" t="n">
        <v>0</v>
      </c>
      <c r="O283" t="n">
        <v>1</v>
      </c>
      <c r="P283" t="n">
        <v>1</v>
      </c>
      <c r="Q283" t="n">
        <v>1</v>
      </c>
      <c r="R283" s="2" t="inlineStr">
        <is>
          <t>Knärot</t>
        </is>
      </c>
      <c r="S283">
        <f>HYPERLINK("https://klasma.github.io/Logging_1784/artfynd/A 30304-2019 artfynd.xlsx", "A 30304-2019")</f>
        <v/>
      </c>
      <c r="T283">
        <f>HYPERLINK("https://klasma.github.io/Logging_1784/kartor/A 30304-2019 karta.png", "A 30304-2019")</f>
        <v/>
      </c>
      <c r="U283">
        <f>HYPERLINK("https://klasma.github.io/Logging_1784/knärot/A 30304-2019 karta knärot.png", "A 30304-2019")</f>
        <v/>
      </c>
      <c r="V283">
        <f>HYPERLINK("https://klasma.github.io/Logging_1784/klagomål/A 30304-2019 FSC-klagomål.docx", "A 30304-2019")</f>
        <v/>
      </c>
      <c r="W283">
        <f>HYPERLINK("https://klasma.github.io/Logging_1784/klagomålsmail/A 30304-2019 FSC-klagomål mail.docx", "A 30304-2019")</f>
        <v/>
      </c>
      <c r="X283">
        <f>HYPERLINK("https://klasma.github.io/Logging_1784/tillsyn/A 30304-2019 tillsynsbegäran.docx", "A 30304-2019")</f>
        <v/>
      </c>
      <c r="Y283">
        <f>HYPERLINK("https://klasma.github.io/Logging_1784/tillsynsmail/A 30304-2019 tillsynsbegäran mail.docx", "A 30304-2019")</f>
        <v/>
      </c>
    </row>
    <row r="284" ht="15" customHeight="1">
      <c r="A284" t="inlineStr">
        <is>
          <t>A 31191-2019</t>
        </is>
      </c>
      <c r="B284" s="1" t="n">
        <v>43640</v>
      </c>
      <c r="C284" s="1" t="n">
        <v>45507</v>
      </c>
      <c r="D284" t="inlineStr">
        <is>
          <t>VÄRMLANDS LÄN</t>
        </is>
      </c>
      <c r="E284" t="inlineStr">
        <is>
          <t>FILIPSTAD</t>
        </is>
      </c>
      <c r="G284" t="n">
        <v>5.9</v>
      </c>
      <c r="H284" t="n">
        <v>1</v>
      </c>
      <c r="I284" t="n">
        <v>0</v>
      </c>
      <c r="J284" t="n">
        <v>1</v>
      </c>
      <c r="K284" t="n">
        <v>0</v>
      </c>
      <c r="L284" t="n">
        <v>0</v>
      </c>
      <c r="M284" t="n">
        <v>0</v>
      </c>
      <c r="N284" t="n">
        <v>0</v>
      </c>
      <c r="O284" t="n">
        <v>1</v>
      </c>
      <c r="P284" t="n">
        <v>0</v>
      </c>
      <c r="Q284" t="n">
        <v>1</v>
      </c>
      <c r="R284" s="2" t="inlineStr">
        <is>
          <t>Smålom</t>
        </is>
      </c>
      <c r="S284">
        <f>HYPERLINK("https://klasma.github.io/Logging_1782/artfynd/A 31191-2019 artfynd.xlsx", "A 31191-2019")</f>
        <v/>
      </c>
      <c r="T284">
        <f>HYPERLINK("https://klasma.github.io/Logging_1782/kartor/A 31191-2019 karta.png", "A 31191-2019")</f>
        <v/>
      </c>
      <c r="V284">
        <f>HYPERLINK("https://klasma.github.io/Logging_1782/klagomål/A 31191-2019 FSC-klagomål.docx", "A 31191-2019")</f>
        <v/>
      </c>
      <c r="W284">
        <f>HYPERLINK("https://klasma.github.io/Logging_1782/klagomålsmail/A 31191-2019 FSC-klagomål mail.docx", "A 31191-2019")</f>
        <v/>
      </c>
      <c r="X284">
        <f>HYPERLINK("https://klasma.github.io/Logging_1782/tillsyn/A 31191-2019 tillsynsbegäran.docx", "A 31191-2019")</f>
        <v/>
      </c>
      <c r="Y284">
        <f>HYPERLINK("https://klasma.github.io/Logging_1782/tillsynsmail/A 31191-2019 tillsynsbegäran mail.docx", "A 31191-2019")</f>
        <v/>
      </c>
      <c r="Z284">
        <f>HYPERLINK("https://klasma.github.io/Logging_1782/fåglar/A 31191-2019 prioriterade fågelarter.docx", "A 31191-2019")</f>
        <v/>
      </c>
    </row>
    <row r="285" ht="15" customHeight="1">
      <c r="A285" t="inlineStr">
        <is>
          <t>A 31848-2019</t>
        </is>
      </c>
      <c r="B285" s="1" t="n">
        <v>43642</v>
      </c>
      <c r="C285" s="1" t="n">
        <v>45507</v>
      </c>
      <c r="D285" t="inlineStr">
        <is>
          <t>VÄRMLANDS LÄN</t>
        </is>
      </c>
      <c r="E285" t="inlineStr">
        <is>
          <t>TORSBY</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HYPERLINK("https://klasma.github.io/Logging_1737/artfynd/A 31848-2019 artfynd.xlsx", "A 31848-2019")</f>
        <v/>
      </c>
      <c r="T285">
        <f>HYPERLINK("https://klasma.github.io/Logging_1737/kartor/A 31848-2019 karta.png", "A 31848-2019")</f>
        <v/>
      </c>
      <c r="U285">
        <f>HYPERLINK("https://klasma.github.io/Logging_1737/knärot/A 31848-2019 karta knärot.png", "A 31848-2019")</f>
        <v/>
      </c>
      <c r="V285">
        <f>HYPERLINK("https://klasma.github.io/Logging_1737/klagomål/A 31848-2019 FSC-klagomål.docx", "A 31848-2019")</f>
        <v/>
      </c>
      <c r="W285">
        <f>HYPERLINK("https://klasma.github.io/Logging_1737/klagomålsmail/A 31848-2019 FSC-klagomål mail.docx", "A 31848-2019")</f>
        <v/>
      </c>
      <c r="X285">
        <f>HYPERLINK("https://klasma.github.io/Logging_1737/tillsyn/A 31848-2019 tillsynsbegäran.docx", "A 31848-2019")</f>
        <v/>
      </c>
      <c r="Y285">
        <f>HYPERLINK("https://klasma.github.io/Logging_1737/tillsynsmail/A 31848-2019 tillsynsbegäran mail.docx", "A 31848-2019")</f>
        <v/>
      </c>
    </row>
    <row r="286" ht="15" customHeight="1">
      <c r="A286" t="inlineStr">
        <is>
          <t>A 41355-2019</t>
        </is>
      </c>
      <c r="B286" s="1" t="n">
        <v>43696</v>
      </c>
      <c r="C286" s="1" t="n">
        <v>45507</v>
      </c>
      <c r="D286" t="inlineStr">
        <is>
          <t>VÄRMLANDS LÄN</t>
        </is>
      </c>
      <c r="E286" t="inlineStr">
        <is>
          <t>ÅRJÄNG</t>
        </is>
      </c>
      <c r="G286" t="n">
        <v>3.1</v>
      </c>
      <c r="H286" t="n">
        <v>0</v>
      </c>
      <c r="I286" t="n">
        <v>0</v>
      </c>
      <c r="J286" t="n">
        <v>1</v>
      </c>
      <c r="K286" t="n">
        <v>0</v>
      </c>
      <c r="L286" t="n">
        <v>0</v>
      </c>
      <c r="M286" t="n">
        <v>0</v>
      </c>
      <c r="N286" t="n">
        <v>0</v>
      </c>
      <c r="O286" t="n">
        <v>1</v>
      </c>
      <c r="P286" t="n">
        <v>0</v>
      </c>
      <c r="Q286" t="n">
        <v>1</v>
      </c>
      <c r="R286" s="2" t="inlineStr">
        <is>
          <t>Dofttaggsvamp</t>
        </is>
      </c>
      <c r="S286">
        <f>HYPERLINK("https://klasma.github.io/Logging_1765/artfynd/A 41355-2019 artfynd.xlsx", "A 41355-2019")</f>
        <v/>
      </c>
      <c r="T286">
        <f>HYPERLINK("https://klasma.github.io/Logging_1765/kartor/A 41355-2019 karta.png", "A 41355-2019")</f>
        <v/>
      </c>
      <c r="V286">
        <f>HYPERLINK("https://klasma.github.io/Logging_1765/klagomål/A 41355-2019 FSC-klagomål.docx", "A 41355-2019")</f>
        <v/>
      </c>
      <c r="W286">
        <f>HYPERLINK("https://klasma.github.io/Logging_1765/klagomålsmail/A 41355-2019 FSC-klagomål mail.docx", "A 41355-2019")</f>
        <v/>
      </c>
      <c r="X286">
        <f>HYPERLINK("https://klasma.github.io/Logging_1765/tillsyn/A 41355-2019 tillsynsbegäran.docx", "A 41355-2019")</f>
        <v/>
      </c>
      <c r="Y286">
        <f>HYPERLINK("https://klasma.github.io/Logging_1765/tillsynsmail/A 41355-2019 tillsynsbegäran mail.docx", "A 41355-2019")</f>
        <v/>
      </c>
    </row>
    <row r="287" ht="15" customHeight="1">
      <c r="A287" t="inlineStr">
        <is>
          <t>A 43500-2019</t>
        </is>
      </c>
      <c r="B287" s="1" t="n">
        <v>43706</v>
      </c>
      <c r="C287" s="1" t="n">
        <v>45507</v>
      </c>
      <c r="D287" t="inlineStr">
        <is>
          <t>VÄRMLANDS LÄN</t>
        </is>
      </c>
      <c r="E287" t="inlineStr">
        <is>
          <t>SUNNE</t>
        </is>
      </c>
      <c r="G287" t="n">
        <v>4.5</v>
      </c>
      <c r="H287" t="n">
        <v>0</v>
      </c>
      <c r="I287" t="n">
        <v>0</v>
      </c>
      <c r="J287" t="n">
        <v>1</v>
      </c>
      <c r="K287" t="n">
        <v>0</v>
      </c>
      <c r="L287" t="n">
        <v>0</v>
      </c>
      <c r="M287" t="n">
        <v>0</v>
      </c>
      <c r="N287" t="n">
        <v>0</v>
      </c>
      <c r="O287" t="n">
        <v>1</v>
      </c>
      <c r="P287" t="n">
        <v>0</v>
      </c>
      <c r="Q287" t="n">
        <v>1</v>
      </c>
      <c r="R287" s="2" t="inlineStr">
        <is>
          <t>Garnlav</t>
        </is>
      </c>
      <c r="S287">
        <f>HYPERLINK("https://klasma.github.io/Logging_1766/artfynd/A 43500-2019 artfynd.xlsx", "A 43500-2019")</f>
        <v/>
      </c>
      <c r="T287">
        <f>HYPERLINK("https://klasma.github.io/Logging_1766/kartor/A 43500-2019 karta.png", "A 43500-2019")</f>
        <v/>
      </c>
      <c r="V287">
        <f>HYPERLINK("https://klasma.github.io/Logging_1766/klagomål/A 43500-2019 FSC-klagomål.docx", "A 43500-2019")</f>
        <v/>
      </c>
      <c r="W287">
        <f>HYPERLINK("https://klasma.github.io/Logging_1766/klagomålsmail/A 43500-2019 FSC-klagomål mail.docx", "A 43500-2019")</f>
        <v/>
      </c>
      <c r="X287">
        <f>HYPERLINK("https://klasma.github.io/Logging_1766/tillsyn/A 43500-2019 tillsynsbegäran.docx", "A 43500-2019")</f>
        <v/>
      </c>
      <c r="Y287">
        <f>HYPERLINK("https://klasma.github.io/Logging_1766/tillsynsmail/A 43500-2019 tillsynsbegäran mail.docx", "A 43500-2019")</f>
        <v/>
      </c>
    </row>
    <row r="288" ht="15" customHeight="1">
      <c r="A288" t="inlineStr">
        <is>
          <t>A 43893-2019</t>
        </is>
      </c>
      <c r="B288" s="1" t="n">
        <v>43707</v>
      </c>
      <c r="C288" s="1" t="n">
        <v>45507</v>
      </c>
      <c r="D288" t="inlineStr">
        <is>
          <t>VÄRMLANDS LÄN</t>
        </is>
      </c>
      <c r="E288" t="inlineStr">
        <is>
          <t>GRUMS</t>
        </is>
      </c>
      <c r="G288" t="n">
        <v>7.3</v>
      </c>
      <c r="H288" t="n">
        <v>1</v>
      </c>
      <c r="I288" t="n">
        <v>0</v>
      </c>
      <c r="J288" t="n">
        <v>0</v>
      </c>
      <c r="K288" t="n">
        <v>0</v>
      </c>
      <c r="L288" t="n">
        <v>0</v>
      </c>
      <c r="M288" t="n">
        <v>0</v>
      </c>
      <c r="N288" t="n">
        <v>0</v>
      </c>
      <c r="O288" t="n">
        <v>0</v>
      </c>
      <c r="P288" t="n">
        <v>0</v>
      </c>
      <c r="Q288" t="n">
        <v>1</v>
      </c>
      <c r="R288" s="2" t="inlineStr">
        <is>
          <t>Orre</t>
        </is>
      </c>
      <c r="S288">
        <f>HYPERLINK("https://klasma.github.io/Logging_1764/artfynd/A 43893-2019 artfynd.xlsx", "A 43893-2019")</f>
        <v/>
      </c>
      <c r="T288">
        <f>HYPERLINK("https://klasma.github.io/Logging_1764/kartor/A 43893-2019 karta.png", "A 43893-2019")</f>
        <v/>
      </c>
      <c r="V288">
        <f>HYPERLINK("https://klasma.github.io/Logging_1764/klagomål/A 43893-2019 FSC-klagomål.docx", "A 43893-2019")</f>
        <v/>
      </c>
      <c r="W288">
        <f>HYPERLINK("https://klasma.github.io/Logging_1764/klagomålsmail/A 43893-2019 FSC-klagomål mail.docx", "A 43893-2019")</f>
        <v/>
      </c>
      <c r="X288">
        <f>HYPERLINK("https://klasma.github.io/Logging_1764/tillsyn/A 43893-2019 tillsynsbegäran.docx", "A 43893-2019")</f>
        <v/>
      </c>
      <c r="Y288">
        <f>HYPERLINK("https://klasma.github.io/Logging_1764/tillsynsmail/A 43893-2019 tillsynsbegäran mail.docx", "A 43893-2019")</f>
        <v/>
      </c>
      <c r="Z288">
        <f>HYPERLINK("https://klasma.github.io/Logging_1764/fåglar/A 43893-2019 prioriterade fågelarter.docx", "A 43893-2019")</f>
        <v/>
      </c>
    </row>
    <row r="289" ht="15" customHeight="1">
      <c r="A289" t="inlineStr">
        <is>
          <t>A 45844-2019</t>
        </is>
      </c>
      <c r="B289" s="1" t="n">
        <v>43717</v>
      </c>
      <c r="C289" s="1" t="n">
        <v>45507</v>
      </c>
      <c r="D289" t="inlineStr">
        <is>
          <t>VÄRMLANDS LÄN</t>
        </is>
      </c>
      <c r="E289" t="inlineStr">
        <is>
          <t>TORSBY</t>
        </is>
      </c>
      <c r="G289" t="n">
        <v>4.1</v>
      </c>
      <c r="H289" t="n">
        <v>1</v>
      </c>
      <c r="I289" t="n">
        <v>0</v>
      </c>
      <c r="J289" t="n">
        <v>1</v>
      </c>
      <c r="K289" t="n">
        <v>0</v>
      </c>
      <c r="L289" t="n">
        <v>0</v>
      </c>
      <c r="M289" t="n">
        <v>0</v>
      </c>
      <c r="N289" t="n">
        <v>0</v>
      </c>
      <c r="O289" t="n">
        <v>1</v>
      </c>
      <c r="P289" t="n">
        <v>0</v>
      </c>
      <c r="Q289" t="n">
        <v>1</v>
      </c>
      <c r="R289" s="2" t="inlineStr">
        <is>
          <t>Talltita</t>
        </is>
      </c>
      <c r="S289">
        <f>HYPERLINK("https://klasma.github.io/Logging_1737/artfynd/A 45844-2019 artfynd.xlsx", "A 45844-2019")</f>
        <v/>
      </c>
      <c r="T289">
        <f>HYPERLINK("https://klasma.github.io/Logging_1737/kartor/A 45844-2019 karta.png", "A 45844-2019")</f>
        <v/>
      </c>
      <c r="V289">
        <f>HYPERLINK("https://klasma.github.io/Logging_1737/klagomål/A 45844-2019 FSC-klagomål.docx", "A 45844-2019")</f>
        <v/>
      </c>
      <c r="W289">
        <f>HYPERLINK("https://klasma.github.io/Logging_1737/klagomålsmail/A 45844-2019 FSC-klagomål mail.docx", "A 45844-2019")</f>
        <v/>
      </c>
      <c r="X289">
        <f>HYPERLINK("https://klasma.github.io/Logging_1737/tillsyn/A 45844-2019 tillsynsbegäran.docx", "A 45844-2019")</f>
        <v/>
      </c>
      <c r="Y289">
        <f>HYPERLINK("https://klasma.github.io/Logging_1737/tillsynsmail/A 45844-2019 tillsynsbegäran mail.docx", "A 45844-2019")</f>
        <v/>
      </c>
      <c r="Z289">
        <f>HYPERLINK("https://klasma.github.io/Logging_1737/fåglar/A 45844-2019 prioriterade fågelarter.docx", "A 45844-2019")</f>
        <v/>
      </c>
    </row>
    <row r="290" ht="15" customHeight="1">
      <c r="A290" t="inlineStr">
        <is>
          <t>A 47192-2019</t>
        </is>
      </c>
      <c r="B290" s="1" t="n">
        <v>43721</v>
      </c>
      <c r="C290" s="1" t="n">
        <v>45507</v>
      </c>
      <c r="D290" t="inlineStr">
        <is>
          <t>VÄRMLANDS LÄN</t>
        </is>
      </c>
      <c r="E290" t="inlineStr">
        <is>
          <t>KIL</t>
        </is>
      </c>
      <c r="G290" t="n">
        <v>4.4</v>
      </c>
      <c r="H290" t="n">
        <v>1</v>
      </c>
      <c r="I290" t="n">
        <v>0</v>
      </c>
      <c r="J290" t="n">
        <v>0</v>
      </c>
      <c r="K290" t="n">
        <v>1</v>
      </c>
      <c r="L290" t="n">
        <v>0</v>
      </c>
      <c r="M290" t="n">
        <v>0</v>
      </c>
      <c r="N290" t="n">
        <v>0</v>
      </c>
      <c r="O290" t="n">
        <v>1</v>
      </c>
      <c r="P290" t="n">
        <v>1</v>
      </c>
      <c r="Q290" t="n">
        <v>1</v>
      </c>
      <c r="R290" s="2" t="inlineStr">
        <is>
          <t>Knärot</t>
        </is>
      </c>
      <c r="S290">
        <f>HYPERLINK("https://klasma.github.io/Logging_1715/artfynd/A 47192-2019 artfynd.xlsx", "A 47192-2019")</f>
        <v/>
      </c>
      <c r="T290">
        <f>HYPERLINK("https://klasma.github.io/Logging_1715/kartor/A 47192-2019 karta.png", "A 47192-2019")</f>
        <v/>
      </c>
      <c r="U290">
        <f>HYPERLINK("https://klasma.github.io/Logging_1715/knärot/A 47192-2019 karta knärot.png", "A 47192-2019")</f>
        <v/>
      </c>
      <c r="V290">
        <f>HYPERLINK("https://klasma.github.io/Logging_1715/klagomål/A 47192-2019 FSC-klagomål.docx", "A 47192-2019")</f>
        <v/>
      </c>
      <c r="W290">
        <f>HYPERLINK("https://klasma.github.io/Logging_1715/klagomålsmail/A 47192-2019 FSC-klagomål mail.docx", "A 47192-2019")</f>
        <v/>
      </c>
      <c r="X290">
        <f>HYPERLINK("https://klasma.github.io/Logging_1715/tillsyn/A 47192-2019 tillsynsbegäran.docx", "A 47192-2019")</f>
        <v/>
      </c>
      <c r="Y290">
        <f>HYPERLINK("https://klasma.github.io/Logging_1715/tillsynsmail/A 47192-2019 tillsynsbegäran mail.docx", "A 47192-2019")</f>
        <v/>
      </c>
    </row>
    <row r="291" ht="15" customHeight="1">
      <c r="A291" t="inlineStr">
        <is>
          <t>A 47731-2019</t>
        </is>
      </c>
      <c r="B291" s="1" t="n">
        <v>43724</v>
      </c>
      <c r="C291" s="1" t="n">
        <v>45507</v>
      </c>
      <c r="D291" t="inlineStr">
        <is>
          <t>VÄRMLANDS LÄN</t>
        </is>
      </c>
      <c r="E291" t="inlineStr">
        <is>
          <t>TORSBY</t>
        </is>
      </c>
      <c r="G291" t="n">
        <v>3.5</v>
      </c>
      <c r="H291" t="n">
        <v>1</v>
      </c>
      <c r="I291" t="n">
        <v>0</v>
      </c>
      <c r="J291" t="n">
        <v>1</v>
      </c>
      <c r="K291" t="n">
        <v>0</v>
      </c>
      <c r="L291" t="n">
        <v>0</v>
      </c>
      <c r="M291" t="n">
        <v>0</v>
      </c>
      <c r="N291" t="n">
        <v>0</v>
      </c>
      <c r="O291" t="n">
        <v>1</v>
      </c>
      <c r="P291" t="n">
        <v>0</v>
      </c>
      <c r="Q291" t="n">
        <v>1</v>
      </c>
      <c r="R291" s="2" t="inlineStr">
        <is>
          <t>Gulsparv</t>
        </is>
      </c>
      <c r="S291">
        <f>HYPERLINK("https://klasma.github.io/Logging_1737/artfynd/A 47731-2019 artfynd.xlsx", "A 47731-2019")</f>
        <v/>
      </c>
      <c r="T291">
        <f>HYPERLINK("https://klasma.github.io/Logging_1737/kartor/A 47731-2019 karta.png", "A 47731-2019")</f>
        <v/>
      </c>
      <c r="V291">
        <f>HYPERLINK("https://klasma.github.io/Logging_1737/klagomål/A 47731-2019 FSC-klagomål.docx", "A 47731-2019")</f>
        <v/>
      </c>
      <c r="W291">
        <f>HYPERLINK("https://klasma.github.io/Logging_1737/klagomålsmail/A 47731-2019 FSC-klagomål mail.docx", "A 47731-2019")</f>
        <v/>
      </c>
      <c r="X291">
        <f>HYPERLINK("https://klasma.github.io/Logging_1737/tillsyn/A 47731-2019 tillsynsbegäran.docx", "A 47731-2019")</f>
        <v/>
      </c>
      <c r="Y291">
        <f>HYPERLINK("https://klasma.github.io/Logging_1737/tillsynsmail/A 47731-2019 tillsynsbegäran mail.docx", "A 47731-2019")</f>
        <v/>
      </c>
      <c r="Z291">
        <f>HYPERLINK("https://klasma.github.io/Logging_1737/fåglar/A 47731-2019 prioriterade fågelarter.docx", "A 47731-2019")</f>
        <v/>
      </c>
    </row>
    <row r="292" ht="15" customHeight="1">
      <c r="A292" t="inlineStr">
        <is>
          <t>A 47834-2019</t>
        </is>
      </c>
      <c r="B292" s="1" t="n">
        <v>43725</v>
      </c>
      <c r="C292" s="1" t="n">
        <v>45507</v>
      </c>
      <c r="D292" t="inlineStr">
        <is>
          <t>VÄRMLANDS LÄN</t>
        </is>
      </c>
      <c r="E292" t="inlineStr">
        <is>
          <t>ÅRJÄNG</t>
        </is>
      </c>
      <c r="G292" t="n">
        <v>3</v>
      </c>
      <c r="H292" t="n">
        <v>0</v>
      </c>
      <c r="I292" t="n">
        <v>0</v>
      </c>
      <c r="J292" t="n">
        <v>0</v>
      </c>
      <c r="K292" t="n">
        <v>0</v>
      </c>
      <c r="L292" t="n">
        <v>1</v>
      </c>
      <c r="M292" t="n">
        <v>0</v>
      </c>
      <c r="N292" t="n">
        <v>0</v>
      </c>
      <c r="O292" t="n">
        <v>1</v>
      </c>
      <c r="P292" t="n">
        <v>1</v>
      </c>
      <c r="Q292" t="n">
        <v>1</v>
      </c>
      <c r="R292" s="2" t="inlineStr">
        <is>
          <t>Ask</t>
        </is>
      </c>
      <c r="S292">
        <f>HYPERLINK("https://klasma.github.io/Logging_1765/artfynd/A 47834-2019 artfynd.xlsx", "A 47834-2019")</f>
        <v/>
      </c>
      <c r="T292">
        <f>HYPERLINK("https://klasma.github.io/Logging_1765/kartor/A 47834-2019 karta.png", "A 47834-2019")</f>
        <v/>
      </c>
      <c r="V292">
        <f>HYPERLINK("https://klasma.github.io/Logging_1765/klagomål/A 47834-2019 FSC-klagomål.docx", "A 47834-2019")</f>
        <v/>
      </c>
      <c r="W292">
        <f>HYPERLINK("https://klasma.github.io/Logging_1765/klagomålsmail/A 47834-2019 FSC-klagomål mail.docx", "A 47834-2019")</f>
        <v/>
      </c>
      <c r="X292">
        <f>HYPERLINK("https://klasma.github.io/Logging_1765/tillsyn/A 47834-2019 tillsynsbegäran.docx", "A 47834-2019")</f>
        <v/>
      </c>
      <c r="Y292">
        <f>HYPERLINK("https://klasma.github.io/Logging_1765/tillsynsmail/A 47834-2019 tillsynsbegäran mail.docx", "A 47834-2019")</f>
        <v/>
      </c>
    </row>
    <row r="293" ht="15" customHeight="1">
      <c r="A293" t="inlineStr">
        <is>
          <t>A 48854-2019</t>
        </is>
      </c>
      <c r="B293" s="1" t="n">
        <v>43728</v>
      </c>
      <c r="C293" s="1" t="n">
        <v>45507</v>
      </c>
      <c r="D293" t="inlineStr">
        <is>
          <t>VÄRMLANDS LÄN</t>
        </is>
      </c>
      <c r="E293" t="inlineStr">
        <is>
          <t>ARVIKA</t>
        </is>
      </c>
      <c r="G293" t="n">
        <v>8.1</v>
      </c>
      <c r="H293" t="n">
        <v>1</v>
      </c>
      <c r="I293" t="n">
        <v>0</v>
      </c>
      <c r="J293" t="n">
        <v>0</v>
      </c>
      <c r="K293" t="n">
        <v>1</v>
      </c>
      <c r="L293" t="n">
        <v>0</v>
      </c>
      <c r="M293" t="n">
        <v>0</v>
      </c>
      <c r="N293" t="n">
        <v>0</v>
      </c>
      <c r="O293" t="n">
        <v>1</v>
      </c>
      <c r="P293" t="n">
        <v>1</v>
      </c>
      <c r="Q293" t="n">
        <v>1</v>
      </c>
      <c r="R293" s="2" t="inlineStr">
        <is>
          <t>Knärot</t>
        </is>
      </c>
      <c r="S293">
        <f>HYPERLINK("https://klasma.github.io/Logging_1784/artfynd/A 48854-2019 artfynd.xlsx", "A 48854-2019")</f>
        <v/>
      </c>
      <c r="T293">
        <f>HYPERLINK("https://klasma.github.io/Logging_1784/kartor/A 48854-2019 karta.png", "A 48854-2019")</f>
        <v/>
      </c>
      <c r="U293">
        <f>HYPERLINK("https://klasma.github.io/Logging_1784/knärot/A 48854-2019 karta knärot.png", "A 48854-2019")</f>
        <v/>
      </c>
      <c r="V293">
        <f>HYPERLINK("https://klasma.github.io/Logging_1784/klagomål/A 48854-2019 FSC-klagomål.docx", "A 48854-2019")</f>
        <v/>
      </c>
      <c r="W293">
        <f>HYPERLINK("https://klasma.github.io/Logging_1784/klagomålsmail/A 48854-2019 FSC-klagomål mail.docx", "A 48854-2019")</f>
        <v/>
      </c>
      <c r="X293">
        <f>HYPERLINK("https://klasma.github.io/Logging_1784/tillsyn/A 48854-2019 tillsynsbegäran.docx", "A 48854-2019")</f>
        <v/>
      </c>
      <c r="Y293">
        <f>HYPERLINK("https://klasma.github.io/Logging_1784/tillsynsmail/A 48854-2019 tillsynsbegäran mail.docx", "A 48854-2019")</f>
        <v/>
      </c>
    </row>
    <row r="294" ht="15" customHeight="1">
      <c r="A294" t="inlineStr">
        <is>
          <t>A 49192-2019</t>
        </is>
      </c>
      <c r="B294" s="1" t="n">
        <v>43731</v>
      </c>
      <c r="C294" s="1" t="n">
        <v>45507</v>
      </c>
      <c r="D294" t="inlineStr">
        <is>
          <t>VÄRMLANDS LÄN</t>
        </is>
      </c>
      <c r="E294" t="inlineStr">
        <is>
          <t>ÅRJÄNG</t>
        </is>
      </c>
      <c r="G294" t="n">
        <v>4.4</v>
      </c>
      <c r="H294" t="n">
        <v>1</v>
      </c>
      <c r="I294" t="n">
        <v>0</v>
      </c>
      <c r="J294" t="n">
        <v>0</v>
      </c>
      <c r="K294" t="n">
        <v>0</v>
      </c>
      <c r="L294" t="n">
        <v>0</v>
      </c>
      <c r="M294" t="n">
        <v>0</v>
      </c>
      <c r="N294" t="n">
        <v>0</v>
      </c>
      <c r="O294" t="n">
        <v>0</v>
      </c>
      <c r="P294" t="n">
        <v>0</v>
      </c>
      <c r="Q294" t="n">
        <v>1</v>
      </c>
      <c r="R294" s="2" t="inlineStr">
        <is>
          <t>Blåsippa</t>
        </is>
      </c>
      <c r="S294">
        <f>HYPERLINK("https://klasma.github.io/Logging_1765/artfynd/A 49192-2019 artfynd.xlsx", "A 49192-2019")</f>
        <v/>
      </c>
      <c r="T294">
        <f>HYPERLINK("https://klasma.github.io/Logging_1765/kartor/A 49192-2019 karta.png", "A 49192-2019")</f>
        <v/>
      </c>
      <c r="V294">
        <f>HYPERLINK("https://klasma.github.io/Logging_1765/klagomål/A 49192-2019 FSC-klagomål.docx", "A 49192-2019")</f>
        <v/>
      </c>
      <c r="W294">
        <f>HYPERLINK("https://klasma.github.io/Logging_1765/klagomålsmail/A 49192-2019 FSC-klagomål mail.docx", "A 49192-2019")</f>
        <v/>
      </c>
      <c r="X294">
        <f>HYPERLINK("https://klasma.github.io/Logging_1765/tillsyn/A 49192-2019 tillsynsbegäran.docx", "A 49192-2019")</f>
        <v/>
      </c>
      <c r="Y294">
        <f>HYPERLINK("https://klasma.github.io/Logging_1765/tillsynsmail/A 49192-2019 tillsynsbegäran mail.docx", "A 49192-2019")</f>
        <v/>
      </c>
    </row>
    <row r="295" ht="15" customHeight="1">
      <c r="A295" t="inlineStr">
        <is>
          <t>A 50261-2019</t>
        </is>
      </c>
      <c r="B295" s="1" t="n">
        <v>43734</v>
      </c>
      <c r="C295" s="1" t="n">
        <v>45507</v>
      </c>
      <c r="D295" t="inlineStr">
        <is>
          <t>VÄRMLANDS LÄN</t>
        </is>
      </c>
      <c r="E295" t="inlineStr">
        <is>
          <t>ÅRJÄNG</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HYPERLINK("https://klasma.github.io/Logging_1765/artfynd/A 50261-2019 artfynd.xlsx", "A 50261-2019")</f>
        <v/>
      </c>
      <c r="T295">
        <f>HYPERLINK("https://klasma.github.io/Logging_1765/kartor/A 50261-2019 karta.png", "A 50261-2019")</f>
        <v/>
      </c>
      <c r="V295">
        <f>HYPERLINK("https://klasma.github.io/Logging_1765/klagomål/A 50261-2019 FSC-klagomål.docx", "A 50261-2019")</f>
        <v/>
      </c>
      <c r="W295">
        <f>HYPERLINK("https://klasma.github.io/Logging_1765/klagomålsmail/A 50261-2019 FSC-klagomål mail.docx", "A 50261-2019")</f>
        <v/>
      </c>
      <c r="X295">
        <f>HYPERLINK("https://klasma.github.io/Logging_1765/tillsyn/A 50261-2019 tillsynsbegäran.docx", "A 50261-2019")</f>
        <v/>
      </c>
      <c r="Y295">
        <f>HYPERLINK("https://klasma.github.io/Logging_1765/tillsynsmail/A 50261-2019 tillsynsbegäran mail.docx", "A 50261-2019")</f>
        <v/>
      </c>
    </row>
    <row r="296" ht="15" customHeight="1">
      <c r="A296" t="inlineStr">
        <is>
          <t>A 51021-2019</t>
        </is>
      </c>
      <c r="B296" s="1" t="n">
        <v>43739</v>
      </c>
      <c r="C296" s="1" t="n">
        <v>45507</v>
      </c>
      <c r="D296" t="inlineStr">
        <is>
          <t>VÄRMLANDS LÄN</t>
        </is>
      </c>
      <c r="E296" t="inlineStr">
        <is>
          <t>HAGFORS</t>
        </is>
      </c>
      <c r="F296" t="inlineStr">
        <is>
          <t>Bergvik skog väst AB</t>
        </is>
      </c>
      <c r="G296" t="n">
        <v>18.7</v>
      </c>
      <c r="H296" t="n">
        <v>1</v>
      </c>
      <c r="I296" t="n">
        <v>0</v>
      </c>
      <c r="J296" t="n">
        <v>0</v>
      </c>
      <c r="K296" t="n">
        <v>1</v>
      </c>
      <c r="L296" t="n">
        <v>0</v>
      </c>
      <c r="M296" t="n">
        <v>0</v>
      </c>
      <c r="N296" t="n">
        <v>0</v>
      </c>
      <c r="O296" t="n">
        <v>1</v>
      </c>
      <c r="P296" t="n">
        <v>1</v>
      </c>
      <c r="Q296" t="n">
        <v>1</v>
      </c>
      <c r="R296" s="2" t="inlineStr">
        <is>
          <t>Mellanlummer</t>
        </is>
      </c>
      <c r="S296">
        <f>HYPERLINK("https://klasma.github.io/Logging_1783/artfynd/A 51021-2019 artfynd.xlsx", "A 51021-2019")</f>
        <v/>
      </c>
      <c r="T296">
        <f>HYPERLINK("https://klasma.github.io/Logging_1783/kartor/A 51021-2019 karta.png", "A 51021-2019")</f>
        <v/>
      </c>
      <c r="V296">
        <f>HYPERLINK("https://klasma.github.io/Logging_1783/klagomål/A 51021-2019 FSC-klagomål.docx", "A 51021-2019")</f>
        <v/>
      </c>
      <c r="W296">
        <f>HYPERLINK("https://klasma.github.io/Logging_1783/klagomålsmail/A 51021-2019 FSC-klagomål mail.docx", "A 51021-2019")</f>
        <v/>
      </c>
      <c r="X296">
        <f>HYPERLINK("https://klasma.github.io/Logging_1783/tillsyn/A 51021-2019 tillsynsbegäran.docx", "A 51021-2019")</f>
        <v/>
      </c>
      <c r="Y296">
        <f>HYPERLINK("https://klasma.github.io/Logging_1783/tillsynsmail/A 51021-2019 tillsynsbegäran mail.docx", "A 51021-2019")</f>
        <v/>
      </c>
    </row>
    <row r="297" ht="15" customHeight="1">
      <c r="A297" t="inlineStr">
        <is>
          <t>A 53924-2019</t>
        </is>
      </c>
      <c r="B297" s="1" t="n">
        <v>43742</v>
      </c>
      <c r="C297" s="1" t="n">
        <v>45507</v>
      </c>
      <c r="D297" t="inlineStr">
        <is>
          <t>VÄRMLANDS LÄN</t>
        </is>
      </c>
      <c r="E297" t="inlineStr">
        <is>
          <t>TORSBY</t>
        </is>
      </c>
      <c r="G297" t="n">
        <v>7.1</v>
      </c>
      <c r="H297" t="n">
        <v>1</v>
      </c>
      <c r="I297" t="n">
        <v>0</v>
      </c>
      <c r="J297" t="n">
        <v>0</v>
      </c>
      <c r="K297" t="n">
        <v>0</v>
      </c>
      <c r="L297" t="n">
        <v>0</v>
      </c>
      <c r="M297" t="n">
        <v>0</v>
      </c>
      <c r="N297" t="n">
        <v>0</v>
      </c>
      <c r="O297" t="n">
        <v>0</v>
      </c>
      <c r="P297" t="n">
        <v>0</v>
      </c>
      <c r="Q297" t="n">
        <v>1</v>
      </c>
      <c r="R297" s="2" t="inlineStr">
        <is>
          <t>Fläcknycklar</t>
        </is>
      </c>
      <c r="S297">
        <f>HYPERLINK("https://klasma.github.io/Logging_1737/artfynd/A 53924-2019 artfynd.xlsx", "A 53924-2019")</f>
        <v/>
      </c>
      <c r="T297">
        <f>HYPERLINK("https://klasma.github.io/Logging_1737/kartor/A 53924-2019 karta.png", "A 53924-2019")</f>
        <v/>
      </c>
      <c r="V297">
        <f>HYPERLINK("https://klasma.github.io/Logging_1737/klagomål/A 53924-2019 FSC-klagomål.docx", "A 53924-2019")</f>
        <v/>
      </c>
      <c r="W297">
        <f>HYPERLINK("https://klasma.github.io/Logging_1737/klagomålsmail/A 53924-2019 FSC-klagomål mail.docx", "A 53924-2019")</f>
        <v/>
      </c>
      <c r="X297">
        <f>HYPERLINK("https://klasma.github.io/Logging_1737/tillsyn/A 53924-2019 tillsynsbegäran.docx", "A 53924-2019")</f>
        <v/>
      </c>
      <c r="Y297">
        <f>HYPERLINK("https://klasma.github.io/Logging_1737/tillsynsmail/A 53924-2019 tillsynsbegäran mail.docx", "A 53924-2019")</f>
        <v/>
      </c>
    </row>
    <row r="298" ht="15" customHeight="1">
      <c r="A298" t="inlineStr">
        <is>
          <t>A 55931-2019</t>
        </is>
      </c>
      <c r="B298" s="1" t="n">
        <v>43761</v>
      </c>
      <c r="C298" s="1" t="n">
        <v>45507</v>
      </c>
      <c r="D298" t="inlineStr">
        <is>
          <t>VÄRMLANDS LÄN</t>
        </is>
      </c>
      <c r="E298" t="inlineStr">
        <is>
          <t>ARVIKA</t>
        </is>
      </c>
      <c r="G298" t="n">
        <v>1.1</v>
      </c>
      <c r="H298" t="n">
        <v>0</v>
      </c>
      <c r="I298" t="n">
        <v>0</v>
      </c>
      <c r="J298" t="n">
        <v>0</v>
      </c>
      <c r="K298" t="n">
        <v>1</v>
      </c>
      <c r="L298" t="n">
        <v>0</v>
      </c>
      <c r="M298" t="n">
        <v>0</v>
      </c>
      <c r="N298" t="n">
        <v>0</v>
      </c>
      <c r="O298" t="n">
        <v>1</v>
      </c>
      <c r="P298" t="n">
        <v>1</v>
      </c>
      <c r="Q298" t="n">
        <v>1</v>
      </c>
      <c r="R298" s="2" t="inlineStr">
        <is>
          <t>Blåtryffel</t>
        </is>
      </c>
      <c r="S298">
        <f>HYPERLINK("https://klasma.github.io/Logging_1784/artfynd/A 55931-2019 artfynd.xlsx", "A 55931-2019")</f>
        <v/>
      </c>
      <c r="T298">
        <f>HYPERLINK("https://klasma.github.io/Logging_1784/kartor/A 55931-2019 karta.png", "A 55931-2019")</f>
        <v/>
      </c>
      <c r="V298">
        <f>HYPERLINK("https://klasma.github.io/Logging_1784/klagomål/A 55931-2019 FSC-klagomål.docx", "A 55931-2019")</f>
        <v/>
      </c>
      <c r="W298">
        <f>HYPERLINK("https://klasma.github.io/Logging_1784/klagomålsmail/A 55931-2019 FSC-klagomål mail.docx", "A 55931-2019")</f>
        <v/>
      </c>
      <c r="X298">
        <f>HYPERLINK("https://klasma.github.io/Logging_1784/tillsyn/A 55931-2019 tillsynsbegäran.docx", "A 55931-2019")</f>
        <v/>
      </c>
      <c r="Y298">
        <f>HYPERLINK("https://klasma.github.io/Logging_1784/tillsynsmail/A 55931-2019 tillsynsbegäran mail.docx", "A 55931-2019")</f>
        <v/>
      </c>
    </row>
    <row r="299" ht="15" customHeight="1">
      <c r="A299" t="inlineStr">
        <is>
          <t>A 56545-2019</t>
        </is>
      </c>
      <c r="B299" s="1" t="n">
        <v>43763</v>
      </c>
      <c r="C299" s="1" t="n">
        <v>45507</v>
      </c>
      <c r="D299" t="inlineStr">
        <is>
          <t>VÄRMLANDS LÄN</t>
        </is>
      </c>
      <c r="E299" t="inlineStr">
        <is>
          <t>ÅRJÄNG</t>
        </is>
      </c>
      <c r="G299" t="n">
        <v>3.4</v>
      </c>
      <c r="H299" t="n">
        <v>0</v>
      </c>
      <c r="I299" t="n">
        <v>0</v>
      </c>
      <c r="J299" t="n">
        <v>1</v>
      </c>
      <c r="K299" t="n">
        <v>0</v>
      </c>
      <c r="L299" t="n">
        <v>0</v>
      </c>
      <c r="M299" t="n">
        <v>0</v>
      </c>
      <c r="N299" t="n">
        <v>0</v>
      </c>
      <c r="O299" t="n">
        <v>1</v>
      </c>
      <c r="P299" t="n">
        <v>0</v>
      </c>
      <c r="Q299" t="n">
        <v>1</v>
      </c>
      <c r="R299" s="2" t="inlineStr">
        <is>
          <t>Garnlav</t>
        </is>
      </c>
      <c r="S299">
        <f>HYPERLINK("https://klasma.github.io/Logging_1765/artfynd/A 56545-2019 artfynd.xlsx", "A 56545-2019")</f>
        <v/>
      </c>
      <c r="T299">
        <f>HYPERLINK("https://klasma.github.io/Logging_1765/kartor/A 56545-2019 karta.png", "A 56545-2019")</f>
        <v/>
      </c>
      <c r="V299">
        <f>HYPERLINK("https://klasma.github.io/Logging_1765/klagomål/A 56545-2019 FSC-klagomål.docx", "A 56545-2019")</f>
        <v/>
      </c>
      <c r="W299">
        <f>HYPERLINK("https://klasma.github.io/Logging_1765/klagomålsmail/A 56545-2019 FSC-klagomål mail.docx", "A 56545-2019")</f>
        <v/>
      </c>
      <c r="X299">
        <f>HYPERLINK("https://klasma.github.io/Logging_1765/tillsyn/A 56545-2019 tillsynsbegäran.docx", "A 56545-2019")</f>
        <v/>
      </c>
      <c r="Y299">
        <f>HYPERLINK("https://klasma.github.io/Logging_1765/tillsynsmail/A 56545-2019 tillsynsbegäran mail.docx", "A 56545-2019")</f>
        <v/>
      </c>
    </row>
    <row r="300" ht="15" customHeight="1">
      <c r="A300" t="inlineStr">
        <is>
          <t>A 57014-2019</t>
        </is>
      </c>
      <c r="B300" s="1" t="n">
        <v>43766</v>
      </c>
      <c r="C300" s="1" t="n">
        <v>45507</v>
      </c>
      <c r="D300" t="inlineStr">
        <is>
          <t>VÄRMLANDS LÄN</t>
        </is>
      </c>
      <c r="E300" t="inlineStr">
        <is>
          <t>EDA</t>
        </is>
      </c>
      <c r="G300" t="n">
        <v>1.1</v>
      </c>
      <c r="H300" t="n">
        <v>0</v>
      </c>
      <c r="I300" t="n">
        <v>0</v>
      </c>
      <c r="J300" t="n">
        <v>1</v>
      </c>
      <c r="K300" t="n">
        <v>0</v>
      </c>
      <c r="L300" t="n">
        <v>0</v>
      </c>
      <c r="M300" t="n">
        <v>0</v>
      </c>
      <c r="N300" t="n">
        <v>0</v>
      </c>
      <c r="O300" t="n">
        <v>1</v>
      </c>
      <c r="P300" t="n">
        <v>0</v>
      </c>
      <c r="Q300" t="n">
        <v>1</v>
      </c>
      <c r="R300" s="2" t="inlineStr">
        <is>
          <t>Garnlav</t>
        </is>
      </c>
      <c r="S300">
        <f>HYPERLINK("https://klasma.github.io/Logging_1730/artfynd/A 57014-2019 artfynd.xlsx", "A 57014-2019")</f>
        <v/>
      </c>
      <c r="T300">
        <f>HYPERLINK("https://klasma.github.io/Logging_1730/kartor/A 57014-2019 karta.png", "A 57014-2019")</f>
        <v/>
      </c>
      <c r="V300">
        <f>HYPERLINK("https://klasma.github.io/Logging_1730/klagomål/A 57014-2019 FSC-klagomål.docx", "A 57014-2019")</f>
        <v/>
      </c>
      <c r="W300">
        <f>HYPERLINK("https://klasma.github.io/Logging_1730/klagomålsmail/A 57014-2019 FSC-klagomål mail.docx", "A 57014-2019")</f>
        <v/>
      </c>
      <c r="X300">
        <f>HYPERLINK("https://klasma.github.io/Logging_1730/tillsyn/A 57014-2019 tillsynsbegäran.docx", "A 57014-2019")</f>
        <v/>
      </c>
      <c r="Y300">
        <f>HYPERLINK("https://klasma.github.io/Logging_1730/tillsynsmail/A 57014-2019 tillsynsbegäran mail.docx", "A 57014-2019")</f>
        <v/>
      </c>
    </row>
    <row r="301" ht="15" customHeight="1">
      <c r="A301" t="inlineStr">
        <is>
          <t>A 63767-2019</t>
        </is>
      </c>
      <c r="B301" s="1" t="n">
        <v>43795</v>
      </c>
      <c r="C301" s="1" t="n">
        <v>45507</v>
      </c>
      <c r="D301" t="inlineStr">
        <is>
          <t>VÄRMLANDS LÄN</t>
        </is>
      </c>
      <c r="E301" t="inlineStr">
        <is>
          <t>TORSBY</t>
        </is>
      </c>
      <c r="G301" t="n">
        <v>1.4</v>
      </c>
      <c r="H301" t="n">
        <v>0</v>
      </c>
      <c r="I301" t="n">
        <v>0</v>
      </c>
      <c r="J301" t="n">
        <v>1</v>
      </c>
      <c r="K301" t="n">
        <v>0</v>
      </c>
      <c r="L301" t="n">
        <v>0</v>
      </c>
      <c r="M301" t="n">
        <v>0</v>
      </c>
      <c r="N301" t="n">
        <v>0</v>
      </c>
      <c r="O301" t="n">
        <v>1</v>
      </c>
      <c r="P301" t="n">
        <v>0</v>
      </c>
      <c r="Q301" t="n">
        <v>1</v>
      </c>
      <c r="R301" s="2" t="inlineStr">
        <is>
          <t>Garnlav</t>
        </is>
      </c>
      <c r="S301">
        <f>HYPERLINK("https://klasma.github.io/Logging_1737/artfynd/A 63767-2019 artfynd.xlsx", "A 63767-2019")</f>
        <v/>
      </c>
      <c r="T301">
        <f>HYPERLINK("https://klasma.github.io/Logging_1737/kartor/A 63767-2019 karta.png", "A 63767-2019")</f>
        <v/>
      </c>
      <c r="V301">
        <f>HYPERLINK("https://klasma.github.io/Logging_1737/klagomål/A 63767-2019 FSC-klagomål.docx", "A 63767-2019")</f>
        <v/>
      </c>
      <c r="W301">
        <f>HYPERLINK("https://klasma.github.io/Logging_1737/klagomålsmail/A 63767-2019 FSC-klagomål mail.docx", "A 63767-2019")</f>
        <v/>
      </c>
      <c r="X301">
        <f>HYPERLINK("https://klasma.github.io/Logging_1737/tillsyn/A 63767-2019 tillsynsbegäran.docx", "A 63767-2019")</f>
        <v/>
      </c>
      <c r="Y301">
        <f>HYPERLINK("https://klasma.github.io/Logging_1737/tillsynsmail/A 63767-2019 tillsynsbegäran mail.docx", "A 63767-2019")</f>
        <v/>
      </c>
    </row>
    <row r="302" ht="15" customHeight="1">
      <c r="A302" t="inlineStr">
        <is>
          <t>A 65129-2019</t>
        </is>
      </c>
      <c r="B302" s="1" t="n">
        <v>43802</v>
      </c>
      <c r="C302" s="1" t="n">
        <v>45507</v>
      </c>
      <c r="D302" t="inlineStr">
        <is>
          <t>VÄRMLANDS LÄN</t>
        </is>
      </c>
      <c r="E302" t="inlineStr">
        <is>
          <t>TORSBY</t>
        </is>
      </c>
      <c r="G302" t="n">
        <v>3.3</v>
      </c>
      <c r="H302" t="n">
        <v>0</v>
      </c>
      <c r="I302" t="n">
        <v>0</v>
      </c>
      <c r="J302" t="n">
        <v>1</v>
      </c>
      <c r="K302" t="n">
        <v>0</v>
      </c>
      <c r="L302" t="n">
        <v>0</v>
      </c>
      <c r="M302" t="n">
        <v>0</v>
      </c>
      <c r="N302" t="n">
        <v>0</v>
      </c>
      <c r="O302" t="n">
        <v>1</v>
      </c>
      <c r="P302" t="n">
        <v>0</v>
      </c>
      <c r="Q302" t="n">
        <v>1</v>
      </c>
      <c r="R302" s="2" t="inlineStr">
        <is>
          <t>Garnlav</t>
        </is>
      </c>
      <c r="S302">
        <f>HYPERLINK("https://klasma.github.io/Logging_1737/artfynd/A 65129-2019 artfynd.xlsx", "A 65129-2019")</f>
        <v/>
      </c>
      <c r="T302">
        <f>HYPERLINK("https://klasma.github.io/Logging_1737/kartor/A 65129-2019 karta.png", "A 65129-2019")</f>
        <v/>
      </c>
      <c r="V302">
        <f>HYPERLINK("https://klasma.github.io/Logging_1737/klagomål/A 65129-2019 FSC-klagomål.docx", "A 65129-2019")</f>
        <v/>
      </c>
      <c r="W302">
        <f>HYPERLINK("https://klasma.github.io/Logging_1737/klagomålsmail/A 65129-2019 FSC-klagomål mail.docx", "A 65129-2019")</f>
        <v/>
      </c>
      <c r="X302">
        <f>HYPERLINK("https://klasma.github.io/Logging_1737/tillsyn/A 65129-2019 tillsynsbegäran.docx", "A 65129-2019")</f>
        <v/>
      </c>
      <c r="Y302">
        <f>HYPERLINK("https://klasma.github.io/Logging_1737/tillsynsmail/A 65129-2019 tillsynsbegäran mail.docx", "A 65129-2019")</f>
        <v/>
      </c>
    </row>
    <row r="303" ht="15" customHeight="1">
      <c r="A303" t="inlineStr">
        <is>
          <t>A 65258-2019</t>
        </is>
      </c>
      <c r="B303" s="1" t="n">
        <v>43802</v>
      </c>
      <c r="C303" s="1" t="n">
        <v>45507</v>
      </c>
      <c r="D303" t="inlineStr">
        <is>
          <t>VÄRMLANDS LÄN</t>
        </is>
      </c>
      <c r="E303" t="inlineStr">
        <is>
          <t>FILIPSTAD</t>
        </is>
      </c>
      <c r="F303" t="inlineStr">
        <is>
          <t>Bergvik skog väst AB</t>
        </is>
      </c>
      <c r="G303" t="n">
        <v>35.3</v>
      </c>
      <c r="H303" t="n">
        <v>1</v>
      </c>
      <c r="I303" t="n">
        <v>0</v>
      </c>
      <c r="J303" t="n">
        <v>1</v>
      </c>
      <c r="K303" t="n">
        <v>0</v>
      </c>
      <c r="L303" t="n">
        <v>0</v>
      </c>
      <c r="M303" t="n">
        <v>0</v>
      </c>
      <c r="N303" t="n">
        <v>0</v>
      </c>
      <c r="O303" t="n">
        <v>1</v>
      </c>
      <c r="P303" t="n">
        <v>0</v>
      </c>
      <c r="Q303" t="n">
        <v>1</v>
      </c>
      <c r="R303" s="2" t="inlineStr">
        <is>
          <t>Strandlummer</t>
        </is>
      </c>
      <c r="S303">
        <f>HYPERLINK("https://klasma.github.io/Logging_1782/artfynd/A 65258-2019 artfynd.xlsx", "A 65258-2019")</f>
        <v/>
      </c>
      <c r="T303">
        <f>HYPERLINK("https://klasma.github.io/Logging_1782/kartor/A 65258-2019 karta.png", "A 65258-2019")</f>
        <v/>
      </c>
      <c r="V303">
        <f>HYPERLINK("https://klasma.github.io/Logging_1782/klagomål/A 65258-2019 FSC-klagomål.docx", "A 65258-2019")</f>
        <v/>
      </c>
      <c r="W303">
        <f>HYPERLINK("https://klasma.github.io/Logging_1782/klagomålsmail/A 65258-2019 FSC-klagomål mail.docx", "A 65258-2019")</f>
        <v/>
      </c>
      <c r="X303">
        <f>HYPERLINK("https://klasma.github.io/Logging_1782/tillsyn/A 65258-2019 tillsynsbegäran.docx", "A 65258-2019")</f>
        <v/>
      </c>
      <c r="Y303">
        <f>HYPERLINK("https://klasma.github.io/Logging_1782/tillsynsmail/A 65258-2019 tillsynsbegäran mail.docx", "A 65258-2019")</f>
        <v/>
      </c>
    </row>
    <row r="304" ht="15" customHeight="1">
      <c r="A304" t="inlineStr">
        <is>
          <t>A 66238-2019</t>
        </is>
      </c>
      <c r="B304" s="1" t="n">
        <v>43808</v>
      </c>
      <c r="C304" s="1" t="n">
        <v>45507</v>
      </c>
      <c r="D304" t="inlineStr">
        <is>
          <t>VÄRMLANDS LÄN</t>
        </is>
      </c>
      <c r="E304" t="inlineStr">
        <is>
          <t>SUNNE</t>
        </is>
      </c>
      <c r="G304" t="n">
        <v>7.3</v>
      </c>
      <c r="H304" t="n">
        <v>1</v>
      </c>
      <c r="I304" t="n">
        <v>0</v>
      </c>
      <c r="J304" t="n">
        <v>0</v>
      </c>
      <c r="K304" t="n">
        <v>1</v>
      </c>
      <c r="L304" t="n">
        <v>0</v>
      </c>
      <c r="M304" t="n">
        <v>0</v>
      </c>
      <c r="N304" t="n">
        <v>0</v>
      </c>
      <c r="O304" t="n">
        <v>1</v>
      </c>
      <c r="P304" t="n">
        <v>1</v>
      </c>
      <c r="Q304" t="n">
        <v>1</v>
      </c>
      <c r="R304" s="2" t="inlineStr">
        <is>
          <t>Knärot</t>
        </is>
      </c>
      <c r="S304">
        <f>HYPERLINK("https://klasma.github.io/Logging_1766/artfynd/A 66238-2019 artfynd.xlsx", "A 66238-2019")</f>
        <v/>
      </c>
      <c r="T304">
        <f>HYPERLINK("https://klasma.github.io/Logging_1766/kartor/A 66238-2019 karta.png", "A 66238-2019")</f>
        <v/>
      </c>
      <c r="U304">
        <f>HYPERLINK("https://klasma.github.io/Logging_1766/knärot/A 66238-2019 karta knärot.png", "A 66238-2019")</f>
        <v/>
      </c>
      <c r="V304">
        <f>HYPERLINK("https://klasma.github.io/Logging_1766/klagomål/A 66238-2019 FSC-klagomål.docx", "A 66238-2019")</f>
        <v/>
      </c>
      <c r="W304">
        <f>HYPERLINK("https://klasma.github.io/Logging_1766/klagomålsmail/A 66238-2019 FSC-klagomål mail.docx", "A 66238-2019")</f>
        <v/>
      </c>
      <c r="X304">
        <f>HYPERLINK("https://klasma.github.io/Logging_1766/tillsyn/A 66238-2019 tillsynsbegäran.docx", "A 66238-2019")</f>
        <v/>
      </c>
      <c r="Y304">
        <f>HYPERLINK("https://klasma.github.io/Logging_1766/tillsynsmail/A 66238-2019 tillsynsbegäran mail.docx", "A 66238-2019")</f>
        <v/>
      </c>
    </row>
    <row r="305" ht="15" customHeight="1">
      <c r="A305" t="inlineStr">
        <is>
          <t>A 176-2020</t>
        </is>
      </c>
      <c r="B305" s="1" t="n">
        <v>43833</v>
      </c>
      <c r="C305" s="1" t="n">
        <v>45507</v>
      </c>
      <c r="D305" t="inlineStr">
        <is>
          <t>VÄRMLANDS LÄN</t>
        </is>
      </c>
      <c r="E305" t="inlineStr">
        <is>
          <t>FORSHAGA</t>
        </is>
      </c>
      <c r="F305" t="inlineStr">
        <is>
          <t>Bergvik skog väst AB</t>
        </is>
      </c>
      <c r="G305" t="n">
        <v>8.300000000000001</v>
      </c>
      <c r="H305" t="n">
        <v>1</v>
      </c>
      <c r="I305" t="n">
        <v>0</v>
      </c>
      <c r="J305" t="n">
        <v>0</v>
      </c>
      <c r="K305" t="n">
        <v>0</v>
      </c>
      <c r="L305" t="n">
        <v>0</v>
      </c>
      <c r="M305" t="n">
        <v>0</v>
      </c>
      <c r="N305" t="n">
        <v>0</v>
      </c>
      <c r="O305" t="n">
        <v>0</v>
      </c>
      <c r="P305" t="n">
        <v>0</v>
      </c>
      <c r="Q305" t="n">
        <v>1</v>
      </c>
      <c r="R305" s="2" t="inlineStr">
        <is>
          <t>Vanlig padda</t>
        </is>
      </c>
      <c r="S305">
        <f>HYPERLINK("https://klasma.github.io/Logging_1763/artfynd/A 176-2020 artfynd.xlsx", "A 176-2020")</f>
        <v/>
      </c>
      <c r="T305">
        <f>HYPERLINK("https://klasma.github.io/Logging_1763/kartor/A 176-2020 karta.png", "A 176-2020")</f>
        <v/>
      </c>
      <c r="V305">
        <f>HYPERLINK("https://klasma.github.io/Logging_1763/klagomål/A 176-2020 FSC-klagomål.docx", "A 176-2020")</f>
        <v/>
      </c>
      <c r="W305">
        <f>HYPERLINK("https://klasma.github.io/Logging_1763/klagomålsmail/A 176-2020 FSC-klagomål mail.docx", "A 176-2020")</f>
        <v/>
      </c>
      <c r="X305">
        <f>HYPERLINK("https://klasma.github.io/Logging_1763/tillsyn/A 176-2020 tillsynsbegäran.docx", "A 176-2020")</f>
        <v/>
      </c>
      <c r="Y305">
        <f>HYPERLINK("https://klasma.github.io/Logging_1763/tillsynsmail/A 176-2020 tillsynsbegäran mail.docx", "A 176-2020")</f>
        <v/>
      </c>
    </row>
    <row r="306" ht="15" customHeight="1">
      <c r="A306" t="inlineStr">
        <is>
          <t>A 238-2020</t>
        </is>
      </c>
      <c r="B306" s="1" t="n">
        <v>43835</v>
      </c>
      <c r="C306" s="1" t="n">
        <v>45507</v>
      </c>
      <c r="D306" t="inlineStr">
        <is>
          <t>VÄRMLANDS LÄN</t>
        </is>
      </c>
      <c r="E306" t="inlineStr">
        <is>
          <t>ARVIKA</t>
        </is>
      </c>
      <c r="G306" t="n">
        <v>1.3</v>
      </c>
      <c r="H306" t="n">
        <v>1</v>
      </c>
      <c r="I306" t="n">
        <v>0</v>
      </c>
      <c r="J306" t="n">
        <v>0</v>
      </c>
      <c r="K306" t="n">
        <v>1</v>
      </c>
      <c r="L306" t="n">
        <v>0</v>
      </c>
      <c r="M306" t="n">
        <v>0</v>
      </c>
      <c r="N306" t="n">
        <v>0</v>
      </c>
      <c r="O306" t="n">
        <v>1</v>
      </c>
      <c r="P306" t="n">
        <v>1</v>
      </c>
      <c r="Q306" t="n">
        <v>1</v>
      </c>
      <c r="R306" s="2" t="inlineStr">
        <is>
          <t>Knärot</t>
        </is>
      </c>
      <c r="S306">
        <f>HYPERLINK("https://klasma.github.io/Logging_1784/artfynd/A 238-2020 artfynd.xlsx", "A 238-2020")</f>
        <v/>
      </c>
      <c r="T306">
        <f>HYPERLINK("https://klasma.github.io/Logging_1784/kartor/A 238-2020 karta.png", "A 238-2020")</f>
        <v/>
      </c>
      <c r="U306">
        <f>HYPERLINK("https://klasma.github.io/Logging_1784/knärot/A 238-2020 karta knärot.png", "A 238-2020")</f>
        <v/>
      </c>
      <c r="V306">
        <f>HYPERLINK("https://klasma.github.io/Logging_1784/klagomål/A 238-2020 FSC-klagomål.docx", "A 238-2020")</f>
        <v/>
      </c>
      <c r="W306">
        <f>HYPERLINK("https://klasma.github.io/Logging_1784/klagomålsmail/A 238-2020 FSC-klagomål mail.docx", "A 238-2020")</f>
        <v/>
      </c>
      <c r="X306">
        <f>HYPERLINK("https://klasma.github.io/Logging_1784/tillsyn/A 238-2020 tillsynsbegäran.docx", "A 238-2020")</f>
        <v/>
      </c>
      <c r="Y306">
        <f>HYPERLINK("https://klasma.github.io/Logging_1784/tillsynsmail/A 238-2020 tillsynsbegäran mail.docx", "A 238-2020")</f>
        <v/>
      </c>
    </row>
    <row r="307" ht="15" customHeight="1">
      <c r="A307" t="inlineStr">
        <is>
          <t>A 2116-2020</t>
        </is>
      </c>
      <c r="B307" s="1" t="n">
        <v>43839</v>
      </c>
      <c r="C307" s="1" t="n">
        <v>45507</v>
      </c>
      <c r="D307" t="inlineStr">
        <is>
          <t>VÄRMLANDS LÄN</t>
        </is>
      </c>
      <c r="E307" t="inlineStr">
        <is>
          <t>ÅRJÄNG</t>
        </is>
      </c>
      <c r="G307" t="n">
        <v>3</v>
      </c>
      <c r="H307" t="n">
        <v>0</v>
      </c>
      <c r="I307" t="n">
        <v>0</v>
      </c>
      <c r="J307" t="n">
        <v>0</v>
      </c>
      <c r="K307" t="n">
        <v>0</v>
      </c>
      <c r="L307" t="n">
        <v>1</v>
      </c>
      <c r="M307" t="n">
        <v>0</v>
      </c>
      <c r="N307" t="n">
        <v>0</v>
      </c>
      <c r="O307" t="n">
        <v>1</v>
      </c>
      <c r="P307" t="n">
        <v>1</v>
      </c>
      <c r="Q307" t="n">
        <v>1</v>
      </c>
      <c r="R307" s="2" t="inlineStr">
        <is>
          <t>Ask</t>
        </is>
      </c>
      <c r="S307">
        <f>HYPERLINK("https://klasma.github.io/Logging_1765/artfynd/A 2116-2020 artfynd.xlsx", "A 2116-2020")</f>
        <v/>
      </c>
      <c r="T307">
        <f>HYPERLINK("https://klasma.github.io/Logging_1765/kartor/A 2116-2020 karta.png", "A 2116-2020")</f>
        <v/>
      </c>
      <c r="V307">
        <f>HYPERLINK("https://klasma.github.io/Logging_1765/klagomål/A 2116-2020 FSC-klagomål.docx", "A 2116-2020")</f>
        <v/>
      </c>
      <c r="W307">
        <f>HYPERLINK("https://klasma.github.io/Logging_1765/klagomålsmail/A 2116-2020 FSC-klagomål mail.docx", "A 2116-2020")</f>
        <v/>
      </c>
      <c r="X307">
        <f>HYPERLINK("https://klasma.github.io/Logging_1765/tillsyn/A 2116-2020 tillsynsbegäran.docx", "A 2116-2020")</f>
        <v/>
      </c>
      <c r="Y307">
        <f>HYPERLINK("https://klasma.github.io/Logging_1765/tillsynsmail/A 2116-2020 tillsynsbegäran mail.docx", "A 2116-2020")</f>
        <v/>
      </c>
    </row>
    <row r="308" ht="15" customHeight="1">
      <c r="A308" t="inlineStr">
        <is>
          <t>A 2358-2020</t>
        </is>
      </c>
      <c r="B308" s="1" t="n">
        <v>43846</v>
      </c>
      <c r="C308" s="1" t="n">
        <v>45507</v>
      </c>
      <c r="D308" t="inlineStr">
        <is>
          <t>VÄRMLANDS LÄN</t>
        </is>
      </c>
      <c r="E308" t="inlineStr">
        <is>
          <t>FORSHAGA</t>
        </is>
      </c>
      <c r="F308" t="inlineStr">
        <is>
          <t>Bergvik skog väst AB</t>
        </is>
      </c>
      <c r="G308" t="n">
        <v>18.7</v>
      </c>
      <c r="H308" t="n">
        <v>1</v>
      </c>
      <c r="I308" t="n">
        <v>0</v>
      </c>
      <c r="J308" t="n">
        <v>0</v>
      </c>
      <c r="K308" t="n">
        <v>0</v>
      </c>
      <c r="L308" t="n">
        <v>0</v>
      </c>
      <c r="M308" t="n">
        <v>0</v>
      </c>
      <c r="N308" t="n">
        <v>0</v>
      </c>
      <c r="O308" t="n">
        <v>0</v>
      </c>
      <c r="P308" t="n">
        <v>0</v>
      </c>
      <c r="Q308" t="n">
        <v>1</v>
      </c>
      <c r="R308" s="2" t="inlineStr">
        <is>
          <t>Mattlummer</t>
        </is>
      </c>
      <c r="S308">
        <f>HYPERLINK("https://klasma.github.io/Logging_1763/artfynd/A 2358-2020 artfynd.xlsx", "A 2358-2020")</f>
        <v/>
      </c>
      <c r="T308">
        <f>HYPERLINK("https://klasma.github.io/Logging_1763/kartor/A 2358-2020 karta.png", "A 2358-2020")</f>
        <v/>
      </c>
      <c r="V308">
        <f>HYPERLINK("https://klasma.github.io/Logging_1763/klagomål/A 2358-2020 FSC-klagomål.docx", "A 2358-2020")</f>
        <v/>
      </c>
      <c r="W308">
        <f>HYPERLINK("https://klasma.github.io/Logging_1763/klagomålsmail/A 2358-2020 FSC-klagomål mail.docx", "A 2358-2020")</f>
        <v/>
      </c>
      <c r="X308">
        <f>HYPERLINK("https://klasma.github.io/Logging_1763/tillsyn/A 2358-2020 tillsynsbegäran.docx", "A 2358-2020")</f>
        <v/>
      </c>
      <c r="Y308">
        <f>HYPERLINK("https://klasma.github.io/Logging_1763/tillsynsmail/A 2358-2020 tillsynsbegäran mail.docx", "A 2358-2020")</f>
        <v/>
      </c>
    </row>
    <row r="309" ht="15" customHeight="1">
      <c r="A309" t="inlineStr">
        <is>
          <t>A 6299-2020</t>
        </is>
      </c>
      <c r="B309" s="1" t="n">
        <v>43866</v>
      </c>
      <c r="C309" s="1" t="n">
        <v>45507</v>
      </c>
      <c r="D309" t="inlineStr">
        <is>
          <t>VÄRMLANDS LÄN</t>
        </is>
      </c>
      <c r="E309" t="inlineStr">
        <is>
          <t>KARLSTAD</t>
        </is>
      </c>
      <c r="F309" t="inlineStr">
        <is>
          <t>Kommuner</t>
        </is>
      </c>
      <c r="G309" t="n">
        <v>0.6</v>
      </c>
      <c r="H309" t="n">
        <v>1</v>
      </c>
      <c r="I309" t="n">
        <v>0</v>
      </c>
      <c r="J309" t="n">
        <v>0</v>
      </c>
      <c r="K309" t="n">
        <v>0</v>
      </c>
      <c r="L309" t="n">
        <v>0</v>
      </c>
      <c r="M309" t="n">
        <v>0</v>
      </c>
      <c r="N309" t="n">
        <v>0</v>
      </c>
      <c r="O309" t="n">
        <v>0</v>
      </c>
      <c r="P309" t="n">
        <v>0</v>
      </c>
      <c r="Q309" t="n">
        <v>1</v>
      </c>
      <c r="R309" s="2" t="inlineStr">
        <is>
          <t>Vanlig groda</t>
        </is>
      </c>
      <c r="S309">
        <f>HYPERLINK("https://klasma.github.io/Logging_1780/artfynd/A 6299-2020 artfynd.xlsx", "A 6299-2020")</f>
        <v/>
      </c>
      <c r="T309">
        <f>HYPERLINK("https://klasma.github.io/Logging_1780/kartor/A 6299-2020 karta.png", "A 6299-2020")</f>
        <v/>
      </c>
      <c r="V309">
        <f>HYPERLINK("https://klasma.github.io/Logging_1780/klagomål/A 6299-2020 FSC-klagomål.docx", "A 6299-2020")</f>
        <v/>
      </c>
      <c r="W309">
        <f>HYPERLINK("https://klasma.github.io/Logging_1780/klagomålsmail/A 6299-2020 FSC-klagomål mail.docx", "A 6299-2020")</f>
        <v/>
      </c>
      <c r="X309">
        <f>HYPERLINK("https://klasma.github.io/Logging_1780/tillsyn/A 6299-2020 tillsynsbegäran.docx", "A 6299-2020")</f>
        <v/>
      </c>
      <c r="Y309">
        <f>HYPERLINK("https://klasma.github.io/Logging_1780/tillsynsmail/A 6299-2020 tillsynsbegäran mail.docx", "A 6299-2020")</f>
        <v/>
      </c>
    </row>
    <row r="310" ht="15" customHeight="1">
      <c r="A310" t="inlineStr">
        <is>
          <t>A 9585-2020</t>
        </is>
      </c>
      <c r="B310" s="1" t="n">
        <v>43878</v>
      </c>
      <c r="C310" s="1" t="n">
        <v>45507</v>
      </c>
      <c r="D310" t="inlineStr">
        <is>
          <t>VÄRMLANDS LÄN</t>
        </is>
      </c>
      <c r="E310" t="inlineStr">
        <is>
          <t>SUNNE</t>
        </is>
      </c>
      <c r="G310" t="n">
        <v>22.3</v>
      </c>
      <c r="H310" t="n">
        <v>0</v>
      </c>
      <c r="I310" t="n">
        <v>1</v>
      </c>
      <c r="J310" t="n">
        <v>0</v>
      </c>
      <c r="K310" t="n">
        <v>0</v>
      </c>
      <c r="L310" t="n">
        <v>0</v>
      </c>
      <c r="M310" t="n">
        <v>0</v>
      </c>
      <c r="N310" t="n">
        <v>0</v>
      </c>
      <c r="O310" t="n">
        <v>0</v>
      </c>
      <c r="P310" t="n">
        <v>0</v>
      </c>
      <c r="Q310" t="n">
        <v>1</v>
      </c>
      <c r="R310" s="2" t="inlineStr">
        <is>
          <t>Blåmossa</t>
        </is>
      </c>
      <c r="S310">
        <f>HYPERLINK("https://klasma.github.io/Logging_1766/artfynd/A 9585-2020 artfynd.xlsx", "A 9585-2020")</f>
        <v/>
      </c>
      <c r="T310">
        <f>HYPERLINK("https://klasma.github.io/Logging_1766/kartor/A 9585-2020 karta.png", "A 9585-2020")</f>
        <v/>
      </c>
      <c r="V310">
        <f>HYPERLINK("https://klasma.github.io/Logging_1766/klagomål/A 9585-2020 FSC-klagomål.docx", "A 9585-2020")</f>
        <v/>
      </c>
      <c r="W310">
        <f>HYPERLINK("https://klasma.github.io/Logging_1766/klagomålsmail/A 9585-2020 FSC-klagomål mail.docx", "A 9585-2020")</f>
        <v/>
      </c>
      <c r="X310">
        <f>HYPERLINK("https://klasma.github.io/Logging_1766/tillsyn/A 9585-2020 tillsynsbegäran.docx", "A 9585-2020")</f>
        <v/>
      </c>
      <c r="Y310">
        <f>HYPERLINK("https://klasma.github.io/Logging_1766/tillsynsmail/A 9585-2020 tillsynsbegäran mail.docx", "A 9585-2020")</f>
        <v/>
      </c>
    </row>
    <row r="311" ht="15" customHeight="1">
      <c r="A311" t="inlineStr">
        <is>
          <t>A 10040-2020</t>
        </is>
      </c>
      <c r="B311" s="1" t="n">
        <v>43882</v>
      </c>
      <c r="C311" s="1" t="n">
        <v>45507</v>
      </c>
      <c r="D311" t="inlineStr">
        <is>
          <t>VÄRMLANDS LÄN</t>
        </is>
      </c>
      <c r="E311" t="inlineStr">
        <is>
          <t>SÄFFLE</t>
        </is>
      </c>
      <c r="G311" t="n">
        <v>1.7</v>
      </c>
      <c r="H311" t="n">
        <v>1</v>
      </c>
      <c r="I311" t="n">
        <v>0</v>
      </c>
      <c r="J311" t="n">
        <v>0</v>
      </c>
      <c r="K311" t="n">
        <v>0</v>
      </c>
      <c r="L311" t="n">
        <v>0</v>
      </c>
      <c r="M311" t="n">
        <v>0</v>
      </c>
      <c r="N311" t="n">
        <v>0</v>
      </c>
      <c r="O311" t="n">
        <v>0</v>
      </c>
      <c r="P311" t="n">
        <v>0</v>
      </c>
      <c r="Q311" t="n">
        <v>1</v>
      </c>
      <c r="R311" s="2" t="inlineStr">
        <is>
          <t>Vanlig groda</t>
        </is>
      </c>
      <c r="S311">
        <f>HYPERLINK("https://klasma.github.io/Logging_1785/artfynd/A 10040-2020 artfynd.xlsx", "A 10040-2020")</f>
        <v/>
      </c>
      <c r="T311">
        <f>HYPERLINK("https://klasma.github.io/Logging_1785/kartor/A 10040-2020 karta.png", "A 10040-2020")</f>
        <v/>
      </c>
      <c r="V311">
        <f>HYPERLINK("https://klasma.github.io/Logging_1785/klagomål/A 10040-2020 FSC-klagomål.docx", "A 10040-2020")</f>
        <v/>
      </c>
      <c r="W311">
        <f>HYPERLINK("https://klasma.github.io/Logging_1785/klagomålsmail/A 10040-2020 FSC-klagomål mail.docx", "A 10040-2020")</f>
        <v/>
      </c>
      <c r="X311">
        <f>HYPERLINK("https://klasma.github.io/Logging_1785/tillsyn/A 10040-2020 tillsynsbegäran.docx", "A 10040-2020")</f>
        <v/>
      </c>
      <c r="Y311">
        <f>HYPERLINK("https://klasma.github.io/Logging_1785/tillsynsmail/A 10040-2020 tillsynsbegäran mail.docx", "A 10040-2020")</f>
        <v/>
      </c>
    </row>
    <row r="312" ht="15" customHeight="1">
      <c r="A312" t="inlineStr">
        <is>
          <t>A 9988-2020</t>
        </is>
      </c>
      <c r="B312" s="1" t="n">
        <v>43882</v>
      </c>
      <c r="C312" s="1" t="n">
        <v>45507</v>
      </c>
      <c r="D312" t="inlineStr">
        <is>
          <t>VÄRMLANDS LÄN</t>
        </is>
      </c>
      <c r="E312" t="inlineStr">
        <is>
          <t>SUNNE</t>
        </is>
      </c>
      <c r="G312" t="n">
        <v>4.9</v>
      </c>
      <c r="H312" t="n">
        <v>1</v>
      </c>
      <c r="I312" t="n">
        <v>0</v>
      </c>
      <c r="J312" t="n">
        <v>0</v>
      </c>
      <c r="K312" t="n">
        <v>0</v>
      </c>
      <c r="L312" t="n">
        <v>1</v>
      </c>
      <c r="M312" t="n">
        <v>0</v>
      </c>
      <c r="N312" t="n">
        <v>0</v>
      </c>
      <c r="O312" t="n">
        <v>1</v>
      </c>
      <c r="P312" t="n">
        <v>1</v>
      </c>
      <c r="Q312" t="n">
        <v>1</v>
      </c>
      <c r="R312" s="2" t="inlineStr">
        <is>
          <t>Storspov</t>
        </is>
      </c>
      <c r="S312">
        <f>HYPERLINK("https://klasma.github.io/Logging_1766/artfynd/A 9988-2020 artfynd.xlsx", "A 9988-2020")</f>
        <v/>
      </c>
      <c r="T312">
        <f>HYPERLINK("https://klasma.github.io/Logging_1766/kartor/A 9988-2020 karta.png", "A 9988-2020")</f>
        <v/>
      </c>
      <c r="V312">
        <f>HYPERLINK("https://klasma.github.io/Logging_1766/klagomål/A 9988-2020 FSC-klagomål.docx", "A 9988-2020")</f>
        <v/>
      </c>
      <c r="W312">
        <f>HYPERLINK("https://klasma.github.io/Logging_1766/klagomålsmail/A 9988-2020 FSC-klagomål mail.docx", "A 9988-2020")</f>
        <v/>
      </c>
      <c r="X312">
        <f>HYPERLINK("https://klasma.github.io/Logging_1766/tillsyn/A 9988-2020 tillsynsbegäran.docx", "A 9988-2020")</f>
        <v/>
      </c>
      <c r="Y312">
        <f>HYPERLINK("https://klasma.github.io/Logging_1766/tillsynsmail/A 9988-2020 tillsynsbegäran mail.docx", "A 9988-2020")</f>
        <v/>
      </c>
    </row>
    <row r="313" ht="15" customHeight="1">
      <c r="A313" t="inlineStr">
        <is>
          <t>A 10858-2020</t>
        </is>
      </c>
      <c r="B313" s="1" t="n">
        <v>43889</v>
      </c>
      <c r="C313" s="1" t="n">
        <v>45507</v>
      </c>
      <c r="D313" t="inlineStr">
        <is>
          <t>VÄRMLANDS LÄN</t>
        </is>
      </c>
      <c r="E313" t="inlineStr">
        <is>
          <t>ARVIKA</t>
        </is>
      </c>
      <c r="G313" t="n">
        <v>2.8</v>
      </c>
      <c r="H313" t="n">
        <v>0</v>
      </c>
      <c r="I313" t="n">
        <v>0</v>
      </c>
      <c r="J313" t="n">
        <v>1</v>
      </c>
      <c r="K313" t="n">
        <v>0</v>
      </c>
      <c r="L313" t="n">
        <v>0</v>
      </c>
      <c r="M313" t="n">
        <v>0</v>
      </c>
      <c r="N313" t="n">
        <v>0</v>
      </c>
      <c r="O313" t="n">
        <v>1</v>
      </c>
      <c r="P313" t="n">
        <v>0</v>
      </c>
      <c r="Q313" t="n">
        <v>1</v>
      </c>
      <c r="R313" s="2" t="inlineStr">
        <is>
          <t>Lunglav</t>
        </is>
      </c>
      <c r="S313">
        <f>HYPERLINK("https://klasma.github.io/Logging_1784/artfynd/A 10858-2020 artfynd.xlsx", "A 10858-2020")</f>
        <v/>
      </c>
      <c r="T313">
        <f>HYPERLINK("https://klasma.github.io/Logging_1784/kartor/A 10858-2020 karta.png", "A 10858-2020")</f>
        <v/>
      </c>
      <c r="V313">
        <f>HYPERLINK("https://klasma.github.io/Logging_1784/klagomål/A 10858-2020 FSC-klagomål.docx", "A 10858-2020")</f>
        <v/>
      </c>
      <c r="W313">
        <f>HYPERLINK("https://klasma.github.io/Logging_1784/klagomålsmail/A 10858-2020 FSC-klagomål mail.docx", "A 10858-2020")</f>
        <v/>
      </c>
      <c r="X313">
        <f>HYPERLINK("https://klasma.github.io/Logging_1784/tillsyn/A 10858-2020 tillsynsbegäran.docx", "A 10858-2020")</f>
        <v/>
      </c>
      <c r="Y313">
        <f>HYPERLINK("https://klasma.github.io/Logging_1784/tillsynsmail/A 10858-2020 tillsynsbegäran mail.docx", "A 10858-2020")</f>
        <v/>
      </c>
    </row>
    <row r="314" ht="15" customHeight="1">
      <c r="A314" t="inlineStr">
        <is>
          <t>A 13461-2020</t>
        </is>
      </c>
      <c r="B314" s="1" t="n">
        <v>43902</v>
      </c>
      <c r="C314" s="1" t="n">
        <v>45507</v>
      </c>
      <c r="D314" t="inlineStr">
        <is>
          <t>VÄRMLANDS LÄN</t>
        </is>
      </c>
      <c r="E314" t="inlineStr">
        <is>
          <t>ARVIKA</t>
        </is>
      </c>
      <c r="G314" t="n">
        <v>1.9</v>
      </c>
      <c r="H314" t="n">
        <v>1</v>
      </c>
      <c r="I314" t="n">
        <v>0</v>
      </c>
      <c r="J314" t="n">
        <v>0</v>
      </c>
      <c r="K314" t="n">
        <v>1</v>
      </c>
      <c r="L314" t="n">
        <v>0</v>
      </c>
      <c r="M314" t="n">
        <v>0</v>
      </c>
      <c r="N314" t="n">
        <v>0</v>
      </c>
      <c r="O314" t="n">
        <v>1</v>
      </c>
      <c r="P314" t="n">
        <v>1</v>
      </c>
      <c r="Q314" t="n">
        <v>1</v>
      </c>
      <c r="R314" s="2" t="inlineStr">
        <is>
          <t>Knärot</t>
        </is>
      </c>
      <c r="S314">
        <f>HYPERLINK("https://klasma.github.io/Logging_1784/artfynd/A 13461-2020 artfynd.xlsx", "A 13461-2020")</f>
        <v/>
      </c>
      <c r="T314">
        <f>HYPERLINK("https://klasma.github.io/Logging_1784/kartor/A 13461-2020 karta.png", "A 13461-2020")</f>
        <v/>
      </c>
      <c r="U314">
        <f>HYPERLINK("https://klasma.github.io/Logging_1784/knärot/A 13461-2020 karta knärot.png", "A 13461-2020")</f>
        <v/>
      </c>
      <c r="V314">
        <f>HYPERLINK("https://klasma.github.io/Logging_1784/klagomål/A 13461-2020 FSC-klagomål.docx", "A 13461-2020")</f>
        <v/>
      </c>
      <c r="W314">
        <f>HYPERLINK("https://klasma.github.io/Logging_1784/klagomålsmail/A 13461-2020 FSC-klagomål mail.docx", "A 13461-2020")</f>
        <v/>
      </c>
      <c r="X314">
        <f>HYPERLINK("https://klasma.github.io/Logging_1784/tillsyn/A 13461-2020 tillsynsbegäran.docx", "A 13461-2020")</f>
        <v/>
      </c>
      <c r="Y314">
        <f>HYPERLINK("https://klasma.github.io/Logging_1784/tillsynsmail/A 13461-2020 tillsynsbegäran mail.docx", "A 13461-2020")</f>
        <v/>
      </c>
    </row>
    <row r="315" ht="15" customHeight="1">
      <c r="A315" t="inlineStr">
        <is>
          <t>A 16031-2020</t>
        </is>
      </c>
      <c r="B315" s="1" t="n">
        <v>43915</v>
      </c>
      <c r="C315" s="1" t="n">
        <v>45507</v>
      </c>
      <c r="D315" t="inlineStr">
        <is>
          <t>VÄRMLANDS LÄN</t>
        </is>
      </c>
      <c r="E315" t="inlineStr">
        <is>
          <t>KRISTINEHAMN</t>
        </is>
      </c>
      <c r="G315" t="n">
        <v>9.199999999999999</v>
      </c>
      <c r="H315" t="n">
        <v>1</v>
      </c>
      <c r="I315" t="n">
        <v>0</v>
      </c>
      <c r="J315" t="n">
        <v>0</v>
      </c>
      <c r="K315" t="n">
        <v>1</v>
      </c>
      <c r="L315" t="n">
        <v>0</v>
      </c>
      <c r="M315" t="n">
        <v>0</v>
      </c>
      <c r="N315" t="n">
        <v>0</v>
      </c>
      <c r="O315" t="n">
        <v>1</v>
      </c>
      <c r="P315" t="n">
        <v>1</v>
      </c>
      <c r="Q315" t="n">
        <v>1</v>
      </c>
      <c r="R315" s="2" t="inlineStr">
        <is>
          <t>Bombmurkla</t>
        </is>
      </c>
      <c r="S315">
        <f>HYPERLINK("https://klasma.github.io/Logging_1781/artfynd/A 16031-2020 artfynd.xlsx", "A 16031-2020")</f>
        <v/>
      </c>
      <c r="T315">
        <f>HYPERLINK("https://klasma.github.io/Logging_1781/kartor/A 16031-2020 karta.png", "A 16031-2020")</f>
        <v/>
      </c>
      <c r="V315">
        <f>HYPERLINK("https://klasma.github.io/Logging_1781/klagomål/A 16031-2020 FSC-klagomål.docx", "A 16031-2020")</f>
        <v/>
      </c>
      <c r="W315">
        <f>HYPERLINK("https://klasma.github.io/Logging_1781/klagomålsmail/A 16031-2020 FSC-klagomål mail.docx", "A 16031-2020")</f>
        <v/>
      </c>
      <c r="X315">
        <f>HYPERLINK("https://klasma.github.io/Logging_1781/tillsyn/A 16031-2020 tillsynsbegäran.docx", "A 16031-2020")</f>
        <v/>
      </c>
      <c r="Y315">
        <f>HYPERLINK("https://klasma.github.io/Logging_1781/tillsynsmail/A 16031-2020 tillsynsbegäran mail.docx", "A 16031-2020")</f>
        <v/>
      </c>
    </row>
    <row r="316" ht="15" customHeight="1">
      <c r="A316" t="inlineStr">
        <is>
          <t>A 18075-2020</t>
        </is>
      </c>
      <c r="B316" s="1" t="n">
        <v>43927</v>
      </c>
      <c r="C316" s="1" t="n">
        <v>45507</v>
      </c>
      <c r="D316" t="inlineStr">
        <is>
          <t>VÄRMLANDS LÄN</t>
        </is>
      </c>
      <c r="E316" t="inlineStr">
        <is>
          <t>KARLSTAD</t>
        </is>
      </c>
      <c r="G316" t="n">
        <v>1.3</v>
      </c>
      <c r="H316" t="n">
        <v>0</v>
      </c>
      <c r="I316" t="n">
        <v>1</v>
      </c>
      <c r="J316" t="n">
        <v>0</v>
      </c>
      <c r="K316" t="n">
        <v>0</v>
      </c>
      <c r="L316" t="n">
        <v>0</v>
      </c>
      <c r="M316" t="n">
        <v>0</v>
      </c>
      <c r="N316" t="n">
        <v>0</v>
      </c>
      <c r="O316" t="n">
        <v>0</v>
      </c>
      <c r="P316" t="n">
        <v>0</v>
      </c>
      <c r="Q316" t="n">
        <v>1</v>
      </c>
      <c r="R316" s="2" t="inlineStr">
        <is>
          <t>Vedticka</t>
        </is>
      </c>
      <c r="S316">
        <f>HYPERLINK("https://klasma.github.io/Logging_1780/artfynd/A 18075-2020 artfynd.xlsx", "A 18075-2020")</f>
        <v/>
      </c>
      <c r="T316">
        <f>HYPERLINK("https://klasma.github.io/Logging_1780/kartor/A 18075-2020 karta.png", "A 18075-2020")</f>
        <v/>
      </c>
      <c r="V316">
        <f>HYPERLINK("https://klasma.github.io/Logging_1780/klagomål/A 18075-2020 FSC-klagomål.docx", "A 18075-2020")</f>
        <v/>
      </c>
      <c r="W316">
        <f>HYPERLINK("https://klasma.github.io/Logging_1780/klagomålsmail/A 18075-2020 FSC-klagomål mail.docx", "A 18075-2020")</f>
        <v/>
      </c>
      <c r="X316">
        <f>HYPERLINK("https://klasma.github.io/Logging_1780/tillsyn/A 18075-2020 tillsynsbegäran.docx", "A 18075-2020")</f>
        <v/>
      </c>
      <c r="Y316">
        <f>HYPERLINK("https://klasma.github.io/Logging_1780/tillsynsmail/A 18075-2020 tillsynsbegäran mail.docx", "A 18075-2020")</f>
        <v/>
      </c>
    </row>
    <row r="317" ht="15" customHeight="1">
      <c r="A317" t="inlineStr">
        <is>
          <t>A 22217-2020</t>
        </is>
      </c>
      <c r="B317" s="1" t="n">
        <v>43955</v>
      </c>
      <c r="C317" s="1" t="n">
        <v>45507</v>
      </c>
      <c r="D317" t="inlineStr">
        <is>
          <t>VÄRMLANDS LÄN</t>
        </is>
      </c>
      <c r="E317" t="inlineStr">
        <is>
          <t>KRISTINEHAMN</t>
        </is>
      </c>
      <c r="G317" t="n">
        <v>7.3</v>
      </c>
      <c r="H317" t="n">
        <v>0</v>
      </c>
      <c r="I317" t="n">
        <v>0</v>
      </c>
      <c r="J317" t="n">
        <v>1</v>
      </c>
      <c r="K317" t="n">
        <v>0</v>
      </c>
      <c r="L317" t="n">
        <v>0</v>
      </c>
      <c r="M317" t="n">
        <v>0</v>
      </c>
      <c r="N317" t="n">
        <v>0</v>
      </c>
      <c r="O317" t="n">
        <v>1</v>
      </c>
      <c r="P317" t="n">
        <v>0</v>
      </c>
      <c r="Q317" t="n">
        <v>1</v>
      </c>
      <c r="R317" s="2" t="inlineStr">
        <is>
          <t>Klofibbla</t>
        </is>
      </c>
      <c r="S317">
        <f>HYPERLINK("https://klasma.github.io/Logging_1781/artfynd/A 22217-2020 artfynd.xlsx", "A 22217-2020")</f>
        <v/>
      </c>
      <c r="T317">
        <f>HYPERLINK("https://klasma.github.io/Logging_1781/kartor/A 22217-2020 karta.png", "A 22217-2020")</f>
        <v/>
      </c>
      <c r="V317">
        <f>HYPERLINK("https://klasma.github.io/Logging_1781/klagomål/A 22217-2020 FSC-klagomål.docx", "A 22217-2020")</f>
        <v/>
      </c>
      <c r="W317">
        <f>HYPERLINK("https://klasma.github.io/Logging_1781/klagomålsmail/A 22217-2020 FSC-klagomål mail.docx", "A 22217-2020")</f>
        <v/>
      </c>
      <c r="X317">
        <f>HYPERLINK("https://klasma.github.io/Logging_1781/tillsyn/A 22217-2020 tillsynsbegäran.docx", "A 22217-2020")</f>
        <v/>
      </c>
      <c r="Y317">
        <f>HYPERLINK("https://klasma.github.io/Logging_1781/tillsynsmail/A 22217-2020 tillsynsbegäran mail.docx", "A 22217-2020")</f>
        <v/>
      </c>
    </row>
    <row r="318" ht="15" customHeight="1">
      <c r="A318" t="inlineStr">
        <is>
          <t>A 28368-2020</t>
        </is>
      </c>
      <c r="B318" s="1" t="n">
        <v>43998</v>
      </c>
      <c r="C318" s="1" t="n">
        <v>45507</v>
      </c>
      <c r="D318" t="inlineStr">
        <is>
          <t>VÄRMLANDS LÄN</t>
        </is>
      </c>
      <c r="E318" t="inlineStr">
        <is>
          <t>KARLSTAD</t>
        </is>
      </c>
      <c r="G318" t="n">
        <v>1.7</v>
      </c>
      <c r="H318" t="n">
        <v>0</v>
      </c>
      <c r="I318" t="n">
        <v>1</v>
      </c>
      <c r="J318" t="n">
        <v>0</v>
      </c>
      <c r="K318" t="n">
        <v>0</v>
      </c>
      <c r="L318" t="n">
        <v>0</v>
      </c>
      <c r="M318" t="n">
        <v>0</v>
      </c>
      <c r="N318" t="n">
        <v>0</v>
      </c>
      <c r="O318" t="n">
        <v>0</v>
      </c>
      <c r="P318" t="n">
        <v>0</v>
      </c>
      <c r="Q318" t="n">
        <v>1</v>
      </c>
      <c r="R318" s="2" t="inlineStr">
        <is>
          <t>Svart trolldruva</t>
        </is>
      </c>
      <c r="S318">
        <f>HYPERLINK("https://klasma.github.io/Logging_1780/artfynd/A 28368-2020 artfynd.xlsx", "A 28368-2020")</f>
        <v/>
      </c>
      <c r="T318">
        <f>HYPERLINK("https://klasma.github.io/Logging_1780/kartor/A 28368-2020 karta.png", "A 28368-2020")</f>
        <v/>
      </c>
      <c r="V318">
        <f>HYPERLINK("https://klasma.github.io/Logging_1780/klagomål/A 28368-2020 FSC-klagomål.docx", "A 28368-2020")</f>
        <v/>
      </c>
      <c r="W318">
        <f>HYPERLINK("https://klasma.github.io/Logging_1780/klagomålsmail/A 28368-2020 FSC-klagomål mail.docx", "A 28368-2020")</f>
        <v/>
      </c>
      <c r="X318">
        <f>HYPERLINK("https://klasma.github.io/Logging_1780/tillsyn/A 28368-2020 tillsynsbegäran.docx", "A 28368-2020")</f>
        <v/>
      </c>
      <c r="Y318">
        <f>HYPERLINK("https://klasma.github.io/Logging_1780/tillsynsmail/A 28368-2020 tillsynsbegäran mail.docx", "A 28368-2020")</f>
        <v/>
      </c>
    </row>
    <row r="319" ht="15" customHeight="1">
      <c r="A319" t="inlineStr">
        <is>
          <t>A 30729-2020</t>
        </is>
      </c>
      <c r="B319" s="1" t="n">
        <v>44008</v>
      </c>
      <c r="C319" s="1" t="n">
        <v>45507</v>
      </c>
      <c r="D319" t="inlineStr">
        <is>
          <t>VÄRMLANDS LÄN</t>
        </is>
      </c>
      <c r="E319" t="inlineStr">
        <is>
          <t>ARVIKA</t>
        </is>
      </c>
      <c r="G319" t="n">
        <v>4.2</v>
      </c>
      <c r="H319" t="n">
        <v>1</v>
      </c>
      <c r="I319" t="n">
        <v>0</v>
      </c>
      <c r="J319" t="n">
        <v>0</v>
      </c>
      <c r="K319" t="n">
        <v>1</v>
      </c>
      <c r="L319" t="n">
        <v>0</v>
      </c>
      <c r="M319" t="n">
        <v>0</v>
      </c>
      <c r="N319" t="n">
        <v>0</v>
      </c>
      <c r="O319" t="n">
        <v>1</v>
      </c>
      <c r="P319" t="n">
        <v>1</v>
      </c>
      <c r="Q319" t="n">
        <v>1</v>
      </c>
      <c r="R319" s="2" t="inlineStr">
        <is>
          <t>Knärot</t>
        </is>
      </c>
      <c r="S319">
        <f>HYPERLINK("https://klasma.github.io/Logging_1784/artfynd/A 30729-2020 artfynd.xlsx", "A 30729-2020")</f>
        <v/>
      </c>
      <c r="T319">
        <f>HYPERLINK("https://klasma.github.io/Logging_1784/kartor/A 30729-2020 karta.png", "A 30729-2020")</f>
        <v/>
      </c>
      <c r="U319">
        <f>HYPERLINK("https://klasma.github.io/Logging_1784/knärot/A 30729-2020 karta knärot.png", "A 30729-2020")</f>
        <v/>
      </c>
      <c r="V319">
        <f>HYPERLINK("https://klasma.github.io/Logging_1784/klagomål/A 30729-2020 FSC-klagomål.docx", "A 30729-2020")</f>
        <v/>
      </c>
      <c r="W319">
        <f>HYPERLINK("https://klasma.github.io/Logging_1784/klagomålsmail/A 30729-2020 FSC-klagomål mail.docx", "A 30729-2020")</f>
        <v/>
      </c>
      <c r="X319">
        <f>HYPERLINK("https://klasma.github.io/Logging_1784/tillsyn/A 30729-2020 tillsynsbegäran.docx", "A 30729-2020")</f>
        <v/>
      </c>
      <c r="Y319">
        <f>HYPERLINK("https://klasma.github.io/Logging_1784/tillsynsmail/A 30729-2020 tillsynsbegäran mail.docx", "A 30729-2020")</f>
        <v/>
      </c>
    </row>
    <row r="320" ht="15" customHeight="1">
      <c r="A320" t="inlineStr">
        <is>
          <t>A 34409-2020</t>
        </is>
      </c>
      <c r="B320" s="1" t="n">
        <v>44029</v>
      </c>
      <c r="C320" s="1" t="n">
        <v>45507</v>
      </c>
      <c r="D320" t="inlineStr">
        <is>
          <t>VÄRMLANDS LÄN</t>
        </is>
      </c>
      <c r="E320" t="inlineStr">
        <is>
          <t>STORFORS</t>
        </is>
      </c>
      <c r="G320" t="n">
        <v>1.2</v>
      </c>
      <c r="H320" t="n">
        <v>0</v>
      </c>
      <c r="I320" t="n">
        <v>1</v>
      </c>
      <c r="J320" t="n">
        <v>0</v>
      </c>
      <c r="K320" t="n">
        <v>0</v>
      </c>
      <c r="L320" t="n">
        <v>0</v>
      </c>
      <c r="M320" t="n">
        <v>0</v>
      </c>
      <c r="N320" t="n">
        <v>0</v>
      </c>
      <c r="O320" t="n">
        <v>0</v>
      </c>
      <c r="P320" t="n">
        <v>0</v>
      </c>
      <c r="Q320" t="n">
        <v>1</v>
      </c>
      <c r="R320" s="2" t="inlineStr">
        <is>
          <t>Korallblylav</t>
        </is>
      </c>
      <c r="S320">
        <f>HYPERLINK("https://klasma.github.io/Logging_1760/artfynd/A 34409-2020 artfynd.xlsx", "A 34409-2020")</f>
        <v/>
      </c>
      <c r="T320">
        <f>HYPERLINK("https://klasma.github.io/Logging_1760/kartor/A 34409-2020 karta.png", "A 34409-2020")</f>
        <v/>
      </c>
      <c r="V320">
        <f>HYPERLINK("https://klasma.github.io/Logging_1760/klagomål/A 34409-2020 FSC-klagomål.docx", "A 34409-2020")</f>
        <v/>
      </c>
      <c r="W320">
        <f>HYPERLINK("https://klasma.github.io/Logging_1760/klagomålsmail/A 34409-2020 FSC-klagomål mail.docx", "A 34409-2020")</f>
        <v/>
      </c>
      <c r="X320">
        <f>HYPERLINK("https://klasma.github.io/Logging_1760/tillsyn/A 34409-2020 tillsynsbegäran.docx", "A 34409-2020")</f>
        <v/>
      </c>
      <c r="Y320">
        <f>HYPERLINK("https://klasma.github.io/Logging_1760/tillsynsmail/A 34409-2020 tillsynsbegäran mail.docx", "A 34409-2020")</f>
        <v/>
      </c>
    </row>
    <row r="321" ht="15" customHeight="1">
      <c r="A321" t="inlineStr">
        <is>
          <t>A 34769-2020</t>
        </is>
      </c>
      <c r="B321" s="1" t="n">
        <v>44035</v>
      </c>
      <c r="C321" s="1" t="n">
        <v>45507</v>
      </c>
      <c r="D321" t="inlineStr">
        <is>
          <t>VÄRMLANDS LÄN</t>
        </is>
      </c>
      <c r="E321" t="inlineStr">
        <is>
          <t>ARVIKA</t>
        </is>
      </c>
      <c r="G321" t="n">
        <v>1.1</v>
      </c>
      <c r="H321" t="n">
        <v>1</v>
      </c>
      <c r="I321" t="n">
        <v>0</v>
      </c>
      <c r="J321" t="n">
        <v>0</v>
      </c>
      <c r="K321" t="n">
        <v>1</v>
      </c>
      <c r="L321" t="n">
        <v>0</v>
      </c>
      <c r="M321" t="n">
        <v>0</v>
      </c>
      <c r="N321" t="n">
        <v>0</v>
      </c>
      <c r="O321" t="n">
        <v>1</v>
      </c>
      <c r="P321" t="n">
        <v>1</v>
      </c>
      <c r="Q321" t="n">
        <v>1</v>
      </c>
      <c r="R321" s="2" t="inlineStr">
        <is>
          <t>Knärot</t>
        </is>
      </c>
      <c r="S321">
        <f>HYPERLINK("https://klasma.github.io/Logging_1784/artfynd/A 34769-2020 artfynd.xlsx", "A 34769-2020")</f>
        <v/>
      </c>
      <c r="T321">
        <f>HYPERLINK("https://klasma.github.io/Logging_1784/kartor/A 34769-2020 karta.png", "A 34769-2020")</f>
        <v/>
      </c>
      <c r="U321">
        <f>HYPERLINK("https://klasma.github.io/Logging_1784/knärot/A 34769-2020 karta knärot.png", "A 34769-2020")</f>
        <v/>
      </c>
      <c r="V321">
        <f>HYPERLINK("https://klasma.github.io/Logging_1784/klagomål/A 34769-2020 FSC-klagomål.docx", "A 34769-2020")</f>
        <v/>
      </c>
      <c r="W321">
        <f>HYPERLINK("https://klasma.github.io/Logging_1784/klagomålsmail/A 34769-2020 FSC-klagomål mail.docx", "A 34769-2020")</f>
        <v/>
      </c>
      <c r="X321">
        <f>HYPERLINK("https://klasma.github.io/Logging_1784/tillsyn/A 34769-2020 tillsynsbegäran.docx", "A 34769-2020")</f>
        <v/>
      </c>
      <c r="Y321">
        <f>HYPERLINK("https://klasma.github.io/Logging_1784/tillsynsmail/A 34769-2020 tillsynsbegäran mail.docx", "A 34769-2020")</f>
        <v/>
      </c>
    </row>
    <row r="322" ht="15" customHeight="1">
      <c r="A322" t="inlineStr">
        <is>
          <t>A 35546-2020</t>
        </is>
      </c>
      <c r="B322" s="1" t="n">
        <v>44043</v>
      </c>
      <c r="C322" s="1" t="n">
        <v>45507</v>
      </c>
      <c r="D322" t="inlineStr">
        <is>
          <t>VÄRMLANDS LÄN</t>
        </is>
      </c>
      <c r="E322" t="inlineStr">
        <is>
          <t>SÄFFLE</t>
        </is>
      </c>
      <c r="G322" t="n">
        <v>10</v>
      </c>
      <c r="H322" t="n">
        <v>0</v>
      </c>
      <c r="I322" t="n">
        <v>0</v>
      </c>
      <c r="J322" t="n">
        <v>0</v>
      </c>
      <c r="K322" t="n">
        <v>0</v>
      </c>
      <c r="L322" t="n">
        <v>1</v>
      </c>
      <c r="M322" t="n">
        <v>0</v>
      </c>
      <c r="N322" t="n">
        <v>0</v>
      </c>
      <c r="O322" t="n">
        <v>1</v>
      </c>
      <c r="P322" t="n">
        <v>1</v>
      </c>
      <c r="Q322" t="n">
        <v>1</v>
      </c>
      <c r="R322" s="2" t="inlineStr">
        <is>
          <t>Ask</t>
        </is>
      </c>
      <c r="S322">
        <f>HYPERLINK("https://klasma.github.io/Logging_1785/artfynd/A 35546-2020 artfynd.xlsx", "A 35546-2020")</f>
        <v/>
      </c>
      <c r="T322">
        <f>HYPERLINK("https://klasma.github.io/Logging_1785/kartor/A 35546-2020 karta.png", "A 35546-2020")</f>
        <v/>
      </c>
      <c r="V322">
        <f>HYPERLINK("https://klasma.github.io/Logging_1785/klagomål/A 35546-2020 FSC-klagomål.docx", "A 35546-2020")</f>
        <v/>
      </c>
      <c r="W322">
        <f>HYPERLINK("https://klasma.github.io/Logging_1785/klagomålsmail/A 35546-2020 FSC-klagomål mail.docx", "A 35546-2020")</f>
        <v/>
      </c>
      <c r="X322">
        <f>HYPERLINK("https://klasma.github.io/Logging_1785/tillsyn/A 35546-2020 tillsynsbegäran.docx", "A 35546-2020")</f>
        <v/>
      </c>
      <c r="Y322">
        <f>HYPERLINK("https://klasma.github.io/Logging_1785/tillsynsmail/A 35546-2020 tillsynsbegäran mail.docx", "A 35546-2020")</f>
        <v/>
      </c>
    </row>
    <row r="323" ht="15" customHeight="1">
      <c r="A323" t="inlineStr">
        <is>
          <t>A 36585-2020</t>
        </is>
      </c>
      <c r="B323" s="1" t="n">
        <v>44050</v>
      </c>
      <c r="C323" s="1" t="n">
        <v>45507</v>
      </c>
      <c r="D323" t="inlineStr">
        <is>
          <t>VÄRMLANDS LÄN</t>
        </is>
      </c>
      <c r="E323" t="inlineStr">
        <is>
          <t>ÅRJÄNG</t>
        </is>
      </c>
      <c r="G323" t="n">
        <v>2</v>
      </c>
      <c r="H323" t="n">
        <v>0</v>
      </c>
      <c r="I323" t="n">
        <v>0</v>
      </c>
      <c r="J323" t="n">
        <v>1</v>
      </c>
      <c r="K323" t="n">
        <v>0</v>
      </c>
      <c r="L323" t="n">
        <v>0</v>
      </c>
      <c r="M323" t="n">
        <v>0</v>
      </c>
      <c r="N323" t="n">
        <v>0</v>
      </c>
      <c r="O323" t="n">
        <v>1</v>
      </c>
      <c r="P323" t="n">
        <v>0</v>
      </c>
      <c r="Q323" t="n">
        <v>1</v>
      </c>
      <c r="R323" s="2" t="inlineStr">
        <is>
          <t>Garnlav</t>
        </is>
      </c>
      <c r="S323">
        <f>HYPERLINK("https://klasma.github.io/Logging_1765/artfynd/A 36585-2020 artfynd.xlsx", "A 36585-2020")</f>
        <v/>
      </c>
      <c r="T323">
        <f>HYPERLINK("https://klasma.github.io/Logging_1765/kartor/A 36585-2020 karta.png", "A 36585-2020")</f>
        <v/>
      </c>
      <c r="V323">
        <f>HYPERLINK("https://klasma.github.io/Logging_1765/klagomål/A 36585-2020 FSC-klagomål.docx", "A 36585-2020")</f>
        <v/>
      </c>
      <c r="W323">
        <f>HYPERLINK("https://klasma.github.io/Logging_1765/klagomålsmail/A 36585-2020 FSC-klagomål mail.docx", "A 36585-2020")</f>
        <v/>
      </c>
      <c r="X323">
        <f>HYPERLINK("https://klasma.github.io/Logging_1765/tillsyn/A 36585-2020 tillsynsbegäran.docx", "A 36585-2020")</f>
        <v/>
      </c>
      <c r="Y323">
        <f>HYPERLINK("https://klasma.github.io/Logging_1765/tillsynsmail/A 36585-2020 tillsynsbegäran mail.docx", "A 36585-2020")</f>
        <v/>
      </c>
    </row>
    <row r="324" ht="15" customHeight="1">
      <c r="A324" t="inlineStr">
        <is>
          <t>A 36688-2020</t>
        </is>
      </c>
      <c r="B324" s="1" t="n">
        <v>44052</v>
      </c>
      <c r="C324" s="1" t="n">
        <v>45507</v>
      </c>
      <c r="D324" t="inlineStr">
        <is>
          <t>VÄRMLANDS LÄN</t>
        </is>
      </c>
      <c r="E324" t="inlineStr">
        <is>
          <t>ARVIKA</t>
        </is>
      </c>
      <c r="G324" t="n">
        <v>6.5</v>
      </c>
      <c r="H324" t="n">
        <v>1</v>
      </c>
      <c r="I324" t="n">
        <v>0</v>
      </c>
      <c r="J324" t="n">
        <v>0</v>
      </c>
      <c r="K324" t="n">
        <v>1</v>
      </c>
      <c r="L324" t="n">
        <v>0</v>
      </c>
      <c r="M324" t="n">
        <v>0</v>
      </c>
      <c r="N324" t="n">
        <v>0</v>
      </c>
      <c r="O324" t="n">
        <v>1</v>
      </c>
      <c r="P324" t="n">
        <v>1</v>
      </c>
      <c r="Q324" t="n">
        <v>1</v>
      </c>
      <c r="R324" s="2" t="inlineStr">
        <is>
          <t>Knärot</t>
        </is>
      </c>
      <c r="S324">
        <f>HYPERLINK("https://klasma.github.io/Logging_1784/artfynd/A 36688-2020 artfynd.xlsx", "A 36688-2020")</f>
        <v/>
      </c>
      <c r="T324">
        <f>HYPERLINK("https://klasma.github.io/Logging_1784/kartor/A 36688-2020 karta.png", "A 36688-2020")</f>
        <v/>
      </c>
      <c r="U324">
        <f>HYPERLINK("https://klasma.github.io/Logging_1784/knärot/A 36688-2020 karta knärot.png", "A 36688-2020")</f>
        <v/>
      </c>
      <c r="V324">
        <f>HYPERLINK("https://klasma.github.io/Logging_1784/klagomål/A 36688-2020 FSC-klagomål.docx", "A 36688-2020")</f>
        <v/>
      </c>
      <c r="W324">
        <f>HYPERLINK("https://klasma.github.io/Logging_1784/klagomålsmail/A 36688-2020 FSC-klagomål mail.docx", "A 36688-2020")</f>
        <v/>
      </c>
      <c r="X324">
        <f>HYPERLINK("https://klasma.github.io/Logging_1784/tillsyn/A 36688-2020 tillsynsbegäran.docx", "A 36688-2020")</f>
        <v/>
      </c>
      <c r="Y324">
        <f>HYPERLINK("https://klasma.github.io/Logging_1784/tillsynsmail/A 36688-2020 tillsynsbegäran mail.docx", "A 36688-2020")</f>
        <v/>
      </c>
    </row>
    <row r="325" ht="15" customHeight="1">
      <c r="A325" t="inlineStr">
        <is>
          <t>A 37035-2020</t>
        </is>
      </c>
      <c r="B325" s="1" t="n">
        <v>44054</v>
      </c>
      <c r="C325" s="1" t="n">
        <v>45507</v>
      </c>
      <c r="D325" t="inlineStr">
        <is>
          <t>VÄRMLANDS LÄN</t>
        </is>
      </c>
      <c r="E325" t="inlineStr">
        <is>
          <t>TORSBY</t>
        </is>
      </c>
      <c r="G325" t="n">
        <v>2.7</v>
      </c>
      <c r="H325" t="n">
        <v>0</v>
      </c>
      <c r="I325" t="n">
        <v>0</v>
      </c>
      <c r="J325" t="n">
        <v>0</v>
      </c>
      <c r="K325" t="n">
        <v>1</v>
      </c>
      <c r="L325" t="n">
        <v>0</v>
      </c>
      <c r="M325" t="n">
        <v>0</v>
      </c>
      <c r="N325" t="n">
        <v>0</v>
      </c>
      <c r="O325" t="n">
        <v>1</v>
      </c>
      <c r="P325" t="n">
        <v>1</v>
      </c>
      <c r="Q325" t="n">
        <v>1</v>
      </c>
      <c r="R325" s="2" t="inlineStr">
        <is>
          <t>Raggbock</t>
        </is>
      </c>
      <c r="S325">
        <f>HYPERLINK("https://klasma.github.io/Logging_1737/artfynd/A 37035-2020 artfynd.xlsx", "A 37035-2020")</f>
        <v/>
      </c>
      <c r="T325">
        <f>HYPERLINK("https://klasma.github.io/Logging_1737/kartor/A 37035-2020 karta.png", "A 37035-2020")</f>
        <v/>
      </c>
      <c r="V325">
        <f>HYPERLINK("https://klasma.github.io/Logging_1737/klagomål/A 37035-2020 FSC-klagomål.docx", "A 37035-2020")</f>
        <v/>
      </c>
      <c r="W325">
        <f>HYPERLINK("https://klasma.github.io/Logging_1737/klagomålsmail/A 37035-2020 FSC-klagomål mail.docx", "A 37035-2020")</f>
        <v/>
      </c>
      <c r="X325">
        <f>HYPERLINK("https://klasma.github.io/Logging_1737/tillsyn/A 37035-2020 tillsynsbegäran.docx", "A 37035-2020")</f>
        <v/>
      </c>
      <c r="Y325">
        <f>HYPERLINK("https://klasma.github.io/Logging_1737/tillsynsmail/A 37035-2020 tillsynsbegäran mail.docx", "A 37035-2020")</f>
        <v/>
      </c>
    </row>
    <row r="326" ht="15" customHeight="1">
      <c r="A326" t="inlineStr">
        <is>
          <t>A 38701-2020</t>
        </is>
      </c>
      <c r="B326" s="1" t="n">
        <v>44061</v>
      </c>
      <c r="C326" s="1" t="n">
        <v>45507</v>
      </c>
      <c r="D326" t="inlineStr">
        <is>
          <t>VÄRMLANDS LÄN</t>
        </is>
      </c>
      <c r="E326" t="inlineStr">
        <is>
          <t>ÅRJÄNG</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HYPERLINK("https://klasma.github.io/Logging_1765/artfynd/A 38701-2020 artfynd.xlsx", "A 38701-2020")</f>
        <v/>
      </c>
      <c r="T326">
        <f>HYPERLINK("https://klasma.github.io/Logging_1765/kartor/A 38701-2020 karta.png", "A 38701-2020")</f>
        <v/>
      </c>
      <c r="V326">
        <f>HYPERLINK("https://klasma.github.io/Logging_1765/klagomål/A 38701-2020 FSC-klagomål.docx", "A 38701-2020")</f>
        <v/>
      </c>
      <c r="W326">
        <f>HYPERLINK("https://klasma.github.io/Logging_1765/klagomålsmail/A 38701-2020 FSC-klagomål mail.docx", "A 38701-2020")</f>
        <v/>
      </c>
      <c r="X326">
        <f>HYPERLINK("https://klasma.github.io/Logging_1765/tillsyn/A 38701-2020 tillsynsbegäran.docx", "A 38701-2020")</f>
        <v/>
      </c>
      <c r="Y326">
        <f>HYPERLINK("https://klasma.github.io/Logging_1765/tillsynsmail/A 38701-2020 tillsynsbegäran mail.docx", "A 38701-2020")</f>
        <v/>
      </c>
      <c r="Z326">
        <f>HYPERLINK("https://klasma.github.io/Logging_1765/fåglar/A 38701-2020 prioriterade fågelarter.docx", "A 38701-2020")</f>
        <v/>
      </c>
    </row>
    <row r="327" ht="15" customHeight="1">
      <c r="A327" t="inlineStr">
        <is>
          <t>A 42542-2020</t>
        </is>
      </c>
      <c r="B327" s="1" t="n">
        <v>44077</v>
      </c>
      <c r="C327" s="1" t="n">
        <v>45507</v>
      </c>
      <c r="D327" t="inlineStr">
        <is>
          <t>VÄRMLANDS LÄN</t>
        </is>
      </c>
      <c r="E327" t="inlineStr">
        <is>
          <t>FILIPSTAD</t>
        </is>
      </c>
      <c r="F327" t="inlineStr">
        <is>
          <t>Bergvik skog väst AB</t>
        </is>
      </c>
      <c r="G327" t="n">
        <v>1.3</v>
      </c>
      <c r="H327" t="n">
        <v>0</v>
      </c>
      <c r="I327" t="n">
        <v>0</v>
      </c>
      <c r="J327" t="n">
        <v>1</v>
      </c>
      <c r="K327" t="n">
        <v>0</v>
      </c>
      <c r="L327" t="n">
        <v>0</v>
      </c>
      <c r="M327" t="n">
        <v>0</v>
      </c>
      <c r="N327" t="n">
        <v>0</v>
      </c>
      <c r="O327" t="n">
        <v>1</v>
      </c>
      <c r="P327" t="n">
        <v>0</v>
      </c>
      <c r="Q327" t="n">
        <v>1</v>
      </c>
      <c r="R327" s="2" t="inlineStr">
        <is>
          <t>Brunpudrad nållav</t>
        </is>
      </c>
      <c r="S327">
        <f>HYPERLINK("https://klasma.github.io/Logging_1782/artfynd/A 42542-2020 artfynd.xlsx", "A 42542-2020")</f>
        <v/>
      </c>
      <c r="T327">
        <f>HYPERLINK("https://klasma.github.io/Logging_1782/kartor/A 42542-2020 karta.png", "A 42542-2020")</f>
        <v/>
      </c>
      <c r="V327">
        <f>HYPERLINK("https://klasma.github.io/Logging_1782/klagomål/A 42542-2020 FSC-klagomål.docx", "A 42542-2020")</f>
        <v/>
      </c>
      <c r="W327">
        <f>HYPERLINK("https://klasma.github.io/Logging_1782/klagomålsmail/A 42542-2020 FSC-klagomål mail.docx", "A 42542-2020")</f>
        <v/>
      </c>
      <c r="X327">
        <f>HYPERLINK("https://klasma.github.io/Logging_1782/tillsyn/A 42542-2020 tillsynsbegäran.docx", "A 42542-2020")</f>
        <v/>
      </c>
      <c r="Y327">
        <f>HYPERLINK("https://klasma.github.io/Logging_1782/tillsynsmail/A 42542-2020 tillsynsbegäran mail.docx", "A 42542-2020")</f>
        <v/>
      </c>
    </row>
    <row r="328" ht="15" customHeight="1">
      <c r="A328" t="inlineStr">
        <is>
          <t>A 47721-2020</t>
        </is>
      </c>
      <c r="B328" s="1" t="n">
        <v>44096</v>
      </c>
      <c r="C328" s="1" t="n">
        <v>45507</v>
      </c>
      <c r="D328" t="inlineStr">
        <is>
          <t>VÄRMLANDS LÄN</t>
        </is>
      </c>
      <c r="E328" t="inlineStr">
        <is>
          <t>HAGFORS</t>
        </is>
      </c>
      <c r="F328" t="inlineStr">
        <is>
          <t>Kyrkan</t>
        </is>
      </c>
      <c r="G328" t="n">
        <v>1.9</v>
      </c>
      <c r="H328" t="n">
        <v>0</v>
      </c>
      <c r="I328" t="n">
        <v>0</v>
      </c>
      <c r="J328" t="n">
        <v>1</v>
      </c>
      <c r="K328" t="n">
        <v>0</v>
      </c>
      <c r="L328" t="n">
        <v>0</v>
      </c>
      <c r="M328" t="n">
        <v>0</v>
      </c>
      <c r="N328" t="n">
        <v>0</v>
      </c>
      <c r="O328" t="n">
        <v>1</v>
      </c>
      <c r="P328" t="n">
        <v>0</v>
      </c>
      <c r="Q328" t="n">
        <v>1</v>
      </c>
      <c r="R328" s="2" t="inlineStr">
        <is>
          <t>Garnlav</t>
        </is>
      </c>
      <c r="S328">
        <f>HYPERLINK("https://klasma.github.io/Logging_1783/artfynd/A 47721-2020 artfynd.xlsx", "A 47721-2020")</f>
        <v/>
      </c>
      <c r="T328">
        <f>HYPERLINK("https://klasma.github.io/Logging_1783/kartor/A 47721-2020 karta.png", "A 47721-2020")</f>
        <v/>
      </c>
      <c r="V328">
        <f>HYPERLINK("https://klasma.github.io/Logging_1783/klagomål/A 47721-2020 FSC-klagomål.docx", "A 47721-2020")</f>
        <v/>
      </c>
      <c r="W328">
        <f>HYPERLINK("https://klasma.github.io/Logging_1783/klagomålsmail/A 47721-2020 FSC-klagomål mail.docx", "A 47721-2020")</f>
        <v/>
      </c>
      <c r="X328">
        <f>HYPERLINK("https://klasma.github.io/Logging_1783/tillsyn/A 47721-2020 tillsynsbegäran.docx", "A 47721-2020")</f>
        <v/>
      </c>
      <c r="Y328">
        <f>HYPERLINK("https://klasma.github.io/Logging_1783/tillsynsmail/A 47721-2020 tillsynsbegäran mail.docx", "A 47721-2020")</f>
        <v/>
      </c>
    </row>
    <row r="329" ht="15" customHeight="1">
      <c r="A329" t="inlineStr">
        <is>
          <t>A 49591-2020</t>
        </is>
      </c>
      <c r="B329" s="1" t="n">
        <v>44105</v>
      </c>
      <c r="C329" s="1" t="n">
        <v>45507</v>
      </c>
      <c r="D329" t="inlineStr">
        <is>
          <t>VÄRMLANDS LÄN</t>
        </is>
      </c>
      <c r="E329" t="inlineStr">
        <is>
          <t>KRISTINEHAMN</t>
        </is>
      </c>
      <c r="G329" t="n">
        <v>2.2</v>
      </c>
      <c r="H329" t="n">
        <v>0</v>
      </c>
      <c r="I329" t="n">
        <v>1</v>
      </c>
      <c r="J329" t="n">
        <v>0</v>
      </c>
      <c r="K329" t="n">
        <v>0</v>
      </c>
      <c r="L329" t="n">
        <v>0</v>
      </c>
      <c r="M329" t="n">
        <v>0</v>
      </c>
      <c r="N329" t="n">
        <v>0</v>
      </c>
      <c r="O329" t="n">
        <v>0</v>
      </c>
      <c r="P329" t="n">
        <v>0</v>
      </c>
      <c r="Q329" t="n">
        <v>1</v>
      </c>
      <c r="R329" s="2" t="inlineStr">
        <is>
          <t>Svart trolldruva</t>
        </is>
      </c>
      <c r="S329">
        <f>HYPERLINK("https://klasma.github.io/Logging_1781/artfynd/A 49591-2020 artfynd.xlsx", "A 49591-2020")</f>
        <v/>
      </c>
      <c r="T329">
        <f>HYPERLINK("https://klasma.github.io/Logging_1781/kartor/A 49591-2020 karta.png", "A 49591-2020")</f>
        <v/>
      </c>
      <c r="V329">
        <f>HYPERLINK("https://klasma.github.io/Logging_1781/klagomål/A 49591-2020 FSC-klagomål.docx", "A 49591-2020")</f>
        <v/>
      </c>
      <c r="W329">
        <f>HYPERLINK("https://klasma.github.io/Logging_1781/klagomålsmail/A 49591-2020 FSC-klagomål mail.docx", "A 49591-2020")</f>
        <v/>
      </c>
      <c r="X329">
        <f>HYPERLINK("https://klasma.github.io/Logging_1781/tillsyn/A 49591-2020 tillsynsbegäran.docx", "A 49591-2020")</f>
        <v/>
      </c>
      <c r="Y329">
        <f>HYPERLINK("https://klasma.github.io/Logging_1781/tillsynsmail/A 49591-2020 tillsynsbegäran mail.docx", "A 49591-2020")</f>
        <v/>
      </c>
    </row>
    <row r="330" ht="15" customHeight="1">
      <c r="A330" t="inlineStr">
        <is>
          <t>A 50854-2020</t>
        </is>
      </c>
      <c r="B330" s="1" t="n">
        <v>44105</v>
      </c>
      <c r="C330" s="1" t="n">
        <v>45507</v>
      </c>
      <c r="D330" t="inlineStr">
        <is>
          <t>VÄRMLANDS LÄN</t>
        </is>
      </c>
      <c r="E330" t="inlineStr">
        <is>
          <t>TORSBY</t>
        </is>
      </c>
      <c r="G330" t="n">
        <v>6.5</v>
      </c>
      <c r="H330" t="n">
        <v>1</v>
      </c>
      <c r="I330" t="n">
        <v>0</v>
      </c>
      <c r="J330" t="n">
        <v>0</v>
      </c>
      <c r="K330" t="n">
        <v>1</v>
      </c>
      <c r="L330" t="n">
        <v>0</v>
      </c>
      <c r="M330" t="n">
        <v>0</v>
      </c>
      <c r="N330" t="n">
        <v>0</v>
      </c>
      <c r="O330" t="n">
        <v>1</v>
      </c>
      <c r="P330" t="n">
        <v>1</v>
      </c>
      <c r="Q330" t="n">
        <v>1</v>
      </c>
      <c r="R330" s="2" t="inlineStr">
        <is>
          <t>Knärot</t>
        </is>
      </c>
      <c r="S330">
        <f>HYPERLINK("https://klasma.github.io/Logging_1737/artfynd/A 50854-2020 artfynd.xlsx", "A 50854-2020")</f>
        <v/>
      </c>
      <c r="T330">
        <f>HYPERLINK("https://klasma.github.io/Logging_1737/kartor/A 50854-2020 karta.png", "A 50854-2020")</f>
        <v/>
      </c>
      <c r="U330">
        <f>HYPERLINK("https://klasma.github.io/Logging_1737/knärot/A 50854-2020 karta knärot.png", "A 50854-2020")</f>
        <v/>
      </c>
      <c r="V330">
        <f>HYPERLINK("https://klasma.github.io/Logging_1737/klagomål/A 50854-2020 FSC-klagomål.docx", "A 50854-2020")</f>
        <v/>
      </c>
      <c r="W330">
        <f>HYPERLINK("https://klasma.github.io/Logging_1737/klagomålsmail/A 50854-2020 FSC-klagomål mail.docx", "A 50854-2020")</f>
        <v/>
      </c>
      <c r="X330">
        <f>HYPERLINK("https://klasma.github.io/Logging_1737/tillsyn/A 50854-2020 tillsynsbegäran.docx", "A 50854-2020")</f>
        <v/>
      </c>
      <c r="Y330">
        <f>HYPERLINK("https://klasma.github.io/Logging_1737/tillsynsmail/A 50854-2020 tillsynsbegäran mail.docx", "A 50854-2020")</f>
        <v/>
      </c>
    </row>
    <row r="331" ht="15" customHeight="1">
      <c r="A331" t="inlineStr">
        <is>
          <t>A 50089-2020</t>
        </is>
      </c>
      <c r="B331" s="1" t="n">
        <v>44109</v>
      </c>
      <c r="C331" s="1" t="n">
        <v>45507</v>
      </c>
      <c r="D331" t="inlineStr">
        <is>
          <t>VÄRMLANDS LÄN</t>
        </is>
      </c>
      <c r="E331" t="inlineStr">
        <is>
          <t>TORSBY</t>
        </is>
      </c>
      <c r="G331" t="n">
        <v>0.9</v>
      </c>
      <c r="H331" t="n">
        <v>1</v>
      </c>
      <c r="I331" t="n">
        <v>0</v>
      </c>
      <c r="J331" t="n">
        <v>1</v>
      </c>
      <c r="K331" t="n">
        <v>0</v>
      </c>
      <c r="L331" t="n">
        <v>0</v>
      </c>
      <c r="M331" t="n">
        <v>0</v>
      </c>
      <c r="N331" t="n">
        <v>0</v>
      </c>
      <c r="O331" t="n">
        <v>1</v>
      </c>
      <c r="P331" t="n">
        <v>0</v>
      </c>
      <c r="Q331" t="n">
        <v>1</v>
      </c>
      <c r="R331" s="2" t="inlineStr">
        <is>
          <t>Spillkråka</t>
        </is>
      </c>
      <c r="S331">
        <f>HYPERLINK("https://klasma.github.io/Logging_1737/artfynd/A 50089-2020 artfynd.xlsx", "A 50089-2020")</f>
        <v/>
      </c>
      <c r="T331">
        <f>HYPERLINK("https://klasma.github.io/Logging_1737/kartor/A 50089-2020 karta.png", "A 50089-2020")</f>
        <v/>
      </c>
      <c r="V331">
        <f>HYPERLINK("https://klasma.github.io/Logging_1737/klagomål/A 50089-2020 FSC-klagomål.docx", "A 50089-2020")</f>
        <v/>
      </c>
      <c r="W331">
        <f>HYPERLINK("https://klasma.github.io/Logging_1737/klagomålsmail/A 50089-2020 FSC-klagomål mail.docx", "A 50089-2020")</f>
        <v/>
      </c>
      <c r="X331">
        <f>HYPERLINK("https://klasma.github.io/Logging_1737/tillsyn/A 50089-2020 tillsynsbegäran.docx", "A 50089-2020")</f>
        <v/>
      </c>
      <c r="Y331">
        <f>HYPERLINK("https://klasma.github.io/Logging_1737/tillsynsmail/A 50089-2020 tillsynsbegäran mail.docx", "A 50089-2020")</f>
        <v/>
      </c>
      <c r="Z331">
        <f>HYPERLINK("https://klasma.github.io/Logging_1737/fåglar/A 50089-2020 prioriterade fågelarter.docx", "A 50089-2020")</f>
        <v/>
      </c>
    </row>
    <row r="332" ht="15" customHeight="1">
      <c r="A332" t="inlineStr">
        <is>
          <t>A 53491-2020</t>
        </is>
      </c>
      <c r="B332" s="1" t="n">
        <v>44123</v>
      </c>
      <c r="C332" s="1" t="n">
        <v>45507</v>
      </c>
      <c r="D332" t="inlineStr">
        <is>
          <t>VÄRMLANDS LÄN</t>
        </is>
      </c>
      <c r="E332" t="inlineStr">
        <is>
          <t>TORSBY</t>
        </is>
      </c>
      <c r="G332" t="n">
        <v>1.5</v>
      </c>
      <c r="H332" t="n">
        <v>0</v>
      </c>
      <c r="I332" t="n">
        <v>0</v>
      </c>
      <c r="J332" t="n">
        <v>1</v>
      </c>
      <c r="K332" t="n">
        <v>0</v>
      </c>
      <c r="L332" t="n">
        <v>0</v>
      </c>
      <c r="M332" t="n">
        <v>0</v>
      </c>
      <c r="N332" t="n">
        <v>0</v>
      </c>
      <c r="O332" t="n">
        <v>1</v>
      </c>
      <c r="P332" t="n">
        <v>0</v>
      </c>
      <c r="Q332" t="n">
        <v>1</v>
      </c>
      <c r="R332" s="2" t="inlineStr">
        <is>
          <t>Garnlav</t>
        </is>
      </c>
      <c r="S332">
        <f>HYPERLINK("https://klasma.github.io/Logging_1737/artfynd/A 53491-2020 artfynd.xlsx", "A 53491-2020")</f>
        <v/>
      </c>
      <c r="T332">
        <f>HYPERLINK("https://klasma.github.io/Logging_1737/kartor/A 53491-2020 karta.png", "A 53491-2020")</f>
        <v/>
      </c>
      <c r="V332">
        <f>HYPERLINK("https://klasma.github.io/Logging_1737/klagomål/A 53491-2020 FSC-klagomål.docx", "A 53491-2020")</f>
        <v/>
      </c>
      <c r="W332">
        <f>HYPERLINK("https://klasma.github.io/Logging_1737/klagomålsmail/A 53491-2020 FSC-klagomål mail.docx", "A 53491-2020")</f>
        <v/>
      </c>
      <c r="X332">
        <f>HYPERLINK("https://klasma.github.io/Logging_1737/tillsyn/A 53491-2020 tillsynsbegäran.docx", "A 53491-2020")</f>
        <v/>
      </c>
      <c r="Y332">
        <f>HYPERLINK("https://klasma.github.io/Logging_1737/tillsynsmail/A 53491-2020 tillsynsbegäran mail.docx", "A 53491-2020")</f>
        <v/>
      </c>
    </row>
    <row r="333" ht="15" customHeight="1">
      <c r="A333" t="inlineStr">
        <is>
          <t>A 54326-2020</t>
        </is>
      </c>
      <c r="B333" s="1" t="n">
        <v>44126</v>
      </c>
      <c r="C333" s="1" t="n">
        <v>45507</v>
      </c>
      <c r="D333" t="inlineStr">
        <is>
          <t>VÄRMLANDS LÄN</t>
        </is>
      </c>
      <c r="E333" t="inlineStr">
        <is>
          <t>HAMMARÖ</t>
        </is>
      </c>
      <c r="G333" t="n">
        <v>0.7</v>
      </c>
      <c r="H333" t="n">
        <v>1</v>
      </c>
      <c r="I333" t="n">
        <v>0</v>
      </c>
      <c r="J333" t="n">
        <v>0</v>
      </c>
      <c r="K333" t="n">
        <v>0</v>
      </c>
      <c r="L333" t="n">
        <v>0</v>
      </c>
      <c r="M333" t="n">
        <v>0</v>
      </c>
      <c r="N333" t="n">
        <v>0</v>
      </c>
      <c r="O333" t="n">
        <v>0</v>
      </c>
      <c r="P333" t="n">
        <v>0</v>
      </c>
      <c r="Q333" t="n">
        <v>1</v>
      </c>
      <c r="R333" s="2" t="inlineStr">
        <is>
          <t>Törnskata</t>
        </is>
      </c>
      <c r="S333">
        <f>HYPERLINK("https://klasma.github.io/Logging_1761/artfynd/A 54326-2020 artfynd.xlsx", "A 54326-2020")</f>
        <v/>
      </c>
      <c r="T333">
        <f>HYPERLINK("https://klasma.github.io/Logging_1761/kartor/A 54326-2020 karta.png", "A 54326-2020")</f>
        <v/>
      </c>
      <c r="V333">
        <f>HYPERLINK("https://klasma.github.io/Logging_1761/klagomål/A 54326-2020 FSC-klagomål.docx", "A 54326-2020")</f>
        <v/>
      </c>
      <c r="W333">
        <f>HYPERLINK("https://klasma.github.io/Logging_1761/klagomålsmail/A 54326-2020 FSC-klagomål mail.docx", "A 54326-2020")</f>
        <v/>
      </c>
      <c r="X333">
        <f>HYPERLINK("https://klasma.github.io/Logging_1761/tillsyn/A 54326-2020 tillsynsbegäran.docx", "A 54326-2020")</f>
        <v/>
      </c>
      <c r="Y333">
        <f>HYPERLINK("https://klasma.github.io/Logging_1761/tillsynsmail/A 54326-2020 tillsynsbegäran mail.docx", "A 54326-2020")</f>
        <v/>
      </c>
      <c r="Z333">
        <f>HYPERLINK("https://klasma.github.io/Logging_1761/fåglar/A 54326-2020 prioriterade fågelarter.docx", "A 54326-2020")</f>
        <v/>
      </c>
    </row>
    <row r="334" ht="15" customHeight="1">
      <c r="A334" t="inlineStr">
        <is>
          <t>A 55736-2020</t>
        </is>
      </c>
      <c r="B334" s="1" t="n">
        <v>44132</v>
      </c>
      <c r="C334" s="1" t="n">
        <v>45507</v>
      </c>
      <c r="D334" t="inlineStr">
        <is>
          <t>VÄRMLANDS LÄN</t>
        </is>
      </c>
      <c r="E334" t="inlineStr">
        <is>
          <t>ARVIKA</t>
        </is>
      </c>
      <c r="G334" t="n">
        <v>7.5</v>
      </c>
      <c r="H334" t="n">
        <v>0</v>
      </c>
      <c r="I334" t="n">
        <v>1</v>
      </c>
      <c r="J334" t="n">
        <v>0</v>
      </c>
      <c r="K334" t="n">
        <v>0</v>
      </c>
      <c r="L334" t="n">
        <v>0</v>
      </c>
      <c r="M334" t="n">
        <v>0</v>
      </c>
      <c r="N334" t="n">
        <v>0</v>
      </c>
      <c r="O334" t="n">
        <v>0</v>
      </c>
      <c r="P334" t="n">
        <v>0</v>
      </c>
      <c r="Q334" t="n">
        <v>1</v>
      </c>
      <c r="R334" s="2" t="inlineStr">
        <is>
          <t>Tibast</t>
        </is>
      </c>
      <c r="S334">
        <f>HYPERLINK("https://klasma.github.io/Logging_1784/artfynd/A 55736-2020 artfynd.xlsx", "A 55736-2020")</f>
        <v/>
      </c>
      <c r="T334">
        <f>HYPERLINK("https://klasma.github.io/Logging_1784/kartor/A 55736-2020 karta.png", "A 55736-2020")</f>
        <v/>
      </c>
      <c r="V334">
        <f>HYPERLINK("https://klasma.github.io/Logging_1784/klagomål/A 55736-2020 FSC-klagomål.docx", "A 55736-2020")</f>
        <v/>
      </c>
      <c r="W334">
        <f>HYPERLINK("https://klasma.github.io/Logging_1784/klagomålsmail/A 55736-2020 FSC-klagomål mail.docx", "A 55736-2020")</f>
        <v/>
      </c>
      <c r="X334">
        <f>HYPERLINK("https://klasma.github.io/Logging_1784/tillsyn/A 55736-2020 tillsynsbegäran.docx", "A 55736-2020")</f>
        <v/>
      </c>
      <c r="Y334">
        <f>HYPERLINK("https://klasma.github.io/Logging_1784/tillsynsmail/A 55736-2020 tillsynsbegäran mail.docx", "A 55736-2020")</f>
        <v/>
      </c>
    </row>
    <row r="335" ht="15" customHeight="1">
      <c r="A335" t="inlineStr">
        <is>
          <t>A 56253-2020</t>
        </is>
      </c>
      <c r="B335" s="1" t="n">
        <v>44134</v>
      </c>
      <c r="C335" s="1" t="n">
        <v>45507</v>
      </c>
      <c r="D335" t="inlineStr">
        <is>
          <t>VÄRMLANDS LÄN</t>
        </is>
      </c>
      <c r="E335" t="inlineStr">
        <is>
          <t>ARVIKA</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HYPERLINK("https://klasma.github.io/Logging_1784/artfynd/A 56253-2020 artfynd.xlsx", "A 56253-2020")</f>
        <v/>
      </c>
      <c r="T335">
        <f>HYPERLINK("https://klasma.github.io/Logging_1784/kartor/A 56253-2020 karta.png", "A 56253-2020")</f>
        <v/>
      </c>
      <c r="V335">
        <f>HYPERLINK("https://klasma.github.io/Logging_1784/klagomål/A 56253-2020 FSC-klagomål.docx", "A 56253-2020")</f>
        <v/>
      </c>
      <c r="W335">
        <f>HYPERLINK("https://klasma.github.io/Logging_1784/klagomålsmail/A 56253-2020 FSC-klagomål mail.docx", "A 56253-2020")</f>
        <v/>
      </c>
      <c r="X335">
        <f>HYPERLINK("https://klasma.github.io/Logging_1784/tillsyn/A 56253-2020 tillsynsbegäran.docx", "A 56253-2020")</f>
        <v/>
      </c>
      <c r="Y335">
        <f>HYPERLINK("https://klasma.github.io/Logging_1784/tillsynsmail/A 56253-2020 tillsynsbegäran mail.docx", "A 56253-2020")</f>
        <v/>
      </c>
      <c r="Z335">
        <f>HYPERLINK("https://klasma.github.io/Logging_1784/fåglar/A 56253-2020 prioriterade fågelarter.docx", "A 56253-2020")</f>
        <v/>
      </c>
    </row>
    <row r="336" ht="15" customHeight="1">
      <c r="A336" t="inlineStr">
        <is>
          <t>A 59466-2020</t>
        </is>
      </c>
      <c r="B336" s="1" t="n">
        <v>44148</v>
      </c>
      <c r="C336" s="1" t="n">
        <v>45507</v>
      </c>
      <c r="D336" t="inlineStr">
        <is>
          <t>VÄRMLANDS LÄN</t>
        </is>
      </c>
      <c r="E336" t="inlineStr">
        <is>
          <t>SÄFFLE</t>
        </is>
      </c>
      <c r="G336" t="n">
        <v>4.9</v>
      </c>
      <c r="H336" t="n">
        <v>0</v>
      </c>
      <c r="I336" t="n">
        <v>0</v>
      </c>
      <c r="J336" t="n">
        <v>1</v>
      </c>
      <c r="K336" t="n">
        <v>0</v>
      </c>
      <c r="L336" t="n">
        <v>0</v>
      </c>
      <c r="M336" t="n">
        <v>0</v>
      </c>
      <c r="N336" t="n">
        <v>0</v>
      </c>
      <c r="O336" t="n">
        <v>1</v>
      </c>
      <c r="P336" t="n">
        <v>0</v>
      </c>
      <c r="Q336" t="n">
        <v>1</v>
      </c>
      <c r="R336" s="2" t="inlineStr">
        <is>
          <t>Motaggsvamp</t>
        </is>
      </c>
      <c r="S336">
        <f>HYPERLINK("https://klasma.github.io/Logging_1785/artfynd/A 59466-2020 artfynd.xlsx", "A 59466-2020")</f>
        <v/>
      </c>
      <c r="T336">
        <f>HYPERLINK("https://klasma.github.io/Logging_1785/kartor/A 59466-2020 karta.png", "A 59466-2020")</f>
        <v/>
      </c>
      <c r="V336">
        <f>HYPERLINK("https://klasma.github.io/Logging_1785/klagomål/A 59466-2020 FSC-klagomål.docx", "A 59466-2020")</f>
        <v/>
      </c>
      <c r="W336">
        <f>HYPERLINK("https://klasma.github.io/Logging_1785/klagomålsmail/A 59466-2020 FSC-klagomål mail.docx", "A 59466-2020")</f>
        <v/>
      </c>
      <c r="X336">
        <f>HYPERLINK("https://klasma.github.io/Logging_1785/tillsyn/A 59466-2020 tillsynsbegäran.docx", "A 59466-2020")</f>
        <v/>
      </c>
      <c r="Y336">
        <f>HYPERLINK("https://klasma.github.io/Logging_1785/tillsynsmail/A 59466-2020 tillsynsbegäran mail.docx", "A 59466-2020")</f>
        <v/>
      </c>
    </row>
    <row r="337" ht="15" customHeight="1">
      <c r="A337" t="inlineStr">
        <is>
          <t>A 63540-2020</t>
        </is>
      </c>
      <c r="B337" s="1" t="n">
        <v>44165</v>
      </c>
      <c r="C337" s="1" t="n">
        <v>45507</v>
      </c>
      <c r="D337" t="inlineStr">
        <is>
          <t>VÄRMLANDS LÄN</t>
        </is>
      </c>
      <c r="E337" t="inlineStr">
        <is>
          <t>ARVIKA</t>
        </is>
      </c>
      <c r="G337" t="n">
        <v>4.3</v>
      </c>
      <c r="H337" t="n">
        <v>1</v>
      </c>
      <c r="I337" t="n">
        <v>0</v>
      </c>
      <c r="J337" t="n">
        <v>0</v>
      </c>
      <c r="K337" t="n">
        <v>1</v>
      </c>
      <c r="L337" t="n">
        <v>0</v>
      </c>
      <c r="M337" t="n">
        <v>0</v>
      </c>
      <c r="N337" t="n">
        <v>0</v>
      </c>
      <c r="O337" t="n">
        <v>1</v>
      </c>
      <c r="P337" t="n">
        <v>1</v>
      </c>
      <c r="Q337" t="n">
        <v>1</v>
      </c>
      <c r="R337" s="2" t="inlineStr">
        <is>
          <t>Knärot</t>
        </is>
      </c>
      <c r="S337">
        <f>HYPERLINK("https://klasma.github.io/Logging_1784/artfynd/A 63540-2020 artfynd.xlsx", "A 63540-2020")</f>
        <v/>
      </c>
      <c r="T337">
        <f>HYPERLINK("https://klasma.github.io/Logging_1784/kartor/A 63540-2020 karta.png", "A 63540-2020")</f>
        <v/>
      </c>
      <c r="U337">
        <f>HYPERLINK("https://klasma.github.io/Logging_1784/knärot/A 63540-2020 karta knärot.png", "A 63540-2020")</f>
        <v/>
      </c>
      <c r="V337">
        <f>HYPERLINK("https://klasma.github.io/Logging_1784/klagomål/A 63540-2020 FSC-klagomål.docx", "A 63540-2020")</f>
        <v/>
      </c>
      <c r="W337">
        <f>HYPERLINK("https://klasma.github.io/Logging_1784/klagomålsmail/A 63540-2020 FSC-klagomål mail.docx", "A 63540-2020")</f>
        <v/>
      </c>
      <c r="X337">
        <f>HYPERLINK("https://klasma.github.io/Logging_1784/tillsyn/A 63540-2020 tillsynsbegäran.docx", "A 63540-2020")</f>
        <v/>
      </c>
      <c r="Y337">
        <f>HYPERLINK("https://klasma.github.io/Logging_1784/tillsynsmail/A 63540-2020 tillsynsbegäran mail.docx", "A 63540-2020")</f>
        <v/>
      </c>
    </row>
    <row r="338" ht="15" customHeight="1">
      <c r="A338" t="inlineStr">
        <is>
          <t>A 65851-2020</t>
        </is>
      </c>
      <c r="B338" s="1" t="n">
        <v>44174</v>
      </c>
      <c r="C338" s="1" t="n">
        <v>45507</v>
      </c>
      <c r="D338" t="inlineStr">
        <is>
          <t>VÄRMLANDS LÄN</t>
        </is>
      </c>
      <c r="E338" t="inlineStr">
        <is>
          <t>KARLSTAD</t>
        </is>
      </c>
      <c r="F338" t="inlineStr">
        <is>
          <t>Bergvik skog väst AB</t>
        </is>
      </c>
      <c r="G338" t="n">
        <v>3.3</v>
      </c>
      <c r="H338" t="n">
        <v>0</v>
      </c>
      <c r="I338" t="n">
        <v>0</v>
      </c>
      <c r="J338" t="n">
        <v>0</v>
      </c>
      <c r="K338" t="n">
        <v>0</v>
      </c>
      <c r="L338" t="n">
        <v>0</v>
      </c>
      <c r="M338" t="n">
        <v>1</v>
      </c>
      <c r="N338" t="n">
        <v>0</v>
      </c>
      <c r="O338" t="n">
        <v>1</v>
      </c>
      <c r="P338" t="n">
        <v>1</v>
      </c>
      <c r="Q338" t="n">
        <v>1</v>
      </c>
      <c r="R338" s="2" t="inlineStr">
        <is>
          <t>Skogsalm</t>
        </is>
      </c>
      <c r="S338">
        <f>HYPERLINK("https://klasma.github.io/Logging_1780/artfynd/A 65851-2020 artfynd.xlsx", "A 65851-2020")</f>
        <v/>
      </c>
      <c r="T338">
        <f>HYPERLINK("https://klasma.github.io/Logging_1780/kartor/A 65851-2020 karta.png", "A 65851-2020")</f>
        <v/>
      </c>
      <c r="V338">
        <f>HYPERLINK("https://klasma.github.io/Logging_1780/klagomål/A 65851-2020 FSC-klagomål.docx", "A 65851-2020")</f>
        <v/>
      </c>
      <c r="W338">
        <f>HYPERLINK("https://klasma.github.io/Logging_1780/klagomålsmail/A 65851-2020 FSC-klagomål mail.docx", "A 65851-2020")</f>
        <v/>
      </c>
      <c r="X338">
        <f>HYPERLINK("https://klasma.github.io/Logging_1780/tillsyn/A 65851-2020 tillsynsbegäran.docx", "A 65851-2020")</f>
        <v/>
      </c>
      <c r="Y338">
        <f>HYPERLINK("https://klasma.github.io/Logging_1780/tillsynsmail/A 65851-2020 tillsynsbegäran mail.docx", "A 65851-2020")</f>
        <v/>
      </c>
    </row>
    <row r="339" ht="15" customHeight="1">
      <c r="A339" t="inlineStr">
        <is>
          <t>A 66802-2020</t>
        </is>
      </c>
      <c r="B339" s="1" t="n">
        <v>44179</v>
      </c>
      <c r="C339" s="1" t="n">
        <v>45507</v>
      </c>
      <c r="D339" t="inlineStr">
        <is>
          <t>VÄRMLANDS LÄN</t>
        </is>
      </c>
      <c r="E339" t="inlineStr">
        <is>
          <t>EDA</t>
        </is>
      </c>
      <c r="G339" t="n">
        <v>8.1</v>
      </c>
      <c r="H339" t="n">
        <v>1</v>
      </c>
      <c r="I339" t="n">
        <v>0</v>
      </c>
      <c r="J339" t="n">
        <v>0</v>
      </c>
      <c r="K339" t="n">
        <v>0</v>
      </c>
      <c r="L339" t="n">
        <v>0</v>
      </c>
      <c r="M339" t="n">
        <v>0</v>
      </c>
      <c r="N339" t="n">
        <v>0</v>
      </c>
      <c r="O339" t="n">
        <v>0</v>
      </c>
      <c r="P339" t="n">
        <v>0</v>
      </c>
      <c r="Q339" t="n">
        <v>1</v>
      </c>
      <c r="R339" s="2" t="inlineStr">
        <is>
          <t>Mindre flugsnappare</t>
        </is>
      </c>
      <c r="S339">
        <f>HYPERLINK("https://klasma.github.io/Logging_1730/artfynd/A 66802-2020 artfynd.xlsx", "A 66802-2020")</f>
        <v/>
      </c>
      <c r="T339">
        <f>HYPERLINK("https://klasma.github.io/Logging_1730/kartor/A 66802-2020 karta.png", "A 66802-2020")</f>
        <v/>
      </c>
      <c r="V339">
        <f>HYPERLINK("https://klasma.github.io/Logging_1730/klagomål/A 66802-2020 FSC-klagomål.docx", "A 66802-2020")</f>
        <v/>
      </c>
      <c r="W339">
        <f>HYPERLINK("https://klasma.github.io/Logging_1730/klagomålsmail/A 66802-2020 FSC-klagomål mail.docx", "A 66802-2020")</f>
        <v/>
      </c>
      <c r="X339">
        <f>HYPERLINK("https://klasma.github.io/Logging_1730/tillsyn/A 66802-2020 tillsynsbegäran.docx", "A 66802-2020")</f>
        <v/>
      </c>
      <c r="Y339">
        <f>HYPERLINK("https://klasma.github.io/Logging_1730/tillsynsmail/A 66802-2020 tillsynsbegäran mail.docx", "A 66802-2020")</f>
        <v/>
      </c>
      <c r="Z339">
        <f>HYPERLINK("https://klasma.github.io/Logging_1730/fåglar/A 66802-2020 prioriterade fågelarter.docx", "A 66802-2020")</f>
        <v/>
      </c>
    </row>
    <row r="340" ht="15" customHeight="1">
      <c r="A340" t="inlineStr">
        <is>
          <t>A 67928-2020</t>
        </is>
      </c>
      <c r="B340" s="1" t="n">
        <v>44182</v>
      </c>
      <c r="C340" s="1" t="n">
        <v>45507</v>
      </c>
      <c r="D340" t="inlineStr">
        <is>
          <t>VÄRMLANDS LÄN</t>
        </is>
      </c>
      <c r="E340" t="inlineStr">
        <is>
          <t>KARLSTAD</t>
        </is>
      </c>
      <c r="G340" t="n">
        <v>5</v>
      </c>
      <c r="H340" t="n">
        <v>0</v>
      </c>
      <c r="I340" t="n">
        <v>1</v>
      </c>
      <c r="J340" t="n">
        <v>0</v>
      </c>
      <c r="K340" t="n">
        <v>0</v>
      </c>
      <c r="L340" t="n">
        <v>0</v>
      </c>
      <c r="M340" t="n">
        <v>0</v>
      </c>
      <c r="N340" t="n">
        <v>0</v>
      </c>
      <c r="O340" t="n">
        <v>0</v>
      </c>
      <c r="P340" t="n">
        <v>0</v>
      </c>
      <c r="Q340" t="n">
        <v>1</v>
      </c>
      <c r="R340" s="2" t="inlineStr">
        <is>
          <t>Fjällig taggsvamp s.str.</t>
        </is>
      </c>
      <c r="S340">
        <f>HYPERLINK("https://klasma.github.io/Logging_1780/artfynd/A 67928-2020 artfynd.xlsx", "A 67928-2020")</f>
        <v/>
      </c>
      <c r="T340">
        <f>HYPERLINK("https://klasma.github.io/Logging_1780/kartor/A 67928-2020 karta.png", "A 67928-2020")</f>
        <v/>
      </c>
      <c r="V340">
        <f>HYPERLINK("https://klasma.github.io/Logging_1780/klagomål/A 67928-2020 FSC-klagomål.docx", "A 67928-2020")</f>
        <v/>
      </c>
      <c r="W340">
        <f>HYPERLINK("https://klasma.github.io/Logging_1780/klagomålsmail/A 67928-2020 FSC-klagomål mail.docx", "A 67928-2020")</f>
        <v/>
      </c>
      <c r="X340">
        <f>HYPERLINK("https://klasma.github.io/Logging_1780/tillsyn/A 67928-2020 tillsynsbegäran.docx", "A 67928-2020")</f>
        <v/>
      </c>
      <c r="Y340">
        <f>HYPERLINK("https://klasma.github.io/Logging_1780/tillsynsmail/A 67928-2020 tillsynsbegäran mail.docx", "A 67928-2020")</f>
        <v/>
      </c>
    </row>
    <row r="341" ht="15" customHeight="1">
      <c r="A341" t="inlineStr">
        <is>
          <t>A 68077-2020</t>
        </is>
      </c>
      <c r="B341" s="1" t="n">
        <v>44183</v>
      </c>
      <c r="C341" s="1" t="n">
        <v>45507</v>
      </c>
      <c r="D341" t="inlineStr">
        <is>
          <t>VÄRMLANDS LÄN</t>
        </is>
      </c>
      <c r="E341" t="inlineStr">
        <is>
          <t>FORSHAGA</t>
        </is>
      </c>
      <c r="G341" t="n">
        <v>2.8</v>
      </c>
      <c r="H341" t="n">
        <v>1</v>
      </c>
      <c r="I341" t="n">
        <v>0</v>
      </c>
      <c r="J341" t="n">
        <v>0</v>
      </c>
      <c r="K341" t="n">
        <v>0</v>
      </c>
      <c r="L341" t="n">
        <v>0</v>
      </c>
      <c r="M341" t="n">
        <v>0</v>
      </c>
      <c r="N341" t="n">
        <v>0</v>
      </c>
      <c r="O341" t="n">
        <v>0</v>
      </c>
      <c r="P341" t="n">
        <v>0</v>
      </c>
      <c r="Q341" t="n">
        <v>1</v>
      </c>
      <c r="R341" s="2" t="inlineStr">
        <is>
          <t>Grönvit nattviol</t>
        </is>
      </c>
      <c r="S341">
        <f>HYPERLINK("https://klasma.github.io/Logging_1763/artfynd/A 68077-2020 artfynd.xlsx", "A 68077-2020")</f>
        <v/>
      </c>
      <c r="T341">
        <f>HYPERLINK("https://klasma.github.io/Logging_1763/kartor/A 68077-2020 karta.png", "A 68077-2020")</f>
        <v/>
      </c>
      <c r="V341">
        <f>HYPERLINK("https://klasma.github.io/Logging_1763/klagomål/A 68077-2020 FSC-klagomål.docx", "A 68077-2020")</f>
        <v/>
      </c>
      <c r="W341">
        <f>HYPERLINK("https://klasma.github.io/Logging_1763/klagomålsmail/A 68077-2020 FSC-klagomål mail.docx", "A 68077-2020")</f>
        <v/>
      </c>
      <c r="X341">
        <f>HYPERLINK("https://klasma.github.io/Logging_1763/tillsyn/A 68077-2020 tillsynsbegäran.docx", "A 68077-2020")</f>
        <v/>
      </c>
      <c r="Y341">
        <f>HYPERLINK("https://klasma.github.io/Logging_1763/tillsynsmail/A 68077-2020 tillsynsbegäran mail.docx", "A 68077-2020")</f>
        <v/>
      </c>
    </row>
    <row r="342" ht="15" customHeight="1">
      <c r="A342" t="inlineStr">
        <is>
          <t>A 2194-2021</t>
        </is>
      </c>
      <c r="B342" s="1" t="n">
        <v>44211</v>
      </c>
      <c r="C342" s="1" t="n">
        <v>45507</v>
      </c>
      <c r="D342" t="inlineStr">
        <is>
          <t>VÄRMLANDS LÄN</t>
        </is>
      </c>
      <c r="E342" t="inlineStr">
        <is>
          <t>KARLSTAD</t>
        </is>
      </c>
      <c r="G342" t="n">
        <v>2.3</v>
      </c>
      <c r="H342" t="n">
        <v>1</v>
      </c>
      <c r="I342" t="n">
        <v>0</v>
      </c>
      <c r="J342" t="n">
        <v>0</v>
      </c>
      <c r="K342" t="n">
        <v>1</v>
      </c>
      <c r="L342" t="n">
        <v>0</v>
      </c>
      <c r="M342" t="n">
        <v>0</v>
      </c>
      <c r="N342" t="n">
        <v>0</v>
      </c>
      <c r="O342" t="n">
        <v>1</v>
      </c>
      <c r="P342" t="n">
        <v>1</v>
      </c>
      <c r="Q342" t="n">
        <v>1</v>
      </c>
      <c r="R342" s="2" t="inlineStr">
        <is>
          <t>Knärot</t>
        </is>
      </c>
      <c r="S342">
        <f>HYPERLINK("https://klasma.github.io/Logging_1780/artfynd/A 2194-2021 artfynd.xlsx", "A 2194-2021")</f>
        <v/>
      </c>
      <c r="T342">
        <f>HYPERLINK("https://klasma.github.io/Logging_1780/kartor/A 2194-2021 karta.png", "A 2194-2021")</f>
        <v/>
      </c>
      <c r="U342">
        <f>HYPERLINK("https://klasma.github.io/Logging_1780/knärot/A 2194-2021 karta knärot.png", "A 2194-2021")</f>
        <v/>
      </c>
      <c r="V342">
        <f>HYPERLINK("https://klasma.github.io/Logging_1780/klagomål/A 2194-2021 FSC-klagomål.docx", "A 2194-2021")</f>
        <v/>
      </c>
      <c r="W342">
        <f>HYPERLINK("https://klasma.github.io/Logging_1780/klagomålsmail/A 2194-2021 FSC-klagomål mail.docx", "A 2194-2021")</f>
        <v/>
      </c>
      <c r="X342">
        <f>HYPERLINK("https://klasma.github.io/Logging_1780/tillsyn/A 2194-2021 tillsynsbegäran.docx", "A 2194-2021")</f>
        <v/>
      </c>
      <c r="Y342">
        <f>HYPERLINK("https://klasma.github.io/Logging_1780/tillsynsmail/A 2194-2021 tillsynsbegäran mail.docx", "A 2194-2021")</f>
        <v/>
      </c>
    </row>
    <row r="343" ht="15" customHeight="1">
      <c r="A343" t="inlineStr">
        <is>
          <t>A 3974-2021</t>
        </is>
      </c>
      <c r="B343" s="1" t="n">
        <v>44217</v>
      </c>
      <c r="C343" s="1" t="n">
        <v>45507</v>
      </c>
      <c r="D343" t="inlineStr">
        <is>
          <t>VÄRMLANDS LÄN</t>
        </is>
      </c>
      <c r="E343" t="inlineStr">
        <is>
          <t>ÅRJÄNG</t>
        </is>
      </c>
      <c r="G343" t="n">
        <v>0.8</v>
      </c>
      <c r="H343" t="n">
        <v>1</v>
      </c>
      <c r="I343" t="n">
        <v>0</v>
      </c>
      <c r="J343" t="n">
        <v>1</v>
      </c>
      <c r="K343" t="n">
        <v>0</v>
      </c>
      <c r="L343" t="n">
        <v>0</v>
      </c>
      <c r="M343" t="n">
        <v>0</v>
      </c>
      <c r="N343" t="n">
        <v>0</v>
      </c>
      <c r="O343" t="n">
        <v>1</v>
      </c>
      <c r="P343" t="n">
        <v>0</v>
      </c>
      <c r="Q343" t="n">
        <v>1</v>
      </c>
      <c r="R343" s="2" t="inlineStr">
        <is>
          <t>Tretåig hackspett</t>
        </is>
      </c>
      <c r="S343">
        <f>HYPERLINK("https://klasma.github.io/Logging_1765/artfynd/A 3974-2021 artfynd.xlsx", "A 3974-2021")</f>
        <v/>
      </c>
      <c r="T343">
        <f>HYPERLINK("https://klasma.github.io/Logging_1765/kartor/A 3974-2021 karta.png", "A 3974-2021")</f>
        <v/>
      </c>
      <c r="V343">
        <f>HYPERLINK("https://klasma.github.io/Logging_1765/klagomål/A 3974-2021 FSC-klagomål.docx", "A 3974-2021")</f>
        <v/>
      </c>
      <c r="W343">
        <f>HYPERLINK("https://klasma.github.io/Logging_1765/klagomålsmail/A 3974-2021 FSC-klagomål mail.docx", "A 3974-2021")</f>
        <v/>
      </c>
      <c r="X343">
        <f>HYPERLINK("https://klasma.github.io/Logging_1765/tillsyn/A 3974-2021 tillsynsbegäran.docx", "A 3974-2021")</f>
        <v/>
      </c>
      <c r="Y343">
        <f>HYPERLINK("https://klasma.github.io/Logging_1765/tillsynsmail/A 3974-2021 tillsynsbegäran mail.docx", "A 3974-2021")</f>
        <v/>
      </c>
      <c r="Z343">
        <f>HYPERLINK("https://klasma.github.io/Logging_1765/fåglar/A 3974-2021 prioriterade fågelarter.docx", "A 3974-2021")</f>
        <v/>
      </c>
    </row>
    <row r="344" ht="15" customHeight="1">
      <c r="A344" t="inlineStr">
        <is>
          <t>A 4335-2021</t>
        </is>
      </c>
      <c r="B344" s="1" t="n">
        <v>44221</v>
      </c>
      <c r="C344" s="1" t="n">
        <v>45507</v>
      </c>
      <c r="D344" t="inlineStr">
        <is>
          <t>VÄRMLANDS LÄN</t>
        </is>
      </c>
      <c r="E344" t="inlineStr">
        <is>
          <t>SÄFFLE</t>
        </is>
      </c>
      <c r="G344" t="n">
        <v>21.3</v>
      </c>
      <c r="H344" t="n">
        <v>0</v>
      </c>
      <c r="I344" t="n">
        <v>0</v>
      </c>
      <c r="J344" t="n">
        <v>1</v>
      </c>
      <c r="K344" t="n">
        <v>0</v>
      </c>
      <c r="L344" t="n">
        <v>0</v>
      </c>
      <c r="M344" t="n">
        <v>0</v>
      </c>
      <c r="N344" t="n">
        <v>0</v>
      </c>
      <c r="O344" t="n">
        <v>1</v>
      </c>
      <c r="P344" t="n">
        <v>0</v>
      </c>
      <c r="Q344" t="n">
        <v>1</v>
      </c>
      <c r="R344" s="2" t="inlineStr">
        <is>
          <t>Skogsklocka</t>
        </is>
      </c>
      <c r="S344">
        <f>HYPERLINK("https://klasma.github.io/Logging_1785/artfynd/A 4335-2021 artfynd.xlsx", "A 4335-2021")</f>
        <v/>
      </c>
      <c r="T344">
        <f>HYPERLINK("https://klasma.github.io/Logging_1785/kartor/A 4335-2021 karta.png", "A 4335-2021")</f>
        <v/>
      </c>
      <c r="V344">
        <f>HYPERLINK("https://klasma.github.io/Logging_1785/klagomål/A 4335-2021 FSC-klagomål.docx", "A 4335-2021")</f>
        <v/>
      </c>
      <c r="W344">
        <f>HYPERLINK("https://klasma.github.io/Logging_1785/klagomålsmail/A 4335-2021 FSC-klagomål mail.docx", "A 4335-2021")</f>
        <v/>
      </c>
      <c r="X344">
        <f>HYPERLINK("https://klasma.github.io/Logging_1785/tillsyn/A 4335-2021 tillsynsbegäran.docx", "A 4335-2021")</f>
        <v/>
      </c>
      <c r="Y344">
        <f>HYPERLINK("https://klasma.github.io/Logging_1785/tillsynsmail/A 4335-2021 tillsynsbegäran mail.docx", "A 4335-2021")</f>
        <v/>
      </c>
    </row>
    <row r="345" ht="15" customHeight="1">
      <c r="A345" t="inlineStr">
        <is>
          <t>A 4799-2021</t>
        </is>
      </c>
      <c r="B345" s="1" t="n">
        <v>44225</v>
      </c>
      <c r="C345" s="1" t="n">
        <v>45507</v>
      </c>
      <c r="D345" t="inlineStr">
        <is>
          <t>VÄRMLANDS LÄN</t>
        </is>
      </c>
      <c r="E345" t="inlineStr">
        <is>
          <t>KARLSTAD</t>
        </is>
      </c>
      <c r="G345" t="n">
        <v>2.8</v>
      </c>
      <c r="H345" t="n">
        <v>0</v>
      </c>
      <c r="I345" t="n">
        <v>1</v>
      </c>
      <c r="J345" t="n">
        <v>0</v>
      </c>
      <c r="K345" t="n">
        <v>0</v>
      </c>
      <c r="L345" t="n">
        <v>0</v>
      </c>
      <c r="M345" t="n">
        <v>0</v>
      </c>
      <c r="N345" t="n">
        <v>0</v>
      </c>
      <c r="O345" t="n">
        <v>0</v>
      </c>
      <c r="P345" t="n">
        <v>0</v>
      </c>
      <c r="Q345" t="n">
        <v>1</v>
      </c>
      <c r="R345" s="2" t="inlineStr">
        <is>
          <t>Svart trolldruva</t>
        </is>
      </c>
      <c r="S345">
        <f>HYPERLINK("https://klasma.github.io/Logging_1780/artfynd/A 4799-2021 artfynd.xlsx", "A 4799-2021")</f>
        <v/>
      </c>
      <c r="T345">
        <f>HYPERLINK("https://klasma.github.io/Logging_1780/kartor/A 4799-2021 karta.png", "A 4799-2021")</f>
        <v/>
      </c>
      <c r="V345">
        <f>HYPERLINK("https://klasma.github.io/Logging_1780/klagomål/A 4799-2021 FSC-klagomål.docx", "A 4799-2021")</f>
        <v/>
      </c>
      <c r="W345">
        <f>HYPERLINK("https://klasma.github.io/Logging_1780/klagomålsmail/A 4799-2021 FSC-klagomål mail.docx", "A 4799-2021")</f>
        <v/>
      </c>
      <c r="X345">
        <f>HYPERLINK("https://klasma.github.io/Logging_1780/tillsyn/A 4799-2021 tillsynsbegäran.docx", "A 4799-2021")</f>
        <v/>
      </c>
      <c r="Y345">
        <f>HYPERLINK("https://klasma.github.io/Logging_1780/tillsynsmail/A 4799-2021 tillsynsbegäran mail.docx", "A 4799-2021")</f>
        <v/>
      </c>
    </row>
    <row r="346" ht="15" customHeight="1">
      <c r="A346" t="inlineStr">
        <is>
          <t>A 8048-2021</t>
        </is>
      </c>
      <c r="B346" s="1" t="n">
        <v>44243</v>
      </c>
      <c r="C346" s="1" t="n">
        <v>45507</v>
      </c>
      <c r="D346" t="inlineStr">
        <is>
          <t>VÄRMLANDS LÄN</t>
        </is>
      </c>
      <c r="E346" t="inlineStr">
        <is>
          <t>STORFORS</t>
        </is>
      </c>
      <c r="G346" t="n">
        <v>11.1</v>
      </c>
      <c r="H346" t="n">
        <v>0</v>
      </c>
      <c r="I346" t="n">
        <v>1</v>
      </c>
      <c r="J346" t="n">
        <v>0</v>
      </c>
      <c r="K346" t="n">
        <v>0</v>
      </c>
      <c r="L346" t="n">
        <v>0</v>
      </c>
      <c r="M346" t="n">
        <v>0</v>
      </c>
      <c r="N346" t="n">
        <v>0</v>
      </c>
      <c r="O346" t="n">
        <v>0</v>
      </c>
      <c r="P346" t="n">
        <v>0</v>
      </c>
      <c r="Q346" t="n">
        <v>1</v>
      </c>
      <c r="R346" s="2" t="inlineStr">
        <is>
          <t>Korallblylav</t>
        </is>
      </c>
      <c r="S346">
        <f>HYPERLINK("https://klasma.github.io/Logging_1760/artfynd/A 8048-2021 artfynd.xlsx", "A 8048-2021")</f>
        <v/>
      </c>
      <c r="T346">
        <f>HYPERLINK("https://klasma.github.io/Logging_1760/kartor/A 8048-2021 karta.png", "A 8048-2021")</f>
        <v/>
      </c>
      <c r="V346">
        <f>HYPERLINK("https://klasma.github.io/Logging_1760/klagomål/A 8048-2021 FSC-klagomål.docx", "A 8048-2021")</f>
        <v/>
      </c>
      <c r="W346">
        <f>HYPERLINK("https://klasma.github.io/Logging_1760/klagomålsmail/A 8048-2021 FSC-klagomål mail.docx", "A 8048-2021")</f>
        <v/>
      </c>
      <c r="X346">
        <f>HYPERLINK("https://klasma.github.io/Logging_1760/tillsyn/A 8048-2021 tillsynsbegäran.docx", "A 8048-2021")</f>
        <v/>
      </c>
      <c r="Y346">
        <f>HYPERLINK("https://klasma.github.io/Logging_1760/tillsynsmail/A 8048-2021 tillsynsbegäran mail.docx", "A 8048-2021")</f>
        <v/>
      </c>
    </row>
    <row r="347" ht="15" customHeight="1">
      <c r="A347" t="inlineStr">
        <is>
          <t>A 8747-2021</t>
        </is>
      </c>
      <c r="B347" s="1" t="n">
        <v>44246</v>
      </c>
      <c r="C347" s="1" t="n">
        <v>45507</v>
      </c>
      <c r="D347" t="inlineStr">
        <is>
          <t>VÄRMLANDS LÄN</t>
        </is>
      </c>
      <c r="E347" t="inlineStr">
        <is>
          <t>TORSBY</t>
        </is>
      </c>
      <c r="G347" t="n">
        <v>8.5</v>
      </c>
      <c r="H347" t="n">
        <v>0</v>
      </c>
      <c r="I347" t="n">
        <v>0</v>
      </c>
      <c r="J347" t="n">
        <v>1</v>
      </c>
      <c r="K347" t="n">
        <v>0</v>
      </c>
      <c r="L347" t="n">
        <v>0</v>
      </c>
      <c r="M347" t="n">
        <v>0</v>
      </c>
      <c r="N347" t="n">
        <v>0</v>
      </c>
      <c r="O347" t="n">
        <v>1</v>
      </c>
      <c r="P347" t="n">
        <v>0</v>
      </c>
      <c r="Q347" t="n">
        <v>1</v>
      </c>
      <c r="R347" s="2" t="inlineStr">
        <is>
          <t>Garnlav</t>
        </is>
      </c>
      <c r="S347">
        <f>HYPERLINK("https://klasma.github.io/Logging_1737/artfynd/A 8747-2021 artfynd.xlsx", "A 8747-2021")</f>
        <v/>
      </c>
      <c r="T347">
        <f>HYPERLINK("https://klasma.github.io/Logging_1737/kartor/A 8747-2021 karta.png", "A 8747-2021")</f>
        <v/>
      </c>
      <c r="V347">
        <f>HYPERLINK("https://klasma.github.io/Logging_1737/klagomål/A 8747-2021 FSC-klagomål.docx", "A 8747-2021")</f>
        <v/>
      </c>
      <c r="W347">
        <f>HYPERLINK("https://klasma.github.io/Logging_1737/klagomålsmail/A 8747-2021 FSC-klagomål mail.docx", "A 8747-2021")</f>
        <v/>
      </c>
      <c r="X347">
        <f>HYPERLINK("https://klasma.github.io/Logging_1737/tillsyn/A 8747-2021 tillsynsbegäran.docx", "A 8747-2021")</f>
        <v/>
      </c>
      <c r="Y347">
        <f>HYPERLINK("https://klasma.github.io/Logging_1737/tillsynsmail/A 8747-2021 tillsynsbegäran mail.docx", "A 8747-2021")</f>
        <v/>
      </c>
    </row>
    <row r="348" ht="15" customHeight="1">
      <c r="A348" t="inlineStr">
        <is>
          <t>A 9558-2021</t>
        </is>
      </c>
      <c r="B348" s="1" t="n">
        <v>44251</v>
      </c>
      <c r="C348" s="1" t="n">
        <v>45507</v>
      </c>
      <c r="D348" t="inlineStr">
        <is>
          <t>VÄRMLANDS LÄN</t>
        </is>
      </c>
      <c r="E348" t="inlineStr">
        <is>
          <t>KIL</t>
        </is>
      </c>
      <c r="F348" t="inlineStr">
        <is>
          <t>Kommuner</t>
        </is>
      </c>
      <c r="G348" t="n">
        <v>2.9</v>
      </c>
      <c r="H348" t="n">
        <v>0</v>
      </c>
      <c r="I348" t="n">
        <v>0</v>
      </c>
      <c r="J348" t="n">
        <v>1</v>
      </c>
      <c r="K348" t="n">
        <v>0</v>
      </c>
      <c r="L348" t="n">
        <v>0</v>
      </c>
      <c r="M348" t="n">
        <v>0</v>
      </c>
      <c r="N348" t="n">
        <v>0</v>
      </c>
      <c r="O348" t="n">
        <v>1</v>
      </c>
      <c r="P348" t="n">
        <v>0</v>
      </c>
      <c r="Q348" t="n">
        <v>1</v>
      </c>
      <c r="R348" s="2" t="inlineStr">
        <is>
          <t>Ängsmetallvinge</t>
        </is>
      </c>
      <c r="S348">
        <f>HYPERLINK("https://klasma.github.io/Logging_1715/artfynd/A 9558-2021 artfynd.xlsx", "A 9558-2021")</f>
        <v/>
      </c>
      <c r="T348">
        <f>HYPERLINK("https://klasma.github.io/Logging_1715/kartor/A 9558-2021 karta.png", "A 9558-2021")</f>
        <v/>
      </c>
      <c r="V348">
        <f>HYPERLINK("https://klasma.github.io/Logging_1715/klagomål/A 9558-2021 FSC-klagomål.docx", "A 9558-2021")</f>
        <v/>
      </c>
      <c r="W348">
        <f>HYPERLINK("https://klasma.github.io/Logging_1715/klagomålsmail/A 9558-2021 FSC-klagomål mail.docx", "A 9558-2021")</f>
        <v/>
      </c>
      <c r="X348">
        <f>HYPERLINK("https://klasma.github.io/Logging_1715/tillsyn/A 9558-2021 tillsynsbegäran.docx", "A 9558-2021")</f>
        <v/>
      </c>
      <c r="Y348">
        <f>HYPERLINK("https://klasma.github.io/Logging_1715/tillsynsmail/A 9558-2021 tillsynsbegäran mail.docx", "A 9558-2021")</f>
        <v/>
      </c>
    </row>
    <row r="349" ht="15" customHeight="1">
      <c r="A349" t="inlineStr">
        <is>
          <t>A 15418-2021</t>
        </is>
      </c>
      <c r="B349" s="1" t="n">
        <v>44285</v>
      </c>
      <c r="C349" s="1" t="n">
        <v>45507</v>
      </c>
      <c r="D349" t="inlineStr">
        <is>
          <t>VÄRMLANDS LÄN</t>
        </is>
      </c>
      <c r="E349" t="inlineStr">
        <is>
          <t>ÅRJÄNG</t>
        </is>
      </c>
      <c r="G349" t="n">
        <v>6.6</v>
      </c>
      <c r="H349" t="n">
        <v>0</v>
      </c>
      <c r="I349" t="n">
        <v>0</v>
      </c>
      <c r="J349" t="n">
        <v>1</v>
      </c>
      <c r="K349" t="n">
        <v>0</v>
      </c>
      <c r="L349" t="n">
        <v>0</v>
      </c>
      <c r="M349" t="n">
        <v>0</v>
      </c>
      <c r="N349" t="n">
        <v>0</v>
      </c>
      <c r="O349" t="n">
        <v>1</v>
      </c>
      <c r="P349" t="n">
        <v>0</v>
      </c>
      <c r="Q349" t="n">
        <v>1</v>
      </c>
      <c r="R349" s="2" t="inlineStr">
        <is>
          <t>Lunglav</t>
        </is>
      </c>
      <c r="S349">
        <f>HYPERLINK("https://klasma.github.io/Logging_1765/artfynd/A 15418-2021 artfynd.xlsx", "A 15418-2021")</f>
        <v/>
      </c>
      <c r="T349">
        <f>HYPERLINK("https://klasma.github.io/Logging_1765/kartor/A 15418-2021 karta.png", "A 15418-2021")</f>
        <v/>
      </c>
      <c r="V349">
        <f>HYPERLINK("https://klasma.github.io/Logging_1765/klagomål/A 15418-2021 FSC-klagomål.docx", "A 15418-2021")</f>
        <v/>
      </c>
      <c r="W349">
        <f>HYPERLINK("https://klasma.github.io/Logging_1765/klagomålsmail/A 15418-2021 FSC-klagomål mail.docx", "A 15418-2021")</f>
        <v/>
      </c>
      <c r="X349">
        <f>HYPERLINK("https://klasma.github.io/Logging_1765/tillsyn/A 15418-2021 tillsynsbegäran.docx", "A 15418-2021")</f>
        <v/>
      </c>
      <c r="Y349">
        <f>HYPERLINK("https://klasma.github.io/Logging_1765/tillsynsmail/A 15418-2021 tillsynsbegäran mail.docx", "A 15418-2021")</f>
        <v/>
      </c>
    </row>
    <row r="350" ht="15" customHeight="1">
      <c r="A350" t="inlineStr">
        <is>
          <t>A 21073-2021</t>
        </is>
      </c>
      <c r="B350" s="1" t="n">
        <v>44319</v>
      </c>
      <c r="C350" s="1" t="n">
        <v>45507</v>
      </c>
      <c r="D350" t="inlineStr">
        <is>
          <t>VÄRMLANDS LÄN</t>
        </is>
      </c>
      <c r="E350" t="inlineStr">
        <is>
          <t>STORFORS</t>
        </is>
      </c>
      <c r="G350" t="n">
        <v>6.1</v>
      </c>
      <c r="H350" t="n">
        <v>0</v>
      </c>
      <c r="I350" t="n">
        <v>1</v>
      </c>
      <c r="J350" t="n">
        <v>0</v>
      </c>
      <c r="K350" t="n">
        <v>0</v>
      </c>
      <c r="L350" t="n">
        <v>0</v>
      </c>
      <c r="M350" t="n">
        <v>0</v>
      </c>
      <c r="N350" t="n">
        <v>0</v>
      </c>
      <c r="O350" t="n">
        <v>0</v>
      </c>
      <c r="P350" t="n">
        <v>0</v>
      </c>
      <c r="Q350" t="n">
        <v>1</v>
      </c>
      <c r="R350" s="2" t="inlineStr">
        <is>
          <t>Korallblylav</t>
        </is>
      </c>
      <c r="S350">
        <f>HYPERLINK("https://klasma.github.io/Logging_1760/artfynd/A 21073-2021 artfynd.xlsx", "A 21073-2021")</f>
        <v/>
      </c>
      <c r="T350">
        <f>HYPERLINK("https://klasma.github.io/Logging_1760/kartor/A 21073-2021 karta.png", "A 21073-2021")</f>
        <v/>
      </c>
      <c r="V350">
        <f>HYPERLINK("https://klasma.github.io/Logging_1760/klagomål/A 21073-2021 FSC-klagomål.docx", "A 21073-2021")</f>
        <v/>
      </c>
      <c r="W350">
        <f>HYPERLINK("https://klasma.github.io/Logging_1760/klagomålsmail/A 21073-2021 FSC-klagomål mail.docx", "A 21073-2021")</f>
        <v/>
      </c>
      <c r="X350">
        <f>HYPERLINK("https://klasma.github.io/Logging_1760/tillsyn/A 21073-2021 tillsynsbegäran.docx", "A 21073-2021")</f>
        <v/>
      </c>
      <c r="Y350">
        <f>HYPERLINK("https://klasma.github.io/Logging_1760/tillsynsmail/A 21073-2021 tillsynsbegäran mail.docx", "A 21073-2021")</f>
        <v/>
      </c>
    </row>
    <row r="351" ht="15" customHeight="1">
      <c r="A351" t="inlineStr">
        <is>
          <t>A 24042-2021</t>
        </is>
      </c>
      <c r="B351" s="1" t="n">
        <v>44336</v>
      </c>
      <c r="C351" s="1" t="n">
        <v>45507</v>
      </c>
      <c r="D351" t="inlineStr">
        <is>
          <t>VÄRMLANDS LÄN</t>
        </is>
      </c>
      <c r="E351" t="inlineStr">
        <is>
          <t>TORSBY</t>
        </is>
      </c>
      <c r="G351" t="n">
        <v>4.5</v>
      </c>
      <c r="H351" t="n">
        <v>0</v>
      </c>
      <c r="I351" t="n">
        <v>1</v>
      </c>
      <c r="J351" t="n">
        <v>0</v>
      </c>
      <c r="K351" t="n">
        <v>0</v>
      </c>
      <c r="L351" t="n">
        <v>0</v>
      </c>
      <c r="M351" t="n">
        <v>0</v>
      </c>
      <c r="N351" t="n">
        <v>0</v>
      </c>
      <c r="O351" t="n">
        <v>0</v>
      </c>
      <c r="P351" t="n">
        <v>0</v>
      </c>
      <c r="Q351" t="n">
        <v>1</v>
      </c>
      <c r="R351" s="2" t="inlineStr">
        <is>
          <t>Stuplav</t>
        </is>
      </c>
      <c r="S351">
        <f>HYPERLINK("https://klasma.github.io/Logging_1737/artfynd/A 24042-2021 artfynd.xlsx", "A 24042-2021")</f>
        <v/>
      </c>
      <c r="T351">
        <f>HYPERLINK("https://klasma.github.io/Logging_1737/kartor/A 24042-2021 karta.png", "A 24042-2021")</f>
        <v/>
      </c>
      <c r="V351">
        <f>HYPERLINK("https://klasma.github.io/Logging_1737/klagomål/A 24042-2021 FSC-klagomål.docx", "A 24042-2021")</f>
        <v/>
      </c>
      <c r="W351">
        <f>HYPERLINK("https://klasma.github.io/Logging_1737/klagomålsmail/A 24042-2021 FSC-klagomål mail.docx", "A 24042-2021")</f>
        <v/>
      </c>
      <c r="X351">
        <f>HYPERLINK("https://klasma.github.io/Logging_1737/tillsyn/A 24042-2021 tillsynsbegäran.docx", "A 24042-2021")</f>
        <v/>
      </c>
      <c r="Y351">
        <f>HYPERLINK("https://klasma.github.io/Logging_1737/tillsynsmail/A 24042-2021 tillsynsbegäran mail.docx", "A 24042-2021")</f>
        <v/>
      </c>
    </row>
    <row r="352" ht="15" customHeight="1">
      <c r="A352" t="inlineStr">
        <is>
          <t>A 24022-2021</t>
        </is>
      </c>
      <c r="B352" s="1" t="n">
        <v>44336</v>
      </c>
      <c r="C352" s="1" t="n">
        <v>45507</v>
      </c>
      <c r="D352" t="inlineStr">
        <is>
          <t>VÄRMLANDS LÄN</t>
        </is>
      </c>
      <c r="E352" t="inlineStr">
        <is>
          <t>ARVIKA</t>
        </is>
      </c>
      <c r="G352" t="n">
        <v>6.8</v>
      </c>
      <c r="H352" t="n">
        <v>1</v>
      </c>
      <c r="I352" t="n">
        <v>0</v>
      </c>
      <c r="J352" t="n">
        <v>0</v>
      </c>
      <c r="K352" t="n">
        <v>0</v>
      </c>
      <c r="L352" t="n">
        <v>0</v>
      </c>
      <c r="M352" t="n">
        <v>0</v>
      </c>
      <c r="N352" t="n">
        <v>0</v>
      </c>
      <c r="O352" t="n">
        <v>0</v>
      </c>
      <c r="P352" t="n">
        <v>0</v>
      </c>
      <c r="Q352" t="n">
        <v>1</v>
      </c>
      <c r="R352" s="2" t="inlineStr">
        <is>
          <t>Skogsödla</t>
        </is>
      </c>
      <c r="S352">
        <f>HYPERLINK("https://klasma.github.io/Logging_1784/artfynd/A 24022-2021 artfynd.xlsx", "A 24022-2021")</f>
        <v/>
      </c>
      <c r="T352">
        <f>HYPERLINK("https://klasma.github.io/Logging_1784/kartor/A 24022-2021 karta.png", "A 24022-2021")</f>
        <v/>
      </c>
      <c r="V352">
        <f>HYPERLINK("https://klasma.github.io/Logging_1784/klagomål/A 24022-2021 FSC-klagomål.docx", "A 24022-2021")</f>
        <v/>
      </c>
      <c r="W352">
        <f>HYPERLINK("https://klasma.github.io/Logging_1784/klagomålsmail/A 24022-2021 FSC-klagomål mail.docx", "A 24022-2021")</f>
        <v/>
      </c>
      <c r="X352">
        <f>HYPERLINK("https://klasma.github.io/Logging_1784/tillsyn/A 24022-2021 tillsynsbegäran.docx", "A 24022-2021")</f>
        <v/>
      </c>
      <c r="Y352">
        <f>HYPERLINK("https://klasma.github.io/Logging_1784/tillsynsmail/A 24022-2021 tillsynsbegäran mail.docx", "A 24022-2021")</f>
        <v/>
      </c>
    </row>
    <row r="353" ht="15" customHeight="1">
      <c r="A353" t="inlineStr">
        <is>
          <t>A 24660-2021</t>
        </is>
      </c>
      <c r="B353" s="1" t="n">
        <v>44340</v>
      </c>
      <c r="C353" s="1" t="n">
        <v>45507</v>
      </c>
      <c r="D353" t="inlineStr">
        <is>
          <t>VÄRMLANDS LÄN</t>
        </is>
      </c>
      <c r="E353" t="inlineStr">
        <is>
          <t>SÄFFLE</t>
        </is>
      </c>
      <c r="G353" t="n">
        <v>6</v>
      </c>
      <c r="H353" t="n">
        <v>0</v>
      </c>
      <c r="I353" t="n">
        <v>0</v>
      </c>
      <c r="J353" t="n">
        <v>1</v>
      </c>
      <c r="K353" t="n">
        <v>0</v>
      </c>
      <c r="L353" t="n">
        <v>0</v>
      </c>
      <c r="M353" t="n">
        <v>0</v>
      </c>
      <c r="N353" t="n">
        <v>0</v>
      </c>
      <c r="O353" t="n">
        <v>1</v>
      </c>
      <c r="P353" t="n">
        <v>0</v>
      </c>
      <c r="Q353" t="n">
        <v>1</v>
      </c>
      <c r="R353" s="2" t="inlineStr">
        <is>
          <t>Svinrot</t>
        </is>
      </c>
      <c r="S353">
        <f>HYPERLINK("https://klasma.github.io/Logging_1785/artfynd/A 24660-2021 artfynd.xlsx", "A 24660-2021")</f>
        <v/>
      </c>
      <c r="T353">
        <f>HYPERLINK("https://klasma.github.io/Logging_1785/kartor/A 24660-2021 karta.png", "A 24660-2021")</f>
        <v/>
      </c>
      <c r="V353">
        <f>HYPERLINK("https://klasma.github.io/Logging_1785/klagomål/A 24660-2021 FSC-klagomål.docx", "A 24660-2021")</f>
        <v/>
      </c>
      <c r="W353">
        <f>HYPERLINK("https://klasma.github.io/Logging_1785/klagomålsmail/A 24660-2021 FSC-klagomål mail.docx", "A 24660-2021")</f>
        <v/>
      </c>
      <c r="X353">
        <f>HYPERLINK("https://klasma.github.io/Logging_1785/tillsyn/A 24660-2021 tillsynsbegäran.docx", "A 24660-2021")</f>
        <v/>
      </c>
      <c r="Y353">
        <f>HYPERLINK("https://klasma.github.io/Logging_1785/tillsynsmail/A 24660-2021 tillsynsbegäran mail.docx", "A 24660-2021")</f>
        <v/>
      </c>
    </row>
    <row r="354" ht="15" customHeight="1">
      <c r="A354" t="inlineStr">
        <is>
          <t>A 28445-2021</t>
        </is>
      </c>
      <c r="B354" s="1" t="n">
        <v>44356</v>
      </c>
      <c r="C354" s="1" t="n">
        <v>45507</v>
      </c>
      <c r="D354" t="inlineStr">
        <is>
          <t>VÄRMLANDS LÄN</t>
        </is>
      </c>
      <c r="E354" t="inlineStr">
        <is>
          <t>SUNNE</t>
        </is>
      </c>
      <c r="G354" t="n">
        <v>10.1</v>
      </c>
      <c r="H354" t="n">
        <v>1</v>
      </c>
      <c r="I354" t="n">
        <v>0</v>
      </c>
      <c r="J354" t="n">
        <v>0</v>
      </c>
      <c r="K354" t="n">
        <v>0</v>
      </c>
      <c r="L354" t="n">
        <v>0</v>
      </c>
      <c r="M354" t="n">
        <v>0</v>
      </c>
      <c r="N354" t="n">
        <v>0</v>
      </c>
      <c r="O354" t="n">
        <v>0</v>
      </c>
      <c r="P354" t="n">
        <v>0</v>
      </c>
      <c r="Q354" t="n">
        <v>1</v>
      </c>
      <c r="R354" s="2" t="inlineStr">
        <is>
          <t>Blåsippa</t>
        </is>
      </c>
      <c r="S354">
        <f>HYPERLINK("https://klasma.github.io/Logging_1766/artfynd/A 28445-2021 artfynd.xlsx", "A 28445-2021")</f>
        <v/>
      </c>
      <c r="T354">
        <f>HYPERLINK("https://klasma.github.io/Logging_1766/kartor/A 28445-2021 karta.png", "A 28445-2021")</f>
        <v/>
      </c>
      <c r="V354">
        <f>HYPERLINK("https://klasma.github.io/Logging_1766/klagomål/A 28445-2021 FSC-klagomål.docx", "A 28445-2021")</f>
        <v/>
      </c>
      <c r="W354">
        <f>HYPERLINK("https://klasma.github.io/Logging_1766/klagomålsmail/A 28445-2021 FSC-klagomål mail.docx", "A 28445-2021")</f>
        <v/>
      </c>
      <c r="X354">
        <f>HYPERLINK("https://klasma.github.io/Logging_1766/tillsyn/A 28445-2021 tillsynsbegäran.docx", "A 28445-2021")</f>
        <v/>
      </c>
      <c r="Y354">
        <f>HYPERLINK("https://klasma.github.io/Logging_1766/tillsynsmail/A 28445-2021 tillsynsbegäran mail.docx", "A 28445-2021")</f>
        <v/>
      </c>
    </row>
    <row r="355" ht="15" customHeight="1">
      <c r="A355" t="inlineStr">
        <is>
          <t>A 28418-2021</t>
        </is>
      </c>
      <c r="B355" s="1" t="n">
        <v>44356</v>
      </c>
      <c r="C355" s="1" t="n">
        <v>45507</v>
      </c>
      <c r="D355" t="inlineStr">
        <is>
          <t>VÄRMLANDS LÄN</t>
        </is>
      </c>
      <c r="E355" t="inlineStr">
        <is>
          <t>ÅRJÄNG</t>
        </is>
      </c>
      <c r="G355" t="n">
        <v>1.6</v>
      </c>
      <c r="H355" t="n">
        <v>0</v>
      </c>
      <c r="I355" t="n">
        <v>1</v>
      </c>
      <c r="J355" t="n">
        <v>0</v>
      </c>
      <c r="K355" t="n">
        <v>0</v>
      </c>
      <c r="L355" t="n">
        <v>0</v>
      </c>
      <c r="M355" t="n">
        <v>0</v>
      </c>
      <c r="N355" t="n">
        <v>0</v>
      </c>
      <c r="O355" t="n">
        <v>0</v>
      </c>
      <c r="P355" t="n">
        <v>0</v>
      </c>
      <c r="Q355" t="n">
        <v>1</v>
      </c>
      <c r="R355" s="2" t="inlineStr">
        <is>
          <t>Stubbspretmossa</t>
        </is>
      </c>
      <c r="S355">
        <f>HYPERLINK("https://klasma.github.io/Logging_1765/artfynd/A 28418-2021 artfynd.xlsx", "A 28418-2021")</f>
        <v/>
      </c>
      <c r="T355">
        <f>HYPERLINK("https://klasma.github.io/Logging_1765/kartor/A 28418-2021 karta.png", "A 28418-2021")</f>
        <v/>
      </c>
      <c r="V355">
        <f>HYPERLINK("https://klasma.github.io/Logging_1765/klagomål/A 28418-2021 FSC-klagomål.docx", "A 28418-2021")</f>
        <v/>
      </c>
      <c r="W355">
        <f>HYPERLINK("https://klasma.github.io/Logging_1765/klagomålsmail/A 28418-2021 FSC-klagomål mail.docx", "A 28418-2021")</f>
        <v/>
      </c>
      <c r="X355">
        <f>HYPERLINK("https://klasma.github.io/Logging_1765/tillsyn/A 28418-2021 tillsynsbegäran.docx", "A 28418-2021")</f>
        <v/>
      </c>
      <c r="Y355">
        <f>HYPERLINK("https://klasma.github.io/Logging_1765/tillsynsmail/A 28418-2021 tillsynsbegäran mail.docx", "A 28418-2021")</f>
        <v/>
      </c>
    </row>
    <row r="356" ht="15" customHeight="1">
      <c r="A356" t="inlineStr">
        <is>
          <t>A 33243-2021</t>
        </is>
      </c>
      <c r="B356" s="1" t="n">
        <v>44377</v>
      </c>
      <c r="C356" s="1" t="n">
        <v>45507</v>
      </c>
      <c r="D356" t="inlineStr">
        <is>
          <t>VÄRMLANDS LÄN</t>
        </is>
      </c>
      <c r="E356" t="inlineStr">
        <is>
          <t>EDA</t>
        </is>
      </c>
      <c r="G356" t="n">
        <v>7.1</v>
      </c>
      <c r="H356" t="n">
        <v>0</v>
      </c>
      <c r="I356" t="n">
        <v>0</v>
      </c>
      <c r="J356" t="n">
        <v>1</v>
      </c>
      <c r="K356" t="n">
        <v>0</v>
      </c>
      <c r="L356" t="n">
        <v>0</v>
      </c>
      <c r="M356" t="n">
        <v>0</v>
      </c>
      <c r="N356" t="n">
        <v>0</v>
      </c>
      <c r="O356" t="n">
        <v>1</v>
      </c>
      <c r="P356" t="n">
        <v>0</v>
      </c>
      <c r="Q356" t="n">
        <v>1</v>
      </c>
      <c r="R356" s="2" t="inlineStr">
        <is>
          <t>Garnlav</t>
        </is>
      </c>
      <c r="S356">
        <f>HYPERLINK("https://klasma.github.io/Logging_1730/artfynd/A 33243-2021 artfynd.xlsx", "A 33243-2021")</f>
        <v/>
      </c>
      <c r="T356">
        <f>HYPERLINK("https://klasma.github.io/Logging_1730/kartor/A 33243-2021 karta.png", "A 33243-2021")</f>
        <v/>
      </c>
      <c r="V356">
        <f>HYPERLINK("https://klasma.github.io/Logging_1730/klagomål/A 33243-2021 FSC-klagomål.docx", "A 33243-2021")</f>
        <v/>
      </c>
      <c r="W356">
        <f>HYPERLINK("https://klasma.github.io/Logging_1730/klagomålsmail/A 33243-2021 FSC-klagomål mail.docx", "A 33243-2021")</f>
        <v/>
      </c>
      <c r="X356">
        <f>HYPERLINK("https://klasma.github.io/Logging_1730/tillsyn/A 33243-2021 tillsynsbegäran.docx", "A 33243-2021")</f>
        <v/>
      </c>
      <c r="Y356">
        <f>HYPERLINK("https://klasma.github.io/Logging_1730/tillsynsmail/A 33243-2021 tillsynsbegäran mail.docx", "A 33243-2021")</f>
        <v/>
      </c>
    </row>
    <row r="357" ht="15" customHeight="1">
      <c r="A357" t="inlineStr">
        <is>
          <t>A 34188-2021</t>
        </is>
      </c>
      <c r="B357" s="1" t="n">
        <v>44379</v>
      </c>
      <c r="C357" s="1" t="n">
        <v>45507</v>
      </c>
      <c r="D357" t="inlineStr">
        <is>
          <t>VÄRMLANDS LÄN</t>
        </is>
      </c>
      <c r="E357" t="inlineStr">
        <is>
          <t>ÅRJÄNG</t>
        </is>
      </c>
      <c r="G357" t="n">
        <v>5.5</v>
      </c>
      <c r="H357" t="n">
        <v>1</v>
      </c>
      <c r="I357" t="n">
        <v>0</v>
      </c>
      <c r="J357" t="n">
        <v>1</v>
      </c>
      <c r="K357" t="n">
        <v>0</v>
      </c>
      <c r="L357" t="n">
        <v>0</v>
      </c>
      <c r="M357" t="n">
        <v>0</v>
      </c>
      <c r="N357" t="n">
        <v>0</v>
      </c>
      <c r="O357" t="n">
        <v>1</v>
      </c>
      <c r="P357" t="n">
        <v>0</v>
      </c>
      <c r="Q357" t="n">
        <v>1</v>
      </c>
      <c r="R357" s="2" t="inlineStr">
        <is>
          <t>Järpe</t>
        </is>
      </c>
      <c r="S357">
        <f>HYPERLINK("https://klasma.github.io/Logging_1765/artfynd/A 34188-2021 artfynd.xlsx", "A 34188-2021")</f>
        <v/>
      </c>
      <c r="T357">
        <f>HYPERLINK("https://klasma.github.io/Logging_1765/kartor/A 34188-2021 karta.png", "A 34188-2021")</f>
        <v/>
      </c>
      <c r="V357">
        <f>HYPERLINK("https://klasma.github.io/Logging_1765/klagomål/A 34188-2021 FSC-klagomål.docx", "A 34188-2021")</f>
        <v/>
      </c>
      <c r="W357">
        <f>HYPERLINK("https://klasma.github.io/Logging_1765/klagomålsmail/A 34188-2021 FSC-klagomål mail.docx", "A 34188-2021")</f>
        <v/>
      </c>
      <c r="X357">
        <f>HYPERLINK("https://klasma.github.io/Logging_1765/tillsyn/A 34188-2021 tillsynsbegäran.docx", "A 34188-2021")</f>
        <v/>
      </c>
      <c r="Y357">
        <f>HYPERLINK("https://klasma.github.io/Logging_1765/tillsynsmail/A 34188-2021 tillsynsbegäran mail.docx", "A 34188-2021")</f>
        <v/>
      </c>
      <c r="Z357">
        <f>HYPERLINK("https://klasma.github.io/Logging_1765/fåglar/A 34188-2021 prioriterade fågelarter.docx", "A 34188-2021")</f>
        <v/>
      </c>
    </row>
    <row r="358" ht="15" customHeight="1">
      <c r="A358" t="inlineStr">
        <is>
          <t>A 34876-2021</t>
        </is>
      </c>
      <c r="B358" s="1" t="n">
        <v>44383</v>
      </c>
      <c r="C358" s="1" t="n">
        <v>45507</v>
      </c>
      <c r="D358" t="inlineStr">
        <is>
          <t>VÄRMLANDS LÄN</t>
        </is>
      </c>
      <c r="E358" t="inlineStr">
        <is>
          <t>TORSBY</t>
        </is>
      </c>
      <c r="G358" t="n">
        <v>4.7</v>
      </c>
      <c r="H358" t="n">
        <v>0</v>
      </c>
      <c r="I358" t="n">
        <v>0</v>
      </c>
      <c r="J358" t="n">
        <v>1</v>
      </c>
      <c r="K358" t="n">
        <v>0</v>
      </c>
      <c r="L358" t="n">
        <v>0</v>
      </c>
      <c r="M358" t="n">
        <v>0</v>
      </c>
      <c r="N358" t="n">
        <v>0</v>
      </c>
      <c r="O358" t="n">
        <v>1</v>
      </c>
      <c r="P358" t="n">
        <v>0</v>
      </c>
      <c r="Q358" t="n">
        <v>1</v>
      </c>
      <c r="R358" s="2" t="inlineStr">
        <is>
          <t>Doftskinn</t>
        </is>
      </c>
      <c r="S358">
        <f>HYPERLINK("https://klasma.github.io/Logging_1737/artfynd/A 34876-2021 artfynd.xlsx", "A 34876-2021")</f>
        <v/>
      </c>
      <c r="T358">
        <f>HYPERLINK("https://klasma.github.io/Logging_1737/kartor/A 34876-2021 karta.png", "A 34876-2021")</f>
        <v/>
      </c>
      <c r="V358">
        <f>HYPERLINK("https://klasma.github.io/Logging_1737/klagomål/A 34876-2021 FSC-klagomål.docx", "A 34876-2021")</f>
        <v/>
      </c>
      <c r="W358">
        <f>HYPERLINK("https://klasma.github.io/Logging_1737/klagomålsmail/A 34876-2021 FSC-klagomål mail.docx", "A 34876-2021")</f>
        <v/>
      </c>
      <c r="X358">
        <f>HYPERLINK("https://klasma.github.io/Logging_1737/tillsyn/A 34876-2021 tillsynsbegäran.docx", "A 34876-2021")</f>
        <v/>
      </c>
      <c r="Y358">
        <f>HYPERLINK("https://klasma.github.io/Logging_1737/tillsynsmail/A 34876-2021 tillsynsbegäran mail.docx", "A 34876-2021")</f>
        <v/>
      </c>
    </row>
    <row r="359" ht="15" customHeight="1">
      <c r="A359" t="inlineStr">
        <is>
          <t>A 34853-2021</t>
        </is>
      </c>
      <c r="B359" s="1" t="n">
        <v>44383</v>
      </c>
      <c r="C359" s="1" t="n">
        <v>45507</v>
      </c>
      <c r="D359" t="inlineStr">
        <is>
          <t>VÄRMLANDS LÄN</t>
        </is>
      </c>
      <c r="E359" t="inlineStr">
        <is>
          <t>TORSBY</t>
        </is>
      </c>
      <c r="G359" t="n">
        <v>14.8</v>
      </c>
      <c r="H359" t="n">
        <v>1</v>
      </c>
      <c r="I359" t="n">
        <v>0</v>
      </c>
      <c r="J359" t="n">
        <v>1</v>
      </c>
      <c r="K359" t="n">
        <v>0</v>
      </c>
      <c r="L359" t="n">
        <v>0</v>
      </c>
      <c r="M359" t="n">
        <v>0</v>
      </c>
      <c r="N359" t="n">
        <v>0</v>
      </c>
      <c r="O359" t="n">
        <v>1</v>
      </c>
      <c r="P359" t="n">
        <v>0</v>
      </c>
      <c r="Q359" t="n">
        <v>1</v>
      </c>
      <c r="R359" s="2" t="inlineStr">
        <is>
          <t>Talltita</t>
        </is>
      </c>
      <c r="S359">
        <f>HYPERLINK("https://klasma.github.io/Logging_1737/artfynd/A 34853-2021 artfynd.xlsx", "A 34853-2021")</f>
        <v/>
      </c>
      <c r="T359">
        <f>HYPERLINK("https://klasma.github.io/Logging_1737/kartor/A 34853-2021 karta.png", "A 34853-2021")</f>
        <v/>
      </c>
      <c r="V359">
        <f>HYPERLINK("https://klasma.github.io/Logging_1737/klagomål/A 34853-2021 FSC-klagomål.docx", "A 34853-2021")</f>
        <v/>
      </c>
      <c r="W359">
        <f>HYPERLINK("https://klasma.github.io/Logging_1737/klagomålsmail/A 34853-2021 FSC-klagomål mail.docx", "A 34853-2021")</f>
        <v/>
      </c>
      <c r="X359">
        <f>HYPERLINK("https://klasma.github.io/Logging_1737/tillsyn/A 34853-2021 tillsynsbegäran.docx", "A 34853-2021")</f>
        <v/>
      </c>
      <c r="Y359">
        <f>HYPERLINK("https://klasma.github.io/Logging_1737/tillsynsmail/A 34853-2021 tillsynsbegäran mail.docx", "A 34853-2021")</f>
        <v/>
      </c>
      <c r="Z359">
        <f>HYPERLINK("https://klasma.github.io/Logging_1737/fåglar/A 34853-2021 prioriterade fågelarter.docx", "A 34853-2021")</f>
        <v/>
      </c>
    </row>
    <row r="360" ht="15" customHeight="1">
      <c r="A360" t="inlineStr">
        <is>
          <t>A 37342-2021</t>
        </is>
      </c>
      <c r="B360" s="1" t="n">
        <v>44397</v>
      </c>
      <c r="C360" s="1" t="n">
        <v>45507</v>
      </c>
      <c r="D360" t="inlineStr">
        <is>
          <t>VÄRMLANDS LÄN</t>
        </is>
      </c>
      <c r="E360" t="inlineStr">
        <is>
          <t>ARVIKA</t>
        </is>
      </c>
      <c r="G360" t="n">
        <v>3.5</v>
      </c>
      <c r="H360" t="n">
        <v>1</v>
      </c>
      <c r="I360" t="n">
        <v>0</v>
      </c>
      <c r="J360" t="n">
        <v>0</v>
      </c>
      <c r="K360" t="n">
        <v>1</v>
      </c>
      <c r="L360" t="n">
        <v>0</v>
      </c>
      <c r="M360" t="n">
        <v>0</v>
      </c>
      <c r="N360" t="n">
        <v>0</v>
      </c>
      <c r="O360" t="n">
        <v>1</v>
      </c>
      <c r="P360" t="n">
        <v>1</v>
      </c>
      <c r="Q360" t="n">
        <v>1</v>
      </c>
      <c r="R360" s="2" t="inlineStr">
        <is>
          <t>Knärot</t>
        </is>
      </c>
      <c r="S360">
        <f>HYPERLINK("https://klasma.github.io/Logging_1784/artfynd/A 37342-2021 artfynd.xlsx", "A 37342-2021")</f>
        <v/>
      </c>
      <c r="T360">
        <f>HYPERLINK("https://klasma.github.io/Logging_1784/kartor/A 37342-2021 karta.png", "A 37342-2021")</f>
        <v/>
      </c>
      <c r="U360">
        <f>HYPERLINK("https://klasma.github.io/Logging_1784/knärot/A 37342-2021 karta knärot.png", "A 37342-2021")</f>
        <v/>
      </c>
      <c r="V360">
        <f>HYPERLINK("https://klasma.github.io/Logging_1784/klagomål/A 37342-2021 FSC-klagomål.docx", "A 37342-2021")</f>
        <v/>
      </c>
      <c r="W360">
        <f>HYPERLINK("https://klasma.github.io/Logging_1784/klagomålsmail/A 37342-2021 FSC-klagomål mail.docx", "A 37342-2021")</f>
        <v/>
      </c>
      <c r="X360">
        <f>HYPERLINK("https://klasma.github.io/Logging_1784/tillsyn/A 37342-2021 tillsynsbegäran.docx", "A 37342-2021")</f>
        <v/>
      </c>
      <c r="Y360">
        <f>HYPERLINK("https://klasma.github.io/Logging_1784/tillsynsmail/A 37342-2021 tillsynsbegäran mail.docx", "A 37342-2021")</f>
        <v/>
      </c>
    </row>
    <row r="361" ht="15" customHeight="1">
      <c r="A361" t="inlineStr">
        <is>
          <t>A 38857-2021</t>
        </is>
      </c>
      <c r="B361" s="1" t="n">
        <v>44411</v>
      </c>
      <c r="C361" s="1" t="n">
        <v>45507</v>
      </c>
      <c r="D361" t="inlineStr">
        <is>
          <t>VÄRMLANDS LÄN</t>
        </is>
      </c>
      <c r="E361" t="inlineStr">
        <is>
          <t>FORSHAGA</t>
        </is>
      </c>
      <c r="F361" t="inlineStr">
        <is>
          <t>Bergvik skog väst AB</t>
        </is>
      </c>
      <c r="G361" t="n">
        <v>20.6</v>
      </c>
      <c r="H361" t="n">
        <v>0</v>
      </c>
      <c r="I361" t="n">
        <v>0</v>
      </c>
      <c r="J361" t="n">
        <v>1</v>
      </c>
      <c r="K361" t="n">
        <v>0</v>
      </c>
      <c r="L361" t="n">
        <v>0</v>
      </c>
      <c r="M361" t="n">
        <v>0</v>
      </c>
      <c r="N361" t="n">
        <v>0</v>
      </c>
      <c r="O361" t="n">
        <v>1</v>
      </c>
      <c r="P361" t="n">
        <v>0</v>
      </c>
      <c r="Q361" t="n">
        <v>1</v>
      </c>
      <c r="R361" s="2" t="inlineStr">
        <is>
          <t>Skogsklocka</t>
        </is>
      </c>
      <c r="S361">
        <f>HYPERLINK("https://klasma.github.io/Logging_1763/artfynd/A 38857-2021 artfynd.xlsx", "A 38857-2021")</f>
        <v/>
      </c>
      <c r="T361">
        <f>HYPERLINK("https://klasma.github.io/Logging_1763/kartor/A 38857-2021 karta.png", "A 38857-2021")</f>
        <v/>
      </c>
      <c r="V361">
        <f>HYPERLINK("https://klasma.github.io/Logging_1763/klagomål/A 38857-2021 FSC-klagomål.docx", "A 38857-2021")</f>
        <v/>
      </c>
      <c r="W361">
        <f>HYPERLINK("https://klasma.github.io/Logging_1763/klagomålsmail/A 38857-2021 FSC-klagomål mail.docx", "A 38857-2021")</f>
        <v/>
      </c>
      <c r="X361">
        <f>HYPERLINK("https://klasma.github.io/Logging_1763/tillsyn/A 38857-2021 tillsynsbegäran.docx", "A 38857-2021")</f>
        <v/>
      </c>
      <c r="Y361">
        <f>HYPERLINK("https://klasma.github.io/Logging_1763/tillsynsmail/A 38857-2021 tillsynsbegäran mail.docx", "A 38857-2021")</f>
        <v/>
      </c>
    </row>
    <row r="362" ht="15" customHeight="1">
      <c r="A362" t="inlineStr">
        <is>
          <t>A 40265-2021</t>
        </is>
      </c>
      <c r="B362" s="1" t="n">
        <v>44419</v>
      </c>
      <c r="C362" s="1" t="n">
        <v>45507</v>
      </c>
      <c r="D362" t="inlineStr">
        <is>
          <t>VÄRMLANDS LÄN</t>
        </is>
      </c>
      <c r="E362" t="inlineStr">
        <is>
          <t>TORSBY</t>
        </is>
      </c>
      <c r="F362" t="inlineStr">
        <is>
          <t>Bergvik skog väst AB</t>
        </is>
      </c>
      <c r="G362" t="n">
        <v>5.7</v>
      </c>
      <c r="H362" t="n">
        <v>1</v>
      </c>
      <c r="I362" t="n">
        <v>0</v>
      </c>
      <c r="J362" t="n">
        <v>1</v>
      </c>
      <c r="K362" t="n">
        <v>0</v>
      </c>
      <c r="L362" t="n">
        <v>0</v>
      </c>
      <c r="M362" t="n">
        <v>0</v>
      </c>
      <c r="N362" t="n">
        <v>0</v>
      </c>
      <c r="O362" t="n">
        <v>1</v>
      </c>
      <c r="P362" t="n">
        <v>0</v>
      </c>
      <c r="Q362" t="n">
        <v>1</v>
      </c>
      <c r="R362" s="2" t="inlineStr">
        <is>
          <t>Nordfladdermus</t>
        </is>
      </c>
      <c r="S362">
        <f>HYPERLINK("https://klasma.github.io/Logging_1737/artfynd/A 40265-2021 artfynd.xlsx", "A 40265-2021")</f>
        <v/>
      </c>
      <c r="T362">
        <f>HYPERLINK("https://klasma.github.io/Logging_1737/kartor/A 40265-2021 karta.png", "A 40265-2021")</f>
        <v/>
      </c>
      <c r="V362">
        <f>HYPERLINK("https://klasma.github.io/Logging_1737/klagomål/A 40265-2021 FSC-klagomål.docx", "A 40265-2021")</f>
        <v/>
      </c>
      <c r="W362">
        <f>HYPERLINK("https://klasma.github.io/Logging_1737/klagomålsmail/A 40265-2021 FSC-klagomål mail.docx", "A 40265-2021")</f>
        <v/>
      </c>
      <c r="X362">
        <f>HYPERLINK("https://klasma.github.io/Logging_1737/tillsyn/A 40265-2021 tillsynsbegäran.docx", "A 40265-2021")</f>
        <v/>
      </c>
      <c r="Y362">
        <f>HYPERLINK("https://klasma.github.io/Logging_1737/tillsynsmail/A 40265-2021 tillsynsbegäran mail.docx", "A 40265-2021")</f>
        <v/>
      </c>
    </row>
    <row r="363" ht="15" customHeight="1">
      <c r="A363" t="inlineStr">
        <is>
          <t>A 42209-2021</t>
        </is>
      </c>
      <c r="B363" s="1" t="n">
        <v>44426</v>
      </c>
      <c r="C363" s="1" t="n">
        <v>45507</v>
      </c>
      <c r="D363" t="inlineStr">
        <is>
          <t>VÄRMLANDS LÄN</t>
        </is>
      </c>
      <c r="E363" t="inlineStr">
        <is>
          <t>KIL</t>
        </is>
      </c>
      <c r="G363" t="n">
        <v>8.300000000000001</v>
      </c>
      <c r="H363" t="n">
        <v>0</v>
      </c>
      <c r="I363" t="n">
        <v>0</v>
      </c>
      <c r="J363" t="n">
        <v>1</v>
      </c>
      <c r="K363" t="n">
        <v>0</v>
      </c>
      <c r="L363" t="n">
        <v>0</v>
      </c>
      <c r="M363" t="n">
        <v>0</v>
      </c>
      <c r="N363" t="n">
        <v>0</v>
      </c>
      <c r="O363" t="n">
        <v>1</v>
      </c>
      <c r="P363" t="n">
        <v>0</v>
      </c>
      <c r="Q363" t="n">
        <v>1</v>
      </c>
      <c r="R363" s="2" t="inlineStr">
        <is>
          <t>Tallticka</t>
        </is>
      </c>
      <c r="S363">
        <f>HYPERLINK("https://klasma.github.io/Logging_1715/artfynd/A 42209-2021 artfynd.xlsx", "A 42209-2021")</f>
        <v/>
      </c>
      <c r="T363">
        <f>HYPERLINK("https://klasma.github.io/Logging_1715/kartor/A 42209-2021 karta.png", "A 42209-2021")</f>
        <v/>
      </c>
      <c r="V363">
        <f>HYPERLINK("https://klasma.github.io/Logging_1715/klagomål/A 42209-2021 FSC-klagomål.docx", "A 42209-2021")</f>
        <v/>
      </c>
      <c r="W363">
        <f>HYPERLINK("https://klasma.github.io/Logging_1715/klagomålsmail/A 42209-2021 FSC-klagomål mail.docx", "A 42209-2021")</f>
        <v/>
      </c>
      <c r="X363">
        <f>HYPERLINK("https://klasma.github.io/Logging_1715/tillsyn/A 42209-2021 tillsynsbegäran.docx", "A 42209-2021")</f>
        <v/>
      </c>
      <c r="Y363">
        <f>HYPERLINK("https://klasma.github.io/Logging_1715/tillsynsmail/A 42209-2021 tillsynsbegäran mail.docx", "A 42209-2021")</f>
        <v/>
      </c>
    </row>
    <row r="364" ht="15" customHeight="1">
      <c r="A364" t="inlineStr">
        <is>
          <t>A 45073-2021</t>
        </is>
      </c>
      <c r="B364" s="1" t="n">
        <v>44438</v>
      </c>
      <c r="C364" s="1" t="n">
        <v>45507</v>
      </c>
      <c r="D364" t="inlineStr">
        <is>
          <t>VÄRMLANDS LÄN</t>
        </is>
      </c>
      <c r="E364" t="inlineStr">
        <is>
          <t>HAGFORS</t>
        </is>
      </c>
      <c r="F364" t="inlineStr">
        <is>
          <t>Kyrkan</t>
        </is>
      </c>
      <c r="G364" t="n">
        <v>0.6</v>
      </c>
      <c r="H364" t="n">
        <v>0</v>
      </c>
      <c r="I364" t="n">
        <v>1</v>
      </c>
      <c r="J364" t="n">
        <v>0</v>
      </c>
      <c r="K364" t="n">
        <v>0</v>
      </c>
      <c r="L364" t="n">
        <v>0</v>
      </c>
      <c r="M364" t="n">
        <v>0</v>
      </c>
      <c r="N364" t="n">
        <v>0</v>
      </c>
      <c r="O364" t="n">
        <v>0</v>
      </c>
      <c r="P364" t="n">
        <v>0</v>
      </c>
      <c r="Q364" t="n">
        <v>1</v>
      </c>
      <c r="R364" s="2" t="inlineStr">
        <is>
          <t>Vedticka</t>
        </is>
      </c>
      <c r="S364">
        <f>HYPERLINK("https://klasma.github.io/Logging_1783/artfynd/A 45073-2021 artfynd.xlsx", "A 45073-2021")</f>
        <v/>
      </c>
      <c r="T364">
        <f>HYPERLINK("https://klasma.github.io/Logging_1783/kartor/A 45073-2021 karta.png", "A 45073-2021")</f>
        <v/>
      </c>
      <c r="V364">
        <f>HYPERLINK("https://klasma.github.io/Logging_1783/klagomål/A 45073-2021 FSC-klagomål.docx", "A 45073-2021")</f>
        <v/>
      </c>
      <c r="W364">
        <f>HYPERLINK("https://klasma.github.io/Logging_1783/klagomålsmail/A 45073-2021 FSC-klagomål mail.docx", "A 45073-2021")</f>
        <v/>
      </c>
      <c r="X364">
        <f>HYPERLINK("https://klasma.github.io/Logging_1783/tillsyn/A 45073-2021 tillsynsbegäran.docx", "A 45073-2021")</f>
        <v/>
      </c>
      <c r="Y364">
        <f>HYPERLINK("https://klasma.github.io/Logging_1783/tillsynsmail/A 45073-2021 tillsynsbegäran mail.docx", "A 45073-2021")</f>
        <v/>
      </c>
    </row>
    <row r="365" ht="15" customHeight="1">
      <c r="A365" t="inlineStr">
        <is>
          <t>A 46893-2021</t>
        </is>
      </c>
      <c r="B365" s="1" t="n">
        <v>44446</v>
      </c>
      <c r="C365" s="1" t="n">
        <v>45507</v>
      </c>
      <c r="D365" t="inlineStr">
        <is>
          <t>VÄRMLANDS LÄN</t>
        </is>
      </c>
      <c r="E365" t="inlineStr">
        <is>
          <t>SÄFFLE</t>
        </is>
      </c>
      <c r="G365" t="n">
        <v>5.4</v>
      </c>
      <c r="H365" t="n">
        <v>0</v>
      </c>
      <c r="I365" t="n">
        <v>0</v>
      </c>
      <c r="J365" t="n">
        <v>0</v>
      </c>
      <c r="K365" t="n">
        <v>1</v>
      </c>
      <c r="L365" t="n">
        <v>0</v>
      </c>
      <c r="M365" t="n">
        <v>0</v>
      </c>
      <c r="N365" t="n">
        <v>0</v>
      </c>
      <c r="O365" t="n">
        <v>1</v>
      </c>
      <c r="P365" t="n">
        <v>1</v>
      </c>
      <c r="Q365" t="n">
        <v>1</v>
      </c>
      <c r="R365" s="2" t="inlineStr">
        <is>
          <t>Slåttergubbe</t>
        </is>
      </c>
      <c r="S365">
        <f>HYPERLINK("https://klasma.github.io/Logging_1785/artfynd/A 46893-2021 artfynd.xlsx", "A 46893-2021")</f>
        <v/>
      </c>
      <c r="T365">
        <f>HYPERLINK("https://klasma.github.io/Logging_1785/kartor/A 46893-2021 karta.png", "A 46893-2021")</f>
        <v/>
      </c>
      <c r="V365">
        <f>HYPERLINK("https://klasma.github.io/Logging_1785/klagomål/A 46893-2021 FSC-klagomål.docx", "A 46893-2021")</f>
        <v/>
      </c>
      <c r="W365">
        <f>HYPERLINK("https://klasma.github.io/Logging_1785/klagomålsmail/A 46893-2021 FSC-klagomål mail.docx", "A 46893-2021")</f>
        <v/>
      </c>
      <c r="X365">
        <f>HYPERLINK("https://klasma.github.io/Logging_1785/tillsyn/A 46893-2021 tillsynsbegäran.docx", "A 46893-2021")</f>
        <v/>
      </c>
      <c r="Y365">
        <f>HYPERLINK("https://klasma.github.io/Logging_1785/tillsynsmail/A 46893-2021 tillsynsbegäran mail.docx", "A 46893-2021")</f>
        <v/>
      </c>
    </row>
    <row r="366" ht="15" customHeight="1">
      <c r="A366" t="inlineStr">
        <is>
          <t>A 47134-2021</t>
        </is>
      </c>
      <c r="B366" s="1" t="n">
        <v>44446</v>
      </c>
      <c r="C366" s="1" t="n">
        <v>45507</v>
      </c>
      <c r="D366" t="inlineStr">
        <is>
          <t>VÄRMLANDS LÄN</t>
        </is>
      </c>
      <c r="E366" t="inlineStr">
        <is>
          <t>KARLSTAD</t>
        </is>
      </c>
      <c r="G366" t="n">
        <v>5</v>
      </c>
      <c r="H366" t="n">
        <v>1</v>
      </c>
      <c r="I366" t="n">
        <v>0</v>
      </c>
      <c r="J366" t="n">
        <v>0</v>
      </c>
      <c r="K366" t="n">
        <v>0</v>
      </c>
      <c r="L366" t="n">
        <v>0</v>
      </c>
      <c r="M366" t="n">
        <v>0</v>
      </c>
      <c r="N366" t="n">
        <v>0</v>
      </c>
      <c r="O366" t="n">
        <v>0</v>
      </c>
      <c r="P366" t="n">
        <v>0</v>
      </c>
      <c r="Q366" t="n">
        <v>1</v>
      </c>
      <c r="R366" s="2" t="inlineStr">
        <is>
          <t>Lopplummer</t>
        </is>
      </c>
      <c r="S366">
        <f>HYPERLINK("https://klasma.github.io/Logging_1780/artfynd/A 47134-2021 artfynd.xlsx", "A 47134-2021")</f>
        <v/>
      </c>
      <c r="T366">
        <f>HYPERLINK("https://klasma.github.io/Logging_1780/kartor/A 47134-2021 karta.png", "A 47134-2021")</f>
        <v/>
      </c>
      <c r="V366">
        <f>HYPERLINK("https://klasma.github.io/Logging_1780/klagomål/A 47134-2021 FSC-klagomål.docx", "A 47134-2021")</f>
        <v/>
      </c>
      <c r="W366">
        <f>HYPERLINK("https://klasma.github.io/Logging_1780/klagomålsmail/A 47134-2021 FSC-klagomål mail.docx", "A 47134-2021")</f>
        <v/>
      </c>
      <c r="X366">
        <f>HYPERLINK("https://klasma.github.io/Logging_1780/tillsyn/A 47134-2021 tillsynsbegäran.docx", "A 47134-2021")</f>
        <v/>
      </c>
      <c r="Y366">
        <f>HYPERLINK("https://klasma.github.io/Logging_1780/tillsynsmail/A 47134-2021 tillsynsbegäran mail.docx", "A 47134-2021")</f>
        <v/>
      </c>
    </row>
    <row r="367" ht="15" customHeight="1">
      <c r="A367" t="inlineStr">
        <is>
          <t>A 48327-2021</t>
        </is>
      </c>
      <c r="B367" s="1" t="n">
        <v>44450</v>
      </c>
      <c r="C367" s="1" t="n">
        <v>45507</v>
      </c>
      <c r="D367" t="inlineStr">
        <is>
          <t>VÄRMLANDS LÄN</t>
        </is>
      </c>
      <c r="E367" t="inlineStr">
        <is>
          <t>SÄFFLE</t>
        </is>
      </c>
      <c r="G367" t="n">
        <v>2.2</v>
      </c>
      <c r="H367" t="n">
        <v>0</v>
      </c>
      <c r="I367" t="n">
        <v>0</v>
      </c>
      <c r="J367" t="n">
        <v>1</v>
      </c>
      <c r="K367" t="n">
        <v>0</v>
      </c>
      <c r="L367" t="n">
        <v>0</v>
      </c>
      <c r="M367" t="n">
        <v>0</v>
      </c>
      <c r="N367" t="n">
        <v>0</v>
      </c>
      <c r="O367" t="n">
        <v>1</v>
      </c>
      <c r="P367" t="n">
        <v>0</v>
      </c>
      <c r="Q367" t="n">
        <v>1</v>
      </c>
      <c r="R367" s="2" t="inlineStr">
        <is>
          <t>Skogsklocka</t>
        </is>
      </c>
      <c r="S367">
        <f>HYPERLINK("https://klasma.github.io/Logging_1785/artfynd/A 48327-2021 artfynd.xlsx", "A 48327-2021")</f>
        <v/>
      </c>
      <c r="T367">
        <f>HYPERLINK("https://klasma.github.io/Logging_1785/kartor/A 48327-2021 karta.png", "A 48327-2021")</f>
        <v/>
      </c>
      <c r="V367">
        <f>HYPERLINK("https://klasma.github.io/Logging_1785/klagomål/A 48327-2021 FSC-klagomål.docx", "A 48327-2021")</f>
        <v/>
      </c>
      <c r="W367">
        <f>HYPERLINK("https://klasma.github.io/Logging_1785/klagomålsmail/A 48327-2021 FSC-klagomål mail.docx", "A 48327-2021")</f>
        <v/>
      </c>
      <c r="X367">
        <f>HYPERLINK("https://klasma.github.io/Logging_1785/tillsyn/A 48327-2021 tillsynsbegäran.docx", "A 48327-2021")</f>
        <v/>
      </c>
      <c r="Y367">
        <f>HYPERLINK("https://klasma.github.io/Logging_1785/tillsynsmail/A 48327-2021 tillsynsbegäran mail.docx", "A 48327-2021")</f>
        <v/>
      </c>
    </row>
    <row r="368" ht="15" customHeight="1">
      <c r="A368" t="inlineStr">
        <is>
          <t>A 48420-2021</t>
        </is>
      </c>
      <c r="B368" s="1" t="n">
        <v>44452</v>
      </c>
      <c r="C368" s="1" t="n">
        <v>45507</v>
      </c>
      <c r="D368" t="inlineStr">
        <is>
          <t>VÄRMLANDS LÄN</t>
        </is>
      </c>
      <c r="E368" t="inlineStr">
        <is>
          <t>EDA</t>
        </is>
      </c>
      <c r="G368" t="n">
        <v>21.7</v>
      </c>
      <c r="H368" t="n">
        <v>0</v>
      </c>
      <c r="I368" t="n">
        <v>1</v>
      </c>
      <c r="J368" t="n">
        <v>0</v>
      </c>
      <c r="K368" t="n">
        <v>0</v>
      </c>
      <c r="L368" t="n">
        <v>0</v>
      </c>
      <c r="M368" t="n">
        <v>0</v>
      </c>
      <c r="N368" t="n">
        <v>0</v>
      </c>
      <c r="O368" t="n">
        <v>0</v>
      </c>
      <c r="P368" t="n">
        <v>0</v>
      </c>
      <c r="Q368" t="n">
        <v>1</v>
      </c>
      <c r="R368" s="2" t="inlineStr">
        <is>
          <t>Dropptaggsvamp</t>
        </is>
      </c>
      <c r="S368">
        <f>HYPERLINK("https://klasma.github.io/Logging_1730/artfynd/A 48420-2021 artfynd.xlsx", "A 48420-2021")</f>
        <v/>
      </c>
      <c r="T368">
        <f>HYPERLINK("https://klasma.github.io/Logging_1730/kartor/A 48420-2021 karta.png", "A 48420-2021")</f>
        <v/>
      </c>
      <c r="V368">
        <f>HYPERLINK("https://klasma.github.io/Logging_1730/klagomål/A 48420-2021 FSC-klagomål.docx", "A 48420-2021")</f>
        <v/>
      </c>
      <c r="W368">
        <f>HYPERLINK("https://klasma.github.io/Logging_1730/klagomålsmail/A 48420-2021 FSC-klagomål mail.docx", "A 48420-2021")</f>
        <v/>
      </c>
      <c r="X368">
        <f>HYPERLINK("https://klasma.github.io/Logging_1730/tillsyn/A 48420-2021 tillsynsbegäran.docx", "A 48420-2021")</f>
        <v/>
      </c>
      <c r="Y368">
        <f>HYPERLINK("https://klasma.github.io/Logging_1730/tillsynsmail/A 48420-2021 tillsynsbegäran mail.docx", "A 48420-2021")</f>
        <v/>
      </c>
    </row>
    <row r="369" ht="15" customHeight="1">
      <c r="A369" t="inlineStr">
        <is>
          <t>A 49110-2021</t>
        </is>
      </c>
      <c r="B369" s="1" t="n">
        <v>44453</v>
      </c>
      <c r="C369" s="1" t="n">
        <v>45507</v>
      </c>
      <c r="D369" t="inlineStr">
        <is>
          <t>VÄRMLANDS LÄN</t>
        </is>
      </c>
      <c r="E369" t="inlineStr">
        <is>
          <t>TORSBY</t>
        </is>
      </c>
      <c r="G369" t="n">
        <v>33.8</v>
      </c>
      <c r="H369" t="n">
        <v>0</v>
      </c>
      <c r="I369" t="n">
        <v>1</v>
      </c>
      <c r="J369" t="n">
        <v>0</v>
      </c>
      <c r="K369" t="n">
        <v>0</v>
      </c>
      <c r="L369" t="n">
        <v>0</v>
      </c>
      <c r="M369" t="n">
        <v>0</v>
      </c>
      <c r="N369" t="n">
        <v>0</v>
      </c>
      <c r="O369" t="n">
        <v>0</v>
      </c>
      <c r="P369" t="n">
        <v>0</v>
      </c>
      <c r="Q369" t="n">
        <v>1</v>
      </c>
      <c r="R369" s="2" t="inlineStr">
        <is>
          <t>Vedticka</t>
        </is>
      </c>
      <c r="S369">
        <f>HYPERLINK("https://klasma.github.io/Logging_1737/artfynd/A 49110-2021 artfynd.xlsx", "A 49110-2021")</f>
        <v/>
      </c>
      <c r="T369">
        <f>HYPERLINK("https://klasma.github.io/Logging_1737/kartor/A 49110-2021 karta.png", "A 49110-2021")</f>
        <v/>
      </c>
      <c r="V369">
        <f>HYPERLINK("https://klasma.github.io/Logging_1737/klagomål/A 49110-2021 FSC-klagomål.docx", "A 49110-2021")</f>
        <v/>
      </c>
      <c r="W369">
        <f>HYPERLINK("https://klasma.github.io/Logging_1737/klagomålsmail/A 49110-2021 FSC-klagomål mail.docx", "A 49110-2021")</f>
        <v/>
      </c>
      <c r="X369">
        <f>HYPERLINK("https://klasma.github.io/Logging_1737/tillsyn/A 49110-2021 tillsynsbegäran.docx", "A 49110-2021")</f>
        <v/>
      </c>
      <c r="Y369">
        <f>HYPERLINK("https://klasma.github.io/Logging_1737/tillsynsmail/A 49110-2021 tillsynsbegäran mail.docx", "A 49110-2021")</f>
        <v/>
      </c>
    </row>
    <row r="370" ht="15" customHeight="1">
      <c r="A370" t="inlineStr">
        <is>
          <t>A 50825-2021</t>
        </is>
      </c>
      <c r="B370" s="1" t="n">
        <v>44460</v>
      </c>
      <c r="C370" s="1" t="n">
        <v>45507</v>
      </c>
      <c r="D370" t="inlineStr">
        <is>
          <t>VÄRMLANDS LÄN</t>
        </is>
      </c>
      <c r="E370" t="inlineStr">
        <is>
          <t>KARLSTAD</t>
        </is>
      </c>
      <c r="F370" t="inlineStr">
        <is>
          <t>Kommuner</t>
        </is>
      </c>
      <c r="G370" t="n">
        <v>0.7</v>
      </c>
      <c r="H370" t="n">
        <v>0</v>
      </c>
      <c r="I370" t="n">
        <v>0</v>
      </c>
      <c r="J370" t="n">
        <v>1</v>
      </c>
      <c r="K370" t="n">
        <v>0</v>
      </c>
      <c r="L370" t="n">
        <v>0</v>
      </c>
      <c r="M370" t="n">
        <v>0</v>
      </c>
      <c r="N370" t="n">
        <v>0</v>
      </c>
      <c r="O370" t="n">
        <v>1</v>
      </c>
      <c r="P370" t="n">
        <v>0</v>
      </c>
      <c r="Q370" t="n">
        <v>1</v>
      </c>
      <c r="R370" s="2" t="inlineStr">
        <is>
          <t>Garnlav</t>
        </is>
      </c>
      <c r="S370">
        <f>HYPERLINK("https://klasma.github.io/Logging_1780/artfynd/A 50825-2021 artfynd.xlsx", "A 50825-2021")</f>
        <v/>
      </c>
      <c r="T370">
        <f>HYPERLINK("https://klasma.github.io/Logging_1780/kartor/A 50825-2021 karta.png", "A 50825-2021")</f>
        <v/>
      </c>
      <c r="V370">
        <f>HYPERLINK("https://klasma.github.io/Logging_1780/klagomål/A 50825-2021 FSC-klagomål.docx", "A 50825-2021")</f>
        <v/>
      </c>
      <c r="W370">
        <f>HYPERLINK("https://klasma.github.io/Logging_1780/klagomålsmail/A 50825-2021 FSC-klagomål mail.docx", "A 50825-2021")</f>
        <v/>
      </c>
      <c r="X370">
        <f>HYPERLINK("https://klasma.github.io/Logging_1780/tillsyn/A 50825-2021 tillsynsbegäran.docx", "A 50825-2021")</f>
        <v/>
      </c>
      <c r="Y370">
        <f>HYPERLINK("https://klasma.github.io/Logging_1780/tillsynsmail/A 50825-2021 tillsynsbegäran mail.docx", "A 50825-2021")</f>
        <v/>
      </c>
    </row>
    <row r="371" ht="15" customHeight="1">
      <c r="A371" t="inlineStr">
        <is>
          <t>A 54982-2021</t>
        </is>
      </c>
      <c r="B371" s="1" t="n">
        <v>44469</v>
      </c>
      <c r="C371" s="1" t="n">
        <v>45507</v>
      </c>
      <c r="D371" t="inlineStr">
        <is>
          <t>VÄRMLANDS LÄN</t>
        </is>
      </c>
      <c r="E371" t="inlineStr">
        <is>
          <t>TORSBY</t>
        </is>
      </c>
      <c r="G371" t="n">
        <v>4.1</v>
      </c>
      <c r="H371" t="n">
        <v>0</v>
      </c>
      <c r="I371" t="n">
        <v>1</v>
      </c>
      <c r="J371" t="n">
        <v>0</v>
      </c>
      <c r="K371" t="n">
        <v>0</v>
      </c>
      <c r="L371" t="n">
        <v>0</v>
      </c>
      <c r="M371" t="n">
        <v>0</v>
      </c>
      <c r="N371" t="n">
        <v>0</v>
      </c>
      <c r="O371" t="n">
        <v>0</v>
      </c>
      <c r="P371" t="n">
        <v>0</v>
      </c>
      <c r="Q371" t="n">
        <v>1</v>
      </c>
      <c r="R371" s="2" t="inlineStr">
        <is>
          <t>Tibast</t>
        </is>
      </c>
      <c r="S371">
        <f>HYPERLINK("https://klasma.github.io/Logging_1737/artfynd/A 54982-2021 artfynd.xlsx", "A 54982-2021")</f>
        <v/>
      </c>
      <c r="T371">
        <f>HYPERLINK("https://klasma.github.io/Logging_1737/kartor/A 54982-2021 karta.png", "A 54982-2021")</f>
        <v/>
      </c>
      <c r="V371">
        <f>HYPERLINK("https://klasma.github.io/Logging_1737/klagomål/A 54982-2021 FSC-klagomål.docx", "A 54982-2021")</f>
        <v/>
      </c>
      <c r="W371">
        <f>HYPERLINK("https://klasma.github.io/Logging_1737/klagomålsmail/A 54982-2021 FSC-klagomål mail.docx", "A 54982-2021")</f>
        <v/>
      </c>
      <c r="X371">
        <f>HYPERLINK("https://klasma.github.io/Logging_1737/tillsyn/A 54982-2021 tillsynsbegäran.docx", "A 54982-2021")</f>
        <v/>
      </c>
      <c r="Y371">
        <f>HYPERLINK("https://klasma.github.io/Logging_1737/tillsynsmail/A 54982-2021 tillsynsbegäran mail.docx", "A 54982-2021")</f>
        <v/>
      </c>
    </row>
    <row r="372" ht="15" customHeight="1">
      <c r="A372" t="inlineStr">
        <is>
          <t>A 54042-2021</t>
        </is>
      </c>
      <c r="B372" s="1" t="n">
        <v>44470</v>
      </c>
      <c r="C372" s="1" t="n">
        <v>45507</v>
      </c>
      <c r="D372" t="inlineStr">
        <is>
          <t>VÄRMLANDS LÄN</t>
        </is>
      </c>
      <c r="E372" t="inlineStr">
        <is>
          <t>GRUMS</t>
        </is>
      </c>
      <c r="G372" t="n">
        <v>7.8</v>
      </c>
      <c r="H372" t="n">
        <v>1</v>
      </c>
      <c r="I372" t="n">
        <v>0</v>
      </c>
      <c r="J372" t="n">
        <v>1</v>
      </c>
      <c r="K372" t="n">
        <v>0</v>
      </c>
      <c r="L372" t="n">
        <v>0</v>
      </c>
      <c r="M372" t="n">
        <v>0</v>
      </c>
      <c r="N372" t="n">
        <v>0</v>
      </c>
      <c r="O372" t="n">
        <v>1</v>
      </c>
      <c r="P372" t="n">
        <v>0</v>
      </c>
      <c r="Q372" t="n">
        <v>1</v>
      </c>
      <c r="R372" s="2" t="inlineStr">
        <is>
          <t>Spillkråka</t>
        </is>
      </c>
      <c r="S372">
        <f>HYPERLINK("https://klasma.github.io/Logging_1764/artfynd/A 54042-2021 artfynd.xlsx", "A 54042-2021")</f>
        <v/>
      </c>
      <c r="T372">
        <f>HYPERLINK("https://klasma.github.io/Logging_1764/kartor/A 54042-2021 karta.png", "A 54042-2021")</f>
        <v/>
      </c>
      <c r="V372">
        <f>HYPERLINK("https://klasma.github.io/Logging_1764/klagomål/A 54042-2021 FSC-klagomål.docx", "A 54042-2021")</f>
        <v/>
      </c>
      <c r="W372">
        <f>HYPERLINK("https://klasma.github.io/Logging_1764/klagomålsmail/A 54042-2021 FSC-klagomål mail.docx", "A 54042-2021")</f>
        <v/>
      </c>
      <c r="X372">
        <f>HYPERLINK("https://klasma.github.io/Logging_1764/tillsyn/A 54042-2021 tillsynsbegäran.docx", "A 54042-2021")</f>
        <v/>
      </c>
      <c r="Y372">
        <f>HYPERLINK("https://klasma.github.io/Logging_1764/tillsynsmail/A 54042-2021 tillsynsbegäran mail.docx", "A 54042-2021")</f>
        <v/>
      </c>
      <c r="Z372">
        <f>HYPERLINK("https://klasma.github.io/Logging_1764/fåglar/A 54042-2021 prioriterade fågelarter.docx", "A 54042-2021")</f>
        <v/>
      </c>
    </row>
    <row r="373" ht="15" customHeight="1">
      <c r="A373" t="inlineStr">
        <is>
          <t>A 55264-2021</t>
        </is>
      </c>
      <c r="B373" s="1" t="n">
        <v>44475</v>
      </c>
      <c r="C373" s="1" t="n">
        <v>45507</v>
      </c>
      <c r="D373" t="inlineStr">
        <is>
          <t>VÄRMLANDS LÄN</t>
        </is>
      </c>
      <c r="E373" t="inlineStr">
        <is>
          <t>KARLSTAD</t>
        </is>
      </c>
      <c r="F373" t="inlineStr">
        <is>
          <t>Kommuner</t>
        </is>
      </c>
      <c r="G373" t="n">
        <v>4</v>
      </c>
      <c r="H373" t="n">
        <v>0</v>
      </c>
      <c r="I373" t="n">
        <v>1</v>
      </c>
      <c r="J373" t="n">
        <v>0</v>
      </c>
      <c r="K373" t="n">
        <v>0</v>
      </c>
      <c r="L373" t="n">
        <v>0</v>
      </c>
      <c r="M373" t="n">
        <v>0</v>
      </c>
      <c r="N373" t="n">
        <v>0</v>
      </c>
      <c r="O373" t="n">
        <v>0</v>
      </c>
      <c r="P373" t="n">
        <v>0</v>
      </c>
      <c r="Q373" t="n">
        <v>1</v>
      </c>
      <c r="R373" s="2" t="inlineStr">
        <is>
          <t>Vedticka</t>
        </is>
      </c>
      <c r="S373">
        <f>HYPERLINK("https://klasma.github.io/Logging_1780/artfynd/A 55264-2021 artfynd.xlsx", "A 55264-2021")</f>
        <v/>
      </c>
      <c r="T373">
        <f>HYPERLINK("https://klasma.github.io/Logging_1780/kartor/A 55264-2021 karta.png", "A 55264-2021")</f>
        <v/>
      </c>
      <c r="V373">
        <f>HYPERLINK("https://klasma.github.io/Logging_1780/klagomål/A 55264-2021 FSC-klagomål.docx", "A 55264-2021")</f>
        <v/>
      </c>
      <c r="W373">
        <f>HYPERLINK("https://klasma.github.io/Logging_1780/klagomålsmail/A 55264-2021 FSC-klagomål mail.docx", "A 55264-2021")</f>
        <v/>
      </c>
      <c r="X373">
        <f>HYPERLINK("https://klasma.github.io/Logging_1780/tillsyn/A 55264-2021 tillsynsbegäran.docx", "A 55264-2021")</f>
        <v/>
      </c>
      <c r="Y373">
        <f>HYPERLINK("https://klasma.github.io/Logging_1780/tillsynsmail/A 55264-2021 tillsynsbegäran mail.docx", "A 55264-2021")</f>
        <v/>
      </c>
    </row>
    <row r="374" ht="15" customHeight="1">
      <c r="A374" t="inlineStr">
        <is>
          <t>A 56872-2021</t>
        </is>
      </c>
      <c r="B374" s="1" t="n">
        <v>44481</v>
      </c>
      <c r="C374" s="1" t="n">
        <v>45507</v>
      </c>
      <c r="D374" t="inlineStr">
        <is>
          <t>VÄRMLANDS LÄN</t>
        </is>
      </c>
      <c r="E374" t="inlineStr">
        <is>
          <t>ARVIKA</t>
        </is>
      </c>
      <c r="G374" t="n">
        <v>1.4</v>
      </c>
      <c r="H374" t="n">
        <v>1</v>
      </c>
      <c r="I374" t="n">
        <v>0</v>
      </c>
      <c r="J374" t="n">
        <v>0</v>
      </c>
      <c r="K374" t="n">
        <v>1</v>
      </c>
      <c r="L374" t="n">
        <v>0</v>
      </c>
      <c r="M374" t="n">
        <v>0</v>
      </c>
      <c r="N374" t="n">
        <v>0</v>
      </c>
      <c r="O374" t="n">
        <v>1</v>
      </c>
      <c r="P374" t="n">
        <v>1</v>
      </c>
      <c r="Q374" t="n">
        <v>1</v>
      </c>
      <c r="R374" s="2" t="inlineStr">
        <is>
          <t>Knärot</t>
        </is>
      </c>
      <c r="S374">
        <f>HYPERLINK("https://klasma.github.io/Logging_1784/artfynd/A 56872-2021 artfynd.xlsx", "A 56872-2021")</f>
        <v/>
      </c>
      <c r="T374">
        <f>HYPERLINK("https://klasma.github.io/Logging_1784/kartor/A 56872-2021 karta.png", "A 56872-2021")</f>
        <v/>
      </c>
      <c r="U374">
        <f>HYPERLINK("https://klasma.github.io/Logging_1784/knärot/A 56872-2021 karta knärot.png", "A 56872-2021")</f>
        <v/>
      </c>
      <c r="V374">
        <f>HYPERLINK("https://klasma.github.io/Logging_1784/klagomål/A 56872-2021 FSC-klagomål.docx", "A 56872-2021")</f>
        <v/>
      </c>
      <c r="W374">
        <f>HYPERLINK("https://klasma.github.io/Logging_1784/klagomålsmail/A 56872-2021 FSC-klagomål mail.docx", "A 56872-2021")</f>
        <v/>
      </c>
      <c r="X374">
        <f>HYPERLINK("https://klasma.github.io/Logging_1784/tillsyn/A 56872-2021 tillsynsbegäran.docx", "A 56872-2021")</f>
        <v/>
      </c>
      <c r="Y374">
        <f>HYPERLINK("https://klasma.github.io/Logging_1784/tillsynsmail/A 56872-2021 tillsynsbegäran mail.docx", "A 56872-2021")</f>
        <v/>
      </c>
    </row>
    <row r="375" ht="15" customHeight="1">
      <c r="A375" t="inlineStr">
        <is>
          <t>A 58471-2021</t>
        </is>
      </c>
      <c r="B375" s="1" t="n">
        <v>44488</v>
      </c>
      <c r="C375" s="1" t="n">
        <v>45507</v>
      </c>
      <c r="D375" t="inlineStr">
        <is>
          <t>VÄRMLANDS LÄN</t>
        </is>
      </c>
      <c r="E375" t="inlineStr">
        <is>
          <t>TORSBY</t>
        </is>
      </c>
      <c r="G375" t="n">
        <v>2.5</v>
      </c>
      <c r="H375" t="n">
        <v>0</v>
      </c>
      <c r="I375" t="n">
        <v>1</v>
      </c>
      <c r="J375" t="n">
        <v>0</v>
      </c>
      <c r="K375" t="n">
        <v>0</v>
      </c>
      <c r="L375" t="n">
        <v>0</v>
      </c>
      <c r="M375" t="n">
        <v>0</v>
      </c>
      <c r="N375" t="n">
        <v>0</v>
      </c>
      <c r="O375" t="n">
        <v>0</v>
      </c>
      <c r="P375" t="n">
        <v>0</v>
      </c>
      <c r="Q375" t="n">
        <v>1</v>
      </c>
      <c r="R375" s="2" t="inlineStr">
        <is>
          <t>Korallblylav</t>
        </is>
      </c>
      <c r="S375">
        <f>HYPERLINK("https://klasma.github.io/Logging_1737/artfynd/A 58471-2021 artfynd.xlsx", "A 58471-2021")</f>
        <v/>
      </c>
      <c r="T375">
        <f>HYPERLINK("https://klasma.github.io/Logging_1737/kartor/A 58471-2021 karta.png", "A 58471-2021")</f>
        <v/>
      </c>
      <c r="V375">
        <f>HYPERLINK("https://klasma.github.io/Logging_1737/klagomål/A 58471-2021 FSC-klagomål.docx", "A 58471-2021")</f>
        <v/>
      </c>
      <c r="W375">
        <f>HYPERLINK("https://klasma.github.io/Logging_1737/klagomålsmail/A 58471-2021 FSC-klagomål mail.docx", "A 58471-2021")</f>
        <v/>
      </c>
      <c r="X375">
        <f>HYPERLINK("https://klasma.github.io/Logging_1737/tillsyn/A 58471-2021 tillsynsbegäran.docx", "A 58471-2021")</f>
        <v/>
      </c>
      <c r="Y375">
        <f>HYPERLINK("https://klasma.github.io/Logging_1737/tillsynsmail/A 58471-2021 tillsynsbegäran mail.docx", "A 58471-2021")</f>
        <v/>
      </c>
    </row>
    <row r="376" ht="15" customHeight="1">
      <c r="A376" t="inlineStr">
        <is>
          <t>A 61813-2021</t>
        </is>
      </c>
      <c r="B376" s="1" t="n">
        <v>44501</v>
      </c>
      <c r="C376" s="1" t="n">
        <v>45507</v>
      </c>
      <c r="D376" t="inlineStr">
        <is>
          <t>VÄRMLANDS LÄN</t>
        </is>
      </c>
      <c r="E376" t="inlineStr">
        <is>
          <t>TORSBY</t>
        </is>
      </c>
      <c r="G376" t="n">
        <v>4.9</v>
      </c>
      <c r="H376" t="n">
        <v>0</v>
      </c>
      <c r="I376" t="n">
        <v>0</v>
      </c>
      <c r="J376" t="n">
        <v>1</v>
      </c>
      <c r="K376" t="n">
        <v>0</v>
      </c>
      <c r="L376" t="n">
        <v>0</v>
      </c>
      <c r="M376" t="n">
        <v>0</v>
      </c>
      <c r="N376" t="n">
        <v>0</v>
      </c>
      <c r="O376" t="n">
        <v>1</v>
      </c>
      <c r="P376" t="n">
        <v>0</v>
      </c>
      <c r="Q376" t="n">
        <v>1</v>
      </c>
      <c r="R376" s="2" t="inlineStr">
        <is>
          <t>Tallticka</t>
        </is>
      </c>
      <c r="S376">
        <f>HYPERLINK("https://klasma.github.io/Logging_1737/artfynd/A 61813-2021 artfynd.xlsx", "A 61813-2021")</f>
        <v/>
      </c>
      <c r="T376">
        <f>HYPERLINK("https://klasma.github.io/Logging_1737/kartor/A 61813-2021 karta.png", "A 61813-2021")</f>
        <v/>
      </c>
      <c r="V376">
        <f>HYPERLINK("https://klasma.github.io/Logging_1737/klagomål/A 61813-2021 FSC-klagomål.docx", "A 61813-2021")</f>
        <v/>
      </c>
      <c r="W376">
        <f>HYPERLINK("https://klasma.github.io/Logging_1737/klagomålsmail/A 61813-2021 FSC-klagomål mail.docx", "A 61813-2021")</f>
        <v/>
      </c>
      <c r="X376">
        <f>HYPERLINK("https://klasma.github.io/Logging_1737/tillsyn/A 61813-2021 tillsynsbegäran.docx", "A 61813-2021")</f>
        <v/>
      </c>
      <c r="Y376">
        <f>HYPERLINK("https://klasma.github.io/Logging_1737/tillsynsmail/A 61813-2021 tillsynsbegäran mail.docx", "A 61813-2021")</f>
        <v/>
      </c>
    </row>
    <row r="377" ht="15" customHeight="1">
      <c r="A377" t="inlineStr">
        <is>
          <t>A 62572-2021</t>
        </is>
      </c>
      <c r="B377" s="1" t="n">
        <v>44503</v>
      </c>
      <c r="C377" s="1" t="n">
        <v>45507</v>
      </c>
      <c r="D377" t="inlineStr">
        <is>
          <t>VÄRMLANDS LÄN</t>
        </is>
      </c>
      <c r="E377" t="inlineStr">
        <is>
          <t>FILIPSTAD</t>
        </is>
      </c>
      <c r="F377" t="inlineStr">
        <is>
          <t>Bergvik skog väst AB</t>
        </is>
      </c>
      <c r="G377" t="n">
        <v>46.9</v>
      </c>
      <c r="H377" t="n">
        <v>0</v>
      </c>
      <c r="I377" t="n">
        <v>0</v>
      </c>
      <c r="J377" t="n">
        <v>1</v>
      </c>
      <c r="K377" t="n">
        <v>0</v>
      </c>
      <c r="L377" t="n">
        <v>0</v>
      </c>
      <c r="M377" t="n">
        <v>0</v>
      </c>
      <c r="N377" t="n">
        <v>0</v>
      </c>
      <c r="O377" t="n">
        <v>1</v>
      </c>
      <c r="P377" t="n">
        <v>0</v>
      </c>
      <c r="Q377" t="n">
        <v>1</v>
      </c>
      <c r="R377" s="2" t="inlineStr">
        <is>
          <t>Garnlav</t>
        </is>
      </c>
      <c r="S377">
        <f>HYPERLINK("https://klasma.github.io/Logging_1782/artfynd/A 62572-2021 artfynd.xlsx", "A 62572-2021")</f>
        <v/>
      </c>
      <c r="T377">
        <f>HYPERLINK("https://klasma.github.io/Logging_1782/kartor/A 62572-2021 karta.png", "A 62572-2021")</f>
        <v/>
      </c>
      <c r="V377">
        <f>HYPERLINK("https://klasma.github.io/Logging_1782/klagomål/A 62572-2021 FSC-klagomål.docx", "A 62572-2021")</f>
        <v/>
      </c>
      <c r="W377">
        <f>HYPERLINK("https://klasma.github.io/Logging_1782/klagomålsmail/A 62572-2021 FSC-klagomål mail.docx", "A 62572-2021")</f>
        <v/>
      </c>
      <c r="X377">
        <f>HYPERLINK("https://klasma.github.io/Logging_1782/tillsyn/A 62572-2021 tillsynsbegäran.docx", "A 62572-2021")</f>
        <v/>
      </c>
      <c r="Y377">
        <f>HYPERLINK("https://klasma.github.io/Logging_1782/tillsynsmail/A 62572-2021 tillsynsbegäran mail.docx", "A 62572-2021")</f>
        <v/>
      </c>
    </row>
    <row r="378" ht="15" customHeight="1">
      <c r="A378" t="inlineStr">
        <is>
          <t>A 62619-2021</t>
        </is>
      </c>
      <c r="B378" s="1" t="n">
        <v>44503</v>
      </c>
      <c r="C378" s="1" t="n">
        <v>45507</v>
      </c>
      <c r="D378" t="inlineStr">
        <is>
          <t>VÄRMLANDS LÄN</t>
        </is>
      </c>
      <c r="E378" t="inlineStr">
        <is>
          <t>ARVIKA</t>
        </is>
      </c>
      <c r="G378" t="n">
        <v>6.5</v>
      </c>
      <c r="H378" t="n">
        <v>1</v>
      </c>
      <c r="I378" t="n">
        <v>0</v>
      </c>
      <c r="J378" t="n">
        <v>1</v>
      </c>
      <c r="K378" t="n">
        <v>0</v>
      </c>
      <c r="L378" t="n">
        <v>0</v>
      </c>
      <c r="M378" t="n">
        <v>0</v>
      </c>
      <c r="N378" t="n">
        <v>0</v>
      </c>
      <c r="O378" t="n">
        <v>1</v>
      </c>
      <c r="P378" t="n">
        <v>0</v>
      </c>
      <c r="Q378" t="n">
        <v>1</v>
      </c>
      <c r="R378" s="2" t="inlineStr">
        <is>
          <t>Smålom</t>
        </is>
      </c>
      <c r="S378">
        <f>HYPERLINK("https://klasma.github.io/Logging_1784/artfynd/A 62619-2021 artfynd.xlsx", "A 62619-2021")</f>
        <v/>
      </c>
      <c r="T378">
        <f>HYPERLINK("https://klasma.github.io/Logging_1784/kartor/A 62619-2021 karta.png", "A 62619-2021")</f>
        <v/>
      </c>
      <c r="V378">
        <f>HYPERLINK("https://klasma.github.io/Logging_1784/klagomål/A 62619-2021 FSC-klagomål.docx", "A 62619-2021")</f>
        <v/>
      </c>
      <c r="W378">
        <f>HYPERLINK("https://klasma.github.io/Logging_1784/klagomålsmail/A 62619-2021 FSC-klagomål mail.docx", "A 62619-2021")</f>
        <v/>
      </c>
      <c r="X378">
        <f>HYPERLINK("https://klasma.github.io/Logging_1784/tillsyn/A 62619-2021 tillsynsbegäran.docx", "A 62619-2021")</f>
        <v/>
      </c>
      <c r="Y378">
        <f>HYPERLINK("https://klasma.github.io/Logging_1784/tillsynsmail/A 62619-2021 tillsynsbegäran mail.docx", "A 62619-2021")</f>
        <v/>
      </c>
      <c r="Z378">
        <f>HYPERLINK("https://klasma.github.io/Logging_1784/fåglar/A 62619-2021 prioriterade fågelarter.docx", "A 62619-2021")</f>
        <v/>
      </c>
    </row>
    <row r="379" ht="15" customHeight="1">
      <c r="A379" t="inlineStr">
        <is>
          <t>A 64504-2021</t>
        </is>
      </c>
      <c r="B379" s="1" t="n">
        <v>44511</v>
      </c>
      <c r="C379" s="1" t="n">
        <v>45507</v>
      </c>
      <c r="D379" t="inlineStr">
        <is>
          <t>VÄRMLANDS LÄN</t>
        </is>
      </c>
      <c r="E379" t="inlineStr">
        <is>
          <t>KIL</t>
        </is>
      </c>
      <c r="G379" t="n">
        <v>3.2</v>
      </c>
      <c r="H379" t="n">
        <v>1</v>
      </c>
      <c r="I379" t="n">
        <v>0</v>
      </c>
      <c r="J379" t="n">
        <v>0</v>
      </c>
      <c r="K379" t="n">
        <v>1</v>
      </c>
      <c r="L379" t="n">
        <v>0</v>
      </c>
      <c r="M379" t="n">
        <v>0</v>
      </c>
      <c r="N379" t="n">
        <v>0</v>
      </c>
      <c r="O379" t="n">
        <v>1</v>
      </c>
      <c r="P379" t="n">
        <v>1</v>
      </c>
      <c r="Q379" t="n">
        <v>1</v>
      </c>
      <c r="R379" s="2" t="inlineStr">
        <is>
          <t>Knärot</t>
        </is>
      </c>
      <c r="S379">
        <f>HYPERLINK("https://klasma.github.io/Logging_1715/artfynd/A 64504-2021 artfynd.xlsx", "A 64504-2021")</f>
        <v/>
      </c>
      <c r="T379">
        <f>HYPERLINK("https://klasma.github.io/Logging_1715/kartor/A 64504-2021 karta.png", "A 64504-2021")</f>
        <v/>
      </c>
      <c r="U379">
        <f>HYPERLINK("https://klasma.github.io/Logging_1715/knärot/A 64504-2021 karta knärot.png", "A 64504-2021")</f>
        <v/>
      </c>
      <c r="V379">
        <f>HYPERLINK("https://klasma.github.io/Logging_1715/klagomål/A 64504-2021 FSC-klagomål.docx", "A 64504-2021")</f>
        <v/>
      </c>
      <c r="W379">
        <f>HYPERLINK("https://klasma.github.io/Logging_1715/klagomålsmail/A 64504-2021 FSC-klagomål mail.docx", "A 64504-2021")</f>
        <v/>
      </c>
      <c r="X379">
        <f>HYPERLINK("https://klasma.github.io/Logging_1715/tillsyn/A 64504-2021 tillsynsbegäran.docx", "A 64504-2021")</f>
        <v/>
      </c>
      <c r="Y379">
        <f>HYPERLINK("https://klasma.github.io/Logging_1715/tillsynsmail/A 64504-2021 tillsynsbegäran mail.docx", "A 64504-2021")</f>
        <v/>
      </c>
    </row>
    <row r="380" ht="15" customHeight="1">
      <c r="A380" t="inlineStr">
        <is>
          <t>A 65767-2021</t>
        </is>
      </c>
      <c r="B380" s="1" t="n">
        <v>44516</v>
      </c>
      <c r="C380" s="1" t="n">
        <v>45507</v>
      </c>
      <c r="D380" t="inlineStr">
        <is>
          <t>VÄRMLANDS LÄN</t>
        </is>
      </c>
      <c r="E380" t="inlineStr">
        <is>
          <t>TORSBY</t>
        </is>
      </c>
      <c r="G380" t="n">
        <v>7.5</v>
      </c>
      <c r="H380" t="n">
        <v>0</v>
      </c>
      <c r="I380" t="n">
        <v>1</v>
      </c>
      <c r="J380" t="n">
        <v>0</v>
      </c>
      <c r="K380" t="n">
        <v>0</v>
      </c>
      <c r="L380" t="n">
        <v>0</v>
      </c>
      <c r="M380" t="n">
        <v>0</v>
      </c>
      <c r="N380" t="n">
        <v>0</v>
      </c>
      <c r="O380" t="n">
        <v>0</v>
      </c>
      <c r="P380" t="n">
        <v>0</v>
      </c>
      <c r="Q380" t="n">
        <v>1</v>
      </c>
      <c r="R380" s="2" t="inlineStr">
        <is>
          <t>Mörk husmossa</t>
        </is>
      </c>
      <c r="S380">
        <f>HYPERLINK("https://klasma.github.io/Logging_1737/artfynd/A 65767-2021 artfynd.xlsx", "A 65767-2021")</f>
        <v/>
      </c>
      <c r="T380">
        <f>HYPERLINK("https://klasma.github.io/Logging_1737/kartor/A 65767-2021 karta.png", "A 65767-2021")</f>
        <v/>
      </c>
      <c r="V380">
        <f>HYPERLINK("https://klasma.github.io/Logging_1737/klagomål/A 65767-2021 FSC-klagomål.docx", "A 65767-2021")</f>
        <v/>
      </c>
      <c r="W380">
        <f>HYPERLINK("https://klasma.github.io/Logging_1737/klagomålsmail/A 65767-2021 FSC-klagomål mail.docx", "A 65767-2021")</f>
        <v/>
      </c>
      <c r="X380">
        <f>HYPERLINK("https://klasma.github.io/Logging_1737/tillsyn/A 65767-2021 tillsynsbegäran.docx", "A 65767-2021")</f>
        <v/>
      </c>
      <c r="Y380">
        <f>HYPERLINK("https://klasma.github.io/Logging_1737/tillsynsmail/A 65767-2021 tillsynsbegäran mail.docx", "A 65767-2021")</f>
        <v/>
      </c>
    </row>
    <row r="381" ht="15" customHeight="1">
      <c r="A381" t="inlineStr">
        <is>
          <t>A 65920-2021</t>
        </is>
      </c>
      <c r="B381" s="1" t="n">
        <v>44517</v>
      </c>
      <c r="C381" s="1" t="n">
        <v>45507</v>
      </c>
      <c r="D381" t="inlineStr">
        <is>
          <t>VÄRMLANDS LÄN</t>
        </is>
      </c>
      <c r="E381" t="inlineStr">
        <is>
          <t>STORFORS</t>
        </is>
      </c>
      <c r="F381" t="inlineStr">
        <is>
          <t>Kyrkan</t>
        </is>
      </c>
      <c r="G381" t="n">
        <v>7</v>
      </c>
      <c r="H381" t="n">
        <v>0</v>
      </c>
      <c r="I381" t="n">
        <v>0</v>
      </c>
      <c r="J381" t="n">
        <v>1</v>
      </c>
      <c r="K381" t="n">
        <v>0</v>
      </c>
      <c r="L381" t="n">
        <v>0</v>
      </c>
      <c r="M381" t="n">
        <v>0</v>
      </c>
      <c r="N381" t="n">
        <v>0</v>
      </c>
      <c r="O381" t="n">
        <v>1</v>
      </c>
      <c r="P381" t="n">
        <v>0</v>
      </c>
      <c r="Q381" t="n">
        <v>1</v>
      </c>
      <c r="R381" s="2" t="inlineStr">
        <is>
          <t>Skogsklocka</t>
        </is>
      </c>
      <c r="S381">
        <f>HYPERLINK("https://klasma.github.io/Logging_1760/artfynd/A 65920-2021 artfynd.xlsx", "A 65920-2021")</f>
        <v/>
      </c>
      <c r="T381">
        <f>HYPERLINK("https://klasma.github.io/Logging_1760/kartor/A 65920-2021 karta.png", "A 65920-2021")</f>
        <v/>
      </c>
      <c r="V381">
        <f>HYPERLINK("https://klasma.github.io/Logging_1760/klagomål/A 65920-2021 FSC-klagomål.docx", "A 65920-2021")</f>
        <v/>
      </c>
      <c r="W381">
        <f>HYPERLINK("https://klasma.github.io/Logging_1760/klagomålsmail/A 65920-2021 FSC-klagomål mail.docx", "A 65920-2021")</f>
        <v/>
      </c>
      <c r="X381">
        <f>HYPERLINK("https://klasma.github.io/Logging_1760/tillsyn/A 65920-2021 tillsynsbegäran.docx", "A 65920-2021")</f>
        <v/>
      </c>
      <c r="Y381">
        <f>HYPERLINK("https://klasma.github.io/Logging_1760/tillsynsmail/A 65920-2021 tillsynsbegäran mail.docx", "A 65920-2021")</f>
        <v/>
      </c>
    </row>
    <row r="382" ht="15" customHeight="1">
      <c r="A382" t="inlineStr">
        <is>
          <t>A 66274-2021</t>
        </is>
      </c>
      <c r="B382" s="1" t="n">
        <v>44518</v>
      </c>
      <c r="C382" s="1" t="n">
        <v>45507</v>
      </c>
      <c r="D382" t="inlineStr">
        <is>
          <t>VÄRMLANDS LÄN</t>
        </is>
      </c>
      <c r="E382" t="inlineStr">
        <is>
          <t>KARLSTAD</t>
        </is>
      </c>
      <c r="G382" t="n">
        <v>2.5</v>
      </c>
      <c r="H382" t="n">
        <v>1</v>
      </c>
      <c r="I382" t="n">
        <v>0</v>
      </c>
      <c r="J382" t="n">
        <v>0</v>
      </c>
      <c r="K382" t="n">
        <v>0</v>
      </c>
      <c r="L382" t="n">
        <v>0</v>
      </c>
      <c r="M382" t="n">
        <v>0</v>
      </c>
      <c r="N382" t="n">
        <v>0</v>
      </c>
      <c r="O382" t="n">
        <v>0</v>
      </c>
      <c r="P382" t="n">
        <v>0</v>
      </c>
      <c r="Q382" t="n">
        <v>1</v>
      </c>
      <c r="R382" s="2" t="inlineStr">
        <is>
          <t>Nattviol</t>
        </is>
      </c>
      <c r="S382">
        <f>HYPERLINK("https://klasma.github.io/Logging_1780/artfynd/A 66274-2021 artfynd.xlsx", "A 66274-2021")</f>
        <v/>
      </c>
      <c r="T382">
        <f>HYPERLINK("https://klasma.github.io/Logging_1780/kartor/A 66274-2021 karta.png", "A 66274-2021")</f>
        <v/>
      </c>
      <c r="V382">
        <f>HYPERLINK("https://klasma.github.io/Logging_1780/klagomål/A 66274-2021 FSC-klagomål.docx", "A 66274-2021")</f>
        <v/>
      </c>
      <c r="W382">
        <f>HYPERLINK("https://klasma.github.io/Logging_1780/klagomålsmail/A 66274-2021 FSC-klagomål mail.docx", "A 66274-2021")</f>
        <v/>
      </c>
      <c r="X382">
        <f>HYPERLINK("https://klasma.github.io/Logging_1780/tillsyn/A 66274-2021 tillsynsbegäran.docx", "A 66274-2021")</f>
        <v/>
      </c>
      <c r="Y382">
        <f>HYPERLINK("https://klasma.github.io/Logging_1780/tillsynsmail/A 66274-2021 tillsynsbegäran mail.docx", "A 66274-2021")</f>
        <v/>
      </c>
    </row>
    <row r="383" ht="15" customHeight="1">
      <c r="A383" t="inlineStr">
        <is>
          <t>A 69709-2021</t>
        </is>
      </c>
      <c r="B383" s="1" t="n">
        <v>44532</v>
      </c>
      <c r="C383" s="1" t="n">
        <v>45507</v>
      </c>
      <c r="D383" t="inlineStr">
        <is>
          <t>VÄRMLANDS LÄN</t>
        </is>
      </c>
      <c r="E383" t="inlineStr">
        <is>
          <t>HAGFORS</t>
        </is>
      </c>
      <c r="F383" t="inlineStr">
        <is>
          <t>Bergvik skog väst AB</t>
        </is>
      </c>
      <c r="G383" t="n">
        <v>8.9</v>
      </c>
      <c r="H383" t="n">
        <v>0</v>
      </c>
      <c r="I383" t="n">
        <v>0</v>
      </c>
      <c r="J383" t="n">
        <v>1</v>
      </c>
      <c r="K383" t="n">
        <v>0</v>
      </c>
      <c r="L383" t="n">
        <v>0</v>
      </c>
      <c r="M383" t="n">
        <v>0</v>
      </c>
      <c r="N383" t="n">
        <v>0</v>
      </c>
      <c r="O383" t="n">
        <v>1</v>
      </c>
      <c r="P383" t="n">
        <v>0</v>
      </c>
      <c r="Q383" t="n">
        <v>1</v>
      </c>
      <c r="R383" s="2" t="inlineStr">
        <is>
          <t>Svartvit taggsvamp</t>
        </is>
      </c>
      <c r="S383">
        <f>HYPERLINK("https://klasma.github.io/Logging_1783/artfynd/A 69709-2021 artfynd.xlsx", "A 69709-2021")</f>
        <v/>
      </c>
      <c r="T383">
        <f>HYPERLINK("https://klasma.github.io/Logging_1783/kartor/A 69709-2021 karta.png", "A 69709-2021")</f>
        <v/>
      </c>
      <c r="V383">
        <f>HYPERLINK("https://klasma.github.io/Logging_1783/klagomål/A 69709-2021 FSC-klagomål.docx", "A 69709-2021")</f>
        <v/>
      </c>
      <c r="W383">
        <f>HYPERLINK("https://klasma.github.io/Logging_1783/klagomålsmail/A 69709-2021 FSC-klagomål mail.docx", "A 69709-2021")</f>
        <v/>
      </c>
      <c r="X383">
        <f>HYPERLINK("https://klasma.github.io/Logging_1783/tillsyn/A 69709-2021 tillsynsbegäran.docx", "A 69709-2021")</f>
        <v/>
      </c>
      <c r="Y383">
        <f>HYPERLINK("https://klasma.github.io/Logging_1783/tillsynsmail/A 69709-2021 tillsynsbegäran mail.docx", "A 69709-2021")</f>
        <v/>
      </c>
    </row>
    <row r="384" ht="15" customHeight="1">
      <c r="A384" t="inlineStr">
        <is>
          <t>A 71594-2021</t>
        </is>
      </c>
      <c r="B384" s="1" t="n">
        <v>44541</v>
      </c>
      <c r="C384" s="1" t="n">
        <v>45507</v>
      </c>
      <c r="D384" t="inlineStr">
        <is>
          <t>VÄRMLANDS LÄN</t>
        </is>
      </c>
      <c r="E384" t="inlineStr">
        <is>
          <t>TORSBY</t>
        </is>
      </c>
      <c r="G384" t="n">
        <v>13.1</v>
      </c>
      <c r="H384" t="n">
        <v>0</v>
      </c>
      <c r="I384" t="n">
        <v>0</v>
      </c>
      <c r="J384" t="n">
        <v>1</v>
      </c>
      <c r="K384" t="n">
        <v>0</v>
      </c>
      <c r="L384" t="n">
        <v>0</v>
      </c>
      <c r="M384" t="n">
        <v>0</v>
      </c>
      <c r="N384" t="n">
        <v>0</v>
      </c>
      <c r="O384" t="n">
        <v>1</v>
      </c>
      <c r="P384" t="n">
        <v>0</v>
      </c>
      <c r="Q384" t="n">
        <v>1</v>
      </c>
      <c r="R384" s="2" t="inlineStr">
        <is>
          <t>Garnlav</t>
        </is>
      </c>
      <c r="S384">
        <f>HYPERLINK("https://klasma.github.io/Logging_1737/artfynd/A 71594-2021 artfynd.xlsx", "A 71594-2021")</f>
        <v/>
      </c>
      <c r="T384">
        <f>HYPERLINK("https://klasma.github.io/Logging_1737/kartor/A 71594-2021 karta.png", "A 71594-2021")</f>
        <v/>
      </c>
      <c r="V384">
        <f>HYPERLINK("https://klasma.github.io/Logging_1737/klagomål/A 71594-2021 FSC-klagomål.docx", "A 71594-2021")</f>
        <v/>
      </c>
      <c r="W384">
        <f>HYPERLINK("https://klasma.github.io/Logging_1737/klagomålsmail/A 71594-2021 FSC-klagomål mail.docx", "A 71594-2021")</f>
        <v/>
      </c>
      <c r="X384">
        <f>HYPERLINK("https://klasma.github.io/Logging_1737/tillsyn/A 71594-2021 tillsynsbegäran.docx", "A 71594-2021")</f>
        <v/>
      </c>
      <c r="Y384">
        <f>HYPERLINK("https://klasma.github.io/Logging_1737/tillsynsmail/A 71594-2021 tillsynsbegäran mail.docx", "A 71594-2021")</f>
        <v/>
      </c>
    </row>
    <row r="385" ht="15" customHeight="1">
      <c r="A385" t="inlineStr">
        <is>
          <t>A 72045-2021</t>
        </is>
      </c>
      <c r="B385" s="1" t="n">
        <v>44544</v>
      </c>
      <c r="C385" s="1" t="n">
        <v>45507</v>
      </c>
      <c r="D385" t="inlineStr">
        <is>
          <t>VÄRMLANDS LÄN</t>
        </is>
      </c>
      <c r="E385" t="inlineStr">
        <is>
          <t>KARLSTAD</t>
        </is>
      </c>
      <c r="F385" t="inlineStr">
        <is>
          <t>Kommuner</t>
        </is>
      </c>
      <c r="G385" t="n">
        <v>9.6</v>
      </c>
      <c r="H385" t="n">
        <v>1</v>
      </c>
      <c r="I385" t="n">
        <v>0</v>
      </c>
      <c r="J385" t="n">
        <v>0</v>
      </c>
      <c r="K385" t="n">
        <v>0</v>
      </c>
      <c r="L385" t="n">
        <v>0</v>
      </c>
      <c r="M385" t="n">
        <v>0</v>
      </c>
      <c r="N385" t="n">
        <v>0</v>
      </c>
      <c r="O385" t="n">
        <v>0</v>
      </c>
      <c r="P385" t="n">
        <v>0</v>
      </c>
      <c r="Q385" t="n">
        <v>1</v>
      </c>
      <c r="R385" s="2" t="inlineStr">
        <is>
          <t>Åkergroda</t>
        </is>
      </c>
      <c r="S385">
        <f>HYPERLINK("https://klasma.github.io/Logging_1780/artfynd/A 72045-2021 artfynd.xlsx", "A 72045-2021")</f>
        <v/>
      </c>
      <c r="T385">
        <f>HYPERLINK("https://klasma.github.io/Logging_1780/kartor/A 72045-2021 karta.png", "A 72045-2021")</f>
        <v/>
      </c>
      <c r="V385">
        <f>HYPERLINK("https://klasma.github.io/Logging_1780/klagomål/A 72045-2021 FSC-klagomål.docx", "A 72045-2021")</f>
        <v/>
      </c>
      <c r="W385">
        <f>HYPERLINK("https://klasma.github.io/Logging_1780/klagomålsmail/A 72045-2021 FSC-klagomål mail.docx", "A 72045-2021")</f>
        <v/>
      </c>
      <c r="X385">
        <f>HYPERLINK("https://klasma.github.io/Logging_1780/tillsyn/A 72045-2021 tillsynsbegäran.docx", "A 72045-2021")</f>
        <v/>
      </c>
      <c r="Y385">
        <f>HYPERLINK("https://klasma.github.io/Logging_1780/tillsynsmail/A 72045-2021 tillsynsbegäran mail.docx", "A 72045-2021")</f>
        <v/>
      </c>
    </row>
    <row r="386" ht="15" customHeight="1">
      <c r="A386" t="inlineStr">
        <is>
          <t>A 72222-2021</t>
        </is>
      </c>
      <c r="B386" s="1" t="n">
        <v>44544</v>
      </c>
      <c r="C386" s="1" t="n">
        <v>45507</v>
      </c>
      <c r="D386" t="inlineStr">
        <is>
          <t>VÄRMLANDS LÄN</t>
        </is>
      </c>
      <c r="E386" t="inlineStr">
        <is>
          <t>ARVIKA</t>
        </is>
      </c>
      <c r="G386" t="n">
        <v>2.1</v>
      </c>
      <c r="H386" t="n">
        <v>1</v>
      </c>
      <c r="I386" t="n">
        <v>0</v>
      </c>
      <c r="J386" t="n">
        <v>0</v>
      </c>
      <c r="K386" t="n">
        <v>1</v>
      </c>
      <c r="L386" t="n">
        <v>0</v>
      </c>
      <c r="M386" t="n">
        <v>0</v>
      </c>
      <c r="N386" t="n">
        <v>0</v>
      </c>
      <c r="O386" t="n">
        <v>1</v>
      </c>
      <c r="P386" t="n">
        <v>1</v>
      </c>
      <c r="Q386" t="n">
        <v>1</v>
      </c>
      <c r="R386" s="2" t="inlineStr">
        <is>
          <t>Knärot</t>
        </is>
      </c>
      <c r="S386">
        <f>HYPERLINK("https://klasma.github.io/Logging_1784/artfynd/A 72222-2021 artfynd.xlsx", "A 72222-2021")</f>
        <v/>
      </c>
      <c r="T386">
        <f>HYPERLINK("https://klasma.github.io/Logging_1784/kartor/A 72222-2021 karta.png", "A 72222-2021")</f>
        <v/>
      </c>
      <c r="U386">
        <f>HYPERLINK("https://klasma.github.io/Logging_1784/knärot/A 72222-2021 karta knärot.png", "A 72222-2021")</f>
        <v/>
      </c>
      <c r="V386">
        <f>HYPERLINK("https://klasma.github.io/Logging_1784/klagomål/A 72222-2021 FSC-klagomål.docx", "A 72222-2021")</f>
        <v/>
      </c>
      <c r="W386">
        <f>HYPERLINK("https://klasma.github.io/Logging_1784/klagomålsmail/A 72222-2021 FSC-klagomål mail.docx", "A 72222-2021")</f>
        <v/>
      </c>
      <c r="X386">
        <f>HYPERLINK("https://klasma.github.io/Logging_1784/tillsyn/A 72222-2021 tillsynsbegäran.docx", "A 72222-2021")</f>
        <v/>
      </c>
      <c r="Y386">
        <f>HYPERLINK("https://klasma.github.io/Logging_1784/tillsynsmail/A 72222-2021 tillsynsbegäran mail.docx", "A 72222-2021")</f>
        <v/>
      </c>
    </row>
    <row r="387" ht="15" customHeight="1">
      <c r="A387" t="inlineStr">
        <is>
          <t>A 72829-2021</t>
        </is>
      </c>
      <c r="B387" s="1" t="n">
        <v>44547</v>
      </c>
      <c r="C387" s="1" t="n">
        <v>45507</v>
      </c>
      <c r="D387" t="inlineStr">
        <is>
          <t>VÄRMLANDS LÄN</t>
        </is>
      </c>
      <c r="E387" t="inlineStr">
        <is>
          <t>ARVIKA</t>
        </is>
      </c>
      <c r="G387" t="n">
        <v>5.9</v>
      </c>
      <c r="H387" t="n">
        <v>1</v>
      </c>
      <c r="I387" t="n">
        <v>0</v>
      </c>
      <c r="J387" t="n">
        <v>0</v>
      </c>
      <c r="K387" t="n">
        <v>1</v>
      </c>
      <c r="L387" t="n">
        <v>0</v>
      </c>
      <c r="M387" t="n">
        <v>0</v>
      </c>
      <c r="N387" t="n">
        <v>0</v>
      </c>
      <c r="O387" t="n">
        <v>1</v>
      </c>
      <c r="P387" t="n">
        <v>1</v>
      </c>
      <c r="Q387" t="n">
        <v>1</v>
      </c>
      <c r="R387" s="2" t="inlineStr">
        <is>
          <t>Knärot</t>
        </is>
      </c>
      <c r="S387">
        <f>HYPERLINK("https://klasma.github.io/Logging_1784/artfynd/A 72829-2021 artfynd.xlsx", "A 72829-2021")</f>
        <v/>
      </c>
      <c r="T387">
        <f>HYPERLINK("https://klasma.github.io/Logging_1784/kartor/A 72829-2021 karta.png", "A 72829-2021")</f>
        <v/>
      </c>
      <c r="U387">
        <f>HYPERLINK("https://klasma.github.io/Logging_1784/knärot/A 72829-2021 karta knärot.png", "A 72829-2021")</f>
        <v/>
      </c>
      <c r="V387">
        <f>HYPERLINK("https://klasma.github.io/Logging_1784/klagomål/A 72829-2021 FSC-klagomål.docx", "A 72829-2021")</f>
        <v/>
      </c>
      <c r="W387">
        <f>HYPERLINK("https://klasma.github.io/Logging_1784/klagomålsmail/A 72829-2021 FSC-klagomål mail.docx", "A 72829-2021")</f>
        <v/>
      </c>
      <c r="X387">
        <f>HYPERLINK("https://klasma.github.io/Logging_1784/tillsyn/A 72829-2021 tillsynsbegäran.docx", "A 72829-2021")</f>
        <v/>
      </c>
      <c r="Y387">
        <f>HYPERLINK("https://klasma.github.io/Logging_1784/tillsynsmail/A 72829-2021 tillsynsbegäran mail.docx", "A 72829-2021")</f>
        <v/>
      </c>
    </row>
    <row r="388" ht="15" customHeight="1">
      <c r="A388" t="inlineStr">
        <is>
          <t>A 73999-2021</t>
        </is>
      </c>
      <c r="B388" s="1" t="n">
        <v>44557</v>
      </c>
      <c r="C388" s="1" t="n">
        <v>45507</v>
      </c>
      <c r="D388" t="inlineStr">
        <is>
          <t>VÄRMLANDS LÄN</t>
        </is>
      </c>
      <c r="E388" t="inlineStr">
        <is>
          <t>ARVIKA</t>
        </is>
      </c>
      <c r="G388" t="n">
        <v>2.2</v>
      </c>
      <c r="H388" t="n">
        <v>1</v>
      </c>
      <c r="I388" t="n">
        <v>0</v>
      </c>
      <c r="J388" t="n">
        <v>0</v>
      </c>
      <c r="K388" t="n">
        <v>1</v>
      </c>
      <c r="L388" t="n">
        <v>0</v>
      </c>
      <c r="M388" t="n">
        <v>0</v>
      </c>
      <c r="N388" t="n">
        <v>0</v>
      </c>
      <c r="O388" t="n">
        <v>1</v>
      </c>
      <c r="P388" t="n">
        <v>1</v>
      </c>
      <c r="Q388" t="n">
        <v>1</v>
      </c>
      <c r="R388" s="2" t="inlineStr">
        <is>
          <t>Knärot</t>
        </is>
      </c>
      <c r="S388">
        <f>HYPERLINK("https://klasma.github.io/Logging_1784/artfynd/A 73999-2021 artfynd.xlsx", "A 73999-2021")</f>
        <v/>
      </c>
      <c r="T388">
        <f>HYPERLINK("https://klasma.github.io/Logging_1784/kartor/A 73999-2021 karta.png", "A 73999-2021")</f>
        <v/>
      </c>
      <c r="U388">
        <f>HYPERLINK("https://klasma.github.io/Logging_1784/knärot/A 73999-2021 karta knärot.png", "A 73999-2021")</f>
        <v/>
      </c>
      <c r="V388">
        <f>HYPERLINK("https://klasma.github.io/Logging_1784/klagomål/A 73999-2021 FSC-klagomål.docx", "A 73999-2021")</f>
        <v/>
      </c>
      <c r="W388">
        <f>HYPERLINK("https://klasma.github.io/Logging_1784/klagomålsmail/A 73999-2021 FSC-klagomål mail.docx", "A 73999-2021")</f>
        <v/>
      </c>
      <c r="X388">
        <f>HYPERLINK("https://klasma.github.io/Logging_1784/tillsyn/A 73999-2021 tillsynsbegäran.docx", "A 73999-2021")</f>
        <v/>
      </c>
      <c r="Y388">
        <f>HYPERLINK("https://klasma.github.io/Logging_1784/tillsynsmail/A 73999-2021 tillsynsbegäran mail.docx", "A 73999-2021")</f>
        <v/>
      </c>
    </row>
    <row r="389" ht="15" customHeight="1">
      <c r="A389" t="inlineStr">
        <is>
          <t>A 1734-2022</t>
        </is>
      </c>
      <c r="B389" s="1" t="n">
        <v>44574</v>
      </c>
      <c r="C389" s="1" t="n">
        <v>45507</v>
      </c>
      <c r="D389" t="inlineStr">
        <is>
          <t>VÄRMLANDS LÄN</t>
        </is>
      </c>
      <c r="E389" t="inlineStr">
        <is>
          <t>KRISTINEHAMN</t>
        </is>
      </c>
      <c r="G389" t="n">
        <v>4</v>
      </c>
      <c r="H389" t="n">
        <v>1</v>
      </c>
      <c r="I389" t="n">
        <v>0</v>
      </c>
      <c r="J389" t="n">
        <v>0</v>
      </c>
      <c r="K389" t="n">
        <v>0</v>
      </c>
      <c r="L389" t="n">
        <v>0</v>
      </c>
      <c r="M389" t="n">
        <v>0</v>
      </c>
      <c r="N389" t="n">
        <v>0</v>
      </c>
      <c r="O389" t="n">
        <v>0</v>
      </c>
      <c r="P389" t="n">
        <v>0</v>
      </c>
      <c r="Q389" t="n">
        <v>1</v>
      </c>
      <c r="R389" s="2" t="inlineStr">
        <is>
          <t>Hasselmus</t>
        </is>
      </c>
      <c r="S389">
        <f>HYPERLINK("https://klasma.github.io/Logging_1781/artfynd/A 1734-2022 artfynd.xlsx", "A 1734-2022")</f>
        <v/>
      </c>
      <c r="T389">
        <f>HYPERLINK("https://klasma.github.io/Logging_1781/kartor/A 1734-2022 karta.png", "A 1734-2022")</f>
        <v/>
      </c>
      <c r="V389">
        <f>HYPERLINK("https://klasma.github.io/Logging_1781/klagomål/A 1734-2022 FSC-klagomål.docx", "A 1734-2022")</f>
        <v/>
      </c>
      <c r="W389">
        <f>HYPERLINK("https://klasma.github.io/Logging_1781/klagomålsmail/A 1734-2022 FSC-klagomål mail.docx", "A 1734-2022")</f>
        <v/>
      </c>
      <c r="X389">
        <f>HYPERLINK("https://klasma.github.io/Logging_1781/tillsyn/A 1734-2022 tillsynsbegäran.docx", "A 1734-2022")</f>
        <v/>
      </c>
      <c r="Y389">
        <f>HYPERLINK("https://klasma.github.io/Logging_1781/tillsynsmail/A 1734-2022 tillsynsbegäran mail.docx", "A 1734-2022")</f>
        <v/>
      </c>
    </row>
    <row r="390" ht="15" customHeight="1">
      <c r="A390" t="inlineStr">
        <is>
          <t>A 3404-2022</t>
        </is>
      </c>
      <c r="B390" s="1" t="n">
        <v>44585</v>
      </c>
      <c r="C390" s="1" t="n">
        <v>45507</v>
      </c>
      <c r="D390" t="inlineStr">
        <is>
          <t>VÄRMLANDS LÄN</t>
        </is>
      </c>
      <c r="E390" t="inlineStr">
        <is>
          <t>TORSBY</t>
        </is>
      </c>
      <c r="G390" t="n">
        <v>1</v>
      </c>
      <c r="H390" t="n">
        <v>0</v>
      </c>
      <c r="I390" t="n">
        <v>0</v>
      </c>
      <c r="J390" t="n">
        <v>1</v>
      </c>
      <c r="K390" t="n">
        <v>0</v>
      </c>
      <c r="L390" t="n">
        <v>0</v>
      </c>
      <c r="M390" t="n">
        <v>0</v>
      </c>
      <c r="N390" t="n">
        <v>0</v>
      </c>
      <c r="O390" t="n">
        <v>1</v>
      </c>
      <c r="P390" t="n">
        <v>0</v>
      </c>
      <c r="Q390" t="n">
        <v>1</v>
      </c>
      <c r="R390" s="2" t="inlineStr">
        <is>
          <t>Vedtrappmossa</t>
        </is>
      </c>
      <c r="S390">
        <f>HYPERLINK("https://klasma.github.io/Logging_1737/artfynd/A 3404-2022 artfynd.xlsx", "A 3404-2022")</f>
        <v/>
      </c>
      <c r="T390">
        <f>HYPERLINK("https://klasma.github.io/Logging_1737/kartor/A 3404-2022 karta.png", "A 3404-2022")</f>
        <v/>
      </c>
      <c r="V390">
        <f>HYPERLINK("https://klasma.github.io/Logging_1737/klagomål/A 3404-2022 FSC-klagomål.docx", "A 3404-2022")</f>
        <v/>
      </c>
      <c r="W390">
        <f>HYPERLINK("https://klasma.github.io/Logging_1737/klagomålsmail/A 3404-2022 FSC-klagomål mail.docx", "A 3404-2022")</f>
        <v/>
      </c>
      <c r="X390">
        <f>HYPERLINK("https://klasma.github.io/Logging_1737/tillsyn/A 3404-2022 tillsynsbegäran.docx", "A 3404-2022")</f>
        <v/>
      </c>
      <c r="Y390">
        <f>HYPERLINK("https://klasma.github.io/Logging_1737/tillsynsmail/A 3404-2022 tillsynsbegäran mail.docx", "A 3404-2022")</f>
        <v/>
      </c>
    </row>
    <row r="391" ht="15" customHeight="1">
      <c r="A391" t="inlineStr">
        <is>
          <t>A 4394-2022</t>
        </is>
      </c>
      <c r="B391" s="1" t="n">
        <v>44589</v>
      </c>
      <c r="C391" s="1" t="n">
        <v>45507</v>
      </c>
      <c r="D391" t="inlineStr">
        <is>
          <t>VÄRMLANDS LÄN</t>
        </is>
      </c>
      <c r="E391" t="inlineStr">
        <is>
          <t>SÄFFLE</t>
        </is>
      </c>
      <c r="G391" t="n">
        <v>2.2</v>
      </c>
      <c r="H391" t="n">
        <v>0</v>
      </c>
      <c r="I391" t="n">
        <v>1</v>
      </c>
      <c r="J391" t="n">
        <v>0</v>
      </c>
      <c r="K391" t="n">
        <v>0</v>
      </c>
      <c r="L391" t="n">
        <v>0</v>
      </c>
      <c r="M391" t="n">
        <v>0</v>
      </c>
      <c r="N391" t="n">
        <v>0</v>
      </c>
      <c r="O391" t="n">
        <v>0</v>
      </c>
      <c r="P391" t="n">
        <v>0</v>
      </c>
      <c r="Q391" t="n">
        <v>1</v>
      </c>
      <c r="R391" s="2" t="inlineStr">
        <is>
          <t>Vätteros</t>
        </is>
      </c>
      <c r="S391">
        <f>HYPERLINK("https://klasma.github.io/Logging_1785/artfynd/A 4394-2022 artfynd.xlsx", "A 4394-2022")</f>
        <v/>
      </c>
      <c r="T391">
        <f>HYPERLINK("https://klasma.github.io/Logging_1785/kartor/A 4394-2022 karta.png", "A 4394-2022")</f>
        <v/>
      </c>
      <c r="V391">
        <f>HYPERLINK("https://klasma.github.io/Logging_1785/klagomål/A 4394-2022 FSC-klagomål.docx", "A 4394-2022")</f>
        <v/>
      </c>
      <c r="W391">
        <f>HYPERLINK("https://klasma.github.io/Logging_1785/klagomålsmail/A 4394-2022 FSC-klagomål mail.docx", "A 4394-2022")</f>
        <v/>
      </c>
      <c r="X391">
        <f>HYPERLINK("https://klasma.github.io/Logging_1785/tillsyn/A 4394-2022 tillsynsbegäran.docx", "A 4394-2022")</f>
        <v/>
      </c>
      <c r="Y391">
        <f>HYPERLINK("https://klasma.github.io/Logging_1785/tillsynsmail/A 4394-2022 tillsynsbegäran mail.docx", "A 4394-2022")</f>
        <v/>
      </c>
    </row>
    <row r="392" ht="15" customHeight="1">
      <c r="A392" t="inlineStr">
        <is>
          <t>A 4664-2022</t>
        </is>
      </c>
      <c r="B392" s="1" t="n">
        <v>44592</v>
      </c>
      <c r="C392" s="1" t="n">
        <v>45507</v>
      </c>
      <c r="D392" t="inlineStr">
        <is>
          <t>VÄRMLANDS LÄN</t>
        </is>
      </c>
      <c r="E392" t="inlineStr">
        <is>
          <t>KARLSTAD</t>
        </is>
      </c>
      <c r="F392" t="inlineStr">
        <is>
          <t>Kommuner</t>
        </is>
      </c>
      <c r="G392" t="n">
        <v>2.3</v>
      </c>
      <c r="H392" t="n">
        <v>0</v>
      </c>
      <c r="I392" t="n">
        <v>0</v>
      </c>
      <c r="J392" t="n">
        <v>1</v>
      </c>
      <c r="K392" t="n">
        <v>0</v>
      </c>
      <c r="L392" t="n">
        <v>0</v>
      </c>
      <c r="M392" t="n">
        <v>0</v>
      </c>
      <c r="N392" t="n">
        <v>0</v>
      </c>
      <c r="O392" t="n">
        <v>1</v>
      </c>
      <c r="P392" t="n">
        <v>0</v>
      </c>
      <c r="Q392" t="n">
        <v>1</v>
      </c>
      <c r="R392" s="2" t="inlineStr">
        <is>
          <t>Vedskivlav</t>
        </is>
      </c>
      <c r="S392">
        <f>HYPERLINK("https://klasma.github.io/Logging_1780/artfynd/A 4664-2022 artfynd.xlsx", "A 4664-2022")</f>
        <v/>
      </c>
      <c r="T392">
        <f>HYPERLINK("https://klasma.github.io/Logging_1780/kartor/A 4664-2022 karta.png", "A 4664-2022")</f>
        <v/>
      </c>
      <c r="V392">
        <f>HYPERLINK("https://klasma.github.io/Logging_1780/klagomål/A 4664-2022 FSC-klagomål.docx", "A 4664-2022")</f>
        <v/>
      </c>
      <c r="W392">
        <f>HYPERLINK("https://klasma.github.io/Logging_1780/klagomålsmail/A 4664-2022 FSC-klagomål mail.docx", "A 4664-2022")</f>
        <v/>
      </c>
      <c r="X392">
        <f>HYPERLINK("https://klasma.github.io/Logging_1780/tillsyn/A 4664-2022 tillsynsbegäran.docx", "A 4664-2022")</f>
        <v/>
      </c>
      <c r="Y392">
        <f>HYPERLINK("https://klasma.github.io/Logging_1780/tillsynsmail/A 4664-2022 tillsynsbegäran mail.docx", "A 4664-2022")</f>
        <v/>
      </c>
    </row>
    <row r="393" ht="15" customHeight="1">
      <c r="A393" t="inlineStr">
        <is>
          <t>A 6294-2022</t>
        </is>
      </c>
      <c r="B393" s="1" t="n">
        <v>44601</v>
      </c>
      <c r="C393" s="1" t="n">
        <v>45507</v>
      </c>
      <c r="D393" t="inlineStr">
        <is>
          <t>VÄRMLANDS LÄN</t>
        </is>
      </c>
      <c r="E393" t="inlineStr">
        <is>
          <t>FORSHAGA</t>
        </is>
      </c>
      <c r="G393" t="n">
        <v>3.2</v>
      </c>
      <c r="H393" t="n">
        <v>1</v>
      </c>
      <c r="I393" t="n">
        <v>0</v>
      </c>
      <c r="J393" t="n">
        <v>1</v>
      </c>
      <c r="K393" t="n">
        <v>0</v>
      </c>
      <c r="L393" t="n">
        <v>0</v>
      </c>
      <c r="M393" t="n">
        <v>0</v>
      </c>
      <c r="N393" t="n">
        <v>0</v>
      </c>
      <c r="O393" t="n">
        <v>1</v>
      </c>
      <c r="P393" t="n">
        <v>0</v>
      </c>
      <c r="Q393" t="n">
        <v>1</v>
      </c>
      <c r="R393" s="2" t="inlineStr">
        <is>
          <t>Spillkråka</t>
        </is>
      </c>
      <c r="S393">
        <f>HYPERLINK("https://klasma.github.io/Logging_1763/artfynd/A 6294-2022 artfynd.xlsx", "A 6294-2022")</f>
        <v/>
      </c>
      <c r="T393">
        <f>HYPERLINK("https://klasma.github.io/Logging_1763/kartor/A 6294-2022 karta.png", "A 6294-2022")</f>
        <v/>
      </c>
      <c r="V393">
        <f>HYPERLINK("https://klasma.github.io/Logging_1763/klagomål/A 6294-2022 FSC-klagomål.docx", "A 6294-2022")</f>
        <v/>
      </c>
      <c r="W393">
        <f>HYPERLINK("https://klasma.github.io/Logging_1763/klagomålsmail/A 6294-2022 FSC-klagomål mail.docx", "A 6294-2022")</f>
        <v/>
      </c>
      <c r="X393">
        <f>HYPERLINK("https://klasma.github.io/Logging_1763/tillsyn/A 6294-2022 tillsynsbegäran.docx", "A 6294-2022")</f>
        <v/>
      </c>
      <c r="Y393">
        <f>HYPERLINK("https://klasma.github.io/Logging_1763/tillsynsmail/A 6294-2022 tillsynsbegäran mail.docx", "A 6294-2022")</f>
        <v/>
      </c>
      <c r="Z393">
        <f>HYPERLINK("https://klasma.github.io/Logging_1763/fåglar/A 6294-2022 prioriterade fågelarter.docx", "A 6294-2022")</f>
        <v/>
      </c>
    </row>
    <row r="394" ht="15" customHeight="1">
      <c r="A394" t="inlineStr">
        <is>
          <t>A 6814-2022</t>
        </is>
      </c>
      <c r="B394" s="1" t="n">
        <v>44602</v>
      </c>
      <c r="C394" s="1" t="n">
        <v>45507</v>
      </c>
      <c r="D394" t="inlineStr">
        <is>
          <t>VÄRMLANDS LÄN</t>
        </is>
      </c>
      <c r="E394" t="inlineStr">
        <is>
          <t>ARVIKA</t>
        </is>
      </c>
      <c r="F394" t="inlineStr">
        <is>
          <t>Bergvik skog väst AB</t>
        </is>
      </c>
      <c r="G394" t="n">
        <v>12.2</v>
      </c>
      <c r="H394" t="n">
        <v>0</v>
      </c>
      <c r="I394" t="n">
        <v>0</v>
      </c>
      <c r="J394" t="n">
        <v>1</v>
      </c>
      <c r="K394" t="n">
        <v>0</v>
      </c>
      <c r="L394" t="n">
        <v>0</v>
      </c>
      <c r="M394" t="n">
        <v>0</v>
      </c>
      <c r="N394" t="n">
        <v>0</v>
      </c>
      <c r="O394" t="n">
        <v>1</v>
      </c>
      <c r="P394" t="n">
        <v>0</v>
      </c>
      <c r="Q394" t="n">
        <v>1</v>
      </c>
      <c r="R394" s="2" t="inlineStr">
        <is>
          <t>Skogsklocka</t>
        </is>
      </c>
      <c r="S394">
        <f>HYPERLINK("https://klasma.github.io/Logging_1784/artfynd/A 6814-2022 artfynd.xlsx", "A 6814-2022")</f>
        <v/>
      </c>
      <c r="T394">
        <f>HYPERLINK("https://klasma.github.io/Logging_1784/kartor/A 6814-2022 karta.png", "A 6814-2022")</f>
        <v/>
      </c>
      <c r="V394">
        <f>HYPERLINK("https://klasma.github.io/Logging_1784/klagomål/A 6814-2022 FSC-klagomål.docx", "A 6814-2022")</f>
        <v/>
      </c>
      <c r="W394">
        <f>HYPERLINK("https://klasma.github.io/Logging_1784/klagomålsmail/A 6814-2022 FSC-klagomål mail.docx", "A 6814-2022")</f>
        <v/>
      </c>
      <c r="X394">
        <f>HYPERLINK("https://klasma.github.io/Logging_1784/tillsyn/A 6814-2022 tillsynsbegäran.docx", "A 6814-2022")</f>
        <v/>
      </c>
      <c r="Y394">
        <f>HYPERLINK("https://klasma.github.io/Logging_1784/tillsynsmail/A 6814-2022 tillsynsbegäran mail.docx", "A 6814-2022")</f>
        <v/>
      </c>
    </row>
    <row r="395" ht="15" customHeight="1">
      <c r="A395" t="inlineStr">
        <is>
          <t>A 6986-2022</t>
        </is>
      </c>
      <c r="B395" s="1" t="n">
        <v>44603</v>
      </c>
      <c r="C395" s="1" t="n">
        <v>45507</v>
      </c>
      <c r="D395" t="inlineStr">
        <is>
          <t>VÄRMLANDS LÄN</t>
        </is>
      </c>
      <c r="E395" t="inlineStr">
        <is>
          <t>HAGFORS</t>
        </is>
      </c>
      <c r="G395" t="n">
        <v>2</v>
      </c>
      <c r="H395" t="n">
        <v>0</v>
      </c>
      <c r="I395" t="n">
        <v>1</v>
      </c>
      <c r="J395" t="n">
        <v>0</v>
      </c>
      <c r="K395" t="n">
        <v>0</v>
      </c>
      <c r="L395" t="n">
        <v>0</v>
      </c>
      <c r="M395" t="n">
        <v>0</v>
      </c>
      <c r="N395" t="n">
        <v>0</v>
      </c>
      <c r="O395" t="n">
        <v>0</v>
      </c>
      <c r="P395" t="n">
        <v>0</v>
      </c>
      <c r="Q395" t="n">
        <v>1</v>
      </c>
      <c r="R395" s="2" t="inlineStr">
        <is>
          <t>Vedticka</t>
        </is>
      </c>
      <c r="S395">
        <f>HYPERLINK("https://klasma.github.io/Logging_1783/artfynd/A 6986-2022 artfynd.xlsx", "A 6986-2022")</f>
        <v/>
      </c>
      <c r="T395">
        <f>HYPERLINK("https://klasma.github.io/Logging_1783/kartor/A 6986-2022 karta.png", "A 6986-2022")</f>
        <v/>
      </c>
      <c r="V395">
        <f>HYPERLINK("https://klasma.github.io/Logging_1783/klagomål/A 6986-2022 FSC-klagomål.docx", "A 6986-2022")</f>
        <v/>
      </c>
      <c r="W395">
        <f>HYPERLINK("https://klasma.github.io/Logging_1783/klagomålsmail/A 6986-2022 FSC-klagomål mail.docx", "A 6986-2022")</f>
        <v/>
      </c>
      <c r="X395">
        <f>HYPERLINK("https://klasma.github.io/Logging_1783/tillsyn/A 6986-2022 tillsynsbegäran.docx", "A 6986-2022")</f>
        <v/>
      </c>
      <c r="Y395">
        <f>HYPERLINK("https://klasma.github.io/Logging_1783/tillsynsmail/A 6986-2022 tillsynsbegäran mail.docx", "A 6986-2022")</f>
        <v/>
      </c>
    </row>
    <row r="396" ht="15" customHeight="1">
      <c r="A396" t="inlineStr">
        <is>
          <t>A 8846-2022</t>
        </is>
      </c>
      <c r="B396" s="1" t="n">
        <v>44614</v>
      </c>
      <c r="C396" s="1" t="n">
        <v>45507</v>
      </c>
      <c r="D396" t="inlineStr">
        <is>
          <t>VÄRMLANDS LÄN</t>
        </is>
      </c>
      <c r="E396" t="inlineStr">
        <is>
          <t>ARVIKA</t>
        </is>
      </c>
      <c r="G396" t="n">
        <v>8.6</v>
      </c>
      <c r="H396" t="n">
        <v>0</v>
      </c>
      <c r="I396" t="n">
        <v>1</v>
      </c>
      <c r="J396" t="n">
        <v>0</v>
      </c>
      <c r="K396" t="n">
        <v>0</v>
      </c>
      <c r="L396" t="n">
        <v>0</v>
      </c>
      <c r="M396" t="n">
        <v>0</v>
      </c>
      <c r="N396" t="n">
        <v>0</v>
      </c>
      <c r="O396" t="n">
        <v>0</v>
      </c>
      <c r="P396" t="n">
        <v>0</v>
      </c>
      <c r="Q396" t="n">
        <v>1</v>
      </c>
      <c r="R396" s="2" t="inlineStr">
        <is>
          <t>Tibast</t>
        </is>
      </c>
      <c r="S396">
        <f>HYPERLINK("https://klasma.github.io/Logging_1784/artfynd/A 8846-2022 artfynd.xlsx", "A 8846-2022")</f>
        <v/>
      </c>
      <c r="T396">
        <f>HYPERLINK("https://klasma.github.io/Logging_1784/kartor/A 8846-2022 karta.png", "A 8846-2022")</f>
        <v/>
      </c>
      <c r="V396">
        <f>HYPERLINK("https://klasma.github.io/Logging_1784/klagomål/A 8846-2022 FSC-klagomål.docx", "A 8846-2022")</f>
        <v/>
      </c>
      <c r="W396">
        <f>HYPERLINK("https://klasma.github.io/Logging_1784/klagomålsmail/A 8846-2022 FSC-klagomål mail.docx", "A 8846-2022")</f>
        <v/>
      </c>
      <c r="X396">
        <f>HYPERLINK("https://klasma.github.io/Logging_1784/tillsyn/A 8846-2022 tillsynsbegäran.docx", "A 8846-2022")</f>
        <v/>
      </c>
      <c r="Y396">
        <f>HYPERLINK("https://klasma.github.io/Logging_1784/tillsynsmail/A 8846-2022 tillsynsbegäran mail.docx", "A 8846-2022")</f>
        <v/>
      </c>
    </row>
    <row r="397" ht="15" customHeight="1">
      <c r="A397" t="inlineStr">
        <is>
          <t>A 11682-2022</t>
        </is>
      </c>
      <c r="B397" s="1" t="n">
        <v>44631</v>
      </c>
      <c r="C397" s="1" t="n">
        <v>45507</v>
      </c>
      <c r="D397" t="inlineStr">
        <is>
          <t>VÄRMLANDS LÄN</t>
        </is>
      </c>
      <c r="E397" t="inlineStr">
        <is>
          <t>ÅRJÄNG</t>
        </is>
      </c>
      <c r="G397" t="n">
        <v>19.9</v>
      </c>
      <c r="H397" t="n">
        <v>0</v>
      </c>
      <c r="I397" t="n">
        <v>0</v>
      </c>
      <c r="J397" t="n">
        <v>1</v>
      </c>
      <c r="K397" t="n">
        <v>0</v>
      </c>
      <c r="L397" t="n">
        <v>0</v>
      </c>
      <c r="M397" t="n">
        <v>0</v>
      </c>
      <c r="N397" t="n">
        <v>0</v>
      </c>
      <c r="O397" t="n">
        <v>1</v>
      </c>
      <c r="P397" t="n">
        <v>0</v>
      </c>
      <c r="Q397" t="n">
        <v>1</v>
      </c>
      <c r="R397" s="2" t="inlineStr">
        <is>
          <t>Skogsklocka</t>
        </is>
      </c>
      <c r="S397">
        <f>HYPERLINK("https://klasma.github.io/Logging_1765/artfynd/A 11682-2022 artfynd.xlsx", "A 11682-2022")</f>
        <v/>
      </c>
      <c r="T397">
        <f>HYPERLINK("https://klasma.github.io/Logging_1765/kartor/A 11682-2022 karta.png", "A 11682-2022")</f>
        <v/>
      </c>
      <c r="V397">
        <f>HYPERLINK("https://klasma.github.io/Logging_1765/klagomål/A 11682-2022 FSC-klagomål.docx", "A 11682-2022")</f>
        <v/>
      </c>
      <c r="W397">
        <f>HYPERLINK("https://klasma.github.io/Logging_1765/klagomålsmail/A 11682-2022 FSC-klagomål mail.docx", "A 11682-2022")</f>
        <v/>
      </c>
      <c r="X397">
        <f>HYPERLINK("https://klasma.github.io/Logging_1765/tillsyn/A 11682-2022 tillsynsbegäran.docx", "A 11682-2022")</f>
        <v/>
      </c>
      <c r="Y397">
        <f>HYPERLINK("https://klasma.github.io/Logging_1765/tillsynsmail/A 11682-2022 tillsynsbegäran mail.docx", "A 11682-2022")</f>
        <v/>
      </c>
    </row>
    <row r="398" ht="15" customHeight="1">
      <c r="A398" t="inlineStr">
        <is>
          <t>A 13548-2022</t>
        </is>
      </c>
      <c r="B398" s="1" t="n">
        <v>44648</v>
      </c>
      <c r="C398" s="1" t="n">
        <v>45507</v>
      </c>
      <c r="D398" t="inlineStr">
        <is>
          <t>VÄRMLANDS LÄN</t>
        </is>
      </c>
      <c r="E398" t="inlineStr">
        <is>
          <t>KARLSTAD</t>
        </is>
      </c>
      <c r="F398" t="inlineStr">
        <is>
          <t>Bergvik skog väst AB</t>
        </is>
      </c>
      <c r="G398" t="n">
        <v>15.9</v>
      </c>
      <c r="H398" t="n">
        <v>0</v>
      </c>
      <c r="I398" t="n">
        <v>0</v>
      </c>
      <c r="J398" t="n">
        <v>1</v>
      </c>
      <c r="K398" t="n">
        <v>0</v>
      </c>
      <c r="L398" t="n">
        <v>0</v>
      </c>
      <c r="M398" t="n">
        <v>0</v>
      </c>
      <c r="N398" t="n">
        <v>0</v>
      </c>
      <c r="O398" t="n">
        <v>1</v>
      </c>
      <c r="P398" t="n">
        <v>0</v>
      </c>
      <c r="Q398" t="n">
        <v>1</v>
      </c>
      <c r="R398" s="2" t="inlineStr">
        <is>
          <t>Motaggsvamp</t>
        </is>
      </c>
      <c r="S398">
        <f>HYPERLINK("https://klasma.github.io/Logging_1780/artfynd/A 13548-2022 artfynd.xlsx", "A 13548-2022")</f>
        <v/>
      </c>
      <c r="T398">
        <f>HYPERLINK("https://klasma.github.io/Logging_1780/kartor/A 13548-2022 karta.png", "A 13548-2022")</f>
        <v/>
      </c>
      <c r="V398">
        <f>HYPERLINK("https://klasma.github.io/Logging_1780/klagomål/A 13548-2022 FSC-klagomål.docx", "A 13548-2022")</f>
        <v/>
      </c>
      <c r="W398">
        <f>HYPERLINK("https://klasma.github.io/Logging_1780/klagomålsmail/A 13548-2022 FSC-klagomål mail.docx", "A 13548-2022")</f>
        <v/>
      </c>
      <c r="X398">
        <f>HYPERLINK("https://klasma.github.io/Logging_1780/tillsyn/A 13548-2022 tillsynsbegäran.docx", "A 13548-2022")</f>
        <v/>
      </c>
      <c r="Y398">
        <f>HYPERLINK("https://klasma.github.io/Logging_1780/tillsynsmail/A 13548-2022 tillsynsbegäran mail.docx", "A 13548-2022")</f>
        <v/>
      </c>
    </row>
    <row r="399" ht="15" customHeight="1">
      <c r="A399" t="inlineStr">
        <is>
          <t>A 14002-2022</t>
        </is>
      </c>
      <c r="B399" s="1" t="n">
        <v>44650</v>
      </c>
      <c r="C399" s="1" t="n">
        <v>45507</v>
      </c>
      <c r="D399" t="inlineStr">
        <is>
          <t>VÄRMLANDS LÄN</t>
        </is>
      </c>
      <c r="E399" t="inlineStr">
        <is>
          <t>KARLSTAD</t>
        </is>
      </c>
      <c r="G399" t="n">
        <v>2.3</v>
      </c>
      <c r="H399" t="n">
        <v>1</v>
      </c>
      <c r="I399" t="n">
        <v>0</v>
      </c>
      <c r="J399" t="n">
        <v>0</v>
      </c>
      <c r="K399" t="n">
        <v>1</v>
      </c>
      <c r="L399" t="n">
        <v>0</v>
      </c>
      <c r="M399" t="n">
        <v>0</v>
      </c>
      <c r="N399" t="n">
        <v>0</v>
      </c>
      <c r="O399" t="n">
        <v>1</v>
      </c>
      <c r="P399" t="n">
        <v>1</v>
      </c>
      <c r="Q399" t="n">
        <v>1</v>
      </c>
      <c r="R399" s="2" t="inlineStr">
        <is>
          <t>Knärot</t>
        </is>
      </c>
      <c r="S399">
        <f>HYPERLINK("https://klasma.github.io/Logging_1780/artfynd/A 14002-2022 artfynd.xlsx", "A 14002-2022")</f>
        <v/>
      </c>
      <c r="T399">
        <f>HYPERLINK("https://klasma.github.io/Logging_1780/kartor/A 14002-2022 karta.png", "A 14002-2022")</f>
        <v/>
      </c>
      <c r="U399">
        <f>HYPERLINK("https://klasma.github.io/Logging_1780/knärot/A 14002-2022 karta knärot.png", "A 14002-2022")</f>
        <v/>
      </c>
      <c r="V399">
        <f>HYPERLINK("https://klasma.github.io/Logging_1780/klagomål/A 14002-2022 FSC-klagomål.docx", "A 14002-2022")</f>
        <v/>
      </c>
      <c r="W399">
        <f>HYPERLINK("https://klasma.github.io/Logging_1780/klagomålsmail/A 14002-2022 FSC-klagomål mail.docx", "A 14002-2022")</f>
        <v/>
      </c>
      <c r="X399">
        <f>HYPERLINK("https://klasma.github.io/Logging_1780/tillsyn/A 14002-2022 tillsynsbegäran.docx", "A 14002-2022")</f>
        <v/>
      </c>
      <c r="Y399">
        <f>HYPERLINK("https://klasma.github.io/Logging_1780/tillsynsmail/A 14002-2022 tillsynsbegäran mail.docx", "A 14002-2022")</f>
        <v/>
      </c>
    </row>
    <row r="400" ht="15" customHeight="1">
      <c r="A400" t="inlineStr">
        <is>
          <t>A 14114-2022</t>
        </is>
      </c>
      <c r="B400" s="1" t="n">
        <v>44651</v>
      </c>
      <c r="C400" s="1" t="n">
        <v>45507</v>
      </c>
      <c r="D400" t="inlineStr">
        <is>
          <t>VÄRMLANDS LÄN</t>
        </is>
      </c>
      <c r="E400" t="inlineStr">
        <is>
          <t>FORSHAGA</t>
        </is>
      </c>
      <c r="F400" t="inlineStr">
        <is>
          <t>Bergvik skog väst AB</t>
        </is>
      </c>
      <c r="G400" t="n">
        <v>25.1</v>
      </c>
      <c r="H400" t="n">
        <v>0</v>
      </c>
      <c r="I400" t="n">
        <v>0</v>
      </c>
      <c r="J400" t="n">
        <v>1</v>
      </c>
      <c r="K400" t="n">
        <v>0</v>
      </c>
      <c r="L400" t="n">
        <v>0</v>
      </c>
      <c r="M400" t="n">
        <v>0</v>
      </c>
      <c r="N400" t="n">
        <v>0</v>
      </c>
      <c r="O400" t="n">
        <v>1</v>
      </c>
      <c r="P400" t="n">
        <v>0</v>
      </c>
      <c r="Q400" t="n">
        <v>1</v>
      </c>
      <c r="R400" s="2" t="inlineStr">
        <is>
          <t>Sotnätfjäril</t>
        </is>
      </c>
      <c r="S400">
        <f>HYPERLINK("https://klasma.github.io/Logging_1763/artfynd/A 14114-2022 artfynd.xlsx", "A 14114-2022")</f>
        <v/>
      </c>
      <c r="T400">
        <f>HYPERLINK("https://klasma.github.io/Logging_1763/kartor/A 14114-2022 karta.png", "A 14114-2022")</f>
        <v/>
      </c>
      <c r="V400">
        <f>HYPERLINK("https://klasma.github.io/Logging_1763/klagomål/A 14114-2022 FSC-klagomål.docx", "A 14114-2022")</f>
        <v/>
      </c>
      <c r="W400">
        <f>HYPERLINK("https://klasma.github.io/Logging_1763/klagomålsmail/A 14114-2022 FSC-klagomål mail.docx", "A 14114-2022")</f>
        <v/>
      </c>
      <c r="X400">
        <f>HYPERLINK("https://klasma.github.io/Logging_1763/tillsyn/A 14114-2022 tillsynsbegäran.docx", "A 14114-2022")</f>
        <v/>
      </c>
      <c r="Y400">
        <f>HYPERLINK("https://klasma.github.io/Logging_1763/tillsynsmail/A 14114-2022 tillsynsbegäran mail.docx", "A 14114-2022")</f>
        <v/>
      </c>
    </row>
    <row r="401" ht="15" customHeight="1">
      <c r="A401" t="inlineStr">
        <is>
          <t>A 14594-2022</t>
        </is>
      </c>
      <c r="B401" s="1" t="n">
        <v>44655</v>
      </c>
      <c r="C401" s="1" t="n">
        <v>45507</v>
      </c>
      <c r="D401" t="inlineStr">
        <is>
          <t>VÄRMLANDS LÄN</t>
        </is>
      </c>
      <c r="E401" t="inlineStr">
        <is>
          <t>KARLSTAD</t>
        </is>
      </c>
      <c r="F401" t="inlineStr">
        <is>
          <t>Kommuner</t>
        </is>
      </c>
      <c r="G401" t="n">
        <v>11.2</v>
      </c>
      <c r="H401" t="n">
        <v>1</v>
      </c>
      <c r="I401" t="n">
        <v>0</v>
      </c>
      <c r="J401" t="n">
        <v>1</v>
      </c>
      <c r="K401" t="n">
        <v>0</v>
      </c>
      <c r="L401" t="n">
        <v>0</v>
      </c>
      <c r="M401" t="n">
        <v>0</v>
      </c>
      <c r="N401" t="n">
        <v>0</v>
      </c>
      <c r="O401" t="n">
        <v>1</v>
      </c>
      <c r="P401" t="n">
        <v>0</v>
      </c>
      <c r="Q401" t="n">
        <v>1</v>
      </c>
      <c r="R401" s="2" t="inlineStr">
        <is>
          <t>Mindre hackspett</t>
        </is>
      </c>
      <c r="S401">
        <f>HYPERLINK("https://klasma.github.io/Logging_1780/artfynd/A 14594-2022 artfynd.xlsx", "A 14594-2022")</f>
        <v/>
      </c>
      <c r="T401">
        <f>HYPERLINK("https://klasma.github.io/Logging_1780/kartor/A 14594-2022 karta.png", "A 14594-2022")</f>
        <v/>
      </c>
      <c r="V401">
        <f>HYPERLINK("https://klasma.github.io/Logging_1780/klagomål/A 14594-2022 FSC-klagomål.docx", "A 14594-2022")</f>
        <v/>
      </c>
      <c r="W401">
        <f>HYPERLINK("https://klasma.github.io/Logging_1780/klagomålsmail/A 14594-2022 FSC-klagomål mail.docx", "A 14594-2022")</f>
        <v/>
      </c>
      <c r="X401">
        <f>HYPERLINK("https://klasma.github.io/Logging_1780/tillsyn/A 14594-2022 tillsynsbegäran.docx", "A 14594-2022")</f>
        <v/>
      </c>
      <c r="Y401">
        <f>HYPERLINK("https://klasma.github.io/Logging_1780/tillsynsmail/A 14594-2022 tillsynsbegäran mail.docx", "A 14594-2022")</f>
        <v/>
      </c>
      <c r="Z401">
        <f>HYPERLINK("https://klasma.github.io/Logging_1780/fåglar/A 14594-2022 prioriterade fågelarter.docx", "A 14594-2022")</f>
        <v/>
      </c>
    </row>
    <row r="402" ht="15" customHeight="1">
      <c r="A402" t="inlineStr">
        <is>
          <t>A 16572-2022</t>
        </is>
      </c>
      <c r="B402" s="1" t="n">
        <v>44672</v>
      </c>
      <c r="C402" s="1" t="n">
        <v>45507</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Skogsklocka</t>
        </is>
      </c>
      <c r="S402">
        <f>HYPERLINK("https://klasma.github.io/Logging_1737/artfynd/A 16572-2022 artfynd.xlsx", "A 16572-2022")</f>
        <v/>
      </c>
      <c r="T402">
        <f>HYPERLINK("https://klasma.github.io/Logging_1737/kartor/A 16572-2022 karta.png", "A 16572-2022")</f>
        <v/>
      </c>
      <c r="V402">
        <f>HYPERLINK("https://klasma.github.io/Logging_1737/klagomål/A 16572-2022 FSC-klagomål.docx", "A 16572-2022")</f>
        <v/>
      </c>
      <c r="W402">
        <f>HYPERLINK("https://klasma.github.io/Logging_1737/klagomålsmail/A 16572-2022 FSC-klagomål mail.docx", "A 16572-2022")</f>
        <v/>
      </c>
      <c r="X402">
        <f>HYPERLINK("https://klasma.github.io/Logging_1737/tillsyn/A 16572-2022 tillsynsbegäran.docx", "A 16572-2022")</f>
        <v/>
      </c>
      <c r="Y402">
        <f>HYPERLINK("https://klasma.github.io/Logging_1737/tillsynsmail/A 16572-2022 tillsynsbegäran mail.docx", "A 16572-2022")</f>
        <v/>
      </c>
    </row>
    <row r="403" ht="15" customHeight="1">
      <c r="A403" t="inlineStr">
        <is>
          <t>A 17504-2022</t>
        </is>
      </c>
      <c r="B403" s="1" t="n">
        <v>44679</v>
      </c>
      <c r="C403" s="1" t="n">
        <v>45507</v>
      </c>
      <c r="D403" t="inlineStr">
        <is>
          <t>VÄRMLANDS LÄN</t>
        </is>
      </c>
      <c r="E403" t="inlineStr">
        <is>
          <t>HAGFORS</t>
        </is>
      </c>
      <c r="F403" t="inlineStr">
        <is>
          <t>Bergvik skog väst AB</t>
        </is>
      </c>
      <c r="G403" t="n">
        <v>4.4</v>
      </c>
      <c r="H403" t="n">
        <v>1</v>
      </c>
      <c r="I403" t="n">
        <v>0</v>
      </c>
      <c r="J403" t="n">
        <v>0</v>
      </c>
      <c r="K403" t="n">
        <v>0</v>
      </c>
      <c r="L403" t="n">
        <v>0</v>
      </c>
      <c r="M403" t="n">
        <v>0</v>
      </c>
      <c r="N403" t="n">
        <v>0</v>
      </c>
      <c r="O403" t="n">
        <v>0</v>
      </c>
      <c r="P403" t="n">
        <v>0</v>
      </c>
      <c r="Q403" t="n">
        <v>1</v>
      </c>
      <c r="R403" s="2" t="inlineStr">
        <is>
          <t>Trädlärka</t>
        </is>
      </c>
      <c r="S403">
        <f>HYPERLINK("https://klasma.github.io/Logging_1783/artfynd/A 17504-2022 artfynd.xlsx", "A 17504-2022")</f>
        <v/>
      </c>
      <c r="T403">
        <f>HYPERLINK("https://klasma.github.io/Logging_1783/kartor/A 17504-2022 karta.png", "A 17504-2022")</f>
        <v/>
      </c>
      <c r="V403">
        <f>HYPERLINK("https://klasma.github.io/Logging_1783/klagomål/A 17504-2022 FSC-klagomål.docx", "A 17504-2022")</f>
        <v/>
      </c>
      <c r="W403">
        <f>HYPERLINK("https://klasma.github.io/Logging_1783/klagomålsmail/A 17504-2022 FSC-klagomål mail.docx", "A 17504-2022")</f>
        <v/>
      </c>
      <c r="X403">
        <f>HYPERLINK("https://klasma.github.io/Logging_1783/tillsyn/A 17504-2022 tillsynsbegäran.docx", "A 17504-2022")</f>
        <v/>
      </c>
      <c r="Y403">
        <f>HYPERLINK("https://klasma.github.io/Logging_1783/tillsynsmail/A 17504-2022 tillsynsbegäran mail.docx", "A 17504-2022")</f>
        <v/>
      </c>
      <c r="Z403">
        <f>HYPERLINK("https://klasma.github.io/Logging_1783/fåglar/A 17504-2022 prioriterade fågelarter.docx", "A 17504-2022")</f>
        <v/>
      </c>
    </row>
    <row r="404" ht="15" customHeight="1">
      <c r="A404" t="inlineStr">
        <is>
          <t>A 19831-2022</t>
        </is>
      </c>
      <c r="B404" s="1" t="n">
        <v>44695</v>
      </c>
      <c r="C404" s="1" t="n">
        <v>45507</v>
      </c>
      <c r="D404" t="inlineStr">
        <is>
          <t>VÄRMLANDS LÄN</t>
        </is>
      </c>
      <c r="E404" t="inlineStr">
        <is>
          <t>SUNNE</t>
        </is>
      </c>
      <c r="G404" t="n">
        <v>0.7</v>
      </c>
      <c r="H404" t="n">
        <v>0</v>
      </c>
      <c r="I404" t="n">
        <v>1</v>
      </c>
      <c r="J404" t="n">
        <v>0</v>
      </c>
      <c r="K404" t="n">
        <v>0</v>
      </c>
      <c r="L404" t="n">
        <v>0</v>
      </c>
      <c r="M404" t="n">
        <v>0</v>
      </c>
      <c r="N404" t="n">
        <v>0</v>
      </c>
      <c r="O404" t="n">
        <v>0</v>
      </c>
      <c r="P404" t="n">
        <v>0</v>
      </c>
      <c r="Q404" t="n">
        <v>1</v>
      </c>
      <c r="R404" s="2" t="inlineStr">
        <is>
          <t>Vågbandad barkbock</t>
        </is>
      </c>
      <c r="S404">
        <f>HYPERLINK("https://klasma.github.io/Logging_1766/artfynd/A 19831-2022 artfynd.xlsx", "A 19831-2022")</f>
        <v/>
      </c>
      <c r="T404">
        <f>HYPERLINK("https://klasma.github.io/Logging_1766/kartor/A 19831-2022 karta.png", "A 19831-2022")</f>
        <v/>
      </c>
      <c r="V404">
        <f>HYPERLINK("https://klasma.github.io/Logging_1766/klagomål/A 19831-2022 FSC-klagomål.docx", "A 19831-2022")</f>
        <v/>
      </c>
      <c r="W404">
        <f>HYPERLINK("https://klasma.github.io/Logging_1766/klagomålsmail/A 19831-2022 FSC-klagomål mail.docx", "A 19831-2022")</f>
        <v/>
      </c>
      <c r="X404">
        <f>HYPERLINK("https://klasma.github.io/Logging_1766/tillsyn/A 19831-2022 tillsynsbegäran.docx", "A 19831-2022")</f>
        <v/>
      </c>
      <c r="Y404">
        <f>HYPERLINK("https://klasma.github.io/Logging_1766/tillsynsmail/A 19831-2022 tillsynsbegäran mail.docx", "A 19831-2022")</f>
        <v/>
      </c>
    </row>
    <row r="405" ht="15" customHeight="1">
      <c r="A405" t="inlineStr">
        <is>
          <t>A 20754-2022</t>
        </is>
      </c>
      <c r="B405" s="1" t="n">
        <v>44701</v>
      </c>
      <c r="C405" s="1" t="n">
        <v>45507</v>
      </c>
      <c r="D405" t="inlineStr">
        <is>
          <t>VÄRMLANDS LÄN</t>
        </is>
      </c>
      <c r="E405" t="inlineStr">
        <is>
          <t>FILIPSTAD</t>
        </is>
      </c>
      <c r="F405" t="inlineStr">
        <is>
          <t>Bergvik skog väst AB</t>
        </is>
      </c>
      <c r="G405" t="n">
        <v>13.6</v>
      </c>
      <c r="H405" t="n">
        <v>1</v>
      </c>
      <c r="I405" t="n">
        <v>0</v>
      </c>
      <c r="J405" t="n">
        <v>0</v>
      </c>
      <c r="K405" t="n">
        <v>0</v>
      </c>
      <c r="L405" t="n">
        <v>0</v>
      </c>
      <c r="M405" t="n">
        <v>0</v>
      </c>
      <c r="N405" t="n">
        <v>0</v>
      </c>
      <c r="O405" t="n">
        <v>0</v>
      </c>
      <c r="P405" t="n">
        <v>0</v>
      </c>
      <c r="Q405" t="n">
        <v>1</v>
      </c>
      <c r="R405" s="2" t="inlineStr">
        <is>
          <t>Mattlummer</t>
        </is>
      </c>
      <c r="S405">
        <f>HYPERLINK("https://klasma.github.io/Logging_1782/artfynd/A 20754-2022 artfynd.xlsx", "A 20754-2022")</f>
        <v/>
      </c>
      <c r="T405">
        <f>HYPERLINK("https://klasma.github.io/Logging_1782/kartor/A 20754-2022 karta.png", "A 20754-2022")</f>
        <v/>
      </c>
      <c r="V405">
        <f>HYPERLINK("https://klasma.github.io/Logging_1782/klagomål/A 20754-2022 FSC-klagomål.docx", "A 20754-2022")</f>
        <v/>
      </c>
      <c r="W405">
        <f>HYPERLINK("https://klasma.github.io/Logging_1782/klagomålsmail/A 20754-2022 FSC-klagomål mail.docx", "A 20754-2022")</f>
        <v/>
      </c>
      <c r="X405">
        <f>HYPERLINK("https://klasma.github.io/Logging_1782/tillsyn/A 20754-2022 tillsynsbegäran.docx", "A 20754-2022")</f>
        <v/>
      </c>
      <c r="Y405">
        <f>HYPERLINK("https://klasma.github.io/Logging_1782/tillsynsmail/A 20754-2022 tillsynsbegäran mail.docx", "A 20754-2022")</f>
        <v/>
      </c>
    </row>
    <row r="406" ht="15" customHeight="1">
      <c r="A406" t="inlineStr">
        <is>
          <t>A 22174-2022</t>
        </is>
      </c>
      <c r="B406" s="1" t="n">
        <v>44712</v>
      </c>
      <c r="C406" s="1" t="n">
        <v>45507</v>
      </c>
      <c r="D406" t="inlineStr">
        <is>
          <t>VÄRMLANDS LÄN</t>
        </is>
      </c>
      <c r="E406" t="inlineStr">
        <is>
          <t>TORSBY</t>
        </is>
      </c>
      <c r="G406" t="n">
        <v>11</v>
      </c>
      <c r="H406" t="n">
        <v>1</v>
      </c>
      <c r="I406" t="n">
        <v>0</v>
      </c>
      <c r="J406" t="n">
        <v>0</v>
      </c>
      <c r="K406" t="n">
        <v>0</v>
      </c>
      <c r="L406" t="n">
        <v>0</v>
      </c>
      <c r="M406" t="n">
        <v>0</v>
      </c>
      <c r="N406" t="n">
        <v>0</v>
      </c>
      <c r="O406" t="n">
        <v>0</v>
      </c>
      <c r="P406" t="n">
        <v>0</v>
      </c>
      <c r="Q406" t="n">
        <v>1</v>
      </c>
      <c r="R406" s="2" t="inlineStr">
        <is>
          <t>Revlummer</t>
        </is>
      </c>
      <c r="S406">
        <f>HYPERLINK("https://klasma.github.io/Logging_1737/artfynd/A 22174-2022 artfynd.xlsx", "A 22174-2022")</f>
        <v/>
      </c>
      <c r="T406">
        <f>HYPERLINK("https://klasma.github.io/Logging_1737/kartor/A 22174-2022 karta.png", "A 22174-2022")</f>
        <v/>
      </c>
      <c r="V406">
        <f>HYPERLINK("https://klasma.github.io/Logging_1737/klagomål/A 22174-2022 FSC-klagomål.docx", "A 22174-2022")</f>
        <v/>
      </c>
      <c r="W406">
        <f>HYPERLINK("https://klasma.github.io/Logging_1737/klagomålsmail/A 22174-2022 FSC-klagomål mail.docx", "A 22174-2022")</f>
        <v/>
      </c>
      <c r="X406">
        <f>HYPERLINK("https://klasma.github.io/Logging_1737/tillsyn/A 22174-2022 tillsynsbegäran.docx", "A 22174-2022")</f>
        <v/>
      </c>
      <c r="Y406">
        <f>HYPERLINK("https://klasma.github.io/Logging_1737/tillsynsmail/A 22174-2022 tillsynsbegäran mail.docx", "A 22174-2022")</f>
        <v/>
      </c>
    </row>
    <row r="407" ht="15" customHeight="1">
      <c r="A407" t="inlineStr">
        <is>
          <t>A 23486-2022</t>
        </is>
      </c>
      <c r="B407" s="1" t="n">
        <v>44721</v>
      </c>
      <c r="C407" s="1" t="n">
        <v>45507</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45507</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45507</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45507</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45507</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45507</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45507</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45507</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45507</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45507</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45507</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45507</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45507</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45507</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45507</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45507</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45507</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45507</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45507</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45507</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45507</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45507</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45507</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45507</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45507</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45507</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45507</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45507</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45507</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45507</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45507</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45507</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45507</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45507</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45507</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45507</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45507</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45507</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45507</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45507</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45507</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45507</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45507</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45507</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45507</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45507</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45507</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45507</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45507</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45507</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45507</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45507</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45507</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45507</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45507</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45507</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45507</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45507</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45507</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45507</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45507</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45507</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45507</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45507</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45507</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45507</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45507</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45507</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45507</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45507</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45507</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45507</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45507</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45507</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45507</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45507</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45507</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45507</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45507</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45507</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45507</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45507</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45507</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45507</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45507</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45507</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45507</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45507</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45507</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45507</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45507</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45507</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45507</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45507</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45507</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45507</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45507</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45507</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45507</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45507</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45507</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45507</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45507</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45507</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45507</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45507</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45507</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45507</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45507</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45507</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45507</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45507</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45507</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45507</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45507</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45507</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45507</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45507</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45507</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45507</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45507</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45507</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45507</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45507</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45507</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45507</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45507</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45507</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45507</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45507</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45507</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45507</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45507</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45507</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45507</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45507</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45507</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45507</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45507</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45507</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45507</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45507</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45507</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45507</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45507</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45507</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45507</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45507</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45507</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45507</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45507</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45507</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45507</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45507</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45507</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45507</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45507</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45507</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45507</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45507</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45507</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45507</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45507</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45507</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45507</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45507</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45507</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45507</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45507</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45507</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45507</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45507</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45507</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45507</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45507</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45507</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45507</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45507</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45507</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45507</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45507</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45507</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45507</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45507</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45507</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45507</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45507</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45507</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45507</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45507</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45507</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45507</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45507</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45507</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45507</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45507</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45507</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45507</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45507</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45507</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45507</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45507</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45507</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45507</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45507</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45507</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45507</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45507</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45507</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45507</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45507</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45507</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45507</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45507</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45507</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45507</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45507</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45507</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45507</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45507</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45507</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45507</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45507</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45507</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45507</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45507</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45507</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45507</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45507</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45507</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45507</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45507</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45507</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45507</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45507</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45507</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45507</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45507</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45507</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45507</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45507</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45507</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45507</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45507</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45507</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45507</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45507</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45507</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45507</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45507</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45507</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45507</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45507</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45507</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45507</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45507</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45507</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45507</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45507</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45507</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45507</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45507</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45507</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45507</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45507</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45507</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45507</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45507</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45507</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45507</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45507</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45507</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45507</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45507</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45507</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45507</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45507</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45507</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45507</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45507</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45507</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45507</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45507</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45507</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45507</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45507</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45507</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45507</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45507</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45507</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45507</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45507</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45507</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45507</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45507</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45507</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45507</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45507</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45507</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45507</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45507</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45507</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45507</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45507</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45507</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45507</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45507</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45507</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45507</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45507</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45507</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45507</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45507</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45507</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45507</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45507</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45507</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45507</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45507</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45507</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45507</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45507</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45507</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45507</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45507</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45507</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45507</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45507</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45507</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45507</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45507</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45507</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45507</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45507</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45507</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45507</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45507</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45507</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45507</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45507</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45507</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45507</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45507</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45507</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45507</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45507</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45507</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45507</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45507</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45507</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45507</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45507</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45507</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45507</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45507</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45507</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45507</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45507</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45507</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45507</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45507</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45507</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45507</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45507</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45507</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45507</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45507</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45507</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45507</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45507</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45507</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45507</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45507</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45507</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45507</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45507</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45507</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45507</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45507</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45507</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45507</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45507</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45507</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45507</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45507</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45507</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45507</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45507</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45507</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45507</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45507</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45507</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45507</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45507</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45507</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45507</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45507</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45507</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45507</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45507</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45507</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45507</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45507</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45507</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45507</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45507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45507</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45507</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45507</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45507</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45507</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45507</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45507</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45507</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45507</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45507</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45507</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45507</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45507</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45507</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45507</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45507</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45507</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45507</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45507</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45507</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45507</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45507</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45507</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45507</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45507</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45507</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45507</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45507</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45507</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45507</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45507</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45507</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45507</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45507</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45507</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45507</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45507</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45507</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45507</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45507</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45507</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45507</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45507</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45507</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45507</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45507</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45507</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45507</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45507</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45507</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45507</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45507</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45507</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45507</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45507</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45507</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45507</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45507</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45507</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45507</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45507</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45507</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45507</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45507</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45507</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45507</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45507</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45507</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45507</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45507</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45507</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45507</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45507</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45507</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45507</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45507</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45507</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45507</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45507</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45507</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45507</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45507</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45507</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45507</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45507</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45507</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45507</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45507</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45507</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45507</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45507</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45507</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45507</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45507</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45507</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45507</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45507</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45507</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45507</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45507</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45507</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45507</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45507</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45507</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45507</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45507</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45507</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45507</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45507</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45507</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45507</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45507</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45507</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45507</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45507</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45507</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45507</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45507</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45507</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45507</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45507</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45507</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45507</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45507</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45507</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45507</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45507</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45507</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45507</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45507</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45507</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45507</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45507</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45507</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45507</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45507</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45507</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45507</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45507</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45507</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45507</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45507</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45507</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45507</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45507</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45507</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45507</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45507</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45507</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45507</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45507</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45507</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45507</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45507</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45507</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45507</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45507</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45507</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45507</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45507</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45507</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45507</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45507</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45507</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45507</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45507</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45507</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45507</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45507</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45507</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45507</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45507</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45507</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45507</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45507</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45507</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45507</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45507</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45507</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45507</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45507</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45507</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45507</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45507</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45507</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45507</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45507</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45507</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45507</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45507</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45507</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45507</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45507</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45507</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45507</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45507</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45507</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45507</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45507</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45507</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45507</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45507</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45507</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45507</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45507</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45507</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45507</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45507</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45507</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45507</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45507</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45507</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45507</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45507</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45507</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45507</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45507</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45507</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45507</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45507</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45507</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45507</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45507</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45507</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45507</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45507</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45507</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45507</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45507</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45507</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45507</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45507</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45507</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45507</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45507</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45507</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45507</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45507</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45507</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45507</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45507</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45507</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45507</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45507</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45507</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45507</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45507</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45507</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45507</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45507</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45507</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45507</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45507</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45507</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45507</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45507</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45507</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45507</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45507</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45507</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45507</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45507</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45507</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45507</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45507</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45507</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45507</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45507</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45507</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45507</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45507</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45507</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45507</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45507</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45507</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45507</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45507</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45507</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45507</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45507</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45507</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45507</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45507</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45507</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45507</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45507</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45507</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45507</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45507</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45507</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45507</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45507</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45507</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45507</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45507</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45507</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45507</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45507</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45507</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45507</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45507</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45507</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45507</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45507</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45507</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45507</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45507</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45507</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45507</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45507</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45507</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45507</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45507</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45507</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45507</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45507</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45507</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45507</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45507</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45507</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45507</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45507</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45507</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45507</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45507</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45507</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45507</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45507</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45507</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45507</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45507</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45507</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45507</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45507</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45507</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45507</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45507</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45507</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45507</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45507</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45507</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45507</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45507</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45507</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45507</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45507</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45507</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45507</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45507</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45507</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45507</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45507</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45507</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45507</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45507</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45507</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45507</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45507</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45507</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45507</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45507</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45507</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45507</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45507</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45507</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45507</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45507</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45507</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45507</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45507</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45507</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45507</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45507</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45507</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45507</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45507</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45507</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45507</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45507</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45507</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45507</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45507</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45507</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45507</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45507</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45507</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45507</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45507</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45507</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45507</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45507</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45507</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45507</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45507</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45507</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45507</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45507</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45507</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45507</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45507</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45507</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45507</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45507</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45507</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45507</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45507</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45507</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45507</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45507</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45507</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45507</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45507</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45507</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45507</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45507</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45507</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45507</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45507</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45507</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45507</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45507</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45507</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45507</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45507</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45507</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45507</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45507</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45507</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45507</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45507</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45507</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45507</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45507</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45507</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45507</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45507</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45507</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45507</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45507</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45507</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45507</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45507</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45507</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45507</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45507</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45507</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45507</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45507</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45507</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45507</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45507</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45507</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45507</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45507</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45507</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45507</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45507</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45507</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45507</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45507</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45507</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45507</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45507</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45507</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45507</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45507</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45507</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45507</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45507</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45507</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45507</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45507</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45507</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45507</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45507</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45507</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45507</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45507</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45507</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45507</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45507</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45507</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45507</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45507</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45507</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45507</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45507</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45507</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45507</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45507</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45507</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45507</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45507</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45507</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45507</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45507</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45507</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45507</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45507</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45507</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45507</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45507</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45507</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45507</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45507</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45507</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45507</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45507</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45507</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45507</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45507</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45507</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45507</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45507</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45507</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45507</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45507</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45507</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45507</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45507</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45507</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45507</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45507</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45507</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45507</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45507</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45507</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45507</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45507</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45507</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45507</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45507</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45507</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45507</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45507</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45507</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45507</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45507</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45507</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45507</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45507</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45507</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45507</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45507</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45507</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45507</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45507</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45507</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45507</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45507</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45507</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45507</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45507</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45507</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45507</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45507</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45507</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45507</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45507</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45507</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45507</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45507</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45507</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45507</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45507</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45507</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45507</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45507</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45507</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45507</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45507</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45507</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45507</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45507</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45507</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45507</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45507</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45507</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45507</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45507</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45507</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45507</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45507</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45507</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45507</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45507</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45507</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45507</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45507</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45507</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45507</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45507</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45507</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45507</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45507</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45507</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45507</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45507</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45507</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45507</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45507</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45507</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45507</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45507</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45507</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45507</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45507</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45507</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45507</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45507</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45507</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45507</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45507</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45507</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45507</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45507</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45507</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45507</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45507</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45507</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45507</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45507</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45507</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45507</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45507</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45507</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45507</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45507</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45507</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45507</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45507</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45507</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45507</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45507</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45507</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45507</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45507</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45507</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45507</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45507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45507</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45507</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45507</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45507</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45507</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45507</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45507</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45507</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45507</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45507</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45507</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45507</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45507</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45507</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45507</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45507</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45507</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45507</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45507</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45507</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45507</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45507</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45507</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45507</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45507</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45507</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45507</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45507</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45507</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45507</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45507</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45507</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45507</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45507</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45507</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45507</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45507</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45507</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45507</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45507</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45507</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45507</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45507</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45507</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45507</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45507</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45507</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45507</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45507</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45507</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45507</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45507</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45507</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45507</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45507</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45507</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45507</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45507</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45507</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45507</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45507</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45507</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45507</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45507</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45507</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45507</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45507</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45507</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45507</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45507</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45507</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45507</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45507</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45507</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45507</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45507</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45507</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45507</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45507</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45507</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45507</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45507</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45507</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45507</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45507</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45507</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45507</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45507</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45507</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45507</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45507</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45507</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45507</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45507</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45507</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45507</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45507</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45507</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45507</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45507</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45507</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45507</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45507</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45507</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45507</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45507</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45507</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45507</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45507</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45507</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45507</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45507</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45507</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45507</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45507</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45507</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45507</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45507</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45507</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45507</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45507</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45507</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45507</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45507</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45507</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45507</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45507</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45507</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45507</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45507</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45507</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45507</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45507</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45507</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45507</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45507</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45507</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45507</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45507</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45507</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45507</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45507</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45507</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45507</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45507</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45507</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45507</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45507</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45507</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45507</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45507</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45507</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45507</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45507</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45507</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45507</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45507</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45507</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45507</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45507</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45507</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45507</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45507</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45507</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45507</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45507</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45507</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45507</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45507</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45507</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45507</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45507</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45507</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45507</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45507</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45507</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45507</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45507</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45507</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45507</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45507</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45507</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45507</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45507</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45507</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45507</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45507</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45507</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45507</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45507</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45507</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45507</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45507</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45507</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45507</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45507</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45507</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45507</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45507</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45507</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45507</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45507</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45507</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45507</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45507</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45507</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45507</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45507</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45507</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45507</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45507</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45507</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45507</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45507</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45507</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45507</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45507</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45507</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45507</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45507</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45507</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45507</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45507</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45507</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45507</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45507</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45507</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45507</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45507</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45507</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45507</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45507</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45507</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45507</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45507</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45507</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45507</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45507</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45507</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45507</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45507</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45507</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45507</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45507</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45507</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45507</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45507</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45507</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45507</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45507</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45507</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45507</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45507</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45507</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45507</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45507</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45507</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45507</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45507</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45507</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45507</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45507</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45507</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45507</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45507</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45507</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45507</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45507</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45507</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45507</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45507</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45507</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45507</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45507</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45507</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45507</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45507</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45507</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45507</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45507</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45507</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45507</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45507</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45507</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45507</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45507</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45507</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45507</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45507</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45507</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45507</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45507</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45507</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45507</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45507</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45507</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45507</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45507</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45507</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45507</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45507</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45507</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45507</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45507</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45507</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45507</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45507</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45507</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45507</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45507</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45507</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45507</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45507</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45507</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45507</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45507</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45507</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45507</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45507</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45507</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45507</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45507</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45507</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45507</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45507</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45507</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45507</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45507</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45507</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45507</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45507</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45507</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45507</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45507</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45507</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45507</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45507</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45507</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45507</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45507</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45507</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45507</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45507</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45507</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45507</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45507</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45507</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45507</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45507</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45507</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45507</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45507</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45507</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45507</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45507</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45507</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45507</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45507</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45507</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45507</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45507</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45507</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45507</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45507</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45507</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45507</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45507</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45507</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45507</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45507</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45507</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45507</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45507</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45507</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45507</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45507</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45507</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45507</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45507</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45507</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45507</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45507</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45507</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45507</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45507</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45507</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45507</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45507</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45507</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45507</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45507</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45507</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45507</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45507</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45507</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45507</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45507</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45507</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45507</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45507</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45507</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45507</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45507</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45507</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45507</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45507</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45507</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45507</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45507</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45507</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45507</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45507</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45507</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45507</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45507</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45507</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45507</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45507</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45507</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45507</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45507</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45507</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45507</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45507</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45507</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45507</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45507</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45507</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45507</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45507</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45507</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45507</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45507</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45507</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45507</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45507</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45507</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45507</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45507</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45507</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45507</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45507</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45507</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45507</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45507</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45507</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45507</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45507</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45507</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45507</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45507</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45507</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45507</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45507</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45507</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45507</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45507</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45507</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45507</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45507</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45507</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45507</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45507</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45507</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45507</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45507</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45507</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45507</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45507</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45507</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45507</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45507</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45507</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45507</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45507</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45507</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45507</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45507</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45507</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45507</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45507</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45507</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45507</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45507</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45507</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45507</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45507</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45507</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45507</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45507</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45507</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45507</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45507</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45507</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45507</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45507</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45507</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45507</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45507</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45507</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45507</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45507</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45507</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45507</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45507</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45507</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45507</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45507</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45507</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45507</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45507</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45507</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45507</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45507</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45507</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45507</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45507</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45507</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45507</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45507</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45507</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45507</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45507</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45507</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45507</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45507</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45507</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45507</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45507</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45507</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45507</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45507</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45507</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45507</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45507</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45507</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45507</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45507</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45507</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45507</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45507</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45507</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45507</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45507</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45507</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45507</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45507</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45507</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45507</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45507</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45507</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45507</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45507</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45507</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45507</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45507</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45507</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45507</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45507</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45507</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45507</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45507</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45507</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45507</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45507</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45507</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45507</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45507</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45507</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45507</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45507</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45507</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45507</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45507</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45507</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45507</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45507</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45507</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45507</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45507</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45507</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45507</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45507</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45507</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45507</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45507</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45507</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45507</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45507</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45507</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45507</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45507</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45507</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45507</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45507</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45507</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45507</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45507</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45507</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45507</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45507</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45507</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45507</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45507</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45507</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45507</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45507</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45507</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45507</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45507</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45507</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45507</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45507</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45507</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45507</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45507</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45507</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45507</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45507</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45507</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45507</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45507</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45507</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45507</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45507</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45507</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45507</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45507</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45507</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45507</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45507</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45507</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45507</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45507</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45507</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45507</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45507</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45507</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45507</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45507</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45507</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45507</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45507</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45507</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45507</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45507</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45507</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45507</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45507</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45507</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45507</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45507</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45507</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45507</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45507</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45507</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45507</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45507</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45507</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45507</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45507</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45507</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45507</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45507</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45507</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45507</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45507</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45507</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45507</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45507</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45507</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45507</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45507</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45507</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45507</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45507</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45507</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45507</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45507</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45507</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45507</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45507</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45507</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45507</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45507</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45507</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45507</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45507</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45507</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45507</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45507</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45507</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45507</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45507</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45507</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45507</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45507</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45507</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45507</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45507</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45507</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45507</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45507</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45507</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45507</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45507</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45507</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45507</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45507</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45507</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45507</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45507</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45507</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45507</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45507</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45507</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45507</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45507</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45507</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45507</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45507</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45507</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45507</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45507</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45507</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45507</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45507</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45507</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45507</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45507</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45507</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45507</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45507</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45507</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45507</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45507</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45507</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45507</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45507</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45507</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45507</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45507</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45507</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45507</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45507</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45507</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45507</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45507</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45507</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45507</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45507</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45507</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45507</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45507</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45507</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45507</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45507</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45507</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45507</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45507</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45507</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45507</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45507</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45507</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45507</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45507</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45507</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45507</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45507</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45507</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45507</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45507</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45507</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45507</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45507</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45507</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45507</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45507</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45507</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45507</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45507</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45507</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45507</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45507</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45507</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45507</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45507</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45507</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45507</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45507</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45507</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45507</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45507</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45507</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45507</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45507</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45507</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45507</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45507</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45507</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45507</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45507</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45507</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45507</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45507</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45507</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45507</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45507</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45507</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45507</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45507</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45507</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45507</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45507</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45507</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45507</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45507</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45507</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45507</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45507</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45507</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45507</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45507</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45507</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45507</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45507</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45507</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45507</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45507</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45507</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45507</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45507</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45507</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45507</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45507</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45507</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45507</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45507</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45507</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45507</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45507</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45507</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45507</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45507</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45507</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45507</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45507</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45507</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45507</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45507</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45507</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45507</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45507</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45507</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45507</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45507</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45507</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45507</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45507</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45507</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45507</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45507</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45507</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45507</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45507</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45507</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45507</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45507</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45507</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45507</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45507</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45507</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45507</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45507</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45507</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45507</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45507</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45507</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45507</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45507</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45507</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45507</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45507</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45507</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45507</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45507</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45507</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45507</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45507</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45507</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45507</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45507</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45507</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45507</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45507</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45507</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45507</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45507</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45507</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45507</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45507</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45507</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45507</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45507</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45507</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45507</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45507</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45507</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45507</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45507</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45507</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45507</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45507</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45507</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45507</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45507</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45507</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45507</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45507</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45507</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45507</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45507</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45507</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45507</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45507</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45507</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45507</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45507</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45507</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45507</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45507</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45507</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45507</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45507</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45507</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45507</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45507</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45507</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45507</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45507</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45507</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45507</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45507</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45507</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45507</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45507</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45507</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45507</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45507</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45507</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45507</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45507</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45507</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45507</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45507</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45507</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45507</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45507</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45507</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45507</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45507</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45507</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45507</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45507</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45507</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45507</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45507</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45507</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45507</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45507</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45507</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45507</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45507</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45507</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45507</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45507</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45507</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45507</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45507</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45507</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45507</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45507</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45507</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45507</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45507</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45507</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45507</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45507</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45507</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45507</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45507</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45507</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45507</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45507</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45507</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45507</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45507</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45507</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45507</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45507</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45507</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45507</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45507</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45507</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45507</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45507</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45507</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45507</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45507</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45507</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45507</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45507</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45507</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45507</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45507</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45507</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45507</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45507</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45507</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45507</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45507</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45507</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45507</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45507</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45507</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45507</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45507</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45507</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45507</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45507</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45507</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45507</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45507</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45507</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45507</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45507</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45507</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45507</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45507</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45507</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45507</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45507</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45507</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45507</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45507</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45507</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45507</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45507</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45507</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45507</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45507</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45507</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45507</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45507</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45507</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45507</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45507</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45507</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45507</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45507</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45507</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45507</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45507</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45507</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45507</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45507</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45507</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45507</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45507</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45507</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45507</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45507</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45507</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45507</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45507</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45507</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45507</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45507</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45507</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45507</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45507</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45507</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45507</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45507</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45507</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45507</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45507</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45507</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45507</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45507</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45507</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45507</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45507</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45507</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45507</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45507</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45507</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45507</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45507</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45507</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45507</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45507</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45507</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45507</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45507</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45507</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45507</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45507</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45507</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45507</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45507</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45507</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45507</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45507</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45507</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45507</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45507</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45507</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45507</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45507</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45507</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45507</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45507</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45507</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45507</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45507</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45507</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45507</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45507</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45507</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45507</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45507</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45507</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45507</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45507</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45507</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45507</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45507</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45507</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45507</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45507</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45507</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45507</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45507</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45507</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45507</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45507</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45507</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45507</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45507</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45507</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45507</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45507</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45507</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45507</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45507</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45507</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45507</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45507</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45507</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45507</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45507</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45507</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45507</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45507</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45507</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45507</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45507</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45507</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45507</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45507</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45507</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45507</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45507</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45507</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45507</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45507</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45507</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45507</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45507</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45507</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45507</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45507</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45507</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45507</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45507</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45507</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45507</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45507</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45507</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45507</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45507</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45507</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45507</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45507</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45507</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45507</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45507</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45507</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45507</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45507</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45507</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45507</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45507</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45507</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45507</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45507</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45507</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45507</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45507</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45507</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45507</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45507</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45507</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45507</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45507</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45507</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45507</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45507</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45507</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45507</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45507</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45507</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45507</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45507</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45507</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45507</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45507</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45507</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45507</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45507</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45507</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45507</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45507</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45507</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45507</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45507</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45507</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45507</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45507</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45507</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45507</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45507</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45507</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45507</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45507</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45507</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45507</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45507</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45507</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45507</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45507</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45507</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45507</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45507</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45507</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45507</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45507</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45507</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45507</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45507</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45507</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45507</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45507</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45507</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45507</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45507</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45507</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45507</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45507</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45507</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45507</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45507</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45507</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45507</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45507</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45507</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45507</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45507</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45507</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45507</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45507</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45507</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45507</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45507</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45507</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45507</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45507</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45507</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45507</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45507</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45507</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45507</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45507</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45507</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45507</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45507</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45507</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45507</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45507</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45507</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45507</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45507</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45507</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45507</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45507</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45507</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45507</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45507</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45507</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45507</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45507</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45507</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45507</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45507</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45507</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45507</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45507</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45507</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45507</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45507</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45507</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45507</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45507</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45507</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45507</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45507</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45507</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45507</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45507</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45507</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45507</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45507</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45507</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45507</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45507</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45507</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45507</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45507</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45507</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45507</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45507</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45507</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45507</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45507</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45507</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45507</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45507</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45507</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45507</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45507</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45507</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45507</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45507</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45507</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45507</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45507</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45507</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45507</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45507</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45507</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45507</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45507</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45507</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45507</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45507</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45507</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45507</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45507</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45507</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45507</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45507</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45507</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45507</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45507</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45507</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45507</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45507</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45507</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45507</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45507</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45507</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45507</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45507</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45507</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45507</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45507</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45507</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45507</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45507</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45507</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45507</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45507</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45507</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45507</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45507</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45507</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45507</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45507</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45507</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45507</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45507</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45507</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45507</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45507</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45507</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45507</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45507</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45507</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45507</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45507</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45507</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45507</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45507</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45507</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45507</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45507</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45507</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45507</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45507</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45507</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45507</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45507</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45507</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45507</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45507</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45507</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45507</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45507</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45507</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45507</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45507</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45507</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45507</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45507</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45507</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45507</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45507</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45507</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45507</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45507</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45507</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45507</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45507</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45507</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45507</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45507</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45507</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45507</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45507</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45507</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45507</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45507</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45507</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45507</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45507</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45507</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45507</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45507</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45507</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45507</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45507</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45507</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45507</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45507</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45507</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45507</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45507</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45507</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45507</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45507</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45507</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45507</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45507</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45507</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45507</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45507</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45507</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45507</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45507</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45507</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45507</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45507</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45507</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45507</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45507</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45507</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45507</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45507</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45507</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45507</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45507</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45507</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45507</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45507</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45507</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45507</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45507</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45507</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45507</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45507</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45507</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45507</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45507</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45507</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45507</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45507</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45507</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45507</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45507</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45507</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45507</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45507</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45507</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45507</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45507</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45507</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45507</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45507</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45507</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45507</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45507</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45507</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45507</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45507</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45507</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45507</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45507</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45507</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45507</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45507</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45507</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45507</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45507</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45507</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45507</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45507</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45507</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45507</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45507</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45507</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45507</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45507</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45507</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45507</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45507</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45507</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45507</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45507</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45507</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45507</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45507</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45507</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45507</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45507</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45507</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45507</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45507</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45507</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45507</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45507</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45507</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45507</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45507</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45507</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45507</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45507</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45507</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45507</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45507</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45507</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45507</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45507</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45507</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45507</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45507</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45507</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45507</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45507</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45507</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45507</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45507</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45507</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45507</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45507</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45507</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45507</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45507</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45507</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45507</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45507</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45507</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45507</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45507</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45507</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45507</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45507</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45507</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45507</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45507</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45507</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45507</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45507</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45507</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45507</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45507</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45507</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45507</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45507</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45507</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45507</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45507</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45507</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45507</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45507</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45507</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45507</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45507</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45507</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45507</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45507</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45507</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45507</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45507</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45507</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45507</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45507</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45507</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45507</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45507</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45507</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45507</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45507</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45507</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45507</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45507</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45507</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45507</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45507</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45507</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45507</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45507</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45507</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45507</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45507</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45507</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45507</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45507</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45507</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45507</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45507</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45507</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45507</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45507</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45507</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45507</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45507</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45507</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45507</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45507</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45507</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45507</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45507</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45507</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45507</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45507</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45507</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45507</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45507</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45507</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45507</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45507</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45507</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45507</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45507</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45507</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45507</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45507</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45507</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45507</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45507</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45507</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45507</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45507</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45507</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45507</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45507</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45507</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45507</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45507</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45507</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45507</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45507</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45507</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45507</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45507</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45507</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45507</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45507</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45507</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45507</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45507</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45507</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45507</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45507</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45507</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45507</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45507</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45507</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45507</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45507</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45507</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45507</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45507</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45507</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45507</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45507</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45507</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45507</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45507</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45507</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45507</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45507</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45507</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45507</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45507</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45507</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45507</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45507</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45507</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45507</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45507</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45507</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45507</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45507</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45507</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45507</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45507</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45507</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45507</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45507</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45507</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45507</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45507</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45507</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45507</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45507</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45507</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45507</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45507</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45507</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45507</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45507</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45507</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45507</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45507</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45507</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45507</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45507</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45507</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45507</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45507</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45507</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45507</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45507</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45507</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45507</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45507</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45507</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45507</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45507</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45507</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45507</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45507</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45507</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45507</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45507</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45507</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45507</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45507</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45507</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45507</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45507</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45507</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45507</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45507</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45507</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45507</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45507</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45507</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45507</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45507</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45507</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45507</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45507</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45507</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45507</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45507</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45507</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45507</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45507</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45507</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45507</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45507</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45507</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45507</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45507</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45507</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45507</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45507</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45507</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45507</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45507</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45507</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45507</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45507</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45507</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45507</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45507</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45507</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45507</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45507</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45507</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45507</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45507</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45507</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45507</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45507</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45507</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45507</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45507</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45507</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45507</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45507</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45507</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45507</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45507</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45507</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45507</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45507</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45507</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45507</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45507</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45507</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45507</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45507</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45507</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45507</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45507</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45507</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45507</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45507</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45507</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45507</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45507</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45507</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45507</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45507</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45507</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45507</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45507</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45507</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45507</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45507</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45507</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45507</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45507</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45507</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45507</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45507</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45507</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45507</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45507</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45507</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45507</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45507</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45507</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45507</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45507</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45507</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45507</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45507</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45507</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45507</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45507</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45507</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45507</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45507</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45507</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45507</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45507</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45507</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45507</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45507</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45507</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45507</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45507</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45507</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45507</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45507</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45507</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45507</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45507</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45507</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45507</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45507</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45507</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45507</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45507</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45507</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45507</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45507</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45507</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45507</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45507</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45507</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45507</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45507</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45507</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45507</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45507</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45507</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45507</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45507</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45507</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45507</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45507</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45507</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45507</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45507</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45507</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45507</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45507</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45507</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45507</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45507</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45507</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45507</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45507</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45507</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45507</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45507</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45507</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45507</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45507</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45507</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45507</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45507</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45507</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45507</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45507</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45507</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45507</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45507</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45507</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45507</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45507</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45507</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45507</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45507</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45507</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45507</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45507</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45507</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45507</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45507</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45507</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45507</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45507</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45507</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45507</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45507</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45507</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45507</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45507</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45507</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45507</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45507</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45507</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45507</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45507</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45507</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45507</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45507</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45507</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45507</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45507</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45507</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45507</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45507</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45507</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45507</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45507</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45507</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45507</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45507</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45507</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45507</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45507</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45507</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45507</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45507</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45507</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45507</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45507</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45507</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45507</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45507</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45507</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45507</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45507</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45507</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45507</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45507</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45507</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45507</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45507</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45507</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45507</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45507</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45507</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45507</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45507</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45507</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45507</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45507</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45507</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45507</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45507</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45507</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45507</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45507</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45507</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45507</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45507</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45507</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45507</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45507</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45507</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45507</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45507</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45507</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45507</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45507</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45507</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45507</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45507</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45507</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45507</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45507</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45507</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45507</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45507</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45507</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45507</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45507</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45507</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45507</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45507</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45507</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45507</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45507</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45507</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45507</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45507</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45507</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45507</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45507</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45507</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45507</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45507</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45507</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45507</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45507</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45507</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45507</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45507</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45507</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45507</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45507</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45507</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45507</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45507</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45507</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45507</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45507</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45507</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45507</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45507</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45507</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45507</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45507</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45507</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45507</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45507</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45507</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45507</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45507</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45507</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45507</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45507</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45507</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45507</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45507</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45507</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45507</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45507</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45507</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45507</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45507</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45507</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45507</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45507</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45507</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45507</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45507</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45507</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45507</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45507</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45507</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45507</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45507</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45507</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45507</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45507</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45507</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45507</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45507</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45507</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45507</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45507</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45507</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45507</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45507</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45507</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45507</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45507</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45507</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45507</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45507</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45507</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45507</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45507</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45507</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45507</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45507</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45507</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45507</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45507</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45507</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45507</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45507</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45507</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45507</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45507</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45507</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45507</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45507</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45507</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45507</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45507</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45507</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45507</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45507</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45507</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45507</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45507</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45507</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45507</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45507</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45507</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45507</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45507</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45507</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45507</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45507</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45507</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45507</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45507</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45507</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45507</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45507</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45507</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45507</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45507</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45507</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45507</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45507</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45507</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45507</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45507</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45507</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45507</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45507</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45507</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45507</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45507</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45507</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45507</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45507</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45507</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45507</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45507</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45507</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45507</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45507</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45507</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45507</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45507</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45507</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45507</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45507</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45507</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45507</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45507</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45507</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45507</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45507</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45507</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45507</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45507</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45507</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45507</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45507</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45507</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45507</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45507</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45507</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45507</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45507</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45507</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45507</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45507</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45507</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45507</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45507</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45507</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45507</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45507</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45507</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45507</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45507</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45507</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45507</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45507</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45507</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45507</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45507</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45507</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45507</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45507</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45507</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45507</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45507</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45507</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45507</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45507</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45507</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45507</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45507</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45507</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45507</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45507</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45507</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45507</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45507</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45507</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45507</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45507</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45507</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45507</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45507</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45507</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45507</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45507</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45507</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45507</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45507</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45507</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45507</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45507</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45507</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45507</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45507</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45507</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45507</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45507</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45507</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45507</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45507</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45507</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45507</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45507</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45507</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45507</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45507</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45507</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45507</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45507</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45507</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45507</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45507</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45507</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45507</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45507</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45507</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45507</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45507</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45507</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45507</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45507</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45507</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45507</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45507</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45507</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45507</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45507</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45507</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45507</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45507</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45507</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45507</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45507</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45507</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45507</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45507</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45507</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45507</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45507</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45507</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45507</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45507</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45507</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45507</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45507</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45507</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45507</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45507</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45507</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45507</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45507</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45507</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45507</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45507</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45507</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45507</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45507</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45507</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45507</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45507</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45507</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45507</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45507</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45507</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45507</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45507</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45507</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45507</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45507</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45507</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45507</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45507</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45507</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45507</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45507</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45507</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45507</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45507</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45507</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45507</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45507</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45507</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45507</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45507</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45507</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45507</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45507</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45507</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45507</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45507</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45507</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45507</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45507</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45507</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45507</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45507</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45507</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45507</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45507</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45507</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45507</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45507</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45507</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45507</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45507</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45507</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45507</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45507</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45507</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45507</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45507</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45507</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45507</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45507</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45507</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45507</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45507</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45507</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45507</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45507</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45507</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45507</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45507</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45507</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45507</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45507</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45507</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45507</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45507</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45507</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45507</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45507</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45507</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45507</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45507</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45507</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45507</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45507</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45507</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45507</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45507</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45507</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45507</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45507</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45507</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45507</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45507</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45507</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45507</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45507</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45507</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45507</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45507</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45507</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45507</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45507</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45507</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45507</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45507</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45507</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45507</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45507</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45507</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45507</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45507</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45507</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45507</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45507</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45507</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45507</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45507</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45507</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45507</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45507</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45507</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45507</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45507</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45507</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45507</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45507</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45507</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45507</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45507</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45507</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45507</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45507</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45507</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45507</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45507</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45507</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45507</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45507</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45507</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45507</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45507</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45507</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45507</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45507</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45507</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45507</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45507</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45507</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45507</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45507</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45507</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45507</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45507</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45507</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45507</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45507</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45507</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45507</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45507</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45507</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45507</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45507</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45507</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45507</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45507</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45507</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45507</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45507</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45507</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45507</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45507</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45507</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45507</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45507</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45507</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45507</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45507</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45507</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45507</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45507</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45507</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45507</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45507</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45507</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45507</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45507</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45507</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45507</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45507</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45507</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45507</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45507</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45507</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45507</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45507</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45507</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45507</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45507</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45507</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45507</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45507</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45507</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45507</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45507</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45507</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45507</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45507</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45507</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45507</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45507</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45507</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45507</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45507</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45507</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45507</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45507</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45507</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45507</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45507</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45507</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45507</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45507</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45507</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45507</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45507</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45507</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45507</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45507</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45507</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45507</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45507</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45507</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45507</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45507</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45507</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45507</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45507</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45507</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45507</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45507</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45507</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45507</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45507</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45507</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45507</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45507</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45507</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45507</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45507</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45507</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45507</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45507</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45507</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45507</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45507</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45507</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45507</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45507</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45507</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45507</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45507</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45507</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45507</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45507</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45507</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45507</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45507</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45507</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45507</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45507</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45507</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45507</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45507</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45507</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45507</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45507</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45507</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45507</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45507</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45507</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45507</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45507</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45507</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45507</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45507</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45507</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45507</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45507</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45507</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45507</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45507</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45507</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45507</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45507</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45507</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45507</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45507</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45507</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45507</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45507</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45507</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45507</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45507</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45507</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45507</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45507</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45507</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45507</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45507</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45507</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45507</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45507</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45507</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45507</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45507</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45507</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45507</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45507</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45507</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45507</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45507</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45507</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45507</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45507</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45507</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45507</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45507</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45507</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45507</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45507</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45507</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45507</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45507</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45507</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45507</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45507</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45507</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45507</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45507</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45507</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45507</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45507</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45507</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45507</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45507</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45507</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45507</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45507</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45507</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45507</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45507</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45507</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45507</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45507</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45507</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45507</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45507</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45507</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45507</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45507</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45507</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45507</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45507</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45507</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45507</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45507</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45507</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45507</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45507</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45507</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45507</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45507</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45507</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45507</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45507</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45507</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45507</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45507</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45507</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45507</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45507</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45507</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45507</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45507</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45507</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45507</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45507</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45507</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45507</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45507</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45507</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45507</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45507</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45507</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45507</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45507</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45507</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45507</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45507</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45507</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45507</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45507</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45507</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45507</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45507</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45507</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45507</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45507</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45507</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45507</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45507</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45507</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45507</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45507</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45507</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45507</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45507</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45507</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45507</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45507</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45507</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45507</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45507</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45507</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45507</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45507</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45507</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45507</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45507</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45507</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45507</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45507</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45507</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45507</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45507</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45507</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45507</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45507</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45507</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45507</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45507</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45507</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45507</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45507</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45507</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45507</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45507</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45507</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45507</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45507</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45507</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45507</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45507</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45507</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45507</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45507</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45507</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45507</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45507</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45507</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45507</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45507</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45507</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45507</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45507</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45507</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45507</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45507</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45507</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45507</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45507</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45507</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45507</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45507</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45507</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45507</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45507</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45507</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45507</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45507</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45507</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45507</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45507</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45507</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45507</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45507</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45507</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45507</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45507</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45507</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45507</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45507</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45507</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45507</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45507</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45507</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45507</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45507</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45507</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45507</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45507</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45507</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45507</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45507</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45507</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45507</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45507</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45507</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45507</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45507</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45507</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45507</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45507</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45507</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45507</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45507</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45507</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45507</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45507</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45507</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45507</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45507</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45507</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45507</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45507</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45507</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45507</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45507</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45507</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45507</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45507</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45507</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45507</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45507</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45507</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45507</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45507</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45507</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45507</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45507</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45507</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45507</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45507</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45507</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45507</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45507</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45507</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45507</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45507</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45507</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45507</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45507</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45507</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45507</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45507</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45507</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45507</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45507</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45507</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45507</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45507</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45507</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45507</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45507</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45507</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45507</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45507</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45507</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45507</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45507</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45507</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45507</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45507</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45507</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45507</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45507</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45507</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45507</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45507</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45507</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45507</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45507</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45507</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45507</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45507</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45507</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45507</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45507</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45507</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45507</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45507</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45507</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45507</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45507</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45507</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45507</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45507</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45507</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45507</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45507</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45507</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45507</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45507</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45507</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45507</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45507</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45507</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45507</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45507</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45507</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45507</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45507</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45507</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45507</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45507</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45507</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45507</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45507</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45507</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45507</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45507</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45507</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45507</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45507</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45507</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45507</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45507</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45507</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45507</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45507</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45507</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45507</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45507</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45507</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45507</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45507</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45507</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45507</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45507</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45507</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45507</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45507</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45507</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45507</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45507</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45507</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45507</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45507</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45507</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45507</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45507</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45507</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45507</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45507</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45507</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45507</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45507</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45507</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45507</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45507</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45507</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45507</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45507</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45507</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45507</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45507</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45507</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45507</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45507</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45507</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45507</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45507</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45507</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45507</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45507</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45507</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45507</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45507</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45507</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45507</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45507</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45507</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45507</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45507</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45507</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45507</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45507</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45507</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45507</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45507</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45507</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45507</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45507</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45507</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45507</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45507</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45507</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45507</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45507</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45507</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45507</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45507</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45507</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45507</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45507</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45507</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45507</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45507</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45507</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45507</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45507</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45507</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45507</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45507</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45507</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45507</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45507</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45507</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45507</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45507</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45507</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45507</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45507</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45507</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45507</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45507</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45507</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45507</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45507</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45507</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45507</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45507</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45507</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45507</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45507</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45507</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45507</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45507</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45507</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45507</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45507</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45507</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45507</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45507</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45507</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45507</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45507</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45507</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45507</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45507</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45507</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45507</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45507</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45507</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45507</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45507</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45507</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45507</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45507</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45507</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45507</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45507</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45507</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45507</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45507</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45507</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45507</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45507</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45507</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45507</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45507</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45507</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45507</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45507</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45507</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45507</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45507</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45507</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45507</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45507</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45507</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45507</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45507</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45507</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45507</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45507</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45507</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45507</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45507</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45507</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45507</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45507</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45507</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45507</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45507</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45507</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45507</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45507</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45507</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45507</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45507</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45507</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45507</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45507</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45507</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45507</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45507</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45507</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45507</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45507</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45507</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45507</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45507</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45507</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45507</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45507</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45507</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45507</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45507</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45507</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45507</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45507</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45507</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45507</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45507</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45507</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45507</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45507</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45507</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45507</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45507</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45507</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45507</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45507</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45507</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45507</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45507</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45507</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45507</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45507</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45507</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45507</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45507</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45507</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45507</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45507</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45507</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45507</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45507</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45507</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45507</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45507</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45507</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45507</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45507</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45507</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45507</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45507</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45507</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45507</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45507</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45507</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45507</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45507</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45507</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45507</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45507</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45507</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45507</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45507</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45507</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45507</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45507</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45507</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45507</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45507</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45507</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45507</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45507</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45507</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45507</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45507</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45507</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45507</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45507</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45507</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45507</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45507</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45507</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45507</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45507</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45507</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45507</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45507</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45507</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45507</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45507</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45507</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45507</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45507</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45507</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45507</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45507</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45507</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45507</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45507</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45507</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45507</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45507</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45507</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45507</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45507</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45507</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45507</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45507</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45507</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45507</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45507</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45507</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45507</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45507</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45507</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45507</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45507</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45507</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45507</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45507</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45507</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45507</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45507</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45507</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45507</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45507</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45507</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45507</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45507</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45507</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45507</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45507</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45507</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45507</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45507</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45507</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45507</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45507</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45507</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45507</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45507</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45507</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45507</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45507</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45507</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45507</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45507</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45507</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45507</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45507</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45507</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45507</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45507</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45507</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45507</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45507</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45507</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45507</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45507</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45507</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45507</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45507</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45507</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45507</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45507</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45507</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45507</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45507</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45507</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45507</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45507</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45507</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45507</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45507</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45507</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45507</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45507</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45507</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45507</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45507</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45507</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45507</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45507</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45507</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45507</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45507</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45507</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45507</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45507</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45507</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45507</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45507</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45507</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45507</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45507</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45507</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45507</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45507</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45507</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45507</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45507</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45507</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45507</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45507</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45507</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45507</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45507</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45507</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45507</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45507</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45507</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45507</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45507</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45507</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45507</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45507</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45507</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45507</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45507</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45507</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45507</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45507</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45507</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45507</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45507</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45507</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45507</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45507</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45507</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45507</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45507</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45507</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45507</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45507</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45507</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45507</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45507</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45507</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45507</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45507</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45507</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45507</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45507</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45507</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45507</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45507</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45507</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45507</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45507</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45507</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45507</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45507</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45507</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45507</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45507</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45507</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45507</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45507</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45507</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45507</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45507</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45507</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45507</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45507</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45507</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45507</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45507</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45507</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45507</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45507</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45507</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45507</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45507</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45507</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45507</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45507</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45507</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45507</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45507</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45507</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45507</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45507</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45507</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45507</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45507</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45507</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45507</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45507</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45507</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45507</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45507</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45507</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45507</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45507</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45507</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45507</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45507</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45507</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45507</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45507</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45507</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45507</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45507</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45507</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45507</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45507</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45507</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45507</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45507</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45507</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45507</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45507</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45507</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45507</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45507</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45507</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45507</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45507</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45507</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45507</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45507</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45507</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45507</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45507</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45507</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45507</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45507</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45507</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45507</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45507</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45507</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45507</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45507</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45507</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45507</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45507</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45507</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45507</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45507</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45507</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45507</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45507</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45507</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45507</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45507</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45507</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45507</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45507</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45507</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45507</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45507</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45507</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45507</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45507</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45507</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45507</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45507</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45507</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45507</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45507</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45507</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45507</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45507</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45507</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45507</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45507</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45507</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45507</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45507</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45507</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45507</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45507</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45507</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45507</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45507</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45507</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45507</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45507</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45507</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45507</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45507</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45507</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45507</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45507</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45507</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45507</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45507</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45507</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45507</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45507</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45507</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45507</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45507</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45507</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45507</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45507</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45507</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45507</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45507</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45507</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45507</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45507</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45507</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45507</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45507</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45507</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45507</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45507</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45507</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45507</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45507</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45507</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45507</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45507</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45507</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45507</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45507</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45507</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45507</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45507</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45507</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45507</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45507</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45507</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45507</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45507</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45507</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45507</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45507</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45507</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45507</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45507</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45507</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45507</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45507</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45507</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45507</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45507</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45507</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45507</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45507</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45507</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45507</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45507</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45507</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45507</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45507</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45507</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45507</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45507</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45507</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45507</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45507</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45507</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45507</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45507</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45507</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45507</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45507</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45507</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45507</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45507</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45507</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45507</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45507</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45507</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45507</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45507</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45507</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45507</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45507</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45507</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45507</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45507</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45507</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45507</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45507</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45507</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45507</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45507</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45507</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45507</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45507</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45507</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45507</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45507</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45507</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45507</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45507</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45507</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45507</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45507</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45507</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45507</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45507</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45507</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45507</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45507</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45507</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45507</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45507</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45507</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45507</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45507</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45507</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45507</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45507</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45507</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45507</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45507</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45507</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45507</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45507</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45507</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45507</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45507</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45507</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45507</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45507</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45507</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45507</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45507</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45507</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45507</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45507</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45507</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45507</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45507</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45507</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45507</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45507</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45507</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45507</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45507</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45507</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45507</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45507</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45507</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45507</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45507</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45507</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45507</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45507</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45507</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45507</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45507</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45507</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45507</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45507</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45507</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45507</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45507</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45507</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45507</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45507</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45507</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45507</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45507</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45507</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45507</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45507</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45507</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45507</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45507</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45507</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45507</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45507</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45507</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45507</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45507</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45507</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45507</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45507</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45507</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45507</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45507</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45507</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45507</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45507</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45507</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45507</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45507</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45507</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45507</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45507</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45507</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45507</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45507</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45507</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45507</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45507</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45507</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45507</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45507</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45507</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45507</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45507</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45507</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45507</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45507</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45507</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45507</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45507</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45507</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45507</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45507</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45507</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45507</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45507</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45507</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45507</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45507</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45507</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45507</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45507</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45507</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45507</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45507</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45507</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45507</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45507</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45507</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45507</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45507</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45507</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45507</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45507</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45507</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45507</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45507</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45507</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45507</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45507</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45507</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45507</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45507</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45507</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45507</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45507</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45507</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45507</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45507</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45507</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45507</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45507</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45507</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45507</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45507</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45507</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45507</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45507</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45507</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45507</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45507</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45507</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45507</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45507</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45507</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45507</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45507</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45507</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45507</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45507</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45507</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45507</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45507</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45507</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45507</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45507</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45507</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45507</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45507</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45507</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45507</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45507</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45507</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45507</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45507</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45507</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45507</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45507</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45507</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45507</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45507</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45507</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45507</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45507</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45507</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45507</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45507</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45507</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45507</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45507</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45507</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45507</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45507</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45507</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45507</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45507</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45507</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45507</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45507</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45507</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45507</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45507</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45507</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45507</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45507</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45507</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45507</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45507</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45507</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45507</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45507</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45507</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45507</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45507</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45507</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45507</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45507</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45507</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45507</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45507</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45507</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45507</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45507</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45507</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45507</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45507</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45507</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45507</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45507</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45507</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45507</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45507</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45507</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45507</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45507</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45507</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45507</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45507</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45507</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45507</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45507</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45507</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45507</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45507</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45507</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45507</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45507</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45507</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45507</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45507</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45507</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45507</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45507</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45507</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45507</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45507</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45507</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45507</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45507</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45507</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45507</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45507</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45507</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45507</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45507</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45507</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45507</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45507</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45507</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45507</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45507</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45507</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45507</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45507</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45507</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45507</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45507</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45507</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45507</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45507</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45507</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45507</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45507</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45507</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45507</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45507</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45507</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45507</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45507</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45507</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45507</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45507</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45507</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45507</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45507</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45507</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45507</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45507</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45507</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45507</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45507</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45507</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45507</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45507</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45507</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45507</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45507</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45507</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45507</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45507</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45507</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45507</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45507</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45507</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45507</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45507</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45507</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45507</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45507</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45507</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45507</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45507</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45507</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45507</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45507</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45507</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45507</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45507</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45507</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45507</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45507</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45507</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45507</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45507</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45507</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45507</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45507</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45507</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45507</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45507</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45507</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45507</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45507</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45507</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45507</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45507</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45507</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45507</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45507</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45507</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45507</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45507</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45507</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45507</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45507</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45507</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45507</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45507</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45507</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45507</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45507</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45507</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45507</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45507</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45507</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45507</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45507</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45507</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45507</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45507</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45507</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45507</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45507</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45507</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45507</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45507</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45507</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45507</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45507</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45507</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45507</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45507</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45507</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45507</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45507</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45507</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45507</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45507</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45507</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45507</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45507</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45507</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45507</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45507</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45507</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45507</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45507</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45507</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45507</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45507</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45507</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45507</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45507</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45507</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45507</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45507</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45507</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45507</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45507</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45507</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45507</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45507</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45507</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45507</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45507</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45507</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45507</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45507</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45507</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45507</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45507</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45507</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45507</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45507</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45507</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45507</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45507</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45507</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45507</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45507</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45507</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45507</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45507</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45507</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45507</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45507</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45507</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45507</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45507</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45507</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45507</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45507</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45507</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45507</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45507</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45507</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45507</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45507</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45507</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45507</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45507</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45507</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45507</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45507</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45507</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45507</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45507</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45507</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45507</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45507</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45507</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45507</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45507</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45507</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45507</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45507</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45507</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45507</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45507</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45507</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45507</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45507</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45507</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45507</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45507</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45507</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45507</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45507</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45507</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45507</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45507</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45507</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45507</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45507</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45507</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45507</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45507</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45507</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45507</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45507</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45507</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45507</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45507</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45507</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45507</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45507</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45507</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45507</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45507</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45507</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45507</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45507</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45507</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45507</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45507</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45507</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45507</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45507</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45507</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45507</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45507</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45507</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45507</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45507</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45507</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45507</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45507</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45507</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45507</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45507</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45507</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45507</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45507</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45507</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45507</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45507</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45507</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45507</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45507</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45507</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45507</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45507</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45507</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45507</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45507</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45507</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45507</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45507</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45507</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45507</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45507</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45507</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45507</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45507</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45507</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45507</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45507</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45507</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45507</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45507</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45507</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45507</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45507</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45507</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45507</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45507</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45507</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45507</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45507</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45507</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45507</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45507</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45507</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45507</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45507</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45507</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45507</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45507</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45507</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45507</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45507</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45507</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45507</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45507</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45507</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45507</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45507</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45507</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45507</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45507</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45507</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45507</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45507</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45507</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45507</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45507</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45507</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45507</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45507</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45507</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45507</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45507</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45507</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45507</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45507</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45507</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45507</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45507</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45507</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45507</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45507</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45507</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45507</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45507</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45507</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45507</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45507</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45507</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45507</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45507</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45507</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45507</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45507</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45507</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45507</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45507</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45507</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45507</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45507</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45507</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45507</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45507</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45507</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45507</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45507</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45507</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45507</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45507</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45507</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45507</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45507</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45507</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45507</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45507</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45507</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45507</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45507</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45507</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45507</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45507</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45507</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45507</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45507</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45507</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45507</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45507</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45507</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45507</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45507</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45507</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45507</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45507</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45507</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45507</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45507</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45507</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45507</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45507</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45507</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45507</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45507</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45507</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45507</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45507</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45507</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45507</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45507</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45507</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45507</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45507</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45507</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45507</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45507</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45507</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45507</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45507</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45507</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45507</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45507</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45507</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45507</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45507</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45507</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45507</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45507</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45507</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45507</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45507</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45507</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45507</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45507</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45507</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45507</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45507</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45507</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45507</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45507</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45507</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45507</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45507</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45507</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45507</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45507</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45507</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45507</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45507</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45507</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45507</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45507</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45507</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45507</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45507</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45507</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45507</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45507</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45507</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45507</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45507</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45507</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45507</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45507</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45507</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45507</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45507</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45507</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45507</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45507</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45507</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45507</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45507</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45507</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45507</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45507</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45507</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45507</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45507</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45507</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45507</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45507</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45507</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45507</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45507</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45507</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45507</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45507</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45507</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45507</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45507</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45507</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45507</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45507</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45507</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45507</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45507</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45507</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45507</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45507</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45507</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45507</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45507</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45507</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45507</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45507</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45507</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45507</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45507</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45507</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45507</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45507</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45507</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45507</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45507</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45507</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45507</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45507</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45507</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45507</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45507</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45507</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45507</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45507</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45507</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45507</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45507</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45507</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45507</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45507</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45507</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45507</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45507</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45507</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45507</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45507</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45507</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45507</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45507</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45507</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45507</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45507</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45507</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45507</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45507</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45507</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45507</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45507</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45507</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45507</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45507</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45507</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45507</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45507</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45507</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45507</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45507</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45507</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45507</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45507</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45507</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45507</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45507</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45507</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45507</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45507</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45507</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45507</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45507</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45507</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45507</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45507</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45507</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45507</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45507</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45507</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45507</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45507</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45507</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45507</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45507</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45507</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45507</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45507</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45507</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45507</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45507</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45507</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45507</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45507</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45507</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45507</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45507</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45507</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45507</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45507</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45507</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45507</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45507</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45507</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45507</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45507</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45507</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45507</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45507</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45507</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45507</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45507</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45507</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45507</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45507</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45507</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45507</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45507</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45507</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45507</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45507</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45507</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45507</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45507</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45507</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45507</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45507</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45507</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45507</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45507</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45507</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45507</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45507</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45507</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45507</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45507</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45507</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45507</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45507</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45507</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45507</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45507</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45507</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45507</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45507</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45507</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45507</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45507</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45507</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45507</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45507</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45507</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45507</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45507</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45507</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45507</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45507</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45507</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45507</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45507</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45507</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45507</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45507</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45507</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45507</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45507</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45507</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45507</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45507</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45507</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45507</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45507</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45507</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45507</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45507</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45507</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45507</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45507</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45507</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45507</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45507</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45507</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45507</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45507</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45507</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45507</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45507</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45507</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45507</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45507</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45507</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45507</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45507</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45507</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45507</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45507</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45507</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45507</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45507</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45507</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45507</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45507</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45507</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45507</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45507</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45507</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45507</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45507</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45507</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45507</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45507</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45507</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45507</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45507</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45507</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45507</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45507</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45507</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45507</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45507</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45507</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45507</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45507</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45507</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45507</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45507</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45507</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45507</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45507</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45507</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45507</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45507</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45507</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45507</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45507</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45507</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45507</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45507</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45507</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45507</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45507</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45507</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45507</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45507</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45507</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45507</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45507</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45507</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45507</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45507</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45507</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45507</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45507</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45507</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45507</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45507</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45507</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45507</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45507</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45507</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45507</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45507</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45507</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45507</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45507</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45507</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45507</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45507</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45507</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45507</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45507</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45507</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45507</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45507</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45507</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45507</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45507</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45507</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45507</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45507</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45507</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45507</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45507</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45507</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45507</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45507</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45507</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45507</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45507</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45507</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45507</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45507</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45507</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45507</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45507</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45507</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45507</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45507</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45507</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45507</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45507</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45507</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45507</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45507</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45507</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45507</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45507</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45507</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45507</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45507</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45507</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45507</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45507</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45507</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45507</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45507</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45507</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45507</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45507</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45507</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45507</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45507</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45507</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45507</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45507</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45507</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45507</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45507</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45507</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45507</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45507</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45507</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45507</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45507</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45507</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45507</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45507</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45507</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45507</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45507</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45507</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45507</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45507</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45507</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45507</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45507</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45507</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45507</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45507</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45507</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45507</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45507</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45507</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45507</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45507</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45507</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45507</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45507</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45507</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45507</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45507</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45507</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45507</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45507</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45507</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45507</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45507</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45507</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45507</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45507</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45507</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45507</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45507</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45507</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45507</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45507</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45507</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45507</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45507</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45507</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45507</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45507</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45507</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45507</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45507</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45507</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45507</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45507</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45507</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45507</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45507</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45507</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45507</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45507</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45507</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45507</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45507</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45507</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45507</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45507</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45507</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45507</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45507</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45507</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45507</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45507</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45507</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45507</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45507</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45507</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45507</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45507</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45507</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45507</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45507</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45507</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45507</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45507</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45507</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45507</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45507</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45507</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45507</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45507</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45507</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45507</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45507</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45507</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45507</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45507</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45507</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45507</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45507</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45507</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45507</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45507</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45507</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45507</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45507</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45507</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45507</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45507</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45507</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45507</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45507</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45507</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45507</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45507</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45507</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45507</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45507</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45507</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45507</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45507</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45507</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45507</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45507</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45507</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45507</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45507</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45507</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45507</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45507</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45507</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45507</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45507</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45507</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45507</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45507</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45507</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45507</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45507</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45507</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45507</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45507</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45507</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45507</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45507</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45507</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45507</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45507</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45507</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45507</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45507</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45507</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45507</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45507</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45507</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45507</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45507</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45507</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45507</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45507</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45507</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45507</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45507</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45507</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45507</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45507</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45507</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45507</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45507</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45507</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45507</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45507</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45507</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45507</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45507</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45507</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45507</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45507</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45507</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45507</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45507</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45507</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45507</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45507</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45507</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45507</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45507</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45507</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45507</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45507</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45507</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45507</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45507</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45507</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45507</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45507</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45507</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45507</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45507</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45507</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45507</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45507</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45507</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45507</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45507</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45507</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45507</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45507</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45507</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45507</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45507</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45507</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45507</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45507</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45507</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45507</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45507</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45507</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45507</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45507</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45507</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45507</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45507</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45507</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45507</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45507</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45507</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45507</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45507</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45507</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45507</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45507</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45507</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45507</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45507</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45507</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45507</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45507</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45507</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45507</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45507</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45507</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45507</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45507</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45507</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45507</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45507</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45507</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45507</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45507</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45507</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45507</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45507</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45507</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45507</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45507</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45507</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45507</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45507</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45507</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45507</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45507</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45507</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45507</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45507</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45507</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45507</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45507</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45507</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45507</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45507</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45507</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45507</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45507</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45507</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45507</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45507</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45507</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45507</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45507</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45507</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45507</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45507</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45507</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45507</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45507</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45507</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45507</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45507</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45507</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45507</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45507</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45507</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45507</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45507</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45507</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45507</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45507</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45507</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45507</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45507</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45507</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45507</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45507</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45507</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45507</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45507</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45507</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45507</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45507</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45507</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45507</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45507</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45507</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45507</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45507</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45507</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45507</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45507</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45507</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45507</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45507</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45507</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45507</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45507</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45507</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45507</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45507</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45507</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45507</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45507</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45507</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45507</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45507</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45507</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45507</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45507</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45507</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45507</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45507</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45507</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45507</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45507</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45507</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45507</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45507</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45507</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45507</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45507</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45507</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45507</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45507</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45507</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45507</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45507</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45507</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45507</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45507</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45507</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45507</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45507</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45507</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45507</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45507</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45507</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45507</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45507</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45507</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45507</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45507</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45507</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45507</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45507</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45507</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45507</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45507</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45507</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45507</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45507</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45507</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45507</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45507</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45507</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45507</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45507</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45507</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45507</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45507</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45507</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45507</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45507</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45507</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45507</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45507</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45507</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45507</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45507</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45507</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45507</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45507</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45507</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45507</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45507</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45507</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45507</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45507</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45507</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45507</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45507</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45507</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45507</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45507</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45507</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45507</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45507</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45507</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45507</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45507</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45507</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45507</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45507</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45507</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45507</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45507</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45507</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45507</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45507</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45507</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45507</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45507</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45507</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45507</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45507</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45507</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45507</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45507</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45507</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45507</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45507</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45507</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45507</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45507</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45507</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45507</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45507</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45507</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45507</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45507</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45507</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45507</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45507</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45507</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45507</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45507</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45507</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45507</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45507</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45507</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45507</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45507</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45507</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45507</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45507</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45507</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45507</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45507</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45507</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45507</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45507</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45507</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45507</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45507</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45507</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45507</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45507</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45507</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45507</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45507</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45507</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45507</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45507</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45507</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45507</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45507</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45507</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45507</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45507</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45507</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45507</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45507</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45507</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45507</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45507</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45507</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45507</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45507</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45507</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45507</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45507</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45507</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45507</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45507</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45507</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45507</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45507</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45507</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45507</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45507</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45507</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45507</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45507</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45507</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45507</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45507</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45507</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45507</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45507</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45507</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45507</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45507</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45507</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45507</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45507</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45507</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45507</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45507</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45507</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45507</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45507</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45507</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45507</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45507</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45507</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45507</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45507</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45507</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45507</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45507</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45507</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45507</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45507</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45507</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45507</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45507</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45507</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45507</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45507</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45507</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45507</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45507</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45507</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45507</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45507</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45507</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45507</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45507</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45507</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45507</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45507</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45507</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45507</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45507</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45507</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45507</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45507</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45507</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45507</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45507</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45507</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45507</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45507</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45507</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45507</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45507</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45507</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45507</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45507</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45507</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45507</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45507</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45507</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45507</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45507</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45507</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45507</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45507</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45507</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45507</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45507</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45507</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45507</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45507</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45507</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45507</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45507</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45507</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45507</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45507</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45507</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45507</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45507</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45507</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45507</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45507</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45507</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45507</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45507</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45507</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45507</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45507</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45507</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45507</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45507</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45507</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45507</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45507</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45507</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45507</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45507</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45507</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45507</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45507</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45507</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45507</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45507</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45507</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45507</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45507</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45507</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45507</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45507</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45507</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45507</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45507</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45507</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45507</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45507</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45507</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45507</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45507</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45507</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45507</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45507</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45507</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45507</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45507</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45507</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45507</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45507</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45507</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45507</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45507</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45507</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45507</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45507</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45507</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45507</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45507</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45507</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45507</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45507</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45507</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45507</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45507</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45507</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45507</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45507</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45507</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45507</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45507</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45507</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45507</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45507</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45507</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45507</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45507</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45507</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45507</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45507</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45507</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45507</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45507</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45507</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45507</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45507</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45507</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45507</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45507</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45507</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45507</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45507</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45507</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45507</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45507</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45507</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45507</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45507</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45507</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45507</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45507</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45507</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45507</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45507</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45507</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45507</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45507</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45507</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45507</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45507</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45507</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45507</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45507</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45507</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45507</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45507</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45507</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45507</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45507</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45507</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45507</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45507</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45507</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45507</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45507</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45507</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45507</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45507</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45507</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45507</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45507</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45507</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45507</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45507</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45507</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45507</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45507</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45507</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45507</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45507</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45507</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45507</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45507</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45507</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45507</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45507</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45507</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45507</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45507</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45507</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45507</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45507</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45507</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45507</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45507</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45507</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45507</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45507</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45507</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45507</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45507</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45507</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45507</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45507</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45507</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45507</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45507</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45507</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45507</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45507</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45507</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45507</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45507</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45507</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45507</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45507</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45507</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45507</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45507</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45507</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45507</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45507</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45507</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45507</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45507</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45507</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45507</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45507</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45507</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45507</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45507</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45507</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45507</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45507</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45507</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45507</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45507</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45507</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45507</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45507</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45507</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45507</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45507</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45507</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45507</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45507</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45507</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45507</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45507</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45507</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45507</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45507</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45507</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45507</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45507</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45507</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45507</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45507</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45507</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45507</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45507</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45507</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45507</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45507</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45507</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45507</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45507</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45507</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45507</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45507</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45507</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45507</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45507</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45507</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45507</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45507</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45507</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45507</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45507</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45507</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45507</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45507</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45507</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45507</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45507</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45507</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45507</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45507</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45507</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45507</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45507</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45507</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45507</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45507</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45507</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45507</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45507</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45507</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45507</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45507</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45507</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45507</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45507</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45507</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45507</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45507</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45507</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45507</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45507</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45507</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45507</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45507</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45507</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45507</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45507</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45507</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45507</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45507</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45507</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45507</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45507</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45507</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45507</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45507</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45507</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45507</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45507</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45507</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45507</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45507</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45507</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45507</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45507</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45507</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45507</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45507</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45507</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45507</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45507</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45507</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45507</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45507</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45507</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45507</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45507</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45507</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45507</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45507</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45507</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45507</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45507</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45507</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45507</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45507</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45507</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45507</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45507</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45507</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45507</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45507</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45507</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45507</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45507</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45507</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45507</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45507</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45507</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45507</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45507</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45507</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45507</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45507</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45507</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45507</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45507</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45507</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45507</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45507</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45507</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45507</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45507</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45507</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45507</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45507</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45507</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45507</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45507</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45507</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45507</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45507</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45507</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45507</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45507</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45507</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45507</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45507</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45507</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45507</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45507</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45507</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45507</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45507</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45507</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45507</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45507</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45507</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45507</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45507</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45507</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45507</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45507</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45507</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45507</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45507</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45507</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45507</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45507</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45507</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45507</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45507</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45507</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45507</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45507</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45507</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45507</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45507</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45507</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45507</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45507</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45507</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45507</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45507</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45507</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45507</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45507</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45507</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45507</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45507</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45507</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45507</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45507</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45507</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45507</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45507</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45507</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45507</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45507</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45507</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45507</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45507</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45507</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45507</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45507</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45507</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45507</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45507</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45507</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45507</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45507</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45507</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45507</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45507</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45507</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45507</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45507</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45507</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45507</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45507</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45507</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45507</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45507</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45507</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45507</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45507</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45507</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45507</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45507</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45507</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45507</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45507</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45507</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45507</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45507</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45507</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45507</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45507</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45507</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45507</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45507</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45507</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45507</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45507</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45507</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45507</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45507</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45507</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45507</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45507</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45507</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45507</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45507</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45507</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45507</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45507</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45507</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45507</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45507</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45507</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45507</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45507</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45507</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45507</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45507</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45507</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45507</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45507</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45507</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45507</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45507</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45507</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45507</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45507</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45507</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45507</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45507</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45507</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45507</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45507</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45507</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45507</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45507</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45507</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45507</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45507</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45507</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45507</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45507</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45507</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45507</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45507</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45507</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45507</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45507</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45507</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45507</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45507</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45507</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45507</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45507</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45507</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45507</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45507</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45507</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45507</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45507</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45507</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45507</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45507</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45507</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45507</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45507</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45507</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45507</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45507</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45507</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45507</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45507</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45507</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45507</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45507</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45507</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45507</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45507</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45507</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45507</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45507</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45507</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45507</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45507</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45507</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45507</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45507</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45507</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45507</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45507</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45507</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45507</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45507</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45507</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45507</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45507</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45507</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45507</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45507</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45507</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45507</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45507</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45507</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45507</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45507</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45507</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45507</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45507</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45507</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45507</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45507</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45507</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45507</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45507</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45507</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45507</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45507</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45507</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45507</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45507</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45507</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45507</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45507</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45507</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45507</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45507</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45507</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45507</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45507</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45507</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45507</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45507</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45507</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45507</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45507</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45507</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45507</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45507</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45507</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45507</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45507</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45507</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45507</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45507</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45507</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45507</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45507</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45507</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45507</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45507</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45507</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45507</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45507</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45507</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45507</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45507</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45507</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45507</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45507</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45507</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45507</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45507</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45507</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45507</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45507</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45507</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45507</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45507</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45507</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45507</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45507</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45507</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45507</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45507</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45507</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45507</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45507</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45507</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45507</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45507</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45507</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45507</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45507</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45507</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45507</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45507</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45507</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45507</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45507</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45507</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45507</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45507</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45507</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45507</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45507</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45507</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45507</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45507</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45507</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45507</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45507</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45507</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45507</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45507</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45507</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45507</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45507</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45507</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45507</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45507</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45507</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45507</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45507</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45507</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45507</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45507</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45507</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45507</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45507</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45507</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45507</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45507</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45507</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45507</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45507</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45507</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45507</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45507</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45507</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45507</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45507</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45507</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45507</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45507</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45507</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45507</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45507</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45507</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45507</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45507</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45507</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45507</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45507</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45507</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45507</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45507</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45507</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45507</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45507</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45507</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45507</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45507</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45507</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45507</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45507</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45507</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45507</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45507</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45507</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45507</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45507</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45507</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45507</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45507</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45507</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45507</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45507</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45507</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45507</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45507</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45507</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45507</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45507</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45507</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45507</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45507</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45507</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45507</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45507</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45507</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45507</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45507</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45507</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45507</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45507</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45507</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45507</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45507</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45507</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45507</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45507</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45507</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45507</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45507</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45507</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45507</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45507</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45507</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45507</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45507</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45507</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45507</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45507</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45507</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45507</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45507</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45507</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45507</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45507</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45507</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45507</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45507</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45507</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45507</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45507</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45507</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45507</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45507</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45507</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45507</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45507</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45507</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45507</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45507</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45507</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45507</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45507</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45507</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45507</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45507</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45507</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45507</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45507</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45507</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45507</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45507</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45507</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45507</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45507</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45507</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45507</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45507</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45507</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45507</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45507</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45507</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45507</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45507</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45507</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45507</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45507</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45507</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45507</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45507</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45507</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45507</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45507</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45507</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45507</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45507</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45507</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45507</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45507</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45507</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45507</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45507</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45507</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45507</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45507</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45507</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45507</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45507</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45507</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45507</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45507</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45507</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45507</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45507</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45507</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45507</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45507</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45507</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45507</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45507</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45507</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45507</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45507</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45507</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45507</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45507</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45507</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45507</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45507</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45507</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45507</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45507</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45507</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45507</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45507</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45507</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45507</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45507</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45507</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45507</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45507</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45507</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45507</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45507</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45507</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45507</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45507</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45507</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45507</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45507</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45507</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45507</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45507</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45507</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45507</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45507</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45507</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45507</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45507</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45507</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45507</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45507</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45507</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45507</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45507</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45507</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45507</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45507</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45507</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45507</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45507</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45507</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45507</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45507</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45507</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45507</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45507</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45507</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45507</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45507</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45507</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45507</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45507</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45507</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45507</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45507</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45507</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45507</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45507</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45507</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45507</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45507</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45507</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45507</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45507</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45507</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45507</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45507</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45507</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45507</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45507</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45507</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45507</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45507</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45507</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45507</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45507</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45507</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45507</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45507</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45507</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45507</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45507</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45507</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45507</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45507</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45507</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45507</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45507</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45507</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45507</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45507</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45507</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45507</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45507</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45507</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45507</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45507</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45507</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45507</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45507</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45507</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45507</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45507</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45507</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45507</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45507</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45507</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45507</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45507</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45507</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45507</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45507</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45507</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45507</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45507</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45507</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45507</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45507</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45507</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45507</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45507</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45507</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45507</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45507</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45507</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45507</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45507</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45507</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45507</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45507</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45507</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45507</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45507</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45507</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45507</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45507</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45507</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45507</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45507</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45507</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45507</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45507</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45507</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45507</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45507</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45507</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45507</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45507</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45507</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45507</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45507</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45507</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45507</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45507</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45507</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45507</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45507</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45507</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45507</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45507</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45507</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45507</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45507</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45507</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45507</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45507</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45507</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45507</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45507</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45507</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45507</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45507</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45507</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45507</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45507</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45507</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45507</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45507</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45507</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45507</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45507</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45507</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45507</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45507</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45507</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45507</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45507</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45507</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45507</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45507</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45507</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45507</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45507</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45507</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45507</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45507</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45507</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45507</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45507</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45507</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45507</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45507</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45507</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45507</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45507</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45507</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45507</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45507</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45507</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45507</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45507</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45507</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45507</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45507</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45507</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45507</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45507</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45507</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45507</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45507</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45507</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45507</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45507</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45507</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45507</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45507</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45507</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45507</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45507</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45507</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45507</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45507</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45507</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45507</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45507</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45507</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45507</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45507</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45507</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45507</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45507</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45507</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45507</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45507</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45507</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45507</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45507</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45507</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45507</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45507</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45507</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45507</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45507</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45507</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45507</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45507</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45507</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45507</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45507</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45507</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45507</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45507</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45507</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45507</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45507</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45507</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45507</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45507</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45507</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45507</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45507</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45507</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45507</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45507</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45507</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45507</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45507</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45507</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45507</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45507</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45507</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45507</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45507</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45507</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45507</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45507</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45507</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45507</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45507</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45507</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45507</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45507</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45507</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45507</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45507</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45507</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45507</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45507</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45507</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45507</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45507</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45507</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45507</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45507</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45507</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45507</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45507</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45507</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45507</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45507</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45507</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45507</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45507</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45507</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45507</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45507</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45507</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45507</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45507</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45507</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45507</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45507</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45507</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45507</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45507</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45507</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45507</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45507</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45507</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45507</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45507</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45507</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45507</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45507</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45507</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45507</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45507</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45507</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45507</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45507</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45507</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45507</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45507</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45507</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45507</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45507</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45507</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45507</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45507</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45507</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45507</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45507</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45507</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45507</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45507</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45507</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45507</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45507</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45507</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45507</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45507</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45507</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45507</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45507</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45507</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45507</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45507</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45507</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45507</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45507</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45507</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45507</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45507</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45507</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45507</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45507</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45507</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45507</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45507</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45507</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45507</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45507</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45507</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45507</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45507</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45507</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45507</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45507</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45507</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45507</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45507</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45507</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45507</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45507</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45507</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45507</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45507</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45507</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45507</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45507</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45507</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45507</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45507</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45507</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45507</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45507</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45507</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45507</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45507</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45507</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45507</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45507</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45507</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45507</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45507</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45507</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45507</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45507</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45507</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45507</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45507</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45507</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45507</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45507</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45507</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45507</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45507</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45507</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45507</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45507</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45507</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45507</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45507</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45507</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45507</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45507</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45507</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45507</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45507</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45507</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45507</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45507</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45507</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45507</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45507</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45507</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45507</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45507</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45507</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45507</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45507</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45507</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45507</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45507</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45507</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45507</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45507</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45507</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45507</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45507</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45507</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45507</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45507</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45507</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45507</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45507</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45507</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45507</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45507</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45507</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45507</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45507</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45507</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45507</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45507</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45507</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45507</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45507</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45507</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45507</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45507</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45507</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45507</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45507</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45507</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45507</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45507</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45507</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45507</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45507</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45507</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45507</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45507</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45507</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45507</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45507</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45507</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45507</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45507</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45507</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45507</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45507</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45507</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45507</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45507</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45507</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45507</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45507</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45507</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45507</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45507</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45507</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45507</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45507</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45507</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45507</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45507</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45507</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45507</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45507</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45507</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45507</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45507</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45507</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45507</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45507</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45507</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45507</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45507</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45507</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45507</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45507</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45507</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45507</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45507</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45507</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45507</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45507</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45507</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45507</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45507</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45507</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45507</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45507</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45507</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45507</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45507</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45507</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45507</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45507</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45507</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45507</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45507</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45507</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45507</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45507</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45507</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45507</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45507</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45507</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45507</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45507</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45507</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45507</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45507</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45507</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45507</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45507</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45507</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45507</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45507</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45507</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45507</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45507</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45507</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45507</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45507</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45507</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45507</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45507</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45507</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45507</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45507</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45507</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45507</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45507</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45507</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45507</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45507</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45507</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45507</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45507</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45507</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45507</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45507</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45507</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45507</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45507</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45507</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45507</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45507</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45507</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45507</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45507</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45507</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45507</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45507</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45507</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45507</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45507</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45507</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45507</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45507</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45507</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45507</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45507</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45507</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45507</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45507</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45507</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45507</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45507</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45507</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45507</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45507</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45507</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45507</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45507</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45507</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45507</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45507</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45507</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45507</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45507</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45507</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45507</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45507</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45507</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45507</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45507</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45507</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45507</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45507</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45507</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45507</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45507</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45507</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45507</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45507</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45507</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45507</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45507</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45507</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45507</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45507</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45507</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45507</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45507</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45507</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45507</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45507</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45507</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45507</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45507</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45507</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45507</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45507</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45507</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45507</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45507</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45507</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45507</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45507</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45507</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45507</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45507</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45507</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45507</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45507</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45507</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45507</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45507</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45507</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45507</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45507</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45507</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45507</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45507</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45507</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45507</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45507</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45507</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45507</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45507</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45507</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45507</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45507</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45507</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45507</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45507</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45507</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45507</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45507</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45507</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45507</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45507</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45507</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45507</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45507</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45507</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45507</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45507</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45507</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45507</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45507</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45507</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45507</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45507</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45507</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45507</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45507</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45507</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45507</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45507</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45507</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45507</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45507</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45507</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45507</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45507</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45507</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45507</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45507</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45507</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45507</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45507</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45507</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45507</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45507</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45507</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45507</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45507</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45507</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45507</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45507</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45507</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45507</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45507</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45507</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45507</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45507</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45507</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45507</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45507</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45507</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45507</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45507</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45507</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45507</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45507</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45507</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45507</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45507</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45507</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45507</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45507</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45507</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45507</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45507</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45507</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45507</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45507</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45507</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45507</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45507</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45507</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45507</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45507</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45507</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45507</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45507</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45507</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45507</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45507</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45507</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45507</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45507</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45507</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45507</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45507</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45507</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45507</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45507</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45507</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45507</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45507</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45507</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45507</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45507</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45507</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45507</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45507</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45507</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45507</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45507</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45507</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45507</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45507</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45507</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45507</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45507</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45507</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45507</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45507</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45507</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45507</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45507</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45507</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45507</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45507</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45507</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45507</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45507</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45507</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45507</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45507</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45507</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45507</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45507</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45507</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45507</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45507</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45507</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45507</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45507</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45507</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45507</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45507</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45507</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45507</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45507</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45507</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45507</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45507</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45507</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45507</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45507</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45507</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45507</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45507</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45507</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45507</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45507</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45507</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45507</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45507</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45507</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45507</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45507</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45507</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45507</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45507</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45507</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45507</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45507</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45507</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45507</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45507</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45507</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45507</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45507</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45507</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45507</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45507</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45507</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45507</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45507</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45507</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45507</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45507</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45507</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45507</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45507</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45507</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45507</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45507</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45507</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45507</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45507</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45507</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45507</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45507</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45507</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45507</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45507</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45507</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45507</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45507</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45507</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45507</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45507</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45507</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45507</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45507</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45507</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45507</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45507</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45507</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45507</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45507</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45507</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45507</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45507</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45507</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45507</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45507</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45507</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45507</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45507</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45507</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45507</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45507</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45507</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45507</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45507</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45507</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45507</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45507</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45507</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45507</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45507</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45507</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45507</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45507</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45507</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45507</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45507</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45507</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45507</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45507</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45507</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45507</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45507</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45507</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45507</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45507</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45507</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45507</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45507</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45507</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45507</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45507</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45507</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45507</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45507</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45507</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45507</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45507</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45507</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45507</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45507</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45507</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45507</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45507</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45507</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45507</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45507</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45507</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45507</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45507</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45507</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45507</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45507</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45507</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45507</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45507</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45507</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45507</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45507</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45507</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45507</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45507</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45507</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45507</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45507</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45507</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45507</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45507</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45507</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45507</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45507</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45507</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45507</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45507</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45507</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45507</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45507</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45507</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45507</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45507</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45507</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45507</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45507</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45507</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45507</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45507</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45507</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45507</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45507</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45507</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45507</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45507</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45507</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45507</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45507</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45507</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45507</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45507</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45507</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45507</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45507</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45507</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45507</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45507</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45507</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45507</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45507</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45507</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45507</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45507</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45507</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45507</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45507</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45507</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45507</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45507</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45507</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45507</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45507</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45507</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45507</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45507</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45507</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45507</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45507</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45507</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45507</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45507</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45507</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45507</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45507</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45507</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45507</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45507</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45507</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45507</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45507</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45507</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45507</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45507</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45507</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45507</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45507</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45507</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45507</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45507</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45507</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45507</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45507</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45507</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45507</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45507</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45507</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45507</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45507</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45507</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45507</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45507</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45507</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45507</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45507</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45507</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45507</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45507</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45507</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45507</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45507</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45507</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45507</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45507</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45507</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45507</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45507</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45507</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45507</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45507</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45507</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45507</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45507</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45507</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45507</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45507</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45507</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45507</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45507</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45507</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45507</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45507</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45507</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45507</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45507</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45507</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45507</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45507</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45507</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45507</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45507</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45507</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45507</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45507</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45507</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45507</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45507</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45507</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45507</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45507</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45507</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45507</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45507</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45507</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45507</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45507</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45507</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45507</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45507</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45507</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45507</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45507</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45507</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45507</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45507</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45507</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45507</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45507</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45507</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45507</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45507</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45507</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45507</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45507</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45507</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45507</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45507</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45507</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45507</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45507</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45507</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45507</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45507</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45507</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45507</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45507</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45507</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45507</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45507</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45507</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45507</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45507</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45507</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45507</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45507</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45507</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45507</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45507</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45507</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45507</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45507</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45507</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45507</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45507</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45507</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45507</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45507</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45507</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45507</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45507</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45507</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45507</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45507</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45507</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45507</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45507</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45507</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45507</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45507</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45507</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45507</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45507</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45507</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45507</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45507</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45507</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45507</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45507</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45507</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45507</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45507</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45507</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45507</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45507</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45507</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45507</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45507</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45507</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45507</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45507</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45507</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45507</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45507</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45507</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45507</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45507</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45507</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45507</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45507</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45507</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45507</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45507</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45507</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45507</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45507</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45507</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45507</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45507</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45507</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45507</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45507</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45507</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45507</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45507</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45507</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45507</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45507</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45507</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45507</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45507</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45507</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45507</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45507</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45507</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45507</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45507</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45507</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45507</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45507</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45507</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45507</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45507</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45507</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45507</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45507</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45507</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45507</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45507</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45507</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45507</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45507</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45507</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45507</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45507</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45507</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45507</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45507</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45507</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45507</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45507</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45507</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45507</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45507</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45507</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45507</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45507</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45507</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45507</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45507</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45507</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45507</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45507</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45507</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45507</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45507</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45507</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45507</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45507</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45507</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45507</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45507</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45507</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45507</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45507</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45507</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45507</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45507</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45507</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45507</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45507</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45507</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45507</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45507</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45507</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45507</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45507</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45507</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45507</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45507</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45507</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45507</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45507</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45507</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45507</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45507</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45507</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45507</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45507</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45507</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45507</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45507</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45507</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45507</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45507</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45507</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45507</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45507</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45507</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45507</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45507</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45507</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45507</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45507</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45507</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45507</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45507</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45507</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45507</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45507</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45507</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45507</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45507</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45507</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45507</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45507</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45507</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45507</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45507</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45507</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45507</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45507</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45507</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45507</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45507</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45507</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45507</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45507</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45507</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45507</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45507</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45507</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45507</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45507</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45507</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45507</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45507</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45507</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45507</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45507</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45507</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45507</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45507</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45507</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45507</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45507</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45507</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45507</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45507</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45507</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45507</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45507</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45507</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45507</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45507</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45507</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45507</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45507</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45507</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45507</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45507</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45507</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45507</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45507</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45507</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45507</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45507</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45507</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45507</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45507</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45507</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45507</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45507</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45507</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45507</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45507</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45507</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45507</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45507</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45507</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45507</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45507</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45507</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45507</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45507</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45507</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45507</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45507</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45507</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45507</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45507</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45507</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45507</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45507</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45507</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45507</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45507</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45507</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45507</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45507</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45507</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45507</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45507</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45507</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45507</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45507</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45507</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45507</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45507</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45507</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45507</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45507</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45507</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45507</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45507</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45507</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45507</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45507</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45507</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45507</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45507</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45507</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45507</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45507</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45507</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45507</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45507</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45507</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45507</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45507</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45507</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45507</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45507</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45507</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45507</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45507</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45507</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45507</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45507</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45507</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45507</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45507</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45507</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45507</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45507</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45507</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45507</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45507</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45507</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45507</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45507</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45507</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45507</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45507</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45507</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45507</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45507</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45507</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45507</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45507</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45507</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45507</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45507</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45507</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45507</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45507</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45507</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45507</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45507</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45507</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45507</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45507</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45507</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45507</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45507</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45507</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45507</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45507</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45507</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45507</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45507</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45507</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45507</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45507</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45507</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45507</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45507</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45507</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45507</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45507</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45507</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45507</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45507</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45507</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45507</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45507</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45507</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45507</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45507</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45507</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45507</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45507</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45507</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45507</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45507</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45507</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45507</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45507</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45507</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45507</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45507</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45507</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45507</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45507</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45507</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45507</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45507</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45507</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45507</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45507</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45507</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45507</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45507</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45507</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45507</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45507</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45507</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45507</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45507</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45507</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45507</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45507</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45507</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45507</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45507</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45507</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45507</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45507</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45507</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45507</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45507</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45507</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45507</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45507</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45507</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45507</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45507</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45507</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45507</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45507</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45507</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45507</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45507</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45507</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45507</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45507</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45507</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45507</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45507</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45507</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45507</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45507</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45507</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45507</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45507</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45507</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45507</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45507</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45507</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45507</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45507</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45507</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45507</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45507</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45507</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45507</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45507</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45507</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45507</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45507</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45507</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45507</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45507</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45507</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45507</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45507</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45507</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45507</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45507</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45507</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45507</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45507</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45507</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45507</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45507</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45507</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45507</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45507</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45507</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45507</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45507</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45507</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45507</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45507</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45507</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45507</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45507</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45507</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45507</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45507</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45507</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45507</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45507</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45507</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45507</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45507</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45507</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45507</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45507</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45507</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45507</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45507</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45507</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45507</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45507</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45507</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45507</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45507</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45507</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45507</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45507</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45507</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45507</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45507</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45507</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45507</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45507</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45507</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45507</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45507</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45507</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45507</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45507</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45507</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45507</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45507</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45507</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45507</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45507</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45507</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45507</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45507</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45507</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45507</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45507</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45507</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45507</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45507</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45507</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45507</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45507</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45507</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45507</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45507</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45507</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45507</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45507</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45507</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45507</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45507</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45507</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45507</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45507</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45507</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45507</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45507</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45507</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45507</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45507</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45507</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45507</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45507</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45507</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45507</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45507</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45507</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45507</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45507</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45507</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45507</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45507</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45507</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45507</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45507</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45507</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45507</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45507</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45507</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45507</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45507</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45507</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45507</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45507</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45507</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45507</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45507</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45507</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45507</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45507</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45507</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45507</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45507</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45507</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45507</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45507</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45507</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45507</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45507</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45507</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45507</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45507</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45507</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45507</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45507</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45507</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45507</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45507</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45507</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45507</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45507</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45507</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45507</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45507</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45507</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45507</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45507</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45507</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45507</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45507</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45507</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45507</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45507</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45507</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45507</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45507</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45507</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45507</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45507</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45507</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45507</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45507</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45507</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45507</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45507</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45507</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45507</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45507</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45507</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45507</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45507</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45507</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45507</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45507</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45507</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45507</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45507</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45507</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45507</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45507</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45507</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45507</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45507</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45507</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45507</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45507</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45507</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45507</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45507</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45507</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45507</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45507</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45507</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45507</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45507</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45507</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45507</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45507</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45507</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45507</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45507</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45507</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45507</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45507</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45507</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45507</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45507</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45507</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45507</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45507</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45507</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45507</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45507</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45507</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45507</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45507</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45507</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45507</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45507</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45507</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45507</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45507</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45507</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45507</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45507</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45507</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45507</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45507</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45507</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45507</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45507</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45507</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45507</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45507</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45507</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45507</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45507</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45507</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45507</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45507</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45507</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45507</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45507</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45507</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45507</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45507</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45507</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45507</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45507</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45507</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45507</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45507</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45507</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45507</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45507</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45507</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45507</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45507</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45507</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45507</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45507</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45507</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45507</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45507</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45507</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45507</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45507</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45507</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45507</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45507</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45507</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45507</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45507</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45507</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45507</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45507</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45507</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45507</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45507</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45507</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45507</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45507</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45507</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45507</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45507</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45507</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45507</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45507</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45507</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45507</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45507</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45507</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45507</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45507</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45507</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45507</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45507</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45507</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45507</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45507</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45507</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45507</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45507</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45507</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45507</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45507</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45507</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45507</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45507</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45507</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45507</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45507</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45507</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45507</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45507</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45507</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45507</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45507</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45507</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45507</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45507</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45507</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45507</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45507</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45507</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45507</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45507</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45507</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45507</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45507</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45507</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45507</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45507</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45507</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45507</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45507</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45507</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45507</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45507</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45507</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45507</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45507</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45507</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45507</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45507</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45507</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45507</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45507</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45507</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45507</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45507</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45507</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45507</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45507</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45507</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45507</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45507</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45507</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45507</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45507</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45507</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45507</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45507</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45507</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45507</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45507</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45507</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45507</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45507</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45507</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45507</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45507</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45507</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45507</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45507</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45507</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45507</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45507</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45507</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45507</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45507</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45507</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45507</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45507</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45507</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45507</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45507</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45507</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45507</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45507</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45507</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45507</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45507</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45507</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45507</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45507</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45507</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45507</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45507</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45507</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45507</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45507</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45507</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45507</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45507</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45507</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45507</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45507</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45507</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45507</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45507</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45507</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45507</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45507</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45507</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45507</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45507</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45507</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45507</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45507</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45507</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45507</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45507</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45507</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45507</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45507</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45507</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45507</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45507</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45507</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45507</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45507</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45507</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45507</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45507</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45507</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45507</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45507</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45507</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45507</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45507</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45507</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45507</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45507</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45507</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45507</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45507</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45507</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45507</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45507</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45507</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45507</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45507</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45507</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45507</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45507</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45507</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45507</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45507</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45507</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45507</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45507</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45507</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45507</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45507</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45507</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45507</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45507</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45507</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45507</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45507</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45507</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45507</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45507</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45507</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45507</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45507</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45507</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45507</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45507</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45507</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45507</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45507</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45507</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45507</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45507</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45507</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45507</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45507</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45507</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45507</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45507</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45507</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45507</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45507</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45507</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45507</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45507</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45507</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45507</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45507</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45507</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45507</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45507</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45507</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45507</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45507</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45507</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45507</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45507</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45507</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45507</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45507</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45507</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45507</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45507</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45507</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45507</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45507</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45507</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45507</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45507</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45507</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45507</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45507</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45507</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45507</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45507</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45507</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45507</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45507</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45507</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45507</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45507</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45507</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45507</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45507</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45507</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45507</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45507</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45507</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45507</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45507</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45507</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45507</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45507</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45507</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45507</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45507</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45507</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45507</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45507</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45507</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45507</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45507</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45507</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45507</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45507</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45507</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45507</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45507</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45507</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45507</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45507</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45507</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45507</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45507</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45507</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45507</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45507</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45507</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45507</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45507</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45507</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45507</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45507</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45507</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45507</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45507</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45507</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45507</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45507</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45507</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45507</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45507</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45507</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45507</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45507</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45507</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45507</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45507</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45507</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45507</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45507</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45507</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45507</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45507</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45507</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45507</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45507</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45507</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45507</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45507</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45507</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45507</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45507</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45507</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45507</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45507</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45507</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45507</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45507</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45507</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45507</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45507</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45507</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45507</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45507</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45507</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45507</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45507</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45507</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45507</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45507</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45507</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45507</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45507</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45507</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45507</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45507</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45507</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45507</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45507</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45507</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45507</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45507</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45507</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45507</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45507</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45507</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45507</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45507</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45507</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45507</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45507</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45507</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45507</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45507</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45507</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45507</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45507</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45507</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45507</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45507</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45507</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45507</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45507</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45507</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45507</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45507</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45507</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45507</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45507</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45507</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45507</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45507</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45507</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45507</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45507</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45507</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45507</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45507</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45507</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45507</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45507</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45507</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45507</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45507</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45507</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45507</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45507</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45507</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45507</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45507</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45507</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45507</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45507</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45507</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45507</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45507</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45507</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45507</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45507</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45507</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45507</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45507</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45507</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45507</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45507</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45507</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45507</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45507</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45507</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45507</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45507</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45507</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45507</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45507</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45507</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45507</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45507</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45507</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45507</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45507</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45507</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45507</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45507</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45507</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45507</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45507</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45507</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45507</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45507</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45507</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45507</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45507</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45507</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45507</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45507</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45507</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45507</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45507</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45507</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45507</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45507</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45507</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45507</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45507</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45507</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45507</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45507</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45507</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45507</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45507</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45507</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45507</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45507</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45507</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45507</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45507</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45507</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45507</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45507</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45507</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45507</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45507</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45507</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45507</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45507</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45507</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45507</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45507</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45507</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45507</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45507</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45507</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45507</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45507</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45507</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45507</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45507</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45507</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45507</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45507</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45507</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45507</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45507</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45507</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45507</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45507</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45507</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45507</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45507</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45507</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45507</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45507</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45507</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45507</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45507</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45507</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45507</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45507</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45507</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45507</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45507</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45507</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45507</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45507</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45507</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45507</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45507</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45507</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45507</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45507</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45507</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45507</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45507</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45507</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45507</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45507</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45507</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45507</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45507</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45507</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45507</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45507</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45507</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45507</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45507</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45507</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45507</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45507</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45507</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45507</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45507</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45507</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45507</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45507</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45507</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45507</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45507</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45507</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45507</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45507</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45507</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45507</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45507</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45507</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45507</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45507</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45507</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45507</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45507</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45507</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45507</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45507</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45507</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45507</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45507</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45507</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45507</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45507</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45507</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45507</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45507</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45507</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45507</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45507</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45507</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45507</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45507</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45507</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45507</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45507</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45507</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45507</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45507</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45507</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45507</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45507</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45507</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45507</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45507</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45507</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45507</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45507</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45507</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45507</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45507</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45507</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45507</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45507</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45507</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45507</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45507</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45507</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45507</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45507</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45507</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45507</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45507</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45507</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45507</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45507</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45507</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45507</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45507</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45507</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45507</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45507</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45507</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45507</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45507</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45507</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45507</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45507</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45507</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45507</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45507</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45507</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45507</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45507</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45507</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45507</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45507</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45507</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45507</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45507</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45507</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45507</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45507</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45507</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45507</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45507</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45507</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45507</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45507</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45507</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45507</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45507</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45507</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45507</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45507</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45507</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45507</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45507</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45507</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45507</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45507</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45507</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45507</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45507</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45507</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45507</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45507</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45507</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45507</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45507</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45507</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45507</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45507</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45507</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45507</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45507</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45507</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45507</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45507</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45507</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45507</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45507</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45507</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45507</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45507</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45507</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45507</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45507</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45507</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45507</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45507</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45507</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45507</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45507</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45507</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45507</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45507</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45507</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45507</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45507</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45507</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45507</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45507</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45507</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45507</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45507</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45507</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45507</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45507</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45507</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45507</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45507</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45507</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45507</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45507</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45507</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45507</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45507</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45507</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45507</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45507</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45507</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45507</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45507</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45507</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45507</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45507</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45507</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45507</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45507</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45507</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45507</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45507</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45507</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45507</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45507</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45507</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45507</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45507</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45507</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45507</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45507</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45507</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45507</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45507</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45507</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45507</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45507</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45507</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45507</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45507</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45507</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45507</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45507</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45507</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45507</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45507</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45507</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45507</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45507</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45507</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45507</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45507</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45507</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45507</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45507</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45507</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45507</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45507</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45507</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45507</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45507</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45507</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45507</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45507</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45507</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45507</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45507</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45507</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45507</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45507</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45507</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45507</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45507</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45507</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45507</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45507</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45507</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45507</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45507</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45507</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45507</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45507</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45507</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45507</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45507</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45507</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45507</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45507</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45507</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45507</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45507</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45507</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45507</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45507</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45507</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45507</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45507</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45507</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45507</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45507</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45507</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45507</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45507</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45507</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45507</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45507</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45507</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45507</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45507</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45507</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45507</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45507</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45507</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45507</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45507</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45507</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45507</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45507</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45507</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45507</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45507</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45507</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45507</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45507</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45507</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45507</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45507</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45507</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45507</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45507</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45507</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45507</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45507</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45507</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45507</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45507</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45507</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45507</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45507</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45507</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45507</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45507</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45507</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45507</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45507</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45507</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45507</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45507</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45507</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45507</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45507</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45507</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45507</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45507</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45507</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45507</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45507</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45507</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45507</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45507</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45507</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45507</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45507</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45507</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45507</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45507</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45507</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45507</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45507</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45507</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45507</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45507</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45507</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45507</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45507</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45507</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45507</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45507</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45507</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45507</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45507</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45507</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45507</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45507</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45507</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45507</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45507</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45507</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45507</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45507</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45507</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45507</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45507</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45507</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45507</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45507</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45507</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45507</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45507</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45507</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45507</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45507</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45507</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45507</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45507</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45507</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45507</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45507</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45507</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45507</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45507</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45507</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45507</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45507</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45507</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45507</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45507</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45507</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45507</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45507</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45507</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45507</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45507</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45507</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45507</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45507</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45507</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45507</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45507</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45507</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45507</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45507</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45507</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45507</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45507</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45507</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45507</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45507</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45507</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45507</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45507</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45507</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45507</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45507</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45507</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45507</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45507</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45507</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45507</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45507</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45507</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45507</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45507</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45507</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45507</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45507</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45507</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45507</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45507</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45507</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45507</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45507</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45507</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45507</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45507</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45507</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45507</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45507</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45507</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45507</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45507</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45507</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45507</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45507</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45507</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45507</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45507</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45507</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45507</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45507</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45507</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45507</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45507</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45507</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45507</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45507</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45507</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45507</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45507</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45507</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45507</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45507</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45507</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45507</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45507</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45507</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45507</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45507</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45507</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45507</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45507</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45507</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45507</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45507</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45507</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45507</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45507</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45507</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45507</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45507</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45507</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45507</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45507</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45507</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45507</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45507</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45507</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45507</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45507</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45507</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45507</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45507</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45507</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45507</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45507</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45507</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45507</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45507</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45507</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45507</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45507</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45507</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45507</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45507</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45507</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45507</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45507</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45507</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45507</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45507</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45507</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45507</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45507</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45507</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45507</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45507</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45507</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45507</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45507</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45507</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45507</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45507</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45507</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45507</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45507</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45507</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45507</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45507</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45507</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45507</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45507</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45507</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45507</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45507</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45507</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45507</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45507</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45507</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45507</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45507</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45507</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45507</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45507</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45507</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45507</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45507</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45507</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45507</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45507</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45507</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45507</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45507</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45507</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45507</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45507</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45507</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45507</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45507</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45507</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45507</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45507</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45507</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45507</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45507</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45507</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45507</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45507</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45507</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45507</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45507</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45507</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45507</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45507</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45507</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45507</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45507</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45507</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45507</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45507</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45507</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45507</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45507</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45507</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45507</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45507</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45507</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45507</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45507</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45507</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45507</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45507</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45507</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45507</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45507</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45507</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45507</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45507</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45507</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45507</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45507</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45507</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45507</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45507</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45507</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45507</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45507</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45507</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45507</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45507</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45507</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45507</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45507</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45507</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45507</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45507</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45507</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45507</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45507</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45507</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45507</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45507</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45507</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45507</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45507</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45507</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45507</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45507</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45507</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45507</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45507</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45507</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45507</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45507</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45507</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45507</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45507</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45507</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45507</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45507</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45507</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45507</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45507</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45507</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45507</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45507</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45507</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45507</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45507</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45507</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45507</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45507</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45507</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45507</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45507</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45507</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45507</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45507</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45507</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45507</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45507</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45507</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45507</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45507</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45507</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45507</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45507</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45507</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45507</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45507</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45507</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45507</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45507</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45507</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45507</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45507</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45507</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45507</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45507</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45507</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45507</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45507</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45507</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45507</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45507</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45507</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45507</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45507</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45507</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45507</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45507</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45507</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45507</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45507</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45507</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45507</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45507</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45507</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45507</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45507</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45507</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45507</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45507</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45507</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45507</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45507</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45507</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45507</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45507</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45507</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45507</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45507</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45507</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45507</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45507</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45507</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45507</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45507</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45507</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45507</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45507</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45507</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45507</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45507</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45507</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45507</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45507</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45507</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45507</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45507</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45507</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45507</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45507</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45507</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45507</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45507</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45507</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45507</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45507</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45507</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45507</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45507</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45507</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45507</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45507</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45507</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45507</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45507</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45507</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45507</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45507</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45507</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45507</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45507</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45507</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45507</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45507</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45507</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45507</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45507</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45507</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45507</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45507</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45507</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45507</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45507</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45507</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45507</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45507</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45507</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45507</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45507</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45507</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45507</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45507</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45507</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45507</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45507</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45507</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45507</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45507</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45507</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45507</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45507</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45507</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45507</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45507</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45507</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45507</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45507</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45507</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45507</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45507</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45507</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45507</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45507</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45507</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45507</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45507</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45507</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45507</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45507</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45507</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45507</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45507</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45507</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45507</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45507</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45507</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45507</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45507</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45507</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45507</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45507</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45507</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45507</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45507</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45507</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45507</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45507</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45507</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45507</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45507</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45507</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45507</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45507</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45507</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45507</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45507</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45507</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45507</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45507</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45507</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45507</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45507</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45507</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45507</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45507</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45507</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45507</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45507</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45507</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45507</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45507</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45507</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45507</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45507</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45507</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45507</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45507</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45507</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45507</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45507</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45507</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45507</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45507</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45507</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45507</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45507</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45507</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45507</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45507</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45507</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45507</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45507</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45507</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45507</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45507</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45507</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45507</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45507</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45507</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45507</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45507</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45507</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45507</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45507</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45507</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45507</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45507</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45507</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45507</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45507</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45507</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45507</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45507</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45507</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45507</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45507</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45507</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45507</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45507</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45507</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45507</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45507</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45507</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45507</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45507</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45507</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45507</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45507</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45507</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45507</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45507</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45507</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45507</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45507</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45507</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45507</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45507</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45507</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45507</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45507</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45507</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45507</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45507</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45507</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45507</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45507</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45507</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45507</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45507</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45507</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45507</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45507</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45507</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45507</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45507</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45507</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45507</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45507</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45507</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45507</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45507</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45507</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45507</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45507</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45507</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45507</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45507</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45507</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45507</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45507</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45507</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45507</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45507</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45507</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45507</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45507</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45507</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45507</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45507</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45507</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45507</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45507</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45507</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45507</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45507</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45507</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45507</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45507</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45507</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45507</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45507</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45507</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45507</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45507</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45507</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45507</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45507</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45507</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45507</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45507</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45507</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45507</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45507</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45507</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45507</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45507</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45507</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45507</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45507</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45507</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45507</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45507</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45507</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45507</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45507</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45507</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45507</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45507</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45507</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45507</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45507</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45507</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45507</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45507</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45507</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45507</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45507</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45507</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45507</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45507</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45507</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45507</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45507</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45507</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45507</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45507</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45507</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45507</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45507</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45507</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45507</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45507</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45507</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45507</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45507</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45507</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45507</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45507</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45507</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45507</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45507</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45507</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45507</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45507</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45507</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45507</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45507</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45507</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45507</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45507</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45507</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45507</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45507</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45507</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45507</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45507</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45507</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45507</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45507</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45507</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45507</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45507</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45507</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45507</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45507</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45507</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45507</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45507</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45507</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45507</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45507</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45507</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45507</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45507</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45507</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45507</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45507</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45507</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45507</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45507</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45507</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45507</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45507</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45507</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45507</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45507</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45507</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45507</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45507</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45507</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45507</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45507</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45507</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45507</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45507</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45507</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45507</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45507</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45507</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45507</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45507</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45507</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45507</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45507</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45507</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45507</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45507</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45507</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45507</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45507</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45507</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45507</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45507</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45507</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45507</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45507</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45507</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45507</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45507</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45507</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45507</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45507</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45507</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45507</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45507</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45507</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45507</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45507</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45507</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45507</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45507</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45507</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45507</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45507</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45507</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45507</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45507</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45507</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45507</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45507</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45507</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45507</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45507</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45507</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45507</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45507</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45507</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45507</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45507</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45507</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45507</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45507</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45507</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45507</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45507</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45507</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45507</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45507</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45507</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45507</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45507</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45507</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45507</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45507</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45507</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45507</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45507</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45507</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45507</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45507</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45507</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45507</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45507</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45507</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45507</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45507</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45507</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45507</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45507</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45507</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45507</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45507</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45507</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45507</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45507</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45507</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45507</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45507</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45507</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45507</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45507</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45507</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45507</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45507</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45507</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45507</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45507</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45507</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45507</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45507</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45507</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45507</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45507</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45507</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45507</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45507</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45507</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45507</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45507</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45507</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45507</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45507</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45507</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45507</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45507</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45507</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45507</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45507</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45507</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45507</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45507</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45507</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45507</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45507</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45507</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45507</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45507</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45507</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45507</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45507</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45507</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45507</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45507</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45507</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45507</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45507</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45507</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45507</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45507</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45507</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45507</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45507</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45507</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45507</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45507</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45507</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45507</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45507</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45507</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45507</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45507</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45507</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45507</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45507</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45507</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45507</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45507</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45507</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45507</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45507</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45507</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45507</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45507</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45507</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45507</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45507</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45507</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45507</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45507</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45507</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45507</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45507</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45507</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45507</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45507</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45507</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45507</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45507</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45507</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45507</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45507</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45507</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45507</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45507</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45507</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45507</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45507</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45507</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45507</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45507</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45507</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45507</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45507</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45507</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45507</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45507</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45507</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45507</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45507</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45507</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45507</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45507</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45507</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45507</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45507</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45507</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45507</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45507</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45507</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45507</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45507</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45507</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45507</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45507</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45507</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45507</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45507</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45507</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45507</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45507</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45507</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45507</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45507</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45507</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45507</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45507</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45507</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45507</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45507</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45507</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45507</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45507</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45507</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45507</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45507</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45507</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45507</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45507</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45507</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45507</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45507</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45507</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45507</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45507</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45507</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45507</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45507</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45507</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45507</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45507</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45507</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45507</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45507</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45507</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45507</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45507</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45507</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45507</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45507</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45507</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45507</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45507</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45507</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45507</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45507</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45507</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45507</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45507</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45507</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45507</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45507</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45507</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45507</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45507</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45507</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45507</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45507</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45507</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45507</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45507</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45507</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45507</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45507</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45507</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45507</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45507</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45507</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45507</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45507</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45507</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45507</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45507</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45507</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45507</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45507</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45507</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45507</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45507</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45507</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45507</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45507</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45507</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45507</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45507</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45507</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45507</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45507</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45507</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45507</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45507</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45507</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45507</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45507</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45507</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45507</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45507</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45507</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45507</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45507</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45507</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45507</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45507</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45507</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45507</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45507</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45507</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45507</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45507</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45507</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45507</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45507</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45507</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45507</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45507</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45507</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45507</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45507</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45507</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45507</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45507</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45507</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45507</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45507</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45507</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45507</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45507</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45507</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45507</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45507</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45507</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45507</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45507</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45507</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45507</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45507</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45507</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45507</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45507</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45507</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45507</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45507</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45507</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45507</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45507</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45507</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45507</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45507</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45507</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45507</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45507</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45507</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45507</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45507</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45507</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45507</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45507</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45507</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45507</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45507</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45507</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45507</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45507</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45507</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45507</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45507</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45507</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45507</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45507</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45507</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45507</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45507</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45507</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45507</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45507</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45507</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45507</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45507</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45507</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45507</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45507</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45507</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45507</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45507</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45507</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45507</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45507</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45507</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45507</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45507</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45507</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45507</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45507</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45507</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45507</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45507</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45507</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45507</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45507</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45507</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45507</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45507</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45507</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45507</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45507</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45507</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45507</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45507</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45507</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45507</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45507</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45507</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45507</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45507</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45507</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45507</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45507</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45507</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45507</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45507</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45507</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45507</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45507</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45507</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45507</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45507</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45507</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45507</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45507</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45507</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45507</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45507</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45507</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45507</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45507</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45507</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45507</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45507</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45507</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45507</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45507</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45507</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45507</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45507</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45507</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45507</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45507</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45507</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45507</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45507</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45507</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45507</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45507</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45507</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45507</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45507</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45507</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45507</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45507</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45507</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45507</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45507</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45507</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45507</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45507</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45507</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45507</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45507</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45507</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45507</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45507</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45507</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45507</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45507</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45507</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45507</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45507</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45507</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45507</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45507</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45507</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45507</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45507</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45507</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45507</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45507</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45507</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45507</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45507</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45507</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45507</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45507</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45507</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45507</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45507</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45507</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45507</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45507</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45507</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45507</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45507</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45507</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45507</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45507</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45507</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45507</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45507</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45507</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45507</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45507</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45507</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45507</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45507</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45507</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45507</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45507</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45507</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45507</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45507</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45507</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45507</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45507</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45507</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45507</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45507</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45507</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45507</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45507</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45507</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45507</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45507</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45507</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45507</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45507</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45507</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45507</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45507</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45507</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45507</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45507</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45507</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45507</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45507</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45507</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45507</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45507</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45507</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45507</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45507</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45507</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45507</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45507</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45507</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45507</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45507</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45507</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45507</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45507</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45507</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45507</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45507</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45507</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45507</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45507</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45507</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45507</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45507</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45507</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45507</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45507</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45507</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45507</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45507</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45507</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45507</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45507</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45507</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45507</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45507</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45507</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45507</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45507</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45507</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45507</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45507</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45507</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45507</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45507</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45507</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45507</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45507</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45507</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45507</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45507</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45507</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45507</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45507</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45507</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45507</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45507</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45507</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45507</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45507</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45507</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45507</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45507</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45507</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45507</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45507</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45507</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45507</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45507</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45507</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45507</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45507</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45507</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45507</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45507</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45507</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45507</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45507</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45507</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45507</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45507</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45507</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45507</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45507</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45507</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45507</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45507</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45507</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45507</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45507</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45507</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45507</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45507</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45507</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45507</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45507</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45507</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45507</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45507</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45507</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45507</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45507</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45507</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45507</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45507</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45507</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45507</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45507</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45507</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45507</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45507</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45507</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45507</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45507</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45507</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45507</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45507</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45507</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45507</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45507</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45507</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45507</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45507</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45507</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45507</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45507</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45507</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45507</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45507</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45507</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45507</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45507</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45507</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45507</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45507</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45507</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45507</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45507</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45507</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45507</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45507</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45507</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45507</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45507</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45507</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45507</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45507</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45507</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45507</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45507</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45507</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45507</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45507</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45507</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45507</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45507</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45507</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45507</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45507</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45507</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45507</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45507</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45507</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45507</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45507</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45507</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45507</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45507</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45507</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45507</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45507</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45507</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45507</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45507</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45507</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45507</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45507</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45507</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45507</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45507</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45507</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45507</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45507</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45507</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45507</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45507</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45507</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45507</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45507</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45507</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45507</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45507</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45507</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45507</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45507</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45507</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45507</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45507</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45507</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45507</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45507</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45507</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45507</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45507</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45507</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45507</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45507</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45507</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45507</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45507</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45507</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45507</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45507</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45507</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45507</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45507</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45507</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45507</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45507</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45507</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45507</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45507</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45507</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45507</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45507</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45507</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45507</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45507</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45507</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45507</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45507</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45507</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45507</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45507</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45507</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45507</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45507</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45507</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45507</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45507</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45507</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45507</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45507</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45507</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45507</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45507</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45507</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45507</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45507</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45507</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45507</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45507</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45507</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45507</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45507</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45507</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45507</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45507</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45507</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45507</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45507</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45507</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45507</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45507</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45507</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45507</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45507</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45507</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45507</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45507</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45507</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45507</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45507</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45507</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45507</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45507</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45507</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45507</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45507</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45507</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45507</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45507</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45507</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45507</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45507</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45507</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45507</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45507</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45507</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45507</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45507</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45507</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45507</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45507</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45507</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45507</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45507</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45507</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45507</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45507</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45507</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45507</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45507</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45507</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45507</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45507</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45507</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45507</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45507</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45507</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45507</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45507</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45507</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45507</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45507</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45507</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45507</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45507</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45507</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45507</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45507</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45507</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45507</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45507</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45507</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45507</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45507</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45507</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45507</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45507</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45507</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45507</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45507</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45507</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45507</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45507</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45507</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45507</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45507</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45507</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45507</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45507</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45507</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45507</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45507</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45507</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45507</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45507</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45507</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45507</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45507</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45507</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45507</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45507</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45507</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45507</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45507</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45507</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45507</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45507</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45507</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45507</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45507</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45507</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45507</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45507</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45507</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45507</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45507</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45507</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45507</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45507</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45507</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45507</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45507</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45507</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45507</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45507</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45507</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45507</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45507</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45507</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45507</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45507</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45507</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45507</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45507</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45507</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45507</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45507</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45507</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45507</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45507</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45507</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45507</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45507</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45507</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45507</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45507</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45507</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45507</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45507</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45507</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45507</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45507</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45507</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45507</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45507</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45507</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45507</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45507</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45507</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45507</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45507</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45507</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45507</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45507</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45507</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45507</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45507</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45507</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45507</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45507</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45507</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45507</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45507</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45507</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45507</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45507</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45507</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45507</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45507</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45507</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45507</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45507</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45507</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45507</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45507</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45507</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45507</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45507</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45507</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45507</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45507</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45507</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45507</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45507</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45507</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45507</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45507</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45507</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45507</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45507</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45507</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45507</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45507</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45507</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45507</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45507</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45507</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45507</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45507</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45507</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45507</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45507</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45507</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45507</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45507</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45507</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45507</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45507</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45507</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45507</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45507</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45507</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45507</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45507</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45507</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45507</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45507</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45507</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45507</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45507</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45507</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45507</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45507</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45507</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45507</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45507</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45507</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45507</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45507</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45507</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45507</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45507</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45507</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45507</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45507</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45507</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45507</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45507</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45507</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45507</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45507</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45507</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45507</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45507</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45507</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45507</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45507</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45507</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45507</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45507</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45507</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45507</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45507</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45507</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45507</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45507</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45507</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45507</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45507</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45507</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45507</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45507</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45507</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45507</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45507</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45507</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45507</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45507</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45507</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45507</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45507</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45507</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45507</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45507</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45507</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45507</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45507</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45507</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45507</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45507</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45507</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45507</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45507</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45507</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45507</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45507</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45507</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45507</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45507</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45507</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45507</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45507</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45507</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45507</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45507</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45507</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45507</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45507</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45507</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45507</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45507</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45507</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45507</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45507</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45507</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45507</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45507</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45507</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45507</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45507</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45507</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45507</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45507</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45507</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45507</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45507</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45507</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45507</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45507</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45507</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45507</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45507</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45507</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45507</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45507</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45507</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45507</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45507</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45507</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45507</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45507</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45507</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45507</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45507</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45507</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45507</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45507</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45507</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45507</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45507</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45507</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45507</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45507</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45507</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45507</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45507</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45507</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45507</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45507</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45507</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45507</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45507</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45507</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45507</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45507</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45507</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45507</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45507</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45507</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45507</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45507</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45507</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45507</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45507</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45507</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45507</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45507</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45507</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45507</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45507</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45507</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45507</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45507</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45507</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45507</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45507</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45507</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45507</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45507</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45507</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45507</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45507</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45507</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45507</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45507</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45507</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45507</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45507</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45507</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45507</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45507</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45507</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45507</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45507</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45507</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45507</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45507</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45507</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45507</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45507</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45507</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45507</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45507</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45507</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45507</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45507</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45507</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45507</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45507</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45507</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45507</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45507</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45507</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45507</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45507</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45507</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45507</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45507</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45507</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45507</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45507</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45507</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45507</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45507</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45507</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45507</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45507</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45507</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45507</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45507</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45507</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45507</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45507</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45507</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45507</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45507</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45507</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45507</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45507</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45507</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45507</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45507</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45507</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45507</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45507</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45507</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45507</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45507</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45507</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45507</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45507</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45507</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45507</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45507</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45507</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45507</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45507</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45507</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45507</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45507</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45507</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45507</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45507</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45507</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45507</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45507</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45507</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45507</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45507</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45507</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45507</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45507</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45507</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45507</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45507</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45507</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45507</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45507</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45507</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45507</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45507</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45507</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45507</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45507</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45507</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45507</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45507</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45507</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45507</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45507</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45507</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45507</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45507</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45507</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45507</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45507</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45507</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45507</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45507</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45507</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45507</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45507</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45507</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45507</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45507</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45507</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45507</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45507</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45507</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45507</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45507</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45507</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45507</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45507</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45507</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45507</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45507</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45507</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45507</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45507</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45507</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45507</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45507</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45507</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45507</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45507</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45507</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45507</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45507</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45507</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45507</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45507</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45507</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45507</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45507</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45507</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45507</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45507</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45507</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45507</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45507</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45507</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45507</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45507</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45507</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45507</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45507</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45507</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45507</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45507</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45507</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45507</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45507</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45507</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45507</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45507</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45507</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45507</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45507</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45507</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45507</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45507</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45507</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45507</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45507</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45507</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45507</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45507</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45507</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45507</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45507</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45507</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45507</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45507</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45507</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45507</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45507</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45507</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45507</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45507</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45507</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45507</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45507</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45507</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45507</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45507</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45507</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45507</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45507</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45507</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45507</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45507</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45507</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45507</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45507</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45507</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45507</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45507</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45507</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45507</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45507</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45507</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45507</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45507</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45507</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45507</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45507</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45507</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45507</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45507</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45507</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45507</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45507</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45507</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45507</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45507</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45507</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45507</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45507</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45507</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45507</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45507</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45507</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45507</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45507</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45507</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45507</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45507</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45507</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45507</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45507</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45507</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45507</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45507</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45507</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45507</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45507</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45507</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45507</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45507</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45507</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45507</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45507</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45507</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45507</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45507</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45507</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45507</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45507</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45507</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45507</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45507</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45507</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45507</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45507</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45507</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45507</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45507</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45507</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45507</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45507</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45507</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45507</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45507</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45507</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45507</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45507</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45507</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45507</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45507</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45507</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45507</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45507</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45507</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45507</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45507</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45507</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45507</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45507</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45507</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45507</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45507</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45507</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45507</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45507</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45507</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45507</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45507</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45507</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45507</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45507</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45507</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45507</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45507</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45507</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45507</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45507</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45507</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45507</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45507</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45507</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45507</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45507</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45507</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45507</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45507</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45507</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45507</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45507</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45507</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45507</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45507</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45507</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45507</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45507</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45507</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45507</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45507</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45507</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45507</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45507</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45507</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45507</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45507</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45507</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45507</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45507</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45507</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45507</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45507</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45507</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45507</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45507</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45507</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45507</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45507</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45507</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45507</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45507</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45507</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45507</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45507</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45507</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45507</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45507</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45507</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45507</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45507</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45507</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45507</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45507</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45507</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45507</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45507</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45507</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45507</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45507</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45507</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45507</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45507</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45507</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45507</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45507</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45507</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45507</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45507</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45507</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45507</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45507</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45507</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45507</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45507</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45507</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45507</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45507</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45507</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45507</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45507</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45507</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45507</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45507</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45507</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45507</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45507</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45507</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45507</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45507</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45507</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45507</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45507</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45507</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45507</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45507</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45507</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45507</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45507</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45507</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45507</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45507</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45507</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45507</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45507</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45507</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45507</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45507</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45507</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45507</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45507</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45507</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45507</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45507</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45507</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45507</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45507</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45507</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45507</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45507</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45507</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45507</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45507</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45507</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45507</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45507</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45507</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45507</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45507</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45507</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45507</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45507</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45507</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45507</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45507</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45507</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45507</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45507</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45507</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45507</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45507</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45507</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45507</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45507</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45507</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45507</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45507</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45507</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45507</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45507</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45507</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45507</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45507</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45507</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45507</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45507</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45507</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45507</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45507</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45507</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45507</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45507</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45507</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45507</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45507</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45507</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45507</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45507</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45507</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45507</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45507</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45507</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45507</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45507</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45507</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45507</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45507</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45507</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45507</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45507</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45507</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45507</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45507</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45507</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45507</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45507</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45507</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45507</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45507</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45507</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45507</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45507</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45507</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45507</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45507</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45507</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45507</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45507</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45507</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45507</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45507</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45507</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45507</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45507</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45507</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45507</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45507</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45507</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45507</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45507</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45507</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45507</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45507</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45507</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45507</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45507</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45507</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45507</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45507</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45507</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45507</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45507</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45507</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45507</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45507</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45507</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45507</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45507</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45507</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45507</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45507</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45507</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45507</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45507</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45507</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45507</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45507</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45507</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45507</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45507</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45507</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45507</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45507</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45507</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45507</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45507</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45507</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45507</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45507</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45507</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45507</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45507</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45507</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45507</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45507</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45507</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45507</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45507</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45507</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45507</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45507</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45507</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45507</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45507</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45507</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45507</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45507</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45507</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45507</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45507</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45507</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45507</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45507</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45507</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45507</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45507</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45507</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45507</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45507</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45507</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45507</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45507</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45507</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45507</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45507</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45507</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45507</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45507</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45507</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45507</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45507</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45507</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45507</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45507</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45507</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45507</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45507</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45507</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45507</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45507</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45507</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45507</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45507</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45507</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45507</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45507</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45507</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45507</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45507</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45507</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45507</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45507</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45507</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45507</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45507</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45507</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45507</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45507</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45507</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45507</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45507</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45507</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45507</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45507</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45507</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45507</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45507</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45507</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45507</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45507</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45507</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45507</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45507</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45507</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45507</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45507</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45507</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45507</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45507</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45507</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45507</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45507</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45507</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45507</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45507</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45507</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45507</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45507</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45507</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45507</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45507</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45507</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45507</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45507</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45507</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45507</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45507</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45507</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45507</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45507</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45507</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45507</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45507</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45507</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45507</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45507</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45507</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45507</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45507</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45507</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45507</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45507</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45507</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45507</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45507</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45507</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45507</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45507</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45507</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45507</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45507</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45507</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45507</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45507</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45507</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45507</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45507</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45507</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45507</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45507</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45507</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45507</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45507</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45507</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45507</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45507</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45507</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45507</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45507</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45507</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45507</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45507</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45507</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45507</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45507</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45507</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45507</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45507</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45507</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45507</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45507</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45507</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45507</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45507</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45507</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45507</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45507</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45507</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45507</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45507</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45507</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45507</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45507</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45507</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45507</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45507</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45507</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45507</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45507</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45507</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45507</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45507</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45507</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45507</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45507</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45507</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45507</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45507</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45507</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45507</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45507</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45507</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45507</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45507</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45507</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45507</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45507</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45507</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45507</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45507</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45507</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45507</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45507</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45507</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45507</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45507</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45507</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45507</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45507</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45507</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45507</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45507</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45507</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45507</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45507</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45507</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45507</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45507</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45507</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45507</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45507</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45507</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45507</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45507</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45507</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45507</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45507</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45507</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45507</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45507</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45507</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45507</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45507</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45507</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45507</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45507</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45507</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45507</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45507</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45507</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45507</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45507</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45507</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45507</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45507</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45507</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45507</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45507</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45507</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45507</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45507</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45507</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45507</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45507</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45507</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45507</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45507</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45507</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45507</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45507</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45507</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45507</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45507</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45507</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45507</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45507</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45507</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45507</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45507</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45507</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45507</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45507</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45507</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45507</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45507</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45507</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45507</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45507</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45507</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45507</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45507</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45507</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45507</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45507</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45507</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45507</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45507</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45507</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45507</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45507</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45507</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45507</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45507</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45507</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45507</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45507</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45507</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45507</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45507</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45507</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45507</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45507</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45507</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45507</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45507</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45507</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45507</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45507</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45507</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45507</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45507</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45507</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45507</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45507</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45507</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45507</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45507</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45507</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45507</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45507</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45507</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45507</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45507</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45507</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45507</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45507</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45507</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45507</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45507</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45507</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45507</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45507</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45507</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45507</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45507</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45507</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45507</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45507</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45507</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45507</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45507</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45507</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45507</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45507</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45507</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45507</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45507</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45507</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45507</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45507</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45507</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45507</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45507</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45507</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45507</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45507</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45507</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45507</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45507</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45507</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45507</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45507</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45507</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45507</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45507</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45507</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45507</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45507</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45507</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45507</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45507</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45507</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45507</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45507</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45507</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45507</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45507</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45507</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45507</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45507</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45507</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45507</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45507</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45507</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45507</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45507</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45507</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45507</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45507</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45507</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45507</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45507</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45507</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45507</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45507</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45507</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45507</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45507</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45507</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45507</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45507</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45507</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45507</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45507</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45507</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45507</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45507</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45507</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45507</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45507</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45507</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45507</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45507</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45507</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45507</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45507</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45507</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45507</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45507</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45507</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45507</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45507</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45507</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45507</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45507</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45507</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45507</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45507</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45507</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45507</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45507</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45507</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45507</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45507</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45507</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45507</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45507</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45507</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45507</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45507</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45507</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45507</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45507</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45507</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45507</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45507</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45507</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45507</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45507</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45507</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45507</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45507</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45507</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45507</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45507</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45507</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45507</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45507</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45507</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45507</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45507</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45507</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45507</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45507</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45507</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45507</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45507</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45507</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45507</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45507</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45507</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45507</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45507</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45507</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45507</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45507</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45507</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45507</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45507</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45507</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45507</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45507</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45507</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45507</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45507</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45507</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45507</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45507</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45507</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45507</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45507</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45507</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45507</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45507</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45507</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45507</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45507</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45507</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45507</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45507</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45507</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45507</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45507</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45507</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45507</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45507</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45507</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45507</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45507</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45507</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45507</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45507</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45507</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45507</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45507</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45507</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45507</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45507</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45507</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45507</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45507</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45507</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45507</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45507</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45507</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45507</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45507</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45507</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45507</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45507</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45507</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45507</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45507</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45507</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45507</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45507</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45507</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45507</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45507</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45507</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45507</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45507</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45507</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45507</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45507</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45507</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45507</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45507</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45507</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45507</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45507</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45507</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45507</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45507</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45507</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45507</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45507</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45507</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45507</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45507</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45507</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45507</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45507</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45507</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45507</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45507</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45507</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45507</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45507</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45507</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45507</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45507</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45507</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45507</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45507</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45507</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45507</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45507</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45507</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45507</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45507</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45507</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45507</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45507</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45507</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45507</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45507</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45507</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45507</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45507</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45507</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45507</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45507</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45507</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45507</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45507</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45507</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45507</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45507</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45507</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45507</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45507</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45507</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45507</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45507</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45507</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45507</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45507</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45507</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45507</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45507</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45507</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45507</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45507</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45507</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45507</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45507</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45507</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45507</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45507</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45507</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45507</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45507</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45507</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45507</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45507</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45507</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45507</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45507</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45507</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45507</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45507</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45507</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45507</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45507</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45507</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45507</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45507</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45507</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45507</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45507</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45507</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45507</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45507</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45507</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45507</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45507</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45507</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45507</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45507</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45507</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45507</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45507</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45507</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45507</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45507</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45507</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45507</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45507</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45507</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45507</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45507</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45507</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45507</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45507</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45507</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45507</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45507</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45507</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45507</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45507</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45507</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45507</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45507</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45507</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45507</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45507</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45507</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45507</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45507</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45507</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45507</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45507</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45507</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45507</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45507</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45507</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45507</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45507</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45507</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45507</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45507</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45507</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45507</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45507</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45507</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45507</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45507</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45507</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45507</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45507</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45507</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45507</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45507</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45507</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45507</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45507</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45507</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45507</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45507</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45507</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45507</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45507</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45507</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45507</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45507</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45507</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45507</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45507</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45507</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45507</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45507</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45507</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45507</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45507</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45507</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45507</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45507</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45507</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45507</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45507</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45507</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45507</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45507</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45507</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45507</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45507</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45507</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45507</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45507</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45507</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45507</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45507</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45507</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45507</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45507</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45507</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45507</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45507</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45507</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45507</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45507</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45507</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45507</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45507</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45507</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45507</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45507</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45507</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45507</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45507</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45507</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45507</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45507</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45507</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45507</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45507</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45507</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45507</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45507</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45507</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45507</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45507</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45507</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45507</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45507</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45507</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45507</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45507</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45507</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45507</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45507</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45507</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45507</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45507</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45507</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45507</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45507</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45507</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45507</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45507</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45507</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45507</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45507</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45507</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45507</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45507</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45507</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45507</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45507</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45507</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45507</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45507</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45507</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45507</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45507</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45507</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45507</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45507</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45507</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45507</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45507</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45507</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45507</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45507</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45507</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45507</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45507</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45507</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45507</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45507</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45507</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45507</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45507</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45507</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45507</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45507</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45507</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45507</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45507</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45507</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45507</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45507</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45507</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45507</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45507</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45507</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45507</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45507</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45507</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45507</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45507</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45507</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45507</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45507</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45507</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45507</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45507</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45507</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45507</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45507</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45507</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45507</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45507</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45507</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45507</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45507</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45507</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45507</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45507</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45507</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45507</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45507</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45507</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45507</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45507</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45507</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45507</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45507</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45507</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45507</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45507</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45507</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45507</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45507</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45507</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45507</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45507</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45507</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45507</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45507</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45507</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45507</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45507</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45507</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45507</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45507</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45507</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45507</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45507</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45507</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45507</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45507</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45507</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45507</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45507</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45507</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45507</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45507</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45507</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45507</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45507</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45507</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45507</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45507</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45507</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45507</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45507</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45507</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45507</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45507</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45507</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45507</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45507</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45507</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45507</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45507</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45507</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45507</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45507</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45507</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45507</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45507</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45507</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45507</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45507</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45507</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45507</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45507</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45507</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45507</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45507</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45507</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45507</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45507</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45507</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45507</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45507</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45507</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45507</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45507</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45507</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45507</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45507</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45507</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45507</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45507</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45507</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45507</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45507</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45507</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45507</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45507</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45507</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45507</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45507</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45507</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45507</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45507</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45507</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45507</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45507</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45507</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45507</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45507</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45507</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45507</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45507</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45507</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45507</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45507</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45507</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45507</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45507</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45507</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45507</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45507</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45507</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45507</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45507</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45507</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45507</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45507</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45507</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45507</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45507</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45507</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45507</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45507</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45507</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45507</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45507</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45507</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45507</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45507</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45507</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45507</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45507</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45507</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45507</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45507</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45507</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45507</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45507</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45507</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45507</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45507</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45507</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45507</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45507</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45507</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45507</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45507</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45507</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45507</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45507</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45507</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45507</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45507</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45507</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45507</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45507</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45507</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45507</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45507</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45507</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45507</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45507</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45507</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45507</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45507</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45507</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45507</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45507</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45507</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45507</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45507</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45507</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45507</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45507</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45507</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45507</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45507</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45507</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45507</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45507</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45507</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45507</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45507</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45507</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45507</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45507</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45507</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45507</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45507</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45507</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45507</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45507</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45507</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45507</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45507</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45507</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45507</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45507</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45507</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45507</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45507</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45507</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45507</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45507</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45507</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45507</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45507</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45507</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45507</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45507</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45507</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45507</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45507</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45507</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45507</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45507</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45507</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45507</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45507</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45507</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45507</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45507</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45507</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45507</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45507</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45507</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45507</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45507</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45507</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45507</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45507</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45507</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45507</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45507</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45507</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45507</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45507</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45507</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45507</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45507</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45507</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45507</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45507</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45507</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45507</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45507</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45507</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45507</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45507</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45507</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45507</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45507</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45507</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45507</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45507</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45507</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45507</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45507</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45507</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45507</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45507</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45507</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45507</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45507</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45507</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45507</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45507</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45507</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45507</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45507</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45507</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45507</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45507</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45507</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45507</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45507</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45507</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45507</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45507</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45507</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45507</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45507</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45507</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45507</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45507</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45507</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45507</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45507</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45507</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45507</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45507</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45507</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45507</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45507</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45507</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45507</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45507</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45507</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45507</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45507</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45507</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45507</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45507</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45507</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45507</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45507</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45507</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45507</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45507</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45507</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45507</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45507</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45507</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45507</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45507</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45507</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45507</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45507</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45507</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45507</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45507</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45507</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45507</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45507</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45507</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45507</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45507</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45507</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45507</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45507</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45507</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45507</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45507</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45507</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45507</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45507</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45507</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45507</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45507</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45507</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45507</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45507</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45507</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45507</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45507</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45507</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45507</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45507</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45507</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45507</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45507</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45507</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45507</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45507</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45507</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45507</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45507</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45507</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45507</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45507</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45507</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45507</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45507</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45507</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45507</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45507</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45507</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45507</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45507</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45507</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45507</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45507</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45507</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45507</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45507</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45507</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45507</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45507</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45507</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45507</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45507</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45507</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45507</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45507</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45507</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45507</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45507</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45507</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45507</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45507</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45507</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45507</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45507</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45507</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45507</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45507</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45507</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45507</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45507</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45507</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45507</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45507</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45507</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45507</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45507</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45507</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45507</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45507</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45507</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45507</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45507</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45507</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45507</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45507</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45507</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45507</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45507</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45507</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45507</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45507</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45507</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45507</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45507</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45507</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45507</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45507</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45507</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45507</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45507</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45507</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45507</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45507</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45507</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45507</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45507</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45507</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45507</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45507</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45507</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45507</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45507</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45507</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45507</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45507</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45507</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45507</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45507</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45507</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45507</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45507</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45507</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45507</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45507</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45507</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45507</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45507</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45507</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45507</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45507</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45507</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45507</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45507</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45507</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45507</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45507</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45507</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45507</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45507</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45507</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45507</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45507</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45507</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45507</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45507</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45507</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45507</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45507</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45507</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45507</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45507</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45507</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45507</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45507</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45507</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45507</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45507</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45507</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45507</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45507</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45507</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45507</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45507</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45507</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45507</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45507</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45507</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45507</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45507</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45507</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45507</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45507</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45507</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45507</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45507</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45507</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45507</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45507</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45507</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45507</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45507</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45507</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45507</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45507</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45507</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45507</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45507</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45507</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45507</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45507</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45507</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45507</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45507</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45507</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45507</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45507</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45507</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45507</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45507</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45507</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45507</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45507</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45507</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45507</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45507</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45507</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45507</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45507</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45507</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45507</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45507</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45507</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45507</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45507</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45507</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45507</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45507</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45507</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45507</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45507</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45507</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45507</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45507</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45507</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45507</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45507</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45507</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45507</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45507</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45507</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45507</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45507</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45507</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45507</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45507</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45507</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45507</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45507</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45507</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45507</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45507</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45507</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45507</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45507</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45507</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45507</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45507</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45507</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45507</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45507</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45507</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45507</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45507</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45507</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45507</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45507</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45507</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45507</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45507</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45507</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45507</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45507</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45507</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45507</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45507</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45507</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45507</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45507</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45507</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45507</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45507</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45507</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45507</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45507</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45507</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45507</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45507</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45507</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45507</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45507</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45507</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45507</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45507</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45507</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45507</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45507</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45507</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45507</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45507</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45507</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45507</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45507</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45507</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45507</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45507</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45507</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45507</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45507</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45507</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45507</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45507</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45507</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45507</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45507</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45507</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45507</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45507</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45507</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45507</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45507</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45507</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45507</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45507</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45507</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45507</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45507</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45507</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45507</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45507</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45507</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45507</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45507</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45507</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45507</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45507</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45507</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45507</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45507</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45507</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45507</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45507</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45507</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45507</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45507</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45507</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45507</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45507</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45507</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45507</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45507</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45507</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45507</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45507</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45507</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45507</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45507</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45507</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45507</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45507</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45507</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45507</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45507</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45507</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45507</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45507</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45507</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45507</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45507</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45507</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45507</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45507</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45507</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45507</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45507</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45507</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45507</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45507</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45507</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45507</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45507</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45507</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45507</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45507</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45507</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45507</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45507</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45507</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45507</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45507</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45507</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45507</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45507</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45507</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45507</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45507</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45507</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45507</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45507</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45507</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45507</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45507</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45507</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45507</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45507</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45507</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45507</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45507</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45507</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45507</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45507</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45507</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45507</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45507</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45507</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45507</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45507</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45507</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45507</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45507</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45507</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45507</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45507</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45507</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45507</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45507</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45507</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45507</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45507</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45507</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45507</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45507</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45507</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45507</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45507</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45507</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45507</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45507</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45507</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45507</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45507</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45507</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45507</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45507</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45507</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45507</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45507</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45507</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45507</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45507</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45507</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45507</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45507</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45507</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45507</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45507</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45507</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45507</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45507</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45507</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45507</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45507</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45507</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45507</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45507</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45507</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45507</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45507</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45507</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45507</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45507</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45507</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45507</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45507</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45507</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45507</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45507</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45507</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45507</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45507</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45507</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45507</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45507</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45507</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45507</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45507</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45507</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45507</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45507</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45507</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45507</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45507</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45507</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45507</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45507</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45507</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45507</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45507</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45507</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45507</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45507</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45507</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45507</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45507</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45507</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45507</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45507</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45507</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45507</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45507</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45507</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45507</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45507</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45507</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45507</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45507</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45507</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45507</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45507</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45507</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45507</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45507</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45507</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45507</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45507</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45507</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45507</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45507</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45507</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45507</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45507</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45507</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45507</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45507</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45507</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45507</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45507</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45507</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45507</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45507</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45507</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45507</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45507</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45507</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45507</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45507</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45507</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45507</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45507</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45507</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45507</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45507</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45507</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45507</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45507</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45507</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45507</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45507</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45507</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45507</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45507</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45507</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45507</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45507</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45507</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45507</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45507</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45507</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45507</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45507</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45507</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45507</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45507</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45507</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45507</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45507</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45507</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45507</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45507</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45507</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45507</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45507</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45507</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45507</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45507</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45507</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45507</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45507</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45507</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45507</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45507</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45507</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45507</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45507</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45507</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45507</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45507</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45507</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45507</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45507</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45507</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45507</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45507</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45507</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45507</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45507</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45507</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45507</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45507</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45507</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45507</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45507</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45507</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45507</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45507</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45507</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45507</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45507</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45507</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45507</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45507</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45507</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45507</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45507</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45507</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45507</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45507</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45507</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45507</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45507</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45507</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45507</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45507</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45507</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45507</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45507</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45507</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45507</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45507</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45507</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45507</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45507</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45507</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45507</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45507</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45507</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45507</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45507</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45507</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45507</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45507</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45507</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45507</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45507</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45507</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45507</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45507</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45507</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45507</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45507</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45507</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45507</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45507</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45507</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45507</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45507</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45507</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45507</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45507</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45507</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45507</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45507</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45507</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45507</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45507</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45507</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45507</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45507</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45507</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45507</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45507</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45507</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45507</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45507</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45507</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45507</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45507</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45507</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45507</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45507</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45507</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45507</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45507</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45507</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45507</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45507</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45507</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45507</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45507</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45507</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45507</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45507</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45507</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45507</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45507</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45507</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45507</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45507</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45507</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45507</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45507</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45507</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45507</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45507</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45507</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45507</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45507</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45507</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45507</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45507</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45507</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45507</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45507</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45507</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45507</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45507</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45507</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45507</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45507</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45507</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45507</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45507</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45507</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45507</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45507</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45507</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45507</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45507</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45507</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45507</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45507</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45507</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45507</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45507</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45507</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45507</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45507</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45507</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45507</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45507</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45507</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45507</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45507</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45507</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45507</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45507</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45507</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45507</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45507</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45507</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45507</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45507</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45507</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45507</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45507</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45507</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45507</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45507</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45507</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45507</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45507</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45507</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45507</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45507</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45507</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45507</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45507</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45507</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45507</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45507</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45507</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45507</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45507</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45507</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45507</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45507</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45507</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45507</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45507</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45507</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45507</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45507</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45507</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45507</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45507</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45507</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45507</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45507</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45507</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45507</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45507</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45507</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45507</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45507</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45507</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45507</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45507</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45507</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45507</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45507</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45507</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45507</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45507</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45507</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45507</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45507</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45507</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45507</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45507</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45507</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45507</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45507</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45507</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45507</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45507</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45507</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45507</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45507</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45507</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45507</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45507</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45507</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45507</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45507</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45507</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45507</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45507</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45507</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45507</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45507</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45507</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45507</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45507</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45507</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45507</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45507</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45507</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45507</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45507</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45507</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45507</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45507</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45507</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45507</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45507</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45507</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45507</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45507</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45507</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45507</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45507</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45507</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45507</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45507</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45507</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45507</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45507</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45507</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45507</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45507</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45507</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45507</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45507</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45507</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45507</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45507</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45507</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45507</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45507</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45507</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45507</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45507</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45507</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45507</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45507</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45507</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45507</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45507</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45507</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45507</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45507</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45507</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45507</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45507</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45507</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45507</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45507</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45507</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45507</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45507</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45507</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45507</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45507</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45507</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45507</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45507</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45507</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45507</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45507</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45507</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45507</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45507</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45507</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45507</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45507</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45507</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45507</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45507</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45507</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45507</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45507</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45507</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45507</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45507</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45507</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45507</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45507</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45507</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45507</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45507</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45507</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45507</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45507</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45507</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45507</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45507</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45507</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45507</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45507</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45507</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45507</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45507</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45507</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45507</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45507</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45507</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45507</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45507</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45507</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45507</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45507</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45507</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45507</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45507</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45507</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45507</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45507</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45507</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45507</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45507</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45507</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45507</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45507</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45507</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45507</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45507</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45507</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45507</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45507</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45507</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45507</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45507</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45507</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45507</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45507</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45507</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45507</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45507</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45507</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45507</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45507</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45507</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45507</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45507</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45507</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45507</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45507</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45507</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45507</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45507</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45507</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45507</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45507</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45507</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45507</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45507</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45507</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45507</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45507</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45507</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45507</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45507</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45507</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45507</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45507</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45507</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45507</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45507</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45507</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45507</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45507</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45507</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45507</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45507</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45507</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45507</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45507</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45507</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45507</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45507</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45507</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45507</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45507</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45507</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45507</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45507</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45507</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45507</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45507</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45507</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45507</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45507</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45507</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45507</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45507</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45507</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45507</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45507</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45507</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45507</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45507</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45507</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45507</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45507</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45507</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45507</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45507</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45507</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45507</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45507</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45507</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45507</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45507</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45507</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45507</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45507</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45507</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45507</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45507</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45507</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45507</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45507</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45507</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45507</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45507</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45507</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45507</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45507</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45507</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45507</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45507</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45507</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45507</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45507</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45507</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45507</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45507</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45507</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45507</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45507</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45507</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45507</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45507</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45507</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45507</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45507</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45507</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45507</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45507</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45507</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45507</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45507</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45507</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45507</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45507</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45507</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45507</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45507</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45507</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45507</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45507</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45507</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45507</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45507</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45507</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45507</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45507</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45507</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45507</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45507</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45507</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45507</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45507</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45507</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45507</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45507</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45507</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45507</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45507</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45507</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45507</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45507</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45507</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45507</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45507</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45507</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45507</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45507</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45507</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45507</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45507</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45507</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45507</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45507</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45507</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45507</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45507</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45507</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45507</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45507</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45507</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45507</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45507</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45507</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45507</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45507</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45507</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45507</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45507</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45507</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45507</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28472-2024</t>
        </is>
      </c>
      <c r="B15274" s="1" t="n">
        <v>45477</v>
      </c>
      <c r="C15274" s="1" t="n">
        <v>45507</v>
      </c>
      <c r="D15274" t="inlineStr">
        <is>
          <t>VÄRMLANDS LÄN</t>
        </is>
      </c>
      <c r="E15274" t="inlineStr">
        <is>
          <t>KRISTINEHAMN</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28361-2024</t>
        </is>
      </c>
      <c r="B15275" s="1" t="n">
        <v>45477</v>
      </c>
      <c r="C15275" s="1" t="n">
        <v>45507</v>
      </c>
      <c r="D15275" t="inlineStr">
        <is>
          <t>VÄRMLANDS LÄN</t>
        </is>
      </c>
      <c r="E15275" t="inlineStr">
        <is>
          <t>FORSHAGA</t>
        </is>
      </c>
      <c r="F15275" t="inlineStr">
        <is>
          <t>Bergvik skog väst AB</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28357-2024</t>
        </is>
      </c>
      <c r="B15276" s="1" t="n">
        <v>45477</v>
      </c>
      <c r="C15276" s="1" t="n">
        <v>45507</v>
      </c>
      <c r="D15276" t="inlineStr">
        <is>
          <t>VÄRMLANDS LÄN</t>
        </is>
      </c>
      <c r="E15276" t="inlineStr">
        <is>
          <t>FILIPSTAD</t>
        </is>
      </c>
      <c r="F15276" t="inlineStr">
        <is>
          <t>Bergvik skog väst AB</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28501-2024</t>
        </is>
      </c>
      <c r="B15277" s="1" t="n">
        <v>45478</v>
      </c>
      <c r="C15277" s="1" t="n">
        <v>45507</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28485-2024</t>
        </is>
      </c>
      <c r="B15278" s="1" t="n">
        <v>45477</v>
      </c>
      <c r="C15278" s="1" t="n">
        <v>45507</v>
      </c>
      <c r="D15278" t="inlineStr">
        <is>
          <t>VÄRMLANDS LÄN</t>
        </is>
      </c>
      <c r="E15278" t="inlineStr">
        <is>
          <t>KRISTINEHAMN</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28421-2024</t>
        </is>
      </c>
      <c r="B15279" s="1" t="n">
        <v>45477</v>
      </c>
      <c r="C15279" s="1" t="n">
        <v>45507</v>
      </c>
      <c r="D15279" t="inlineStr">
        <is>
          <t>VÄRMLANDS LÄN</t>
        </is>
      </c>
      <c r="E15279" t="inlineStr">
        <is>
          <t>ARVIKA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28331-2024</t>
        </is>
      </c>
      <c r="B15280" s="1" t="n">
        <v>45477</v>
      </c>
      <c r="C15280" s="1" t="n">
        <v>45507</v>
      </c>
      <c r="D15280" t="inlineStr">
        <is>
          <t>VÄRMLANDS LÄN</t>
        </is>
      </c>
      <c r="E15280" t="inlineStr">
        <is>
          <t>HAGFORS</t>
        </is>
      </c>
      <c r="F15280" t="inlineStr">
        <is>
          <t>Bergvik skog väst AB</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28413-2024</t>
        </is>
      </c>
      <c r="B15281" s="1" t="n">
        <v>45477</v>
      </c>
      <c r="C15281" s="1" t="n">
        <v>45507</v>
      </c>
      <c r="D15281" t="inlineStr">
        <is>
          <t>VÄRMLANDS LÄN</t>
        </is>
      </c>
      <c r="E15281" t="inlineStr">
        <is>
          <t>SUNNE</t>
        </is>
      </c>
      <c r="F15281" t="inlineStr">
        <is>
          <t>Övriga Aktiebolag</t>
        </is>
      </c>
      <c r="G15281" t="n">
        <v>13.7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28396-2024</t>
        </is>
      </c>
      <c r="B15282" s="1" t="n">
        <v>45477</v>
      </c>
      <c r="C15282" s="1" t="n">
        <v>45507</v>
      </c>
      <c r="D15282" t="inlineStr">
        <is>
          <t>VÄRMLANDS LÄN</t>
        </is>
      </c>
      <c r="E15282" t="inlineStr">
        <is>
          <t>HAGFORS</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28319-2024</t>
        </is>
      </c>
      <c r="B15283" s="1" t="n">
        <v>45477</v>
      </c>
      <c r="C15283" s="1" t="n">
        <v>45507</v>
      </c>
      <c r="D15283" t="inlineStr">
        <is>
          <t>VÄRMLANDS LÄN</t>
        </is>
      </c>
      <c r="E15283" t="inlineStr">
        <is>
          <t>TORSBY</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28311-2024</t>
        </is>
      </c>
      <c r="B15284" s="1" t="n">
        <v>45477</v>
      </c>
      <c r="C15284" s="1" t="n">
        <v>45507</v>
      </c>
      <c r="D15284" t="inlineStr">
        <is>
          <t>VÄRMLANDS LÄN</t>
        </is>
      </c>
      <c r="E15284" t="inlineStr">
        <is>
          <t>TORSBY</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28483-2024</t>
        </is>
      </c>
      <c r="B15285" s="1" t="n">
        <v>45477</v>
      </c>
      <c r="C15285" s="1" t="n">
        <v>45507</v>
      </c>
      <c r="D15285" t="inlineStr">
        <is>
          <t>VÄRMLANDS LÄN</t>
        </is>
      </c>
      <c r="E15285" t="inlineStr">
        <is>
          <t>EDA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28455-2024</t>
        </is>
      </c>
      <c r="B15286" s="1" t="n">
        <v>45477</v>
      </c>
      <c r="C15286" s="1" t="n">
        <v>45507</v>
      </c>
      <c r="D15286" t="inlineStr">
        <is>
          <t>VÄRMLANDS LÄN</t>
        </is>
      </c>
      <c r="E15286" t="inlineStr">
        <is>
          <t>ARVIKA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28451-2024</t>
        </is>
      </c>
      <c r="B15287" s="1" t="n">
        <v>45477</v>
      </c>
      <c r="C15287" s="1" t="n">
        <v>45507</v>
      </c>
      <c r="D15287" t="inlineStr">
        <is>
          <t>VÄRMLANDS LÄN</t>
        </is>
      </c>
      <c r="E15287" t="inlineStr">
        <is>
          <t>KARLSTAD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28411-2024</t>
        </is>
      </c>
      <c r="B15288" s="1" t="n">
        <v>45477</v>
      </c>
      <c r="C15288" s="1" t="n">
        <v>45507</v>
      </c>
      <c r="D15288" t="inlineStr">
        <is>
          <t>VÄRMLANDS LÄN</t>
        </is>
      </c>
      <c r="E15288" t="inlineStr">
        <is>
          <t>ARVIKA</t>
        </is>
      </c>
      <c r="F15288" t="inlineStr">
        <is>
          <t>Bergvik skog väst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28271-2024</t>
        </is>
      </c>
      <c r="B15289" s="1" t="n">
        <v>45477</v>
      </c>
      <c r="C15289" s="1" t="n">
        <v>45507</v>
      </c>
      <c r="D15289" t="inlineStr">
        <is>
          <t>VÄRMLANDS LÄN</t>
        </is>
      </c>
      <c r="E15289" t="inlineStr">
        <is>
          <t>FORSHAGA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28267-2024</t>
        </is>
      </c>
      <c r="B15290" s="1" t="n">
        <v>45477</v>
      </c>
      <c r="C15290" s="1" t="n">
        <v>45507</v>
      </c>
      <c r="D15290" t="inlineStr">
        <is>
          <t>VÄRMLANDS LÄN</t>
        </is>
      </c>
      <c r="E15290" t="inlineStr">
        <is>
          <t>SÄFFLE</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28301-2024</t>
        </is>
      </c>
      <c r="B15291" s="1" t="n">
        <v>45477</v>
      </c>
      <c r="C15291" s="1" t="n">
        <v>45507</v>
      </c>
      <c r="D15291" t="inlineStr">
        <is>
          <t>VÄRMLANDS LÄN</t>
        </is>
      </c>
      <c r="E15291" t="inlineStr">
        <is>
          <t>FORSHAGA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28329-2024</t>
        </is>
      </c>
      <c r="B15292" s="1" t="n">
        <v>45477</v>
      </c>
      <c r="C15292" s="1" t="n">
        <v>45507</v>
      </c>
      <c r="D15292" t="inlineStr">
        <is>
          <t>VÄRMLANDS LÄN</t>
        </is>
      </c>
      <c r="E15292" t="inlineStr">
        <is>
          <t>TORSBY</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28310-2024</t>
        </is>
      </c>
      <c r="B15293" s="1" t="n">
        <v>45477</v>
      </c>
      <c r="C15293" s="1" t="n">
        <v>45507</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28502-2024</t>
        </is>
      </c>
      <c r="B15294" s="1" t="n">
        <v>45478</v>
      </c>
      <c r="C15294" s="1" t="n">
        <v>45507</v>
      </c>
      <c r="D15294" t="inlineStr">
        <is>
          <t>VÄRMLANDS LÄN</t>
        </is>
      </c>
      <c r="E15294" t="inlineStr">
        <is>
          <t>TORSBY</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28458-2024</t>
        </is>
      </c>
      <c r="B15295" s="1" t="n">
        <v>45477</v>
      </c>
      <c r="C15295" s="1" t="n">
        <v>45507</v>
      </c>
      <c r="D15295" t="inlineStr">
        <is>
          <t>VÄRMLANDS LÄN</t>
        </is>
      </c>
      <c r="E15295" t="inlineStr">
        <is>
          <t>SÄFFLE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28454-2024</t>
        </is>
      </c>
      <c r="B15296" s="1" t="n">
        <v>45477</v>
      </c>
      <c r="C15296" s="1" t="n">
        <v>45507</v>
      </c>
      <c r="D15296" t="inlineStr">
        <is>
          <t>VÄRMLANDS LÄN</t>
        </is>
      </c>
      <c r="E15296" t="inlineStr">
        <is>
          <t>KARLSTAD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28228-2024</t>
        </is>
      </c>
      <c r="B15297" s="1" t="n">
        <v>45477</v>
      </c>
      <c r="C15297" s="1" t="n">
        <v>45507</v>
      </c>
      <c r="D15297" t="inlineStr">
        <is>
          <t>VÄRMLANDS LÄN</t>
        </is>
      </c>
      <c r="E15297" t="inlineStr">
        <is>
          <t>GRUMS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28249-2024</t>
        </is>
      </c>
      <c r="B15298" s="1" t="n">
        <v>45477</v>
      </c>
      <c r="C15298" s="1" t="n">
        <v>45507</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28242-2024</t>
        </is>
      </c>
      <c r="B15299" s="1" t="n">
        <v>45477</v>
      </c>
      <c r="C15299" s="1" t="n">
        <v>45507</v>
      </c>
      <c r="D15299" t="inlineStr">
        <is>
          <t>VÄRMLANDS LÄN</t>
        </is>
      </c>
      <c r="E15299" t="inlineStr">
        <is>
          <t>FORSHAGA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28197-2024</t>
        </is>
      </c>
      <c r="B15300" s="1" t="n">
        <v>45477</v>
      </c>
      <c r="C15300" s="1" t="n">
        <v>45507</v>
      </c>
      <c r="D15300" t="inlineStr">
        <is>
          <t>VÄRMLANDS LÄN</t>
        </is>
      </c>
      <c r="E15300" t="inlineStr">
        <is>
          <t>EDA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28263-2024</t>
        </is>
      </c>
      <c r="B15301" s="1" t="n">
        <v>45477</v>
      </c>
      <c r="C15301" s="1" t="n">
        <v>45507</v>
      </c>
      <c r="D15301" t="inlineStr">
        <is>
          <t>VÄRMLANDS LÄN</t>
        </is>
      </c>
      <c r="E15301" t="inlineStr">
        <is>
          <t>ÅRJÄNG</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28364-2024</t>
        </is>
      </c>
      <c r="B15302" s="1" t="n">
        <v>45477</v>
      </c>
      <c r="C15302" s="1" t="n">
        <v>45507</v>
      </c>
      <c r="D15302" t="inlineStr">
        <is>
          <t>VÄRMLANDS LÄN</t>
        </is>
      </c>
      <c r="E15302" t="inlineStr">
        <is>
          <t>TORSBY</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28284-2024</t>
        </is>
      </c>
      <c r="B15303" s="1" t="n">
        <v>45477</v>
      </c>
      <c r="C15303" s="1" t="n">
        <v>45507</v>
      </c>
      <c r="D15303" t="inlineStr">
        <is>
          <t>VÄRMLANDS LÄN</t>
        </is>
      </c>
      <c r="E15303" t="inlineStr">
        <is>
          <t>TORSBY</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28260-2024</t>
        </is>
      </c>
      <c r="B15304" s="1" t="n">
        <v>45477</v>
      </c>
      <c r="C15304" s="1" t="n">
        <v>45507</v>
      </c>
      <c r="D15304" t="inlineStr">
        <is>
          <t>VÄRMLANDS LÄN</t>
        </is>
      </c>
      <c r="E15304" t="inlineStr">
        <is>
          <t>ÅRJÄNG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28235-2024</t>
        </is>
      </c>
      <c r="B15305" s="1" t="n">
        <v>45477</v>
      </c>
      <c r="C15305" s="1" t="n">
        <v>45507</v>
      </c>
      <c r="D15305" t="inlineStr">
        <is>
          <t>VÄRMLANDS LÄN</t>
        </is>
      </c>
      <c r="E15305" t="inlineStr">
        <is>
          <t>SUNNE</t>
        </is>
      </c>
      <c r="F15305" t="inlineStr">
        <is>
          <t>Bergvik skog väst AB</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45507</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45507</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28615-2024</t>
        </is>
      </c>
      <c r="B15308" s="1" t="n">
        <v>45478</v>
      </c>
      <c r="C15308" s="1" t="n">
        <v>45507</v>
      </c>
      <c r="D15308" t="inlineStr">
        <is>
          <t>VÄRMLANDS LÄN</t>
        </is>
      </c>
      <c r="E15308" t="inlineStr">
        <is>
          <t>FILIPSTAD</t>
        </is>
      </c>
      <c r="F15308" t="inlineStr">
        <is>
          <t>Bergvik skog väst AB</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28619-2024</t>
        </is>
      </c>
      <c r="B15309" s="1" t="n">
        <v>45478</v>
      </c>
      <c r="C15309" s="1" t="n">
        <v>45507</v>
      </c>
      <c r="D15309" t="inlineStr">
        <is>
          <t>VÄRMLANDS LÄN</t>
        </is>
      </c>
      <c r="E15309" t="inlineStr">
        <is>
          <t>TORSBY</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28560-2024</t>
        </is>
      </c>
      <c r="B15310" s="1" t="n">
        <v>45478</v>
      </c>
      <c r="C15310" s="1" t="n">
        <v>45507</v>
      </c>
      <c r="D15310" t="inlineStr">
        <is>
          <t>VÄRMLANDS LÄN</t>
        </is>
      </c>
      <c r="E15310" t="inlineStr">
        <is>
          <t>HAGFORS</t>
        </is>
      </c>
      <c r="G15310" t="n">
        <v>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28624-2024</t>
        </is>
      </c>
      <c r="B15311" s="1" t="n">
        <v>45478</v>
      </c>
      <c r="C15311" s="1" t="n">
        <v>45507</v>
      </c>
      <c r="D15311" t="inlineStr">
        <is>
          <t>VÄRMLANDS LÄN</t>
        </is>
      </c>
      <c r="E15311" t="inlineStr">
        <is>
          <t>TORSBY</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28545-2024</t>
        </is>
      </c>
      <c r="B15312" s="1" t="n">
        <v>45478</v>
      </c>
      <c r="C15312" s="1" t="n">
        <v>45507</v>
      </c>
      <c r="D15312" t="inlineStr">
        <is>
          <t>VÄRMLANDS LÄN</t>
        </is>
      </c>
      <c r="E15312" t="inlineStr">
        <is>
          <t>TORSBY</t>
        </is>
      </c>
      <c r="F15312" t="inlineStr">
        <is>
          <t>Bergvik skog väst AB</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28573-2024</t>
        </is>
      </c>
      <c r="B15313" s="1" t="n">
        <v>45478</v>
      </c>
      <c r="C15313" s="1" t="n">
        <v>45507</v>
      </c>
      <c r="D15313" t="inlineStr">
        <is>
          <t>VÄRMLANDS LÄN</t>
        </is>
      </c>
      <c r="E15313" t="inlineStr">
        <is>
          <t>ARVIKA</t>
        </is>
      </c>
      <c r="F15313" t="inlineStr">
        <is>
          <t>Bergvik skog väst AB</t>
        </is>
      </c>
      <c r="G15313" t="n">
        <v>5.8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28589-2024</t>
        </is>
      </c>
      <c r="B15314" s="1" t="n">
        <v>45478</v>
      </c>
      <c r="C15314" s="1" t="n">
        <v>45507</v>
      </c>
      <c r="D15314" t="inlineStr">
        <is>
          <t>VÄRMLANDS LÄN</t>
        </is>
      </c>
      <c r="E15314" t="inlineStr">
        <is>
          <t>TORSBY</t>
        </is>
      </c>
      <c r="G15314" t="n">
        <v>12.7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28609-2024</t>
        </is>
      </c>
      <c r="B15315" s="1" t="n">
        <v>45478</v>
      </c>
      <c r="C15315" s="1" t="n">
        <v>45507</v>
      </c>
      <c r="D15315" t="inlineStr">
        <is>
          <t>VÄRMLANDS LÄN</t>
        </is>
      </c>
      <c r="E15315" t="inlineStr">
        <is>
          <t>TORSBY</t>
        </is>
      </c>
      <c r="F15315" t="inlineStr">
        <is>
          <t>Bergvik skog väst AB</t>
        </is>
      </c>
      <c r="G15315" t="n">
        <v>4.6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28621-2024</t>
        </is>
      </c>
      <c r="B15316" s="1" t="n">
        <v>45478</v>
      </c>
      <c r="C15316" s="1" t="n">
        <v>45507</v>
      </c>
      <c r="D15316" t="inlineStr">
        <is>
          <t>VÄRMLANDS LÄN</t>
        </is>
      </c>
      <c r="E15316" t="inlineStr">
        <is>
          <t>TORSBY</t>
        </is>
      </c>
      <c r="F15316" t="inlineStr">
        <is>
          <t>Bergvik skog väst AB</t>
        </is>
      </c>
      <c r="G15316" t="n">
        <v>7.7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28637-2024</t>
        </is>
      </c>
      <c r="B15317" s="1" t="n">
        <v>45478</v>
      </c>
      <c r="C15317" s="1" t="n">
        <v>45507</v>
      </c>
      <c r="D15317" t="inlineStr">
        <is>
          <t>VÄRMLANDS LÄN</t>
        </is>
      </c>
      <c r="E15317" t="inlineStr">
        <is>
          <t>TORSBY</t>
        </is>
      </c>
      <c r="F15317" t="inlineStr">
        <is>
          <t>Bergvik skog väst AB</t>
        </is>
      </c>
      <c r="G15317" t="n">
        <v>10.2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28673-2024</t>
        </is>
      </c>
      <c r="B15318" s="1" t="n">
        <v>45478</v>
      </c>
      <c r="C15318" s="1" t="n">
        <v>45507</v>
      </c>
      <c r="D15318" t="inlineStr">
        <is>
          <t>VÄRMLANDS LÄN</t>
        </is>
      </c>
      <c r="E15318" t="inlineStr">
        <is>
          <t>TORSBY</t>
        </is>
      </c>
      <c r="F15318" t="inlineStr">
        <is>
          <t>Bergvik skog väst AB</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28680-2024</t>
        </is>
      </c>
      <c r="B15319" s="1" t="n">
        <v>45478</v>
      </c>
      <c r="C15319" s="1" t="n">
        <v>45507</v>
      </c>
      <c r="D15319" t="inlineStr">
        <is>
          <t>VÄRMLANDS LÄN</t>
        </is>
      </c>
      <c r="E15319" t="inlineStr">
        <is>
          <t>ARVIKA</t>
        </is>
      </c>
      <c r="F15319" t="inlineStr">
        <is>
          <t>Bergvik skog väst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28709-2024</t>
        </is>
      </c>
      <c r="B15320" s="1" t="n">
        <v>45478</v>
      </c>
      <c r="C15320" s="1" t="n">
        <v>45507</v>
      </c>
      <c r="D15320" t="inlineStr">
        <is>
          <t>VÄRMLANDS LÄN</t>
        </is>
      </c>
      <c r="E15320" t="inlineStr">
        <is>
          <t>ÅRJÄNG</t>
        </is>
      </c>
      <c r="F15320" t="inlineStr">
        <is>
          <t>Bergvik skog väst AB</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28733-2024</t>
        </is>
      </c>
      <c r="B15321" s="1" t="n">
        <v>45478</v>
      </c>
      <c r="C15321" s="1" t="n">
        <v>45507</v>
      </c>
      <c r="D15321" t="inlineStr">
        <is>
          <t>VÄRMLANDS LÄN</t>
        </is>
      </c>
      <c r="E15321" t="inlineStr">
        <is>
          <t>ÅRJÄNG</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28757-2024</t>
        </is>
      </c>
      <c r="B15322" s="1" t="n">
        <v>45478</v>
      </c>
      <c r="C15322" s="1" t="n">
        <v>45507</v>
      </c>
      <c r="D15322" t="inlineStr">
        <is>
          <t>VÄRMLANDS LÄN</t>
        </is>
      </c>
      <c r="E15322" t="inlineStr">
        <is>
          <t>STORFORS</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28797-2024</t>
        </is>
      </c>
      <c r="B15323" s="1" t="n">
        <v>45478</v>
      </c>
      <c r="C15323" s="1" t="n">
        <v>45507</v>
      </c>
      <c r="D15323" t="inlineStr">
        <is>
          <t>VÄRMLANDS LÄN</t>
        </is>
      </c>
      <c r="E15323" t="inlineStr">
        <is>
          <t>STORFORS</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28809-2024</t>
        </is>
      </c>
      <c r="B15324" s="1" t="n">
        <v>45478</v>
      </c>
      <c r="C15324" s="1" t="n">
        <v>45507</v>
      </c>
      <c r="D15324" t="inlineStr">
        <is>
          <t>VÄRMLANDS LÄN</t>
        </is>
      </c>
      <c r="E15324" t="inlineStr">
        <is>
          <t>ARVIKA</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28834-2024</t>
        </is>
      </c>
      <c r="B15325" s="1" t="n">
        <v>45478</v>
      </c>
      <c r="C15325" s="1" t="n">
        <v>45507</v>
      </c>
      <c r="D15325" t="inlineStr">
        <is>
          <t>VÄRMLANDS LÄN</t>
        </is>
      </c>
      <c r="E15325" t="inlineStr">
        <is>
          <t>KRISTINEHAMN</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28846-2024</t>
        </is>
      </c>
      <c r="B15326" s="1" t="n">
        <v>45478</v>
      </c>
      <c r="C15326" s="1" t="n">
        <v>45507</v>
      </c>
      <c r="D15326" t="inlineStr">
        <is>
          <t>VÄRMLANDS LÄN</t>
        </is>
      </c>
      <c r="E15326" t="inlineStr">
        <is>
          <t>KRISTINEHAMN</t>
        </is>
      </c>
      <c r="G15326" t="n">
        <v>12.2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28775-2024</t>
        </is>
      </c>
      <c r="B15327" s="1" t="n">
        <v>45478</v>
      </c>
      <c r="C15327" s="1" t="n">
        <v>45507</v>
      </c>
      <c r="D15327" t="inlineStr">
        <is>
          <t>VÄRMLANDS LÄN</t>
        </is>
      </c>
      <c r="E15327" t="inlineStr">
        <is>
          <t>HAGFORS</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28807-2024</t>
        </is>
      </c>
      <c r="B15328" s="1" t="n">
        <v>45478</v>
      </c>
      <c r="C15328" s="1" t="n">
        <v>45507</v>
      </c>
      <c r="D15328" t="inlineStr">
        <is>
          <t>VÄRMLANDS LÄN</t>
        </is>
      </c>
      <c r="E15328" t="inlineStr">
        <is>
          <t>ARVIKA</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28836-2024</t>
        </is>
      </c>
      <c r="B15329" s="1" t="n">
        <v>45478</v>
      </c>
      <c r="C15329" s="1" t="n">
        <v>45507</v>
      </c>
      <c r="D15329" t="inlineStr">
        <is>
          <t>VÄRMLANDS LÄN</t>
        </is>
      </c>
      <c r="E15329" t="inlineStr">
        <is>
          <t>KRISTINEHAMN</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28517-2024</t>
        </is>
      </c>
      <c r="B15330" s="1" t="n">
        <v>45478</v>
      </c>
      <c r="C15330" s="1" t="n">
        <v>45507</v>
      </c>
      <c r="D15330" t="inlineStr">
        <is>
          <t>VÄRMLANDS LÄN</t>
        </is>
      </c>
      <c r="E15330" t="inlineStr">
        <is>
          <t>FORSHAGA</t>
        </is>
      </c>
      <c r="F15330" t="inlineStr">
        <is>
          <t>Bergvik skog väst AB</t>
        </is>
      </c>
      <c r="G15330" t="n">
        <v>4.6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28554-2024</t>
        </is>
      </c>
      <c r="B15331" s="1" t="n">
        <v>45478</v>
      </c>
      <c r="C15331" s="1" t="n">
        <v>45507</v>
      </c>
      <c r="D15331" t="inlineStr">
        <is>
          <t>VÄRMLANDS LÄN</t>
        </is>
      </c>
      <c r="E15331" t="inlineStr">
        <is>
          <t>TORSBY</t>
        </is>
      </c>
      <c r="F15331" t="inlineStr">
        <is>
          <t>Bergvik skog väst AB</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28646-2024</t>
        </is>
      </c>
      <c r="B15332" s="1" t="n">
        <v>45478</v>
      </c>
      <c r="C15332" s="1" t="n">
        <v>45507</v>
      </c>
      <c r="D15332" t="inlineStr">
        <is>
          <t>VÄRMLANDS LÄN</t>
        </is>
      </c>
      <c r="E15332" t="inlineStr">
        <is>
          <t>TORSBY</t>
        </is>
      </c>
      <c r="F15332" t="inlineStr">
        <is>
          <t>Bergvik skog väst AB</t>
        </is>
      </c>
      <c r="G15332" t="n">
        <v>4.2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28650-2024</t>
        </is>
      </c>
      <c r="B15333" s="1" t="n">
        <v>45478</v>
      </c>
      <c r="C15333" s="1" t="n">
        <v>45507</v>
      </c>
      <c r="D15333" t="inlineStr">
        <is>
          <t>VÄRMLANDS LÄN</t>
        </is>
      </c>
      <c r="E15333" t="inlineStr">
        <is>
          <t>SUNNE</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28804-2024</t>
        </is>
      </c>
      <c r="B15334" s="1" t="n">
        <v>45478</v>
      </c>
      <c r="C15334" s="1" t="n">
        <v>45507</v>
      </c>
      <c r="D15334" t="inlineStr">
        <is>
          <t>VÄRMLANDS LÄN</t>
        </is>
      </c>
      <c r="E15334" t="inlineStr">
        <is>
          <t>ARVIKA</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28738-2024</t>
        </is>
      </c>
      <c r="B15335" s="1" t="n">
        <v>45478</v>
      </c>
      <c r="C15335" s="1" t="n">
        <v>45507</v>
      </c>
      <c r="D15335" t="inlineStr">
        <is>
          <t>VÄRMLANDS LÄN</t>
        </is>
      </c>
      <c r="E15335" t="inlineStr">
        <is>
          <t>HAGFORS</t>
        </is>
      </c>
      <c r="F15335" t="inlineStr">
        <is>
          <t>Bergvik skog väst AB</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28814-2024</t>
        </is>
      </c>
      <c r="B15336" s="1" t="n">
        <v>45478</v>
      </c>
      <c r="C15336" s="1" t="n">
        <v>45507</v>
      </c>
      <c r="D15336" t="inlineStr">
        <is>
          <t>VÄRMLANDS LÄN</t>
        </is>
      </c>
      <c r="E15336" t="inlineStr">
        <is>
          <t>ARVIKA</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28819-2024</t>
        </is>
      </c>
      <c r="B15337" s="1" t="n">
        <v>45478</v>
      </c>
      <c r="C15337" s="1" t="n">
        <v>45507</v>
      </c>
      <c r="D15337" t="inlineStr">
        <is>
          <t>VÄRMLANDS LÄN</t>
        </is>
      </c>
      <c r="E15337" t="inlineStr">
        <is>
          <t>STORFORS</t>
        </is>
      </c>
      <c r="F15337" t="inlineStr">
        <is>
          <t>Kyrkan</t>
        </is>
      </c>
      <c r="G15337" t="n">
        <v>3.9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28827-2024</t>
        </is>
      </c>
      <c r="B15338" s="1" t="n">
        <v>45478</v>
      </c>
      <c r="C15338" s="1" t="n">
        <v>45507</v>
      </c>
      <c r="D15338" t="inlineStr">
        <is>
          <t>VÄRMLANDS LÄN</t>
        </is>
      </c>
      <c r="E15338" t="inlineStr">
        <is>
          <t>KRISTINEHAMN</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28835-2024</t>
        </is>
      </c>
      <c r="B15339" s="1" t="n">
        <v>45478</v>
      </c>
      <c r="C15339" s="1" t="n">
        <v>45507</v>
      </c>
      <c r="D15339" t="inlineStr">
        <is>
          <t>VÄRMLANDS LÄN</t>
        </is>
      </c>
      <c r="E15339" t="inlineStr">
        <is>
          <t>SUNNE</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28839-2024</t>
        </is>
      </c>
      <c r="B15340" s="1" t="n">
        <v>45478</v>
      </c>
      <c r="C15340" s="1" t="n">
        <v>45507</v>
      </c>
      <c r="D15340" t="inlineStr">
        <is>
          <t>VÄRMLANDS LÄN</t>
        </is>
      </c>
      <c r="E15340" t="inlineStr">
        <is>
          <t>SUNNE</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28922-2024</t>
        </is>
      </c>
      <c r="B15341" s="1" t="n">
        <v>45481</v>
      </c>
      <c r="C15341" s="1" t="n">
        <v>45507</v>
      </c>
      <c r="D15341" t="inlineStr">
        <is>
          <t>VÄRMLANDS LÄN</t>
        </is>
      </c>
      <c r="E15341" t="inlineStr">
        <is>
          <t>ARVIKA</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28988-2024</t>
        </is>
      </c>
      <c r="B15342" s="1" t="n">
        <v>45481</v>
      </c>
      <c r="C15342" s="1" t="n">
        <v>45507</v>
      </c>
      <c r="D15342" t="inlineStr">
        <is>
          <t>VÄRMLANDS LÄN</t>
        </is>
      </c>
      <c r="E15342" t="inlineStr">
        <is>
          <t>SÄFFLE</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28948-2024</t>
        </is>
      </c>
      <c r="B15343" s="1" t="n">
        <v>45481</v>
      </c>
      <c r="C15343" s="1" t="n">
        <v>45507</v>
      </c>
      <c r="D15343" t="inlineStr">
        <is>
          <t>VÄRMLANDS LÄN</t>
        </is>
      </c>
      <c r="E15343" t="inlineStr">
        <is>
          <t>TORSBY</t>
        </is>
      </c>
      <c r="G15343" t="n">
        <v>11.8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28993-2024</t>
        </is>
      </c>
      <c r="B15344" s="1" t="n">
        <v>45481</v>
      </c>
      <c r="C15344" s="1" t="n">
        <v>45507</v>
      </c>
      <c r="D15344" t="inlineStr">
        <is>
          <t>VÄRMLANDS LÄN</t>
        </is>
      </c>
      <c r="E15344" t="inlineStr">
        <is>
          <t>SUNNE</t>
        </is>
      </c>
      <c r="F15344" t="inlineStr">
        <is>
          <t>Bergvik skog väst AB</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29009-2024</t>
        </is>
      </c>
      <c r="B15345" s="1" t="n">
        <v>45481</v>
      </c>
      <c r="C15345" s="1" t="n">
        <v>45507</v>
      </c>
      <c r="D15345" t="inlineStr">
        <is>
          <t>VÄRMLANDS LÄN</t>
        </is>
      </c>
      <c r="E15345" t="inlineStr">
        <is>
          <t>SÄFFLE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29051-2024</t>
        </is>
      </c>
      <c r="B15346" s="1" t="n">
        <v>45481</v>
      </c>
      <c r="C15346" s="1" t="n">
        <v>45507</v>
      </c>
      <c r="D15346" t="inlineStr">
        <is>
          <t>VÄRMLANDS LÄN</t>
        </is>
      </c>
      <c r="E15346" t="inlineStr">
        <is>
          <t>FORSHAGA</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28987-2024</t>
        </is>
      </c>
      <c r="B15347" s="1" t="n">
        <v>45481</v>
      </c>
      <c r="C15347" s="1" t="n">
        <v>45507</v>
      </c>
      <c r="D15347" t="inlineStr">
        <is>
          <t>VÄRMLANDS LÄN</t>
        </is>
      </c>
      <c r="E15347" t="inlineStr">
        <is>
          <t>TORSBY</t>
        </is>
      </c>
      <c r="G15347" t="n">
        <v>5.5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29122-2024</t>
        </is>
      </c>
      <c r="B15348" s="1" t="n">
        <v>45482</v>
      </c>
      <c r="C15348" s="1" t="n">
        <v>45507</v>
      </c>
      <c r="D15348" t="inlineStr">
        <is>
          <t>VÄRMLANDS LÄN</t>
        </is>
      </c>
      <c r="E15348" t="inlineStr">
        <is>
          <t>EDA</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29175-2024</t>
        </is>
      </c>
      <c r="B15349" s="1" t="n">
        <v>45482</v>
      </c>
      <c r="C15349" s="1" t="n">
        <v>45507</v>
      </c>
      <c r="D15349" t="inlineStr">
        <is>
          <t>VÄRMLANDS LÄN</t>
        </is>
      </c>
      <c r="E15349" t="inlineStr">
        <is>
          <t>ARVIKA</t>
        </is>
      </c>
      <c r="F15349" t="inlineStr">
        <is>
          <t>Bergvik skog väst AB</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29197-2024</t>
        </is>
      </c>
      <c r="B15350" s="1" t="n">
        <v>45482</v>
      </c>
      <c r="C15350" s="1" t="n">
        <v>45507</v>
      </c>
      <c r="D15350" t="inlineStr">
        <is>
          <t>VÄRMLANDS LÄN</t>
        </is>
      </c>
      <c r="E15350" t="inlineStr">
        <is>
          <t>EDA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29291-2024</t>
        </is>
      </c>
      <c r="B15351" s="1" t="n">
        <v>45482</v>
      </c>
      <c r="C15351" s="1" t="n">
        <v>45507</v>
      </c>
      <c r="D15351" t="inlineStr">
        <is>
          <t>VÄRMLANDS LÄN</t>
        </is>
      </c>
      <c r="E15351" t="inlineStr">
        <is>
          <t>ARVIKA</t>
        </is>
      </c>
      <c r="G15351" t="n">
        <v>11.8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29123-2024</t>
        </is>
      </c>
      <c r="B15352" s="1" t="n">
        <v>45482</v>
      </c>
      <c r="C15352" s="1" t="n">
        <v>45507</v>
      </c>
      <c r="D15352" t="inlineStr">
        <is>
          <t>VÄRMLANDS LÄN</t>
        </is>
      </c>
      <c r="E15352" t="inlineStr">
        <is>
          <t>EDA</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29306-2024</t>
        </is>
      </c>
      <c r="B15353" s="1" t="n">
        <v>45483</v>
      </c>
      <c r="C15353" s="1" t="n">
        <v>45507</v>
      </c>
      <c r="D15353" t="inlineStr">
        <is>
          <t>VÄRMLANDS LÄN</t>
        </is>
      </c>
      <c r="E15353" t="inlineStr">
        <is>
          <t>TORSBY</t>
        </is>
      </c>
      <c r="F15353" t="inlineStr">
        <is>
          <t>Kyrkan</t>
        </is>
      </c>
      <c r="G15353" t="n">
        <v>18.3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29358-2024</t>
        </is>
      </c>
      <c r="B15354" s="1" t="n">
        <v>45483</v>
      </c>
      <c r="C15354" s="1" t="n">
        <v>45507</v>
      </c>
      <c r="D15354" t="inlineStr">
        <is>
          <t>VÄRMLANDS LÄN</t>
        </is>
      </c>
      <c r="E15354" t="inlineStr">
        <is>
          <t>FILIPSTAD</t>
        </is>
      </c>
      <c r="F15354" t="inlineStr">
        <is>
          <t>Bergvik skog väst AB</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29293-2024</t>
        </is>
      </c>
      <c r="B15355" s="1" t="n">
        <v>45483</v>
      </c>
      <c r="C15355" s="1" t="n">
        <v>45507</v>
      </c>
      <c r="D15355" t="inlineStr">
        <is>
          <t>VÄRMLANDS LÄN</t>
        </is>
      </c>
      <c r="E15355" t="inlineStr">
        <is>
          <t>ARVIKA</t>
        </is>
      </c>
      <c r="F15355" t="inlineStr">
        <is>
          <t>Bergvik skog väst AB</t>
        </is>
      </c>
      <c r="G15355" t="n">
        <v>9.1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29301-2024</t>
        </is>
      </c>
      <c r="B15356" s="1" t="n">
        <v>45483</v>
      </c>
      <c r="C15356" s="1" t="n">
        <v>45507</v>
      </c>
      <c r="D15356" t="inlineStr">
        <is>
          <t>VÄRMLANDS LÄN</t>
        </is>
      </c>
      <c r="E15356" t="inlineStr">
        <is>
          <t>ARVIKA</t>
        </is>
      </c>
      <c r="G15356" t="n">
        <v>2.4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29305-2024</t>
        </is>
      </c>
      <c r="B15357" s="1" t="n">
        <v>45483</v>
      </c>
      <c r="C15357" s="1" t="n">
        <v>45507</v>
      </c>
      <c r="D15357" t="inlineStr">
        <is>
          <t>VÄRMLANDS LÄN</t>
        </is>
      </c>
      <c r="E15357" t="inlineStr">
        <is>
          <t>ARVIKA</t>
        </is>
      </c>
      <c r="F15357" t="inlineStr">
        <is>
          <t>Bergvik skog väst AB</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29333-2024</t>
        </is>
      </c>
      <c r="B15358" s="1" t="n">
        <v>45483</v>
      </c>
      <c r="C15358" s="1" t="n">
        <v>45507</v>
      </c>
      <c r="D15358" t="inlineStr">
        <is>
          <t>VÄRMLANDS LÄN</t>
        </is>
      </c>
      <c r="E15358" t="inlineStr">
        <is>
          <t>SUNNE</t>
        </is>
      </c>
      <c r="F15358" t="inlineStr">
        <is>
          <t>Bergvik skog väst AB</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29351-2024</t>
        </is>
      </c>
      <c r="B15359" s="1" t="n">
        <v>45483</v>
      </c>
      <c r="C15359" s="1" t="n">
        <v>45507</v>
      </c>
      <c r="D15359" t="inlineStr">
        <is>
          <t>VÄRMLANDS LÄN</t>
        </is>
      </c>
      <c r="E15359" t="inlineStr">
        <is>
          <t>EDA</t>
        </is>
      </c>
      <c r="F15359" t="inlineStr">
        <is>
          <t>Bergvik skog väst AB</t>
        </is>
      </c>
      <c r="G15359" t="n">
        <v>9.4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29371-2024</t>
        </is>
      </c>
      <c r="B15360" s="1" t="n">
        <v>45483</v>
      </c>
      <c r="C15360" s="1" t="n">
        <v>45507</v>
      </c>
      <c r="D15360" t="inlineStr">
        <is>
          <t>VÄRMLANDS LÄN</t>
        </is>
      </c>
      <c r="E15360" t="inlineStr">
        <is>
          <t>HAGFORS</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29375-2024</t>
        </is>
      </c>
      <c r="B15361" s="1" t="n">
        <v>45483</v>
      </c>
      <c r="C15361" s="1" t="n">
        <v>45507</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29384-2024</t>
        </is>
      </c>
      <c r="B15362" s="1" t="n">
        <v>45483</v>
      </c>
      <c r="C15362" s="1" t="n">
        <v>45507</v>
      </c>
      <c r="D15362" t="inlineStr">
        <is>
          <t>VÄRMLANDS LÄN</t>
        </is>
      </c>
      <c r="E15362" t="inlineStr">
        <is>
          <t>KRISTINEHAMN</t>
        </is>
      </c>
      <c r="G15362" t="n">
        <v>9.800000000000001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29401-2024</t>
        </is>
      </c>
      <c r="B15363" s="1" t="n">
        <v>45483</v>
      </c>
      <c r="C15363" s="1" t="n">
        <v>45507</v>
      </c>
      <c r="D15363" t="inlineStr">
        <is>
          <t>VÄRMLANDS LÄN</t>
        </is>
      </c>
      <c r="E15363" t="inlineStr">
        <is>
          <t>ARVIKA</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29427-2024</t>
        </is>
      </c>
      <c r="B15364" s="1" t="n">
        <v>45483</v>
      </c>
      <c r="C15364" s="1" t="n">
        <v>45507</v>
      </c>
      <c r="D15364" t="inlineStr">
        <is>
          <t>VÄRMLANDS LÄN</t>
        </is>
      </c>
      <c r="E15364" t="inlineStr">
        <is>
          <t>FORSHAGA</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29415-2024</t>
        </is>
      </c>
      <c r="B15365" s="1" t="n">
        <v>45483</v>
      </c>
      <c r="C15365" s="1" t="n">
        <v>45507</v>
      </c>
      <c r="D15365" t="inlineStr">
        <is>
          <t>VÄRMLANDS LÄN</t>
        </is>
      </c>
      <c r="E15365" t="inlineStr">
        <is>
          <t>ÅRJÄNG</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29425-2024</t>
        </is>
      </c>
      <c r="B15366" s="1" t="n">
        <v>45483</v>
      </c>
      <c r="C15366" s="1" t="n">
        <v>45507</v>
      </c>
      <c r="D15366" t="inlineStr">
        <is>
          <t>VÄRMLANDS LÄN</t>
        </is>
      </c>
      <c r="E15366" t="inlineStr">
        <is>
          <t>FORSHAGA</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29408-2024</t>
        </is>
      </c>
      <c r="B15367" s="1" t="n">
        <v>45483</v>
      </c>
      <c r="C15367" s="1" t="n">
        <v>45507</v>
      </c>
      <c r="D15367" t="inlineStr">
        <is>
          <t>VÄRMLANDS LÄN</t>
        </is>
      </c>
      <c r="E15367" t="inlineStr">
        <is>
          <t>TORSBY</t>
        </is>
      </c>
      <c r="F15367" t="inlineStr">
        <is>
          <t>Bergvik skog väst AB</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29299-2024</t>
        </is>
      </c>
      <c r="B15368" s="1" t="n">
        <v>45483</v>
      </c>
      <c r="C15368" s="1" t="n">
        <v>45507</v>
      </c>
      <c r="D15368" t="inlineStr">
        <is>
          <t>VÄRMLANDS LÄN</t>
        </is>
      </c>
      <c r="E15368" t="inlineStr">
        <is>
          <t>ARVIKA</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29389-2024</t>
        </is>
      </c>
      <c r="B15369" s="1" t="n">
        <v>45483</v>
      </c>
      <c r="C15369" s="1" t="n">
        <v>45507</v>
      </c>
      <c r="D15369" t="inlineStr">
        <is>
          <t>VÄRMLANDS LÄN</t>
        </is>
      </c>
      <c r="E15369" t="inlineStr">
        <is>
          <t>HAGFORS</t>
        </is>
      </c>
      <c r="F15369" t="inlineStr">
        <is>
          <t>Bergvik skog väst AB</t>
        </is>
      </c>
      <c r="G15369" t="n">
        <v>20</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29426-2024</t>
        </is>
      </c>
      <c r="B15370" s="1" t="n">
        <v>45483</v>
      </c>
      <c r="C15370" s="1" t="n">
        <v>45507</v>
      </c>
      <c r="D15370" t="inlineStr">
        <is>
          <t>VÄRMLANDS LÄN</t>
        </is>
      </c>
      <c r="E15370" t="inlineStr">
        <is>
          <t>FORSHAGA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29474-2024</t>
        </is>
      </c>
      <c r="B15371" s="1" t="n">
        <v>45484</v>
      </c>
      <c r="C15371" s="1" t="n">
        <v>45507</v>
      </c>
      <c r="D15371" t="inlineStr">
        <is>
          <t>VÄRMLANDS LÄN</t>
        </is>
      </c>
      <c r="E15371" t="inlineStr">
        <is>
          <t>FILIPSTAD</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29483-2024</t>
        </is>
      </c>
      <c r="B15372" s="1" t="n">
        <v>45484</v>
      </c>
      <c r="C15372" s="1" t="n">
        <v>45507</v>
      </c>
      <c r="D15372" t="inlineStr">
        <is>
          <t>VÄRMLANDS LÄN</t>
        </is>
      </c>
      <c r="E15372" t="inlineStr">
        <is>
          <t>ÅRJÄNG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29494-2024</t>
        </is>
      </c>
      <c r="B15373" s="1" t="n">
        <v>45484</v>
      </c>
      <c r="C15373" s="1" t="n">
        <v>45507</v>
      </c>
      <c r="D15373" t="inlineStr">
        <is>
          <t>VÄRMLANDS LÄN</t>
        </is>
      </c>
      <c r="E15373" t="inlineStr">
        <is>
          <t>ARVIKA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29502-2024</t>
        </is>
      </c>
      <c r="B15374" s="1" t="n">
        <v>45484</v>
      </c>
      <c r="C15374" s="1" t="n">
        <v>45507</v>
      </c>
      <c r="D15374" t="inlineStr">
        <is>
          <t>VÄRMLANDS LÄN</t>
        </is>
      </c>
      <c r="E15374" t="inlineStr">
        <is>
          <t>TORSBY</t>
        </is>
      </c>
      <c r="F15374" t="inlineStr">
        <is>
          <t>Bergvik skog väst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29481-2024</t>
        </is>
      </c>
      <c r="B15375" s="1" t="n">
        <v>45484</v>
      </c>
      <c r="C15375" s="1" t="n">
        <v>45507</v>
      </c>
      <c r="D15375" t="inlineStr">
        <is>
          <t>VÄRMLANDS LÄN</t>
        </is>
      </c>
      <c r="E15375" t="inlineStr">
        <is>
          <t>ÅRJÄNG</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29492-2024</t>
        </is>
      </c>
      <c r="B15376" s="1" t="n">
        <v>45484</v>
      </c>
      <c r="C15376" s="1" t="n">
        <v>45507</v>
      </c>
      <c r="D15376" t="inlineStr">
        <is>
          <t>VÄRMLANDS LÄN</t>
        </is>
      </c>
      <c r="E15376" t="inlineStr">
        <is>
          <t>HAGFORS</t>
        </is>
      </c>
      <c r="G15376" t="n">
        <v>5.4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29520-2024</t>
        </is>
      </c>
      <c r="B15377" s="1" t="n">
        <v>45484</v>
      </c>
      <c r="C15377" s="1" t="n">
        <v>45507</v>
      </c>
      <c r="D15377" t="inlineStr">
        <is>
          <t>VÄRMLANDS LÄN</t>
        </is>
      </c>
      <c r="E15377" t="inlineStr">
        <is>
          <t>FILIPSTAD</t>
        </is>
      </c>
      <c r="F15377" t="inlineStr">
        <is>
          <t>Bergvik skog väst AB</t>
        </is>
      </c>
      <c r="G15377" t="n">
        <v>4.3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29541-2024</t>
        </is>
      </c>
      <c r="B15378" s="1" t="n">
        <v>45484</v>
      </c>
      <c r="C15378" s="1" t="n">
        <v>45507</v>
      </c>
      <c r="D15378" t="inlineStr">
        <is>
          <t>VÄRMLANDS LÄN</t>
        </is>
      </c>
      <c r="E15378" t="inlineStr">
        <is>
          <t>TORSBY</t>
        </is>
      </c>
      <c r="F15378" t="inlineStr">
        <is>
          <t>Bergvik skog väst AB</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29559-2024</t>
        </is>
      </c>
      <c r="B15379" s="1" t="n">
        <v>45484</v>
      </c>
      <c r="C15379" s="1" t="n">
        <v>45507</v>
      </c>
      <c r="D15379" t="inlineStr">
        <is>
          <t>VÄRMLANDS LÄN</t>
        </is>
      </c>
      <c r="E15379" t="inlineStr">
        <is>
          <t>TORSBY</t>
        </is>
      </c>
      <c r="F15379" t="inlineStr">
        <is>
          <t>Bergvik skog väst AB</t>
        </is>
      </c>
      <c r="G15379" t="n">
        <v>8.5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29603-2024</t>
        </is>
      </c>
      <c r="B15380" s="1" t="n">
        <v>45484</v>
      </c>
      <c r="C15380" s="1" t="n">
        <v>45507</v>
      </c>
      <c r="D15380" t="inlineStr">
        <is>
          <t>VÄRMLANDS LÄN</t>
        </is>
      </c>
      <c r="E15380" t="inlineStr">
        <is>
          <t>ÅRJÄNG</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29611-2024</t>
        </is>
      </c>
      <c r="B15381" s="1" t="n">
        <v>45484</v>
      </c>
      <c r="C15381" s="1" t="n">
        <v>45507</v>
      </c>
      <c r="D15381" t="inlineStr">
        <is>
          <t>VÄRMLANDS LÄN</t>
        </is>
      </c>
      <c r="E15381" t="inlineStr">
        <is>
          <t>ÅRJÄNG</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29549-2024</t>
        </is>
      </c>
      <c r="B15382" s="1" t="n">
        <v>45484</v>
      </c>
      <c r="C15382" s="1" t="n">
        <v>45507</v>
      </c>
      <c r="D15382" t="inlineStr">
        <is>
          <t>VÄRMLANDS LÄN</t>
        </is>
      </c>
      <c r="E15382" t="inlineStr">
        <is>
          <t>TORSBY</t>
        </is>
      </c>
      <c r="F15382" t="inlineStr">
        <is>
          <t>Bergvik skog väst AB</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29577-2024</t>
        </is>
      </c>
      <c r="B15383" s="1" t="n">
        <v>45484</v>
      </c>
      <c r="C15383" s="1" t="n">
        <v>45507</v>
      </c>
      <c r="D15383" t="inlineStr">
        <is>
          <t>VÄRMLANDS LÄN</t>
        </is>
      </c>
      <c r="E15383" t="inlineStr">
        <is>
          <t>GRUMS</t>
        </is>
      </c>
      <c r="F15383" t="inlineStr">
        <is>
          <t>Bergvik skog väst AB</t>
        </is>
      </c>
      <c r="G15383" t="n">
        <v>10.1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29593-2024</t>
        </is>
      </c>
      <c r="B15384" s="1" t="n">
        <v>45484</v>
      </c>
      <c r="C15384" s="1" t="n">
        <v>45507</v>
      </c>
      <c r="D15384" t="inlineStr">
        <is>
          <t>VÄRMLANDS LÄN</t>
        </is>
      </c>
      <c r="E15384" t="inlineStr">
        <is>
          <t>TORSBY</t>
        </is>
      </c>
      <c r="F15384" t="inlineStr">
        <is>
          <t>Bergvik skog väst AB</t>
        </is>
      </c>
      <c r="G15384" t="n">
        <v>11.3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29601-2024</t>
        </is>
      </c>
      <c r="B15385" s="1" t="n">
        <v>45484</v>
      </c>
      <c r="C15385" s="1" t="n">
        <v>45507</v>
      </c>
      <c r="D15385" t="inlineStr">
        <is>
          <t>VÄRMLANDS LÄN</t>
        </is>
      </c>
      <c r="E15385" t="inlineStr">
        <is>
          <t>ÅRJÄNG</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29535-2024</t>
        </is>
      </c>
      <c r="B15386" s="1" t="n">
        <v>45484</v>
      </c>
      <c r="C15386" s="1" t="n">
        <v>45507</v>
      </c>
      <c r="D15386" t="inlineStr">
        <is>
          <t>VÄRMLANDS LÄN</t>
        </is>
      </c>
      <c r="E15386" t="inlineStr">
        <is>
          <t>TORSBY</t>
        </is>
      </c>
      <c r="F15386" t="inlineStr">
        <is>
          <t>Bergvik skog väst AB</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29473-2024</t>
        </is>
      </c>
      <c r="B15387" s="1" t="n">
        <v>45484</v>
      </c>
      <c r="C15387" s="1" t="n">
        <v>45507</v>
      </c>
      <c r="D15387" t="inlineStr">
        <is>
          <t>VÄRMLANDS LÄN</t>
        </is>
      </c>
      <c r="E15387" t="inlineStr">
        <is>
          <t>FILIPSTAD</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29486-2024</t>
        </is>
      </c>
      <c r="B15388" s="1" t="n">
        <v>45484</v>
      </c>
      <c r="C15388" s="1" t="n">
        <v>45507</v>
      </c>
      <c r="D15388" t="inlineStr">
        <is>
          <t>VÄRMLANDS LÄN</t>
        </is>
      </c>
      <c r="E15388" t="inlineStr">
        <is>
          <t>ÅRJÄNG</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29558-2024</t>
        </is>
      </c>
      <c r="B15389" s="1" t="n">
        <v>45484</v>
      </c>
      <c r="C15389" s="1" t="n">
        <v>45507</v>
      </c>
      <c r="D15389" t="inlineStr">
        <is>
          <t>VÄRMLANDS LÄN</t>
        </is>
      </c>
      <c r="E15389" t="inlineStr">
        <is>
          <t>ÅRJÄNG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29582-2024</t>
        </is>
      </c>
      <c r="B15390" s="1" t="n">
        <v>45484</v>
      </c>
      <c r="C15390" s="1" t="n">
        <v>45507</v>
      </c>
      <c r="D15390" t="inlineStr">
        <is>
          <t>VÄRMLANDS LÄN</t>
        </is>
      </c>
      <c r="E15390" t="inlineStr">
        <is>
          <t>GRUMS</t>
        </is>
      </c>
      <c r="F15390" t="inlineStr">
        <is>
          <t>Bergvik skog väst AB</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45507</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29852-2024</t>
        </is>
      </c>
      <c r="B15392" s="1" t="n">
        <v>45485</v>
      </c>
      <c r="C15392" s="1" t="n">
        <v>45507</v>
      </c>
      <c r="D15392" t="inlineStr">
        <is>
          <t>VÄRMLANDS LÄN</t>
        </is>
      </c>
      <c r="E15392" t="inlineStr">
        <is>
          <t>TORSBY</t>
        </is>
      </c>
      <c r="F15392" t="inlineStr">
        <is>
          <t>Bergvik skog väst AB</t>
        </is>
      </c>
      <c r="G15392" t="n">
        <v>9.1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29785-2024</t>
        </is>
      </c>
      <c r="B15393" s="1" t="n">
        <v>45485</v>
      </c>
      <c r="C15393" s="1" t="n">
        <v>45507</v>
      </c>
      <c r="D15393" t="inlineStr">
        <is>
          <t>VÄRMLANDS LÄN</t>
        </is>
      </c>
      <c r="E15393" t="inlineStr">
        <is>
          <t>ARVIKA</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29827-2024</t>
        </is>
      </c>
      <c r="B15394" s="1" t="n">
        <v>45485</v>
      </c>
      <c r="C15394" s="1" t="n">
        <v>45507</v>
      </c>
      <c r="D15394" t="inlineStr">
        <is>
          <t>VÄRMLANDS LÄN</t>
        </is>
      </c>
      <c r="E15394" t="inlineStr">
        <is>
          <t>HAGFORS</t>
        </is>
      </c>
      <c r="F15394" t="inlineStr">
        <is>
          <t>Bergvik skog väst AB</t>
        </is>
      </c>
      <c r="G15394" t="n">
        <v>13.4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29807-2024</t>
        </is>
      </c>
      <c r="B15395" s="1" t="n">
        <v>45485</v>
      </c>
      <c r="C15395" s="1" t="n">
        <v>45507</v>
      </c>
      <c r="D15395" t="inlineStr">
        <is>
          <t>VÄRMLANDS LÄN</t>
        </is>
      </c>
      <c r="E15395" t="inlineStr">
        <is>
          <t>SÄFFLE</t>
        </is>
      </c>
      <c r="F15395" t="inlineStr">
        <is>
          <t>Bergvik skog väst AB</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29759-2024</t>
        </is>
      </c>
      <c r="B15396" s="1" t="n">
        <v>45485</v>
      </c>
      <c r="C15396" s="1" t="n">
        <v>45507</v>
      </c>
      <c r="D15396" t="inlineStr">
        <is>
          <t>VÄRMLANDS LÄN</t>
        </is>
      </c>
      <c r="E15396" t="inlineStr">
        <is>
          <t>TORSBY</t>
        </is>
      </c>
      <c r="F15396" t="inlineStr">
        <is>
          <t>Bergvik skog väst AB</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29730-2024</t>
        </is>
      </c>
      <c r="B15397" s="1" t="n">
        <v>45485</v>
      </c>
      <c r="C15397" s="1" t="n">
        <v>45507</v>
      </c>
      <c r="D15397" t="inlineStr">
        <is>
          <t>VÄRMLANDS LÄN</t>
        </is>
      </c>
      <c r="E15397" t="inlineStr">
        <is>
          <t>EDA</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29726-2024</t>
        </is>
      </c>
      <c r="B15398" s="1" t="n">
        <v>45485</v>
      </c>
      <c r="C15398" s="1" t="n">
        <v>45507</v>
      </c>
      <c r="D15398" t="inlineStr">
        <is>
          <t>VÄRMLANDS LÄN</t>
        </is>
      </c>
      <c r="E15398" t="inlineStr">
        <is>
          <t>HAGFORS</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29745-2024</t>
        </is>
      </c>
      <c r="B15399" s="1" t="n">
        <v>45485</v>
      </c>
      <c r="C15399" s="1" t="n">
        <v>45507</v>
      </c>
      <c r="D15399" t="inlineStr">
        <is>
          <t>VÄRMLANDS LÄN</t>
        </is>
      </c>
      <c r="E15399" t="inlineStr">
        <is>
          <t>MUNKFORS</t>
        </is>
      </c>
      <c r="G15399" t="n">
        <v>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29895-2024</t>
        </is>
      </c>
      <c r="B15400" s="1" t="n">
        <v>45487</v>
      </c>
      <c r="C15400" s="1" t="n">
        <v>45507</v>
      </c>
      <c r="D15400" t="inlineStr">
        <is>
          <t>VÄRMLANDS LÄN</t>
        </is>
      </c>
      <c r="E15400" t="inlineStr">
        <is>
          <t>TORSBY</t>
        </is>
      </c>
      <c r="G15400" t="n">
        <v>7.2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29893-2024</t>
        </is>
      </c>
      <c r="B15401" s="1" t="n">
        <v>45487</v>
      </c>
      <c r="C15401" s="1" t="n">
        <v>45507</v>
      </c>
      <c r="D15401" t="inlineStr">
        <is>
          <t>VÄRMLANDS LÄN</t>
        </is>
      </c>
      <c r="E15401" t="inlineStr">
        <is>
          <t>KARLSTAD</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29897-2024</t>
        </is>
      </c>
      <c r="B15402" s="1" t="n">
        <v>45487</v>
      </c>
      <c r="C15402" s="1" t="n">
        <v>45507</v>
      </c>
      <c r="D15402" t="inlineStr">
        <is>
          <t>VÄRMLANDS LÄN</t>
        </is>
      </c>
      <c r="E15402" t="inlineStr">
        <is>
          <t>TORSBY</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29910-2024</t>
        </is>
      </c>
      <c r="B15403" s="1" t="n">
        <v>45487</v>
      </c>
      <c r="C15403" s="1" t="n">
        <v>45507</v>
      </c>
      <c r="D15403" t="inlineStr">
        <is>
          <t>VÄRMLANDS LÄN</t>
        </is>
      </c>
      <c r="E15403" t="inlineStr">
        <is>
          <t>EDA</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29898-2024</t>
        </is>
      </c>
      <c r="B15404" s="1" t="n">
        <v>45487</v>
      </c>
      <c r="C15404" s="1" t="n">
        <v>45507</v>
      </c>
      <c r="D15404" t="inlineStr">
        <is>
          <t>VÄRMLANDS LÄN</t>
        </is>
      </c>
      <c r="E15404" t="inlineStr">
        <is>
          <t>TORSBY</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29911-2024</t>
        </is>
      </c>
      <c r="B15405" s="1" t="n">
        <v>45487</v>
      </c>
      <c r="C15405" s="1" t="n">
        <v>45507</v>
      </c>
      <c r="D15405" t="inlineStr">
        <is>
          <t>VÄRMLANDS LÄN</t>
        </is>
      </c>
      <c r="E15405" t="inlineStr">
        <is>
          <t>EDA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29926-2024</t>
        </is>
      </c>
      <c r="B15406" s="1" t="n">
        <v>45488</v>
      </c>
      <c r="C15406" s="1" t="n">
        <v>45507</v>
      </c>
      <c r="D15406" t="inlineStr">
        <is>
          <t>VÄRMLANDS LÄN</t>
        </is>
      </c>
      <c r="E15406" t="inlineStr">
        <is>
          <t>TORSBY</t>
        </is>
      </c>
      <c r="F15406" t="inlineStr">
        <is>
          <t>Kommuner</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29939-2024</t>
        </is>
      </c>
      <c r="B15407" s="1" t="n">
        <v>45488</v>
      </c>
      <c r="C15407" s="1" t="n">
        <v>45507</v>
      </c>
      <c r="D15407" t="inlineStr">
        <is>
          <t>VÄRMLANDS LÄN</t>
        </is>
      </c>
      <c r="E15407" t="inlineStr">
        <is>
          <t>KARLSTAD</t>
        </is>
      </c>
      <c r="G15407" t="n">
        <v>8.6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29958-2024</t>
        </is>
      </c>
      <c r="B15408" s="1" t="n">
        <v>45488</v>
      </c>
      <c r="C15408" s="1" t="n">
        <v>45507</v>
      </c>
      <c r="D15408" t="inlineStr">
        <is>
          <t>VÄRMLANDS LÄN</t>
        </is>
      </c>
      <c r="E15408" t="inlineStr">
        <is>
          <t>SUNNE</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30002-2024</t>
        </is>
      </c>
      <c r="B15409" s="1" t="n">
        <v>45488</v>
      </c>
      <c r="C15409" s="1" t="n">
        <v>45507</v>
      </c>
      <c r="D15409" t="inlineStr">
        <is>
          <t>VÄRMLANDS LÄN</t>
        </is>
      </c>
      <c r="E15409" t="inlineStr">
        <is>
          <t>TORSBY</t>
        </is>
      </c>
      <c r="F15409" t="inlineStr">
        <is>
          <t>Kommuner</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29940-2024</t>
        </is>
      </c>
      <c r="B15410" s="1" t="n">
        <v>45488</v>
      </c>
      <c r="C15410" s="1" t="n">
        <v>45507</v>
      </c>
      <c r="D15410" t="inlineStr">
        <is>
          <t>VÄRMLANDS LÄN</t>
        </is>
      </c>
      <c r="E15410" t="inlineStr">
        <is>
          <t>SUNNE</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29925-2024</t>
        </is>
      </c>
      <c r="B15411" s="1" t="n">
        <v>45488</v>
      </c>
      <c r="C15411" s="1" t="n">
        <v>45507</v>
      </c>
      <c r="D15411" t="inlineStr">
        <is>
          <t>VÄRMLANDS LÄN</t>
        </is>
      </c>
      <c r="E15411" t="inlineStr">
        <is>
          <t>TORSBY</t>
        </is>
      </c>
      <c r="F15411" t="inlineStr">
        <is>
          <t>Kyrkan</t>
        </is>
      </c>
      <c r="G15411" t="n">
        <v>7.9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30015-2024</t>
        </is>
      </c>
      <c r="B15412" s="1" t="n">
        <v>45488</v>
      </c>
      <c r="C15412" s="1" t="n">
        <v>45507</v>
      </c>
      <c r="D15412" t="inlineStr">
        <is>
          <t>VÄRMLANDS LÄN</t>
        </is>
      </c>
      <c r="E15412" t="inlineStr">
        <is>
          <t>SÄFFLE</t>
        </is>
      </c>
      <c r="G15412" t="n">
        <v>11.1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30036-2024</t>
        </is>
      </c>
      <c r="B15413" s="1" t="n">
        <v>45488</v>
      </c>
      <c r="C15413" s="1" t="n">
        <v>45507</v>
      </c>
      <c r="D15413" t="inlineStr">
        <is>
          <t>VÄRMLANDS LÄN</t>
        </is>
      </c>
      <c r="E15413" t="inlineStr">
        <is>
          <t>SUNNE</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30011-2024</t>
        </is>
      </c>
      <c r="B15414" s="1" t="n">
        <v>45488</v>
      </c>
      <c r="C15414" s="1" t="n">
        <v>45507</v>
      </c>
      <c r="D15414" t="inlineStr">
        <is>
          <t>VÄRMLANDS LÄN</t>
        </is>
      </c>
      <c r="E15414" t="inlineStr">
        <is>
          <t>TORSBY</t>
        </is>
      </c>
      <c r="F15414" t="inlineStr">
        <is>
          <t>Kommuner</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29936-2024</t>
        </is>
      </c>
      <c r="B15415" s="1" t="n">
        <v>45488</v>
      </c>
      <c r="C15415" s="1" t="n">
        <v>45507</v>
      </c>
      <c r="D15415" t="inlineStr">
        <is>
          <t>VÄRMLANDS LÄN</t>
        </is>
      </c>
      <c r="E15415" t="inlineStr">
        <is>
          <t>TORSBY</t>
        </is>
      </c>
      <c r="F15415" t="inlineStr">
        <is>
          <t>Kommuner</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30074-2024</t>
        </is>
      </c>
      <c r="B15416" s="1" t="n">
        <v>45489</v>
      </c>
      <c r="C15416" s="1" t="n">
        <v>45507</v>
      </c>
      <c r="D15416" t="inlineStr">
        <is>
          <t>VÄRMLANDS LÄN</t>
        </is>
      </c>
      <c r="E15416" t="inlineStr">
        <is>
          <t>TORSBY</t>
        </is>
      </c>
      <c r="F15416" t="inlineStr">
        <is>
          <t>Kyrkan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30158-2024</t>
        </is>
      </c>
      <c r="B15417" s="1" t="n">
        <v>45489</v>
      </c>
      <c r="C15417" s="1" t="n">
        <v>45507</v>
      </c>
      <c r="D15417" t="inlineStr">
        <is>
          <t>VÄRMLANDS LÄN</t>
        </is>
      </c>
      <c r="E15417" t="inlineStr">
        <is>
          <t>HAGFORS</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30156-2024</t>
        </is>
      </c>
      <c r="B15418" s="1" t="n">
        <v>45489</v>
      </c>
      <c r="C15418" s="1" t="n">
        <v>45507</v>
      </c>
      <c r="D15418" t="inlineStr">
        <is>
          <t>VÄRMLANDS LÄN</t>
        </is>
      </c>
      <c r="E15418" t="inlineStr">
        <is>
          <t>ÅRJÄNG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30239-2024</t>
        </is>
      </c>
      <c r="B15419" s="1" t="n">
        <v>45490</v>
      </c>
      <c r="C15419" s="1" t="n">
        <v>45507</v>
      </c>
      <c r="D15419" t="inlineStr">
        <is>
          <t>VÄRMLANDS LÄN</t>
        </is>
      </c>
      <c r="E15419" t="inlineStr">
        <is>
          <t>SÄFFLE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30267-2024</t>
        </is>
      </c>
      <c r="B15420" s="1" t="n">
        <v>45490</v>
      </c>
      <c r="C15420" s="1" t="n">
        <v>45507</v>
      </c>
      <c r="D15420" t="inlineStr">
        <is>
          <t>VÄRMLANDS LÄN</t>
        </is>
      </c>
      <c r="E15420" t="inlineStr">
        <is>
          <t>TORSBY</t>
        </is>
      </c>
      <c r="F15420" t="inlineStr">
        <is>
          <t>Bergvik skog väst AB</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30266-2024</t>
        </is>
      </c>
      <c r="B15421" s="1" t="n">
        <v>45490</v>
      </c>
      <c r="C15421" s="1" t="n">
        <v>45507</v>
      </c>
      <c r="D15421" t="inlineStr">
        <is>
          <t>VÄRMLANDS LÄN</t>
        </is>
      </c>
      <c r="E15421" t="inlineStr">
        <is>
          <t>MUNKFORS</t>
        </is>
      </c>
      <c r="F15421" t="inlineStr">
        <is>
          <t>Bergvik skog väst AB</t>
        </is>
      </c>
      <c r="G15421" t="n">
        <v>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30304-2024</t>
        </is>
      </c>
      <c r="B15422" s="1" t="n">
        <v>45490</v>
      </c>
      <c r="C15422" s="1" t="n">
        <v>45507</v>
      </c>
      <c r="D15422" t="inlineStr">
        <is>
          <t>VÄRMLANDS LÄN</t>
        </is>
      </c>
      <c r="E15422" t="inlineStr">
        <is>
          <t>SUNNE</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30218-2024</t>
        </is>
      </c>
      <c r="B15423" s="1" t="n">
        <v>45490</v>
      </c>
      <c r="C15423" s="1" t="n">
        <v>45507</v>
      </c>
      <c r="D15423" t="inlineStr">
        <is>
          <t>VÄRMLANDS LÄN</t>
        </is>
      </c>
      <c r="E15423" t="inlineStr">
        <is>
          <t>SUNNE</t>
        </is>
      </c>
      <c r="F15423" t="inlineStr">
        <is>
          <t>Bergvik skog väst AB</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30369-2024</t>
        </is>
      </c>
      <c r="B15424" s="1" t="n">
        <v>45491</v>
      </c>
      <c r="C15424" s="1" t="n">
        <v>45507</v>
      </c>
      <c r="D15424" t="inlineStr">
        <is>
          <t>VÄRMLANDS LÄN</t>
        </is>
      </c>
      <c r="E15424" t="inlineStr">
        <is>
          <t>EDA</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30387-2024</t>
        </is>
      </c>
      <c r="B15425" s="1" t="n">
        <v>45491</v>
      </c>
      <c r="C15425" s="1" t="n">
        <v>45507</v>
      </c>
      <c r="D15425" t="inlineStr">
        <is>
          <t>VÄRMLANDS LÄN</t>
        </is>
      </c>
      <c r="E15425" t="inlineStr">
        <is>
          <t>SÄFFLE</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30403-2024</t>
        </is>
      </c>
      <c r="B15426" s="1" t="n">
        <v>45491</v>
      </c>
      <c r="C15426" s="1" t="n">
        <v>45507</v>
      </c>
      <c r="D15426" t="inlineStr">
        <is>
          <t>VÄRMLANDS LÄN</t>
        </is>
      </c>
      <c r="E15426" t="inlineStr">
        <is>
          <t>TORSBY</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30527-2024</t>
        </is>
      </c>
      <c r="B15427" s="1" t="n">
        <v>45492</v>
      </c>
      <c r="C15427" s="1" t="n">
        <v>45507</v>
      </c>
      <c r="D15427" t="inlineStr">
        <is>
          <t>VÄRMLANDS LÄN</t>
        </is>
      </c>
      <c r="E15427" t="inlineStr">
        <is>
          <t>FILIPSTAD</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30535-2024</t>
        </is>
      </c>
      <c r="B15428" s="1" t="n">
        <v>45492</v>
      </c>
      <c r="C15428" s="1" t="n">
        <v>45507</v>
      </c>
      <c r="D15428" t="inlineStr">
        <is>
          <t>VÄRMLANDS LÄN</t>
        </is>
      </c>
      <c r="E15428" t="inlineStr">
        <is>
          <t>HAGFORS</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30512-2024</t>
        </is>
      </c>
      <c r="B15429" s="1" t="n">
        <v>45492</v>
      </c>
      <c r="C15429" s="1" t="n">
        <v>45507</v>
      </c>
      <c r="D15429" t="inlineStr">
        <is>
          <t>VÄRMLANDS LÄN</t>
        </is>
      </c>
      <c r="E15429" t="inlineStr">
        <is>
          <t>HAGFORS</t>
        </is>
      </c>
      <c r="F15429" t="inlineStr">
        <is>
          <t>Kyrkan</t>
        </is>
      </c>
      <c r="G15429" t="n">
        <v>9.300000000000001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30520-2024</t>
        </is>
      </c>
      <c r="B15430" s="1" t="n">
        <v>45492</v>
      </c>
      <c r="C15430" s="1" t="n">
        <v>45507</v>
      </c>
      <c r="D15430" t="inlineStr">
        <is>
          <t>VÄRMLANDS LÄN</t>
        </is>
      </c>
      <c r="E15430" t="inlineStr">
        <is>
          <t>HAGFORS</t>
        </is>
      </c>
      <c r="F15430" t="inlineStr">
        <is>
          <t>Kyrkan</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30540-2024</t>
        </is>
      </c>
      <c r="B15431" s="1" t="n">
        <v>45492</v>
      </c>
      <c r="C15431" s="1" t="n">
        <v>45507</v>
      </c>
      <c r="D15431" t="inlineStr">
        <is>
          <t>VÄRMLANDS LÄN</t>
        </is>
      </c>
      <c r="E15431" t="inlineStr">
        <is>
          <t>FILIPSTAD</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30552-2024</t>
        </is>
      </c>
      <c r="B15432" s="1" t="n">
        <v>45492</v>
      </c>
      <c r="C15432" s="1" t="n">
        <v>45507</v>
      </c>
      <c r="D15432" t="inlineStr">
        <is>
          <t>VÄRMLANDS LÄN</t>
        </is>
      </c>
      <c r="E15432" t="inlineStr">
        <is>
          <t>FILIPSTAD</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30609-2024</t>
        </is>
      </c>
      <c r="B15433" s="1" t="n">
        <v>45495</v>
      </c>
      <c r="C15433" s="1" t="n">
        <v>45507</v>
      </c>
      <c r="D15433" t="inlineStr">
        <is>
          <t>VÄRMLANDS LÄN</t>
        </is>
      </c>
      <c r="E15433" t="inlineStr">
        <is>
          <t>ARVIKA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30625-2024</t>
        </is>
      </c>
      <c r="B15434" s="1" t="n">
        <v>45495</v>
      </c>
      <c r="C15434" s="1" t="n">
        <v>45507</v>
      </c>
      <c r="D15434" t="inlineStr">
        <is>
          <t>VÄRMLANDS LÄN</t>
        </is>
      </c>
      <c r="E15434" t="inlineStr">
        <is>
          <t>ARVIKA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30629-2024</t>
        </is>
      </c>
      <c r="B15435" s="1" t="n">
        <v>45495</v>
      </c>
      <c r="C15435" s="1" t="n">
        <v>45507</v>
      </c>
      <c r="D15435" t="inlineStr">
        <is>
          <t>VÄRMLANDS LÄN</t>
        </is>
      </c>
      <c r="E15435" t="inlineStr">
        <is>
          <t>TORSBY</t>
        </is>
      </c>
      <c r="F15435" t="inlineStr">
        <is>
          <t>Bergvik skog väst AB</t>
        </is>
      </c>
      <c r="G15435" t="n">
        <v>12.8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30645-2024</t>
        </is>
      </c>
      <c r="B15436" s="1" t="n">
        <v>45495</v>
      </c>
      <c r="C15436" s="1" t="n">
        <v>45507</v>
      </c>
      <c r="D15436" t="inlineStr">
        <is>
          <t>VÄRMLANDS LÄN</t>
        </is>
      </c>
      <c r="E15436" t="inlineStr">
        <is>
          <t>SUNNE</t>
        </is>
      </c>
      <c r="F15436" t="inlineStr">
        <is>
          <t>Bergvik skog väst AB</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30649-2024</t>
        </is>
      </c>
      <c r="B15437" s="1" t="n">
        <v>45495</v>
      </c>
      <c r="C15437" s="1" t="n">
        <v>45507</v>
      </c>
      <c r="D15437" t="inlineStr">
        <is>
          <t>VÄRMLANDS LÄN</t>
        </is>
      </c>
      <c r="E15437" t="inlineStr">
        <is>
          <t>SUNNE</t>
        </is>
      </c>
      <c r="F15437" t="inlineStr">
        <is>
          <t>Bergvik skog väst AB</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30646-2024</t>
        </is>
      </c>
      <c r="B15438" s="1" t="n">
        <v>45495</v>
      </c>
      <c r="C15438" s="1" t="n">
        <v>45507</v>
      </c>
      <c r="D15438" t="inlineStr">
        <is>
          <t>VÄRMLANDS LÄN</t>
        </is>
      </c>
      <c r="E15438" t="inlineStr">
        <is>
          <t>FILIPSTAD</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30624-2024</t>
        </is>
      </c>
      <c r="B15439" s="1" t="n">
        <v>45495</v>
      </c>
      <c r="C15439" s="1" t="n">
        <v>45507</v>
      </c>
      <c r="D15439" t="inlineStr">
        <is>
          <t>VÄRMLANDS LÄN</t>
        </is>
      </c>
      <c r="E15439" t="inlineStr">
        <is>
          <t>SÄFFLE</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30664-2024</t>
        </is>
      </c>
      <c r="B15440" s="1" t="n">
        <v>45495</v>
      </c>
      <c r="C15440" s="1" t="n">
        <v>45507</v>
      </c>
      <c r="D15440" t="inlineStr">
        <is>
          <t>VÄRMLANDS LÄN</t>
        </is>
      </c>
      <c r="E15440" t="inlineStr">
        <is>
          <t>EDA</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30669-2024</t>
        </is>
      </c>
      <c r="B15441" s="1" t="n">
        <v>45495</v>
      </c>
      <c r="C15441" s="1" t="n">
        <v>45507</v>
      </c>
      <c r="D15441" t="inlineStr">
        <is>
          <t>VÄRMLANDS LÄN</t>
        </is>
      </c>
      <c r="E15441" t="inlineStr">
        <is>
          <t>SUNNE</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30619-2024</t>
        </is>
      </c>
      <c r="B15442" s="1" t="n">
        <v>45495</v>
      </c>
      <c r="C15442" s="1" t="n">
        <v>45507</v>
      </c>
      <c r="D15442" t="inlineStr">
        <is>
          <t>VÄRMLANDS LÄN</t>
        </is>
      </c>
      <c r="E15442" t="inlineStr">
        <is>
          <t>SÄFFLE</t>
        </is>
      </c>
      <c r="G15442" t="n">
        <v>5.9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30659-2024</t>
        </is>
      </c>
      <c r="B15443" s="1" t="n">
        <v>45495</v>
      </c>
      <c r="C15443" s="1" t="n">
        <v>45507</v>
      </c>
      <c r="D15443" t="inlineStr">
        <is>
          <t>VÄRMLANDS LÄN</t>
        </is>
      </c>
      <c r="E15443" t="inlineStr">
        <is>
          <t>EDA</t>
        </is>
      </c>
      <c r="G15443" t="n">
        <v>4.8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30699-2024</t>
        </is>
      </c>
      <c r="B15444" s="1" t="n">
        <v>45496</v>
      </c>
      <c r="C15444" s="1" t="n">
        <v>45507</v>
      </c>
      <c r="D15444" t="inlineStr">
        <is>
          <t>VÄRMLANDS LÄN</t>
        </is>
      </c>
      <c r="E15444" t="inlineStr">
        <is>
          <t>TORSBY</t>
        </is>
      </c>
      <c r="F15444" t="inlineStr">
        <is>
          <t>Kyrkan</t>
        </is>
      </c>
      <c r="G15444" t="n">
        <v>4.3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30707-2024</t>
        </is>
      </c>
      <c r="B15445" s="1" t="n">
        <v>45496</v>
      </c>
      <c r="C15445" s="1" t="n">
        <v>45507</v>
      </c>
      <c r="D15445" t="inlineStr">
        <is>
          <t>VÄRMLANDS LÄN</t>
        </is>
      </c>
      <c r="E15445" t="inlineStr">
        <is>
          <t>SUNNE</t>
        </is>
      </c>
      <c r="F15445" t="inlineStr">
        <is>
          <t>Kyrkan</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30715-2024</t>
        </is>
      </c>
      <c r="B15446" s="1" t="n">
        <v>45496</v>
      </c>
      <c r="C15446" s="1" t="n">
        <v>45507</v>
      </c>
      <c r="D15446" t="inlineStr">
        <is>
          <t>VÄRMLANDS LÄN</t>
        </is>
      </c>
      <c r="E15446" t="inlineStr">
        <is>
          <t>ARVIKA</t>
        </is>
      </c>
      <c r="G15446" t="n">
        <v>7.2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30694-2024</t>
        </is>
      </c>
      <c r="B15447" s="1" t="n">
        <v>45496</v>
      </c>
      <c r="C15447" s="1" t="n">
        <v>45507</v>
      </c>
      <c r="D15447" t="inlineStr">
        <is>
          <t>VÄRMLANDS LÄN</t>
        </is>
      </c>
      <c r="E15447" t="inlineStr">
        <is>
          <t>HAGFORS</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30706-2024</t>
        </is>
      </c>
      <c r="B15448" s="1" t="n">
        <v>45496</v>
      </c>
      <c r="C15448" s="1" t="n">
        <v>45507</v>
      </c>
      <c r="D15448" t="inlineStr">
        <is>
          <t>VÄRMLANDS LÄN</t>
        </is>
      </c>
      <c r="E15448" t="inlineStr">
        <is>
          <t>TORSBY</t>
        </is>
      </c>
      <c r="F15448" t="inlineStr">
        <is>
          <t>Bergvik skog väst AB</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30714-2024</t>
        </is>
      </c>
      <c r="B15449" s="1" t="n">
        <v>45496</v>
      </c>
      <c r="C15449" s="1" t="n">
        <v>45507</v>
      </c>
      <c r="D15449" t="inlineStr">
        <is>
          <t>VÄRMLANDS LÄN</t>
        </is>
      </c>
      <c r="E15449" t="inlineStr">
        <is>
          <t>ARVIKA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30718-2024</t>
        </is>
      </c>
      <c r="B15450" s="1" t="n">
        <v>45496</v>
      </c>
      <c r="C15450" s="1" t="n">
        <v>45507</v>
      </c>
      <c r="D15450" t="inlineStr">
        <is>
          <t>VÄRMLANDS LÄN</t>
        </is>
      </c>
      <c r="E15450" t="inlineStr">
        <is>
          <t>TORSBY</t>
        </is>
      </c>
      <c r="F15450" t="inlineStr">
        <is>
          <t>Bergvik skog väst AB</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30726-2024</t>
        </is>
      </c>
      <c r="B15451" s="1" t="n">
        <v>45496</v>
      </c>
      <c r="C15451" s="1" t="n">
        <v>45507</v>
      </c>
      <c r="D15451" t="inlineStr">
        <is>
          <t>VÄRMLANDS LÄN</t>
        </is>
      </c>
      <c r="E15451" t="inlineStr">
        <is>
          <t>SÄFFLE</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30730-2024</t>
        </is>
      </c>
      <c r="B15452" s="1" t="n">
        <v>45496</v>
      </c>
      <c r="C15452" s="1" t="n">
        <v>45507</v>
      </c>
      <c r="D15452" t="inlineStr">
        <is>
          <t>VÄRMLANDS LÄN</t>
        </is>
      </c>
      <c r="E15452" t="inlineStr">
        <is>
          <t>SUNNE</t>
        </is>
      </c>
      <c r="F15452" t="inlineStr">
        <is>
          <t>Bergvik skog väst AB</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30693-2024</t>
        </is>
      </c>
      <c r="B15453" s="1" t="n">
        <v>45496</v>
      </c>
      <c r="C15453" s="1" t="n">
        <v>45507</v>
      </c>
      <c r="D15453" t="inlineStr">
        <is>
          <t>VÄRMLANDS LÄN</t>
        </is>
      </c>
      <c r="E15453" t="inlineStr">
        <is>
          <t>HAGFORS</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30705-2024</t>
        </is>
      </c>
      <c r="B15454" s="1" t="n">
        <v>45496</v>
      </c>
      <c r="C15454" s="1" t="n">
        <v>45507</v>
      </c>
      <c r="D15454" t="inlineStr">
        <is>
          <t>VÄRMLANDS LÄN</t>
        </is>
      </c>
      <c r="E15454" t="inlineStr">
        <is>
          <t>TORSBY</t>
        </is>
      </c>
      <c r="F15454" t="inlineStr">
        <is>
          <t>Bergvik skog väst AB</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30731-2024</t>
        </is>
      </c>
      <c r="B15455" s="1" t="n">
        <v>45496</v>
      </c>
      <c r="C15455" s="1" t="n">
        <v>45507</v>
      </c>
      <c r="D15455" t="inlineStr">
        <is>
          <t>VÄRMLANDS LÄN</t>
        </is>
      </c>
      <c r="E15455" t="inlineStr">
        <is>
          <t>HAGFORS</t>
        </is>
      </c>
      <c r="G15455" t="n">
        <v>9.4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30735-2024</t>
        </is>
      </c>
      <c r="B15456" s="1" t="n">
        <v>45496</v>
      </c>
      <c r="C15456" s="1" t="n">
        <v>45507</v>
      </c>
      <c r="D15456" t="inlineStr">
        <is>
          <t>VÄRMLANDS LÄN</t>
        </is>
      </c>
      <c r="E15456" t="inlineStr">
        <is>
          <t>SUNNE</t>
        </is>
      </c>
      <c r="F15456" t="inlineStr">
        <is>
          <t>Bergvik skog väst AB</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30696-2024</t>
        </is>
      </c>
      <c r="B15457" s="1" t="n">
        <v>45496</v>
      </c>
      <c r="C15457" s="1" t="n">
        <v>45507</v>
      </c>
      <c r="D15457" t="inlineStr">
        <is>
          <t>VÄRMLANDS LÄN</t>
        </is>
      </c>
      <c r="E15457" t="inlineStr">
        <is>
          <t>TORSBY</t>
        </is>
      </c>
      <c r="F15457" t="inlineStr">
        <is>
          <t>Bergvik skog väst AB</t>
        </is>
      </c>
      <c r="G15457" t="n">
        <v>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30700-2024</t>
        </is>
      </c>
      <c r="B15458" s="1" t="n">
        <v>45496</v>
      </c>
      <c r="C15458" s="1" t="n">
        <v>45507</v>
      </c>
      <c r="D15458" t="inlineStr">
        <is>
          <t>VÄRMLANDS LÄN</t>
        </is>
      </c>
      <c r="E15458" t="inlineStr">
        <is>
          <t>TORSBY</t>
        </is>
      </c>
      <c r="G15458" t="n">
        <v>7.2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30720-2024</t>
        </is>
      </c>
      <c r="B15459" s="1" t="n">
        <v>45496</v>
      </c>
      <c r="C15459" s="1" t="n">
        <v>45507</v>
      </c>
      <c r="D15459" t="inlineStr">
        <is>
          <t>VÄRMLANDS LÄN</t>
        </is>
      </c>
      <c r="E15459" t="inlineStr">
        <is>
          <t>TORSBY</t>
        </is>
      </c>
      <c r="F15459" t="inlineStr">
        <is>
          <t>Bergvik skog väst AB</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30789-2024</t>
        </is>
      </c>
      <c r="B15460" s="1" t="n">
        <v>45497</v>
      </c>
      <c r="C15460" s="1" t="n">
        <v>45507</v>
      </c>
      <c r="D15460" t="inlineStr">
        <is>
          <t>VÄRMLANDS LÄN</t>
        </is>
      </c>
      <c r="E15460" t="inlineStr">
        <is>
          <t>TORSBY</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30829-2024</t>
        </is>
      </c>
      <c r="B15461" s="1" t="n">
        <v>45497</v>
      </c>
      <c r="C15461" s="1" t="n">
        <v>45507</v>
      </c>
      <c r="D15461" t="inlineStr">
        <is>
          <t>VÄRMLANDS LÄN</t>
        </is>
      </c>
      <c r="E15461" t="inlineStr">
        <is>
          <t>GRUMS</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30808-2024</t>
        </is>
      </c>
      <c r="B15462" s="1" t="n">
        <v>45497</v>
      </c>
      <c r="C15462" s="1" t="n">
        <v>45507</v>
      </c>
      <c r="D15462" t="inlineStr">
        <is>
          <t>VÄRMLANDS LÄN</t>
        </is>
      </c>
      <c r="E15462" t="inlineStr">
        <is>
          <t>SÄFFLE</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30791-2024</t>
        </is>
      </c>
      <c r="B15463" s="1" t="n">
        <v>45497</v>
      </c>
      <c r="C15463" s="1" t="n">
        <v>45507</v>
      </c>
      <c r="D15463" t="inlineStr">
        <is>
          <t>VÄRMLANDS LÄN</t>
        </is>
      </c>
      <c r="E15463" t="inlineStr">
        <is>
          <t>TORSBY</t>
        </is>
      </c>
      <c r="G15463" t="n">
        <v>44.2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30803-2024</t>
        </is>
      </c>
      <c r="B15464" s="1" t="n">
        <v>45497</v>
      </c>
      <c r="C15464" s="1" t="n">
        <v>45507</v>
      </c>
      <c r="D15464" t="inlineStr">
        <is>
          <t>VÄRMLANDS LÄN</t>
        </is>
      </c>
      <c r="E15464" t="inlineStr">
        <is>
          <t>TORSBY</t>
        </is>
      </c>
      <c r="F15464" t="inlineStr">
        <is>
          <t>Kyrkan</t>
        </is>
      </c>
      <c r="G15464" t="n">
        <v>7.7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30827-2024</t>
        </is>
      </c>
      <c r="B15465" s="1" t="n">
        <v>45497</v>
      </c>
      <c r="C15465" s="1" t="n">
        <v>45507</v>
      </c>
      <c r="D15465" t="inlineStr">
        <is>
          <t>VÄRMLANDS LÄN</t>
        </is>
      </c>
      <c r="E15465" t="inlineStr">
        <is>
          <t>GRUMS</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30790-2024</t>
        </is>
      </c>
      <c r="B15466" s="1" t="n">
        <v>45497</v>
      </c>
      <c r="C15466" s="1" t="n">
        <v>45507</v>
      </c>
      <c r="D15466" t="inlineStr">
        <is>
          <t>VÄRMLANDS LÄN</t>
        </is>
      </c>
      <c r="E15466" t="inlineStr">
        <is>
          <t>TORSBY</t>
        </is>
      </c>
      <c r="G15466" t="n">
        <v>49.9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30856-2024</t>
        </is>
      </c>
      <c r="B15467" s="1" t="n">
        <v>45497</v>
      </c>
      <c r="C15467" s="1" t="n">
        <v>45507</v>
      </c>
      <c r="D15467" t="inlineStr">
        <is>
          <t>VÄRMLANDS LÄN</t>
        </is>
      </c>
      <c r="E15467" t="inlineStr">
        <is>
          <t>SUNNE</t>
        </is>
      </c>
      <c r="F15467" t="inlineStr">
        <is>
          <t>Bergvik skog väst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30855-2024</t>
        </is>
      </c>
      <c r="B15468" s="1" t="n">
        <v>45497</v>
      </c>
      <c r="C15468" s="1" t="n">
        <v>45507</v>
      </c>
      <c r="D15468" t="inlineStr">
        <is>
          <t>VÄRMLANDS LÄN</t>
        </is>
      </c>
      <c r="E15468" t="inlineStr">
        <is>
          <t>SUNNE</t>
        </is>
      </c>
      <c r="F15468" t="inlineStr">
        <is>
          <t>Bergvik skog väst AB</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30859-2024</t>
        </is>
      </c>
      <c r="B15469" s="1" t="n">
        <v>45497</v>
      </c>
      <c r="C15469" s="1" t="n">
        <v>45507</v>
      </c>
      <c r="D15469" t="inlineStr">
        <is>
          <t>VÄRMLANDS LÄN</t>
        </is>
      </c>
      <c r="E15469" t="inlineStr">
        <is>
          <t>FORSHAGA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30832-2024</t>
        </is>
      </c>
      <c r="B15470" s="1" t="n">
        <v>45497</v>
      </c>
      <c r="C15470" s="1" t="n">
        <v>45507</v>
      </c>
      <c r="D15470" t="inlineStr">
        <is>
          <t>VÄRMLANDS LÄN</t>
        </is>
      </c>
      <c r="E15470" t="inlineStr">
        <is>
          <t>SUNNE</t>
        </is>
      </c>
      <c r="F15470" t="inlineStr">
        <is>
          <t>Bergvik skog väst AB</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30869-2024</t>
        </is>
      </c>
      <c r="B15471" s="1" t="n">
        <v>45497</v>
      </c>
      <c r="C15471" s="1" t="n">
        <v>45507</v>
      </c>
      <c r="D15471" t="inlineStr">
        <is>
          <t>VÄRMLANDS LÄN</t>
        </is>
      </c>
      <c r="E15471" t="inlineStr">
        <is>
          <t>ARVIKA</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30857-2024</t>
        </is>
      </c>
      <c r="B15472" s="1" t="n">
        <v>45497</v>
      </c>
      <c r="C15472" s="1" t="n">
        <v>45507</v>
      </c>
      <c r="D15472" t="inlineStr">
        <is>
          <t>VÄRMLANDS LÄN</t>
        </is>
      </c>
      <c r="E15472" t="inlineStr">
        <is>
          <t>SUNNE</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30853-2024</t>
        </is>
      </c>
      <c r="B15473" s="1" t="n">
        <v>45497</v>
      </c>
      <c r="C15473" s="1" t="n">
        <v>45507</v>
      </c>
      <c r="D15473" t="inlineStr">
        <is>
          <t>VÄRMLANDS LÄN</t>
        </is>
      </c>
      <c r="E15473" t="inlineStr">
        <is>
          <t>SUNNE</t>
        </is>
      </c>
      <c r="F15473" t="inlineStr">
        <is>
          <t>Bergvik skog väst AB</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30828-2024</t>
        </is>
      </c>
      <c r="B15474" s="1" t="n">
        <v>45497</v>
      </c>
      <c r="C15474" s="1" t="n">
        <v>45507</v>
      </c>
      <c r="D15474" t="inlineStr">
        <is>
          <t>VÄRMLANDS LÄN</t>
        </is>
      </c>
      <c r="E15474" t="inlineStr">
        <is>
          <t>GRUMS</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30833-2024</t>
        </is>
      </c>
      <c r="B15475" s="1" t="n">
        <v>45497</v>
      </c>
      <c r="C15475" s="1" t="n">
        <v>45507</v>
      </c>
      <c r="D15475" t="inlineStr">
        <is>
          <t>VÄRMLANDS LÄN</t>
        </is>
      </c>
      <c r="E15475" t="inlineStr">
        <is>
          <t>SUNNE</t>
        </is>
      </c>
      <c r="F15475" t="inlineStr">
        <is>
          <t>Bergvik skog väst AB</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30850-2024</t>
        </is>
      </c>
      <c r="B15476" s="1" t="n">
        <v>45497</v>
      </c>
      <c r="C15476" s="1" t="n">
        <v>45507</v>
      </c>
      <c r="D15476" t="inlineStr">
        <is>
          <t>VÄRMLANDS LÄN</t>
        </is>
      </c>
      <c r="E15476" t="inlineStr">
        <is>
          <t>SUNNE</t>
        </is>
      </c>
      <c r="F15476" t="inlineStr">
        <is>
          <t>Bergvik skog väst AB</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30873-2024</t>
        </is>
      </c>
      <c r="B15477" s="1" t="n">
        <v>45498</v>
      </c>
      <c r="C15477" s="1" t="n">
        <v>45507</v>
      </c>
      <c r="D15477" t="inlineStr">
        <is>
          <t>VÄRMLANDS LÄN</t>
        </is>
      </c>
      <c r="E15477" t="inlineStr">
        <is>
          <t>TORSBY</t>
        </is>
      </c>
      <c r="G15477" t="n">
        <v>4.8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30878-2024</t>
        </is>
      </c>
      <c r="B15478" s="1" t="n">
        <v>45498</v>
      </c>
      <c r="C15478" s="1" t="n">
        <v>45507</v>
      </c>
      <c r="D15478" t="inlineStr">
        <is>
          <t>VÄRMLANDS LÄN</t>
        </is>
      </c>
      <c r="E15478" t="inlineStr">
        <is>
          <t>SÄFFLE</t>
        </is>
      </c>
      <c r="G15478" t="n">
        <v>5.1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30895-2024</t>
        </is>
      </c>
      <c r="B15479" s="1" t="n">
        <v>45498</v>
      </c>
      <c r="C15479" s="1" t="n">
        <v>45507</v>
      </c>
      <c r="D15479" t="inlineStr">
        <is>
          <t>VÄRMLANDS LÄN</t>
        </is>
      </c>
      <c r="E15479" t="inlineStr">
        <is>
          <t>EDA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30940-2024</t>
        </is>
      </c>
      <c r="B15480" s="1" t="n">
        <v>45498</v>
      </c>
      <c r="C15480" s="1" t="n">
        <v>45507</v>
      </c>
      <c r="D15480" t="inlineStr">
        <is>
          <t>VÄRMLANDS LÄN</t>
        </is>
      </c>
      <c r="E15480" t="inlineStr">
        <is>
          <t>ARVIKA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30887-2024</t>
        </is>
      </c>
      <c r="B15481" s="1" t="n">
        <v>45498</v>
      </c>
      <c r="C15481" s="1" t="n">
        <v>45507</v>
      </c>
      <c r="D15481" t="inlineStr">
        <is>
          <t>VÄRMLANDS LÄN</t>
        </is>
      </c>
      <c r="E15481" t="inlineStr">
        <is>
          <t>SUNNE</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30891-2024</t>
        </is>
      </c>
      <c r="B15482" s="1" t="n">
        <v>45498</v>
      </c>
      <c r="C15482" s="1" t="n">
        <v>45507</v>
      </c>
      <c r="D15482" t="inlineStr">
        <is>
          <t>VÄRMLANDS LÄN</t>
        </is>
      </c>
      <c r="E15482" t="inlineStr">
        <is>
          <t>ARVIKA</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30942-2024</t>
        </is>
      </c>
      <c r="B15483" s="1" t="n">
        <v>45499</v>
      </c>
      <c r="C15483" s="1" t="n">
        <v>45507</v>
      </c>
      <c r="D15483" t="inlineStr">
        <is>
          <t>VÄRMLANDS LÄN</t>
        </is>
      </c>
      <c r="E15483" t="inlineStr">
        <is>
          <t>TORSBY</t>
        </is>
      </c>
      <c r="F15483" t="inlineStr">
        <is>
          <t>Bergvik skog väst AB</t>
        </is>
      </c>
      <c r="G15483" t="n">
        <v>3.3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30947-2024</t>
        </is>
      </c>
      <c r="B15484" s="1" t="n">
        <v>45499</v>
      </c>
      <c r="C15484" s="1" t="n">
        <v>45507</v>
      </c>
      <c r="D15484" t="inlineStr">
        <is>
          <t>VÄRMLANDS LÄN</t>
        </is>
      </c>
      <c r="E15484" t="inlineStr">
        <is>
          <t>TORSBY</t>
        </is>
      </c>
      <c r="F15484" t="inlineStr">
        <is>
          <t>Bergvik skog väst AB</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30955-2024</t>
        </is>
      </c>
      <c r="B15485" s="1" t="n">
        <v>45499</v>
      </c>
      <c r="C15485" s="1" t="n">
        <v>45507</v>
      </c>
      <c r="D15485" t="inlineStr">
        <is>
          <t>VÄRMLANDS LÄN</t>
        </is>
      </c>
      <c r="E15485" t="inlineStr">
        <is>
          <t>HAGFORS</t>
        </is>
      </c>
      <c r="F15485" t="inlineStr">
        <is>
          <t>Bergvik skog väst AB</t>
        </is>
      </c>
      <c r="G15485" t="n">
        <v>21.1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30996-2024</t>
        </is>
      </c>
      <c r="B15486" s="1" t="n">
        <v>45499</v>
      </c>
      <c r="C15486" s="1" t="n">
        <v>45507</v>
      </c>
      <c r="D15486" t="inlineStr">
        <is>
          <t>VÄRMLANDS LÄN</t>
        </is>
      </c>
      <c r="E15486" t="inlineStr">
        <is>
          <t>ÅRJÄNG</t>
        </is>
      </c>
      <c r="F15486" t="inlineStr">
        <is>
          <t>Kyrkan</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31004-2024</t>
        </is>
      </c>
      <c r="B15487" s="1" t="n">
        <v>45499</v>
      </c>
      <c r="C15487" s="1" t="n">
        <v>45507</v>
      </c>
      <c r="D15487" t="inlineStr">
        <is>
          <t>VÄRMLANDS LÄN</t>
        </is>
      </c>
      <c r="E15487" t="inlineStr">
        <is>
          <t>TORSBY</t>
        </is>
      </c>
      <c r="F15487" t="inlineStr">
        <is>
          <t>Bergvik skog väst AB</t>
        </is>
      </c>
      <c r="G15487" t="n">
        <v>14.2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31020-2024</t>
        </is>
      </c>
      <c r="B15488" s="1" t="n">
        <v>45499</v>
      </c>
      <c r="C15488" s="1" t="n">
        <v>45507</v>
      </c>
      <c r="D15488" t="inlineStr">
        <is>
          <t>VÄRMLANDS LÄN</t>
        </is>
      </c>
      <c r="E15488" t="inlineStr">
        <is>
          <t>SUNNE</t>
        </is>
      </c>
      <c r="G15488" t="n">
        <v>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31005-2024</t>
        </is>
      </c>
      <c r="B15489" s="1" t="n">
        <v>45499</v>
      </c>
      <c r="C15489" s="1" t="n">
        <v>45507</v>
      </c>
      <c r="D15489" t="inlineStr">
        <is>
          <t>VÄRMLANDS LÄN</t>
        </is>
      </c>
      <c r="E15489" t="inlineStr">
        <is>
          <t>KIL</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30952-2024</t>
        </is>
      </c>
      <c r="B15490" s="1" t="n">
        <v>45499</v>
      </c>
      <c r="C15490" s="1" t="n">
        <v>45507</v>
      </c>
      <c r="D15490" t="inlineStr">
        <is>
          <t>VÄRMLANDS LÄN</t>
        </is>
      </c>
      <c r="E15490" t="inlineStr">
        <is>
          <t>TORSBY</t>
        </is>
      </c>
      <c r="F15490" t="inlineStr">
        <is>
          <t>Bergvik skog väst AB</t>
        </is>
      </c>
      <c r="G15490" t="n">
        <v>2.6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30960-2024</t>
        </is>
      </c>
      <c r="B15491" s="1" t="n">
        <v>45499</v>
      </c>
      <c r="C15491" s="1" t="n">
        <v>45507</v>
      </c>
      <c r="D15491" t="inlineStr">
        <is>
          <t>VÄRMLANDS LÄN</t>
        </is>
      </c>
      <c r="E15491" t="inlineStr">
        <is>
          <t>ÅRJÄNG</t>
        </is>
      </c>
      <c r="F15491" t="inlineStr">
        <is>
          <t>Kyrkan</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30993-2024</t>
        </is>
      </c>
      <c r="B15492" s="1" t="n">
        <v>45499</v>
      </c>
      <c r="C15492" s="1" t="n">
        <v>45507</v>
      </c>
      <c r="D15492" t="inlineStr">
        <is>
          <t>VÄRMLANDS LÄN</t>
        </is>
      </c>
      <c r="E15492" t="inlineStr">
        <is>
          <t>ÅRJÄNG</t>
        </is>
      </c>
      <c r="F15492" t="inlineStr">
        <is>
          <t>Kyrkan</t>
        </is>
      </c>
      <c r="G15492" t="n">
        <v>4.7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31033-2024</t>
        </is>
      </c>
      <c r="B15493" s="1" t="n">
        <v>45501</v>
      </c>
      <c r="C15493" s="1" t="n">
        <v>45507</v>
      </c>
      <c r="D15493" t="inlineStr">
        <is>
          <t>VÄRMLANDS LÄN</t>
        </is>
      </c>
      <c r="E15493" t="inlineStr">
        <is>
          <t>KIL</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31037-2024</t>
        </is>
      </c>
      <c r="B15494" s="1" t="n">
        <v>45501</v>
      </c>
      <c r="C15494" s="1" t="n">
        <v>45507</v>
      </c>
      <c r="D15494" t="inlineStr">
        <is>
          <t>VÄRMLANDS LÄN</t>
        </is>
      </c>
      <c r="E15494" t="inlineStr">
        <is>
          <t>STORFORS</t>
        </is>
      </c>
      <c r="F15494" t="inlineStr">
        <is>
          <t>Bergvik skog väst AB</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31026-2024</t>
        </is>
      </c>
      <c r="B15495" s="1" t="n">
        <v>45501</v>
      </c>
      <c r="C15495" s="1" t="n">
        <v>45507</v>
      </c>
      <c r="D15495" t="inlineStr">
        <is>
          <t>VÄRMLANDS LÄN</t>
        </is>
      </c>
      <c r="E15495" t="inlineStr">
        <is>
          <t>SÄFFLE</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31032-2024</t>
        </is>
      </c>
      <c r="B15496" s="1" t="n">
        <v>45501</v>
      </c>
      <c r="C15496" s="1" t="n">
        <v>45507</v>
      </c>
      <c r="D15496" t="inlineStr">
        <is>
          <t>VÄRMLANDS LÄN</t>
        </is>
      </c>
      <c r="E15496" t="inlineStr">
        <is>
          <t>KIL</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31075-2024</t>
        </is>
      </c>
      <c r="B15497" s="1" t="n">
        <v>45502</v>
      </c>
      <c r="C15497" s="1" t="n">
        <v>45507</v>
      </c>
      <c r="D15497" t="inlineStr">
        <is>
          <t>VÄRMLANDS LÄN</t>
        </is>
      </c>
      <c r="E15497" t="inlineStr">
        <is>
          <t>SUNNE</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31087-2024</t>
        </is>
      </c>
      <c r="B15498" s="1" t="n">
        <v>45502</v>
      </c>
      <c r="C15498" s="1" t="n">
        <v>45507</v>
      </c>
      <c r="D15498" t="inlineStr">
        <is>
          <t>VÄRMLANDS LÄN</t>
        </is>
      </c>
      <c r="E15498" t="inlineStr">
        <is>
          <t>HAGFORS</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31133-2024</t>
        </is>
      </c>
      <c r="B15499" s="1" t="n">
        <v>45502</v>
      </c>
      <c r="C15499" s="1" t="n">
        <v>45507</v>
      </c>
      <c r="D15499" t="inlineStr">
        <is>
          <t>VÄRMLANDS LÄN</t>
        </is>
      </c>
      <c r="E15499" t="inlineStr">
        <is>
          <t>GRUMS</t>
        </is>
      </c>
      <c r="G15499" t="n">
        <v>4.9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31086-2024</t>
        </is>
      </c>
      <c r="B15500" s="1" t="n">
        <v>45502</v>
      </c>
      <c r="C15500" s="1" t="n">
        <v>45507</v>
      </c>
      <c r="D15500" t="inlineStr">
        <is>
          <t>VÄRMLANDS LÄN</t>
        </is>
      </c>
      <c r="E15500" t="inlineStr">
        <is>
          <t>SUNNE</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31077-2024</t>
        </is>
      </c>
      <c r="B15501" s="1" t="n">
        <v>45502</v>
      </c>
      <c r="C15501" s="1" t="n">
        <v>45507</v>
      </c>
      <c r="D15501" t="inlineStr">
        <is>
          <t>VÄRMLANDS LÄN</t>
        </is>
      </c>
      <c r="E15501" t="inlineStr">
        <is>
          <t>EDA</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31089-2024</t>
        </is>
      </c>
      <c r="B15502" s="1" t="n">
        <v>45502</v>
      </c>
      <c r="C15502" s="1" t="n">
        <v>45507</v>
      </c>
      <c r="D15502" t="inlineStr">
        <is>
          <t>VÄRMLANDS LÄN</t>
        </is>
      </c>
      <c r="E15502" t="inlineStr">
        <is>
          <t>TORSBY</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31121-2024</t>
        </is>
      </c>
      <c r="B15503" s="1" t="n">
        <v>45502</v>
      </c>
      <c r="C15503" s="1" t="n">
        <v>45507</v>
      </c>
      <c r="D15503" t="inlineStr">
        <is>
          <t>VÄRMLANDS LÄN</t>
        </is>
      </c>
      <c r="E15503" t="inlineStr">
        <is>
          <t>SUNNE</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31164-2024</t>
        </is>
      </c>
      <c r="B15504" s="1" t="n">
        <v>45503</v>
      </c>
      <c r="C15504" s="1" t="n">
        <v>45507</v>
      </c>
      <c r="D15504" t="inlineStr">
        <is>
          <t>VÄRMLANDS LÄN</t>
        </is>
      </c>
      <c r="E15504" t="inlineStr">
        <is>
          <t>TORSBY</t>
        </is>
      </c>
      <c r="F15504" t="inlineStr">
        <is>
          <t>Kyrkan</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31221-2024</t>
        </is>
      </c>
      <c r="B15505" s="1" t="n">
        <v>45503</v>
      </c>
      <c r="C15505" s="1" t="n">
        <v>45507</v>
      </c>
      <c r="D15505" t="inlineStr">
        <is>
          <t>VÄRMLANDS LÄN</t>
        </is>
      </c>
      <c r="E15505" t="inlineStr">
        <is>
          <t>SUNNE</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31199-2024</t>
        </is>
      </c>
      <c r="B15506" s="1" t="n">
        <v>45503</v>
      </c>
      <c r="C15506" s="1" t="n">
        <v>45507</v>
      </c>
      <c r="D15506" t="inlineStr">
        <is>
          <t>VÄRMLANDS LÄN</t>
        </is>
      </c>
      <c r="E15506" t="inlineStr">
        <is>
          <t>SÄFFLE</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31203-2024</t>
        </is>
      </c>
      <c r="B15507" s="1" t="n">
        <v>45503</v>
      </c>
      <c r="C15507" s="1" t="n">
        <v>45507</v>
      </c>
      <c r="D15507" t="inlineStr">
        <is>
          <t>VÄRMLANDS LÄN</t>
        </is>
      </c>
      <c r="E15507" t="inlineStr">
        <is>
          <t>SÄFFLE</t>
        </is>
      </c>
      <c r="G15507" t="n">
        <v>2.7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31158-2024</t>
        </is>
      </c>
      <c r="B15508" s="1" t="n">
        <v>45503</v>
      </c>
      <c r="C15508" s="1" t="n">
        <v>45507</v>
      </c>
      <c r="D15508" t="inlineStr">
        <is>
          <t>VÄRMLANDS LÄN</t>
        </is>
      </c>
      <c r="E15508" t="inlineStr">
        <is>
          <t>TORSBY</t>
        </is>
      </c>
      <c r="F15508" t="inlineStr">
        <is>
          <t>Kyrkan</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31226-2024</t>
        </is>
      </c>
      <c r="B15509" s="1" t="n">
        <v>45503</v>
      </c>
      <c r="C15509" s="1" t="n">
        <v>45507</v>
      </c>
      <c r="D15509" t="inlineStr">
        <is>
          <t>VÄRMLANDS LÄN</t>
        </is>
      </c>
      <c r="E15509" t="inlineStr">
        <is>
          <t>SUNNE</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31269-2024</t>
        </is>
      </c>
      <c r="B15510" s="1" t="n">
        <v>45504</v>
      </c>
      <c r="C15510" s="1" t="n">
        <v>45507</v>
      </c>
      <c r="D15510" t="inlineStr">
        <is>
          <t>VÄRMLANDS LÄN</t>
        </is>
      </c>
      <c r="E15510" t="inlineStr">
        <is>
          <t>ARVIKA</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31285-2024</t>
        </is>
      </c>
      <c r="B15511" s="1" t="n">
        <v>45504</v>
      </c>
      <c r="C15511" s="1" t="n">
        <v>45507</v>
      </c>
      <c r="D15511" t="inlineStr">
        <is>
          <t>VÄRMLANDS LÄN</t>
        </is>
      </c>
      <c r="E15511" t="inlineStr">
        <is>
          <t>TORSBY</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31289-2024</t>
        </is>
      </c>
      <c r="B15512" s="1" t="n">
        <v>45504</v>
      </c>
      <c r="C15512" s="1" t="n">
        <v>45507</v>
      </c>
      <c r="D15512" t="inlineStr">
        <is>
          <t>VÄRMLANDS LÄN</t>
        </is>
      </c>
      <c r="E15512" t="inlineStr">
        <is>
          <t>TORSBY</t>
        </is>
      </c>
      <c r="G15512" t="n">
        <v>16.8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31303-2024</t>
        </is>
      </c>
      <c r="B15513" s="1" t="n">
        <v>45504</v>
      </c>
      <c r="C15513" s="1" t="n">
        <v>45507</v>
      </c>
      <c r="D15513" t="inlineStr">
        <is>
          <t>VÄRMLANDS LÄN</t>
        </is>
      </c>
      <c r="E15513" t="inlineStr">
        <is>
          <t>ARVIKA</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31360-2024</t>
        </is>
      </c>
      <c r="B15514" s="1" t="n">
        <v>45505</v>
      </c>
      <c r="C15514" s="1" t="n">
        <v>45507</v>
      </c>
      <c r="D15514" t="inlineStr">
        <is>
          <t>VÄRMLANDS LÄN</t>
        </is>
      </c>
      <c r="E15514" t="inlineStr">
        <is>
          <t>GRUMS</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31357-2024</t>
        </is>
      </c>
      <c r="B15515" s="1" t="n">
        <v>45505</v>
      </c>
      <c r="C15515" s="1" t="n">
        <v>45507</v>
      </c>
      <c r="D15515" t="inlineStr">
        <is>
          <t>VÄRMLANDS LÄN</t>
        </is>
      </c>
      <c r="E15515" t="inlineStr">
        <is>
          <t>GRUMS</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31362-2024</t>
        </is>
      </c>
      <c r="B15516" s="1" t="n">
        <v>45505</v>
      </c>
      <c r="C15516" s="1" t="n">
        <v>45507</v>
      </c>
      <c r="D15516" t="inlineStr">
        <is>
          <t>VÄRMLANDS LÄN</t>
        </is>
      </c>
      <c r="E15516" t="inlineStr">
        <is>
          <t>GRUMS</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31402-2024</t>
        </is>
      </c>
      <c r="B15517" s="1" t="n">
        <v>45505</v>
      </c>
      <c r="C15517" s="1" t="n">
        <v>45507</v>
      </c>
      <c r="D15517" t="inlineStr">
        <is>
          <t>VÄRMLANDS LÄN</t>
        </is>
      </c>
      <c r="E15517" t="inlineStr">
        <is>
          <t>ARVIKA</t>
        </is>
      </c>
      <c r="F15517" t="inlineStr">
        <is>
          <t>Bergvik skog väst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31351-2024</t>
        </is>
      </c>
      <c r="B15518" s="1" t="n">
        <v>45505</v>
      </c>
      <c r="C15518" s="1" t="n">
        <v>45507</v>
      </c>
      <c r="D15518" t="inlineStr">
        <is>
          <t>VÄRMLANDS LÄN</t>
        </is>
      </c>
      <c r="E15518" t="inlineStr">
        <is>
          <t>TORSBY</t>
        </is>
      </c>
      <c r="F15518" t="inlineStr">
        <is>
          <t>Kyrkan</t>
        </is>
      </c>
      <c r="G15518" t="n">
        <v>6.5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31377-2024</t>
        </is>
      </c>
      <c r="B15519" s="1" t="n">
        <v>45505</v>
      </c>
      <c r="C15519" s="1" t="n">
        <v>45507</v>
      </c>
      <c r="D15519" t="inlineStr">
        <is>
          <t>VÄRMLANDS LÄN</t>
        </is>
      </c>
      <c r="E15519" t="inlineStr">
        <is>
          <t>TORSBY</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31385-2024</t>
        </is>
      </c>
      <c r="B15520" s="1" t="n">
        <v>45505</v>
      </c>
      <c r="C15520" s="1" t="n">
        <v>45507</v>
      </c>
      <c r="D15520" t="inlineStr">
        <is>
          <t>VÄRMLANDS LÄN</t>
        </is>
      </c>
      <c r="E15520" t="inlineStr">
        <is>
          <t>TORSBY</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31432-2024</t>
        </is>
      </c>
      <c r="B15521" s="1" t="n">
        <v>45505</v>
      </c>
      <c r="C15521" s="1" t="n">
        <v>45507</v>
      </c>
      <c r="D15521" t="inlineStr">
        <is>
          <t>VÄRMLANDS LÄN</t>
        </is>
      </c>
      <c r="E15521" t="inlineStr">
        <is>
          <t>SUNNE</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31380-2024</t>
        </is>
      </c>
      <c r="B15522" s="1" t="n">
        <v>45505</v>
      </c>
      <c r="C15522" s="1" t="n">
        <v>45507</v>
      </c>
      <c r="D15522" t="inlineStr">
        <is>
          <t>VÄRMLANDS LÄN</t>
        </is>
      </c>
      <c r="E15522" t="inlineStr">
        <is>
          <t>TORSBY</t>
        </is>
      </c>
      <c r="G15522" t="n">
        <v>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31409-2024</t>
        </is>
      </c>
      <c r="B15523" s="1" t="n">
        <v>45505</v>
      </c>
      <c r="C15523" s="1" t="n">
        <v>45507</v>
      </c>
      <c r="D15523" t="inlineStr">
        <is>
          <t>VÄRMLANDS LÄN</t>
        </is>
      </c>
      <c r="E15523" t="inlineStr">
        <is>
          <t>MUNKFORS</t>
        </is>
      </c>
      <c r="F15523" t="inlineStr">
        <is>
          <t>Bergvik skog väst AB</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31576-2024</t>
        </is>
      </c>
      <c r="B15524" s="1" t="n">
        <v>45506</v>
      </c>
      <c r="C15524" s="1" t="n">
        <v>45507</v>
      </c>
      <c r="D15524" t="inlineStr">
        <is>
          <t>VÄRMLANDS LÄN</t>
        </is>
      </c>
      <c r="E15524" t="inlineStr">
        <is>
          <t>ARVIKA</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31585-2024</t>
        </is>
      </c>
      <c r="B15525" s="1" t="n">
        <v>45506</v>
      </c>
      <c r="C15525" s="1" t="n">
        <v>45507</v>
      </c>
      <c r="D15525" t="inlineStr">
        <is>
          <t>VÄRMLANDS LÄN</t>
        </is>
      </c>
      <c r="E15525" t="inlineStr">
        <is>
          <t>ARVIKA</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31582-2024</t>
        </is>
      </c>
      <c r="B15526" s="1" t="n">
        <v>45506</v>
      </c>
      <c r="C15526" s="1" t="n">
        <v>45507</v>
      </c>
      <c r="D15526" t="inlineStr">
        <is>
          <t>VÄRMLANDS LÄN</t>
        </is>
      </c>
      <c r="E15526" t="inlineStr">
        <is>
          <t>ARVIKA</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31622-2024</t>
        </is>
      </c>
      <c r="B15527" s="1" t="n">
        <v>45506</v>
      </c>
      <c r="C15527" s="1" t="n">
        <v>45507</v>
      </c>
      <c r="D15527" t="inlineStr">
        <is>
          <t>VÄRMLANDS LÄN</t>
        </is>
      </c>
      <c r="E15527" t="inlineStr">
        <is>
          <t>ÅRJÄNG</t>
        </is>
      </c>
      <c r="G15527" t="n">
        <v>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31624-2024</t>
        </is>
      </c>
      <c r="B15528" s="1" t="n">
        <v>45506</v>
      </c>
      <c r="C15528" s="1" t="n">
        <v>45507</v>
      </c>
      <c r="D15528" t="inlineStr">
        <is>
          <t>VÄRMLANDS LÄN</t>
        </is>
      </c>
      <c r="E15528" t="inlineStr">
        <is>
          <t>SÄFFLE</t>
        </is>
      </c>
      <c r="F15528" t="inlineStr">
        <is>
          <t>Kyrkan</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31632-2024</t>
        </is>
      </c>
      <c r="B15529" s="1" t="n">
        <v>45506</v>
      </c>
      <c r="C15529" s="1" t="n">
        <v>45507</v>
      </c>
      <c r="D15529" t="inlineStr">
        <is>
          <t>VÄRMLANDS LÄN</t>
        </is>
      </c>
      <c r="E15529" t="inlineStr">
        <is>
          <t>FILIPSTAD</t>
        </is>
      </c>
      <c r="F15529" t="inlineStr">
        <is>
          <t>Bergvik skog väst AB</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31657-2024</t>
        </is>
      </c>
      <c r="B15530" s="1" t="n">
        <v>45506</v>
      </c>
      <c r="C15530" s="1" t="n">
        <v>45507</v>
      </c>
      <c r="D15530" t="inlineStr">
        <is>
          <t>VÄRMLANDS LÄN</t>
        </is>
      </c>
      <c r="E15530" t="inlineStr">
        <is>
          <t>HAGFORS</t>
        </is>
      </c>
      <c r="G15530" t="n">
        <v>1.9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31591-2024</t>
        </is>
      </c>
      <c r="B15531" s="1" t="n">
        <v>45506</v>
      </c>
      <c r="C15531" s="1" t="n">
        <v>45507</v>
      </c>
      <c r="D15531" t="inlineStr">
        <is>
          <t>VÄRMLANDS LÄN</t>
        </is>
      </c>
      <c r="E15531" t="inlineStr">
        <is>
          <t>SÄFFLE</t>
        </is>
      </c>
      <c r="F15531" t="inlineStr">
        <is>
          <t>Kyrkan</t>
        </is>
      </c>
      <c r="G15531" t="n">
        <v>10.2</v>
      </c>
      <c r="H15531" t="n">
        <v>0</v>
      </c>
      <c r="I15531" t="n">
        <v>0</v>
      </c>
      <c r="J15531" t="n">
        <v>0</v>
      </c>
      <c r="K15531" t="n">
        <v>0</v>
      </c>
      <c r="L15531" t="n">
        <v>0</v>
      </c>
      <c r="M15531" t="n">
        <v>0</v>
      </c>
      <c r="N15531" t="n">
        <v>0</v>
      </c>
      <c r="O15531" t="n">
        <v>0</v>
      </c>
      <c r="P15531" t="n">
        <v>0</v>
      </c>
      <c r="Q15531" t="n">
        <v>0</v>
      </c>
      <c r="R15531" s="2" t="inlineStr"/>
    </row>
    <row r="15532">
      <c r="A15532" t="inlineStr">
        <is>
          <t>A 31630-2024</t>
        </is>
      </c>
      <c r="B15532" s="1" t="n">
        <v>45506</v>
      </c>
      <c r="C15532" s="1" t="n">
        <v>45507</v>
      </c>
      <c r="D15532" t="inlineStr">
        <is>
          <t>VÄRMLANDS LÄN</t>
        </is>
      </c>
      <c r="E15532" t="inlineStr">
        <is>
          <t>FILIPSTAD</t>
        </is>
      </c>
      <c r="F15532" t="inlineStr">
        <is>
          <t>Bergvik skog väst AB</t>
        </is>
      </c>
      <c r="G15532" t="n">
        <v>5.2</v>
      </c>
      <c r="H15532" t="n">
        <v>0</v>
      </c>
      <c r="I15532" t="n">
        <v>0</v>
      </c>
      <c r="J15532" t="n">
        <v>0</v>
      </c>
      <c r="K15532" t="n">
        <v>0</v>
      </c>
      <c r="L15532" t="n">
        <v>0</v>
      </c>
      <c r="M15532" t="n">
        <v>0</v>
      </c>
      <c r="N15532" t="n">
        <v>0</v>
      </c>
      <c r="O15532" t="n">
        <v>0</v>
      </c>
      <c r="P15532" t="n">
        <v>0</v>
      </c>
      <c r="Q15532" t="n">
        <v>0</v>
      </c>
      <c r="R15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2024-08-03T10:30:32Z</dcterms:created>
  <dcterms:modified xmlns:dcterms="http://purl.org/dc/terms/" xmlns:xsi="http://www.w3.org/2001/XMLSchema-instance" xsi:type="dcterms:W3CDTF">2024-08-03T10:30:46Z</dcterms:modified>
</cp:coreProperties>
</file>