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45346</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45346</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45346</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45346</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45346</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45346</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45346</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45346</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45346</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45346</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45346</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45346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45346</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45346</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45346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45346</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45346</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45346</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45346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45346</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45346</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45346</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45346</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45346</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45346</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45346</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45346</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45346</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45346</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45346</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45346</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45346</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45346</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45346</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45346</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45346</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45346</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45346</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45346</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45346</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45346</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45346</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45346</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45346</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45346</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45346</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45346</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45346</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45346</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45346</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45346</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45346</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45346</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45346</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45346</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45346</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45346</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45346</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45346</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45346</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45346</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45346</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45346</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45346</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45346</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45346</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45346</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45346</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45346</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45346</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45346</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45346</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45346</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45346</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45346</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45346</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45346</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45346</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45346</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45346</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45346</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45346</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45346</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45346</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45346</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45346</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45346</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45346</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45346</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45346</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45346</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45346</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45346</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45346</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45346</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45346</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45346</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45346</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45346</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45346</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45346</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45346</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45346</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45346</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45346</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45346</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45346</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45346</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45346</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45346</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45346</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45346</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45346</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45346</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45346</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45346</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45346</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45346</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45346</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45346</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45346</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45346</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45346</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45346</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45346</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45346</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45346</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45346</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45346</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45346</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45346</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45346</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45346</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45346</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45346</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45346</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45346</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45346</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26898-2022</t>
        </is>
      </c>
      <c r="B142" s="1" t="n">
        <v>44740</v>
      </c>
      <c r="C142" s="1" t="n">
        <v>45346</v>
      </c>
      <c r="D142" t="inlineStr">
        <is>
          <t>VÄRMLANDS LÄN</t>
        </is>
      </c>
      <c r="E142" t="inlineStr">
        <is>
          <t>EDA</t>
        </is>
      </c>
      <c r="G142" t="n">
        <v>7.7</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HYPERLINK("https://klasma.github.io/Logging_1730/artfynd/A 26898-2022 artfynd.xlsx", "A 26898-2022")</f>
        <v/>
      </c>
      <c r="T142">
        <f>HYPERLINK("https://klasma.github.io/Logging_1730/kartor/A 26898-2022 karta.png", "A 26898-2022")</f>
        <v/>
      </c>
      <c r="V142">
        <f>HYPERLINK("https://klasma.github.io/Logging_1730/klagomål/A 26898-2022 FSC-klagomål.docx", "A 26898-2022")</f>
        <v/>
      </c>
      <c r="W142">
        <f>HYPERLINK("https://klasma.github.io/Logging_1730/klagomålsmail/A 26898-2022 FSC-klagomål mail.docx", "A 26898-2022")</f>
        <v/>
      </c>
      <c r="X142">
        <f>HYPERLINK("https://klasma.github.io/Logging_1730/tillsyn/A 26898-2022 tillsynsbegäran.docx", "A 26898-2022")</f>
        <v/>
      </c>
      <c r="Y142">
        <f>HYPERLINK("https://klasma.github.io/Logging_1730/tillsynsmail/A 26898-2022 tillsynsbegäran mail.docx", "A 26898-2022")</f>
        <v/>
      </c>
    </row>
    <row r="143" ht="15" customHeight="1">
      <c r="A143" t="inlineStr">
        <is>
          <t>A 31151-2022</t>
        </is>
      </c>
      <c r="B143" s="1" t="n">
        <v>44770</v>
      </c>
      <c r="C143" s="1" t="n">
        <v>45346</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34087-2022</t>
        </is>
      </c>
      <c r="B144" s="1" t="n">
        <v>44791</v>
      </c>
      <c r="C144" s="1" t="n">
        <v>45346</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42480-2022</t>
        </is>
      </c>
      <c r="B145" s="1" t="n">
        <v>44831</v>
      </c>
      <c r="C145" s="1" t="n">
        <v>45346</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53051-2022</t>
        </is>
      </c>
      <c r="B146" s="1" t="n">
        <v>44876</v>
      </c>
      <c r="C146" s="1" t="n">
        <v>45346</v>
      </c>
      <c r="D146" t="inlineStr">
        <is>
          <t>VÄRMLANDS LÄN</t>
        </is>
      </c>
      <c r="E146" t="inlineStr">
        <is>
          <t>KARLSTAD</t>
        </is>
      </c>
      <c r="G146" t="n">
        <v>1.3</v>
      </c>
      <c r="H146" t="n">
        <v>1</v>
      </c>
      <c r="I146" t="n">
        <v>1</v>
      </c>
      <c r="J146" t="n">
        <v>1</v>
      </c>
      <c r="K146" t="n">
        <v>0</v>
      </c>
      <c r="L146" t="n">
        <v>0</v>
      </c>
      <c r="M146" t="n">
        <v>0</v>
      </c>
      <c r="N146" t="n">
        <v>0</v>
      </c>
      <c r="O146" t="n">
        <v>1</v>
      </c>
      <c r="P146" t="n">
        <v>0</v>
      </c>
      <c r="Q146" t="n">
        <v>3</v>
      </c>
      <c r="R146" s="2" t="inlineStr">
        <is>
          <t>Storgröe
Strutbräken
Blåsippa</t>
        </is>
      </c>
      <c r="S146">
        <f>HYPERLINK("https://klasma.github.io/Logging_1780/artfynd/A 53051-2022 artfynd.xlsx", "A 53051-2022")</f>
        <v/>
      </c>
      <c r="T146">
        <f>HYPERLINK("https://klasma.github.io/Logging_1780/kartor/A 53051-2022 karta.png", "A 53051-2022")</f>
        <v/>
      </c>
      <c r="V146">
        <f>HYPERLINK("https://klasma.github.io/Logging_1780/klagomål/A 53051-2022 FSC-klagomål.docx", "A 53051-2022")</f>
        <v/>
      </c>
      <c r="W146">
        <f>HYPERLINK("https://klasma.github.io/Logging_1780/klagomålsmail/A 53051-2022 FSC-klagomål mail.docx", "A 53051-2022")</f>
        <v/>
      </c>
      <c r="X146">
        <f>HYPERLINK("https://klasma.github.io/Logging_1780/tillsyn/A 53051-2022 tillsynsbegäran.docx", "A 53051-2022")</f>
        <v/>
      </c>
      <c r="Y146">
        <f>HYPERLINK("https://klasma.github.io/Logging_1780/tillsynsmail/A 53051-2022 tillsynsbegäran mail.docx", "A 53051-2022")</f>
        <v/>
      </c>
    </row>
    <row r="147" ht="15" customHeight="1">
      <c r="A147" t="inlineStr">
        <is>
          <t>A 592-2023</t>
        </is>
      </c>
      <c r="B147" s="1" t="n">
        <v>44930</v>
      </c>
      <c r="C147" s="1" t="n">
        <v>45346</v>
      </c>
      <c r="D147" t="inlineStr">
        <is>
          <t>VÄRMLANDS LÄN</t>
        </is>
      </c>
      <c r="E147" t="inlineStr">
        <is>
          <t>EDA</t>
        </is>
      </c>
      <c r="G147" t="n">
        <v>2.3</v>
      </c>
      <c r="H147" t="n">
        <v>2</v>
      </c>
      <c r="I147" t="n">
        <v>0</v>
      </c>
      <c r="J147" t="n">
        <v>3</v>
      </c>
      <c r="K147" t="n">
        <v>0</v>
      </c>
      <c r="L147" t="n">
        <v>0</v>
      </c>
      <c r="M147" t="n">
        <v>0</v>
      </c>
      <c r="N147" t="n">
        <v>0</v>
      </c>
      <c r="O147" t="n">
        <v>3</v>
      </c>
      <c r="P147" t="n">
        <v>0</v>
      </c>
      <c r="Q147" t="n">
        <v>3</v>
      </c>
      <c r="R147" s="2" t="inlineStr">
        <is>
          <t>Mindre hackspett
Skogsklocka
Spillkråka</t>
        </is>
      </c>
      <c r="S147">
        <f>HYPERLINK("https://klasma.github.io/Logging_1730/artfynd/A 592-2023 artfynd.xlsx", "A 592-2023")</f>
        <v/>
      </c>
      <c r="T147">
        <f>HYPERLINK("https://klasma.github.io/Logging_1730/kartor/A 592-2023 karta.png", "A 592-2023")</f>
        <v/>
      </c>
      <c r="V147">
        <f>HYPERLINK("https://klasma.github.io/Logging_1730/klagomål/A 592-2023 FSC-klagomål.docx", "A 592-2023")</f>
        <v/>
      </c>
      <c r="W147">
        <f>HYPERLINK("https://klasma.github.io/Logging_1730/klagomålsmail/A 592-2023 FSC-klagomål mail.docx", "A 592-2023")</f>
        <v/>
      </c>
      <c r="X147">
        <f>HYPERLINK("https://klasma.github.io/Logging_1730/tillsyn/A 592-2023 tillsynsbegäran.docx", "A 592-2023")</f>
        <v/>
      </c>
      <c r="Y147">
        <f>HYPERLINK("https://klasma.github.io/Logging_1730/tillsynsmail/A 592-2023 tillsynsbegäran mail.docx", "A 592-2023")</f>
        <v/>
      </c>
      <c r="Z147">
        <f>HYPERLINK("https://klasma.github.io/Logging_1730/fåglar/A 592-2023 prioriterade fågelarter.docx", "A 592-2023")</f>
        <v/>
      </c>
    </row>
    <row r="148" ht="15" customHeight="1">
      <c r="A148" t="inlineStr">
        <is>
          <t>A 2356-2023</t>
        </is>
      </c>
      <c r="B148" s="1" t="n">
        <v>44942</v>
      </c>
      <c r="C148" s="1" t="n">
        <v>45346</v>
      </c>
      <c r="D148" t="inlineStr">
        <is>
          <t>VÄRMLANDS LÄN</t>
        </is>
      </c>
      <c r="E148" t="inlineStr">
        <is>
          <t>FILIPSTAD</t>
        </is>
      </c>
      <c r="G148" t="n">
        <v>3.8</v>
      </c>
      <c r="H148" t="n">
        <v>1</v>
      </c>
      <c r="I148" t="n">
        <v>1</v>
      </c>
      <c r="J148" t="n">
        <v>2</v>
      </c>
      <c r="K148" t="n">
        <v>0</v>
      </c>
      <c r="L148" t="n">
        <v>0</v>
      </c>
      <c r="M148" t="n">
        <v>0</v>
      </c>
      <c r="N148" t="n">
        <v>0</v>
      </c>
      <c r="O148" t="n">
        <v>2</v>
      </c>
      <c r="P148" t="n">
        <v>0</v>
      </c>
      <c r="Q148" t="n">
        <v>3</v>
      </c>
      <c r="R148" s="2" t="inlineStr">
        <is>
          <t>Loppstarr
Majviva
Guckusko</t>
        </is>
      </c>
      <c r="S148">
        <f>HYPERLINK("https://klasma.github.io/Logging_1782/artfynd/A 2356-2023 artfynd.xlsx", "A 2356-2023")</f>
        <v/>
      </c>
      <c r="T148">
        <f>HYPERLINK("https://klasma.github.io/Logging_1782/kartor/A 2356-2023 karta.png", "A 2356-2023")</f>
        <v/>
      </c>
      <c r="V148">
        <f>HYPERLINK("https://klasma.github.io/Logging_1782/klagomål/A 2356-2023 FSC-klagomål.docx", "A 2356-2023")</f>
        <v/>
      </c>
      <c r="W148">
        <f>HYPERLINK("https://klasma.github.io/Logging_1782/klagomålsmail/A 2356-2023 FSC-klagomål mail.docx", "A 2356-2023")</f>
        <v/>
      </c>
      <c r="X148">
        <f>HYPERLINK("https://klasma.github.io/Logging_1782/tillsyn/A 2356-2023 tillsynsbegäran.docx", "A 2356-2023")</f>
        <v/>
      </c>
      <c r="Y148">
        <f>HYPERLINK("https://klasma.github.io/Logging_1782/tillsynsmail/A 2356-2023 tillsynsbegäran mail.docx", "A 2356-2023")</f>
        <v/>
      </c>
    </row>
    <row r="149" ht="15" customHeight="1">
      <c r="A149" t="inlineStr">
        <is>
          <t>A 4486-2023</t>
        </is>
      </c>
      <c r="B149" s="1" t="n">
        <v>44956</v>
      </c>
      <c r="C149" s="1" t="n">
        <v>45346</v>
      </c>
      <c r="D149" t="inlineStr">
        <is>
          <t>VÄRMLANDS LÄN</t>
        </is>
      </c>
      <c r="E149" t="inlineStr">
        <is>
          <t>TORSBY</t>
        </is>
      </c>
      <c r="G149" t="n">
        <v>2.4</v>
      </c>
      <c r="H149" t="n">
        <v>0</v>
      </c>
      <c r="I149" t="n">
        <v>1</v>
      </c>
      <c r="J149" t="n">
        <v>2</v>
      </c>
      <c r="K149" t="n">
        <v>0</v>
      </c>
      <c r="L149" t="n">
        <v>0</v>
      </c>
      <c r="M149" t="n">
        <v>0</v>
      </c>
      <c r="N149" t="n">
        <v>0</v>
      </c>
      <c r="O149" t="n">
        <v>2</v>
      </c>
      <c r="P149" t="n">
        <v>0</v>
      </c>
      <c r="Q149" t="n">
        <v>3</v>
      </c>
      <c r="R149" s="2" t="inlineStr">
        <is>
          <t>Garnlav
Vedskivlav
Skinnlav</t>
        </is>
      </c>
      <c r="S149">
        <f>HYPERLINK("https://klasma.github.io/Logging_1737/artfynd/A 4486-2023 artfynd.xlsx", "A 4486-2023")</f>
        <v/>
      </c>
      <c r="T149">
        <f>HYPERLINK("https://klasma.github.io/Logging_1737/kartor/A 4486-2023 karta.png", "A 4486-2023")</f>
        <v/>
      </c>
      <c r="V149">
        <f>HYPERLINK("https://klasma.github.io/Logging_1737/klagomål/A 4486-2023 FSC-klagomål.docx", "A 4486-2023")</f>
        <v/>
      </c>
      <c r="W149">
        <f>HYPERLINK("https://klasma.github.io/Logging_1737/klagomålsmail/A 4486-2023 FSC-klagomål mail.docx", "A 4486-2023")</f>
        <v/>
      </c>
      <c r="X149">
        <f>HYPERLINK("https://klasma.github.io/Logging_1737/tillsyn/A 4486-2023 tillsynsbegäran.docx", "A 4486-2023")</f>
        <v/>
      </c>
      <c r="Y149">
        <f>HYPERLINK("https://klasma.github.io/Logging_1737/tillsynsmail/A 4486-2023 tillsynsbegäran mail.docx", "A 4486-2023")</f>
        <v/>
      </c>
    </row>
    <row r="150" ht="15" customHeight="1">
      <c r="A150" t="inlineStr">
        <is>
          <t>A 11615-2023</t>
        </is>
      </c>
      <c r="B150" s="1" t="n">
        <v>44994</v>
      </c>
      <c r="C150" s="1" t="n">
        <v>45346</v>
      </c>
      <c r="D150" t="inlineStr">
        <is>
          <t>VÄRMLANDS LÄN</t>
        </is>
      </c>
      <c r="E150" t="inlineStr">
        <is>
          <t>KARLSTAD</t>
        </is>
      </c>
      <c r="F150" t="inlineStr">
        <is>
          <t>Kommuner</t>
        </is>
      </c>
      <c r="G150" t="n">
        <v>0.8</v>
      </c>
      <c r="H150" t="n">
        <v>1</v>
      </c>
      <c r="I150" t="n">
        <v>2</v>
      </c>
      <c r="J150" t="n">
        <v>1</v>
      </c>
      <c r="K150" t="n">
        <v>0</v>
      </c>
      <c r="L150" t="n">
        <v>0</v>
      </c>
      <c r="M150" t="n">
        <v>0</v>
      </c>
      <c r="N150" t="n">
        <v>0</v>
      </c>
      <c r="O150" t="n">
        <v>1</v>
      </c>
      <c r="P150" t="n">
        <v>0</v>
      </c>
      <c r="Q150" t="n">
        <v>3</v>
      </c>
      <c r="R150" s="2" t="inlineStr">
        <is>
          <t>Svedjenäva
Skogsknipprot
Springkorn</t>
        </is>
      </c>
      <c r="S150">
        <f>HYPERLINK("https://klasma.github.io/Logging_1780/artfynd/A 11615-2023 artfynd.xlsx", "A 11615-2023")</f>
        <v/>
      </c>
      <c r="T150">
        <f>HYPERLINK("https://klasma.github.io/Logging_1780/kartor/A 11615-2023 karta.png", "A 11615-2023")</f>
        <v/>
      </c>
      <c r="V150">
        <f>HYPERLINK("https://klasma.github.io/Logging_1780/klagomål/A 11615-2023 FSC-klagomål.docx", "A 11615-2023")</f>
        <v/>
      </c>
      <c r="W150">
        <f>HYPERLINK("https://klasma.github.io/Logging_1780/klagomålsmail/A 11615-2023 FSC-klagomål mail.docx", "A 11615-2023")</f>
        <v/>
      </c>
      <c r="X150">
        <f>HYPERLINK("https://klasma.github.io/Logging_1780/tillsyn/A 11615-2023 tillsynsbegäran.docx", "A 11615-2023")</f>
        <v/>
      </c>
      <c r="Y150">
        <f>HYPERLINK("https://klasma.github.io/Logging_1780/tillsynsmail/A 11615-2023 tillsynsbegäran mail.docx", "A 11615-2023")</f>
        <v/>
      </c>
    </row>
    <row r="151" ht="15" customHeight="1">
      <c r="A151" t="inlineStr">
        <is>
          <t>A 12640-2023</t>
        </is>
      </c>
      <c r="B151" s="1" t="n">
        <v>45000</v>
      </c>
      <c r="C151" s="1" t="n">
        <v>45346</v>
      </c>
      <c r="D151" t="inlineStr">
        <is>
          <t>VÄRMLANDS LÄN</t>
        </is>
      </c>
      <c r="E151" t="inlineStr">
        <is>
          <t>HAGFORS</t>
        </is>
      </c>
      <c r="G151" t="n">
        <v>9.1</v>
      </c>
      <c r="H151" t="n">
        <v>0</v>
      </c>
      <c r="I151" t="n">
        <v>1</v>
      </c>
      <c r="J151" t="n">
        <v>2</v>
      </c>
      <c r="K151" t="n">
        <v>0</v>
      </c>
      <c r="L151" t="n">
        <v>0</v>
      </c>
      <c r="M151" t="n">
        <v>0</v>
      </c>
      <c r="N151" t="n">
        <v>0</v>
      </c>
      <c r="O151" t="n">
        <v>2</v>
      </c>
      <c r="P151" t="n">
        <v>0</v>
      </c>
      <c r="Q151" t="n">
        <v>3</v>
      </c>
      <c r="R151" s="2" t="inlineStr">
        <is>
          <t>Garnlav
Kolflarnlav
Korallblylav</t>
        </is>
      </c>
      <c r="S151">
        <f>HYPERLINK("https://klasma.github.io/Logging_1783/artfynd/A 12640-2023 artfynd.xlsx", "A 12640-2023")</f>
        <v/>
      </c>
      <c r="T151">
        <f>HYPERLINK("https://klasma.github.io/Logging_1783/kartor/A 12640-2023 karta.png", "A 12640-2023")</f>
        <v/>
      </c>
      <c r="V151">
        <f>HYPERLINK("https://klasma.github.io/Logging_1783/klagomål/A 12640-2023 FSC-klagomål.docx", "A 12640-2023")</f>
        <v/>
      </c>
      <c r="W151">
        <f>HYPERLINK("https://klasma.github.io/Logging_1783/klagomålsmail/A 12640-2023 FSC-klagomål mail.docx", "A 12640-2023")</f>
        <v/>
      </c>
      <c r="X151">
        <f>HYPERLINK("https://klasma.github.io/Logging_1783/tillsyn/A 12640-2023 tillsynsbegäran.docx", "A 12640-2023")</f>
        <v/>
      </c>
      <c r="Y151">
        <f>HYPERLINK("https://klasma.github.io/Logging_1783/tillsynsmail/A 12640-2023 tillsynsbegäran mail.docx", "A 12640-2023")</f>
        <v/>
      </c>
    </row>
    <row r="152" ht="15" customHeight="1">
      <c r="A152" t="inlineStr">
        <is>
          <t>A 14815-2023</t>
        </is>
      </c>
      <c r="B152" s="1" t="n">
        <v>45014</v>
      </c>
      <c r="C152" s="1" t="n">
        <v>45346</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26303-2023</t>
        </is>
      </c>
      <c r="B153" s="1" t="n">
        <v>45091</v>
      </c>
      <c r="C153" s="1" t="n">
        <v>45346</v>
      </c>
      <c r="D153" t="inlineStr">
        <is>
          <t>VÄRMLANDS LÄN</t>
        </is>
      </c>
      <c r="E153" t="inlineStr">
        <is>
          <t>FILIPSTAD</t>
        </is>
      </c>
      <c r="F153" t="inlineStr">
        <is>
          <t>Bergvik skog väst AB</t>
        </is>
      </c>
      <c r="G153" t="n">
        <v>8.4</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26303-2023 artfynd.xlsx", "A 26303-2023")</f>
        <v/>
      </c>
      <c r="T153">
        <f>HYPERLINK("https://klasma.github.io/Logging_1782/kartor/A 26303-2023 karta.png", "A 26303-2023")</f>
        <v/>
      </c>
      <c r="V153">
        <f>HYPERLINK("https://klasma.github.io/Logging_1782/klagomål/A 26303-2023 FSC-klagomål.docx", "A 26303-2023")</f>
        <v/>
      </c>
      <c r="W153">
        <f>HYPERLINK("https://klasma.github.io/Logging_1782/klagomålsmail/A 26303-2023 FSC-klagomål mail.docx", "A 26303-2023")</f>
        <v/>
      </c>
      <c r="X153">
        <f>HYPERLINK("https://klasma.github.io/Logging_1782/tillsyn/A 26303-2023 tillsynsbegäran.docx", "A 26303-2023")</f>
        <v/>
      </c>
      <c r="Y153">
        <f>HYPERLINK("https://klasma.github.io/Logging_1782/tillsynsmail/A 26303-2023 tillsynsbegäran mail.docx", "A 26303-2023")</f>
        <v/>
      </c>
    </row>
    <row r="154" ht="15" customHeight="1">
      <c r="A154" t="inlineStr">
        <is>
          <t>A 41572-2023</t>
        </is>
      </c>
      <c r="B154" s="1" t="n">
        <v>45175</v>
      </c>
      <c r="C154" s="1" t="n">
        <v>45346</v>
      </c>
      <c r="D154" t="inlineStr">
        <is>
          <t>VÄRMLANDS LÄN</t>
        </is>
      </c>
      <c r="E154" t="inlineStr">
        <is>
          <t>KARLSTAD</t>
        </is>
      </c>
      <c r="F154" t="inlineStr">
        <is>
          <t>Övriga Aktiebolag</t>
        </is>
      </c>
      <c r="G154" t="n">
        <v>6.5</v>
      </c>
      <c r="H154" t="n">
        <v>1</v>
      </c>
      <c r="I154" t="n">
        <v>1</v>
      </c>
      <c r="J154" t="n">
        <v>2</v>
      </c>
      <c r="K154" t="n">
        <v>0</v>
      </c>
      <c r="L154" t="n">
        <v>0</v>
      </c>
      <c r="M154" t="n">
        <v>0</v>
      </c>
      <c r="N154" t="n">
        <v>0</v>
      </c>
      <c r="O154" t="n">
        <v>2</v>
      </c>
      <c r="P154" t="n">
        <v>0</v>
      </c>
      <c r="Q154" t="n">
        <v>3</v>
      </c>
      <c r="R154" s="2" t="inlineStr">
        <is>
          <t>Motaggsvamp
Talltita
Blåmossa</t>
        </is>
      </c>
      <c r="S154">
        <f>HYPERLINK("https://klasma.github.io/Logging_1780/artfynd/A 41572-2023 artfynd.xlsx", "A 41572-2023")</f>
        <v/>
      </c>
      <c r="T154">
        <f>HYPERLINK("https://klasma.github.io/Logging_1780/kartor/A 41572-2023 karta.png", "A 41572-2023")</f>
        <v/>
      </c>
      <c r="V154">
        <f>HYPERLINK("https://klasma.github.io/Logging_1780/klagomål/A 41572-2023 FSC-klagomål.docx", "A 41572-2023")</f>
        <v/>
      </c>
      <c r="W154">
        <f>HYPERLINK("https://klasma.github.io/Logging_1780/klagomålsmail/A 41572-2023 FSC-klagomål mail.docx", "A 41572-2023")</f>
        <v/>
      </c>
      <c r="X154">
        <f>HYPERLINK("https://klasma.github.io/Logging_1780/tillsyn/A 41572-2023 tillsynsbegäran.docx", "A 41572-2023")</f>
        <v/>
      </c>
      <c r="Y154">
        <f>HYPERLINK("https://klasma.github.io/Logging_1780/tillsynsmail/A 41572-2023 tillsynsbegäran mail.docx", "A 41572-2023")</f>
        <v/>
      </c>
      <c r="Z154">
        <f>HYPERLINK("https://klasma.github.io/Logging_1780/fåglar/A 41572-2023 prioriterade fågelarter.docx", "A 41572-2023")</f>
        <v/>
      </c>
    </row>
    <row r="155" ht="15" customHeight="1">
      <c r="A155" t="inlineStr">
        <is>
          <t>A 42590-2023</t>
        </is>
      </c>
      <c r="B155" s="1" t="n">
        <v>45181</v>
      </c>
      <c r="C155" s="1" t="n">
        <v>45346</v>
      </c>
      <c r="D155" t="inlineStr">
        <is>
          <t>VÄRMLANDS LÄN</t>
        </is>
      </c>
      <c r="E155" t="inlineStr">
        <is>
          <t>TORSBY</t>
        </is>
      </c>
      <c r="G155" t="n">
        <v>12.1</v>
      </c>
      <c r="H155" t="n">
        <v>1</v>
      </c>
      <c r="I155" t="n">
        <v>0</v>
      </c>
      <c r="J155" t="n">
        <v>3</v>
      </c>
      <c r="K155" t="n">
        <v>0</v>
      </c>
      <c r="L155" t="n">
        <v>0</v>
      </c>
      <c r="M155" t="n">
        <v>0</v>
      </c>
      <c r="N155" t="n">
        <v>0</v>
      </c>
      <c r="O155" t="n">
        <v>3</v>
      </c>
      <c r="P155" t="n">
        <v>0</v>
      </c>
      <c r="Q155" t="n">
        <v>3</v>
      </c>
      <c r="R155" s="2" t="inlineStr">
        <is>
          <t>Garnlav
Tretåig hackspett
Violettgrå tagellav</t>
        </is>
      </c>
      <c r="S155">
        <f>HYPERLINK("https://klasma.github.io/Logging_1737/artfynd/A 42590-2023 artfynd.xlsx", "A 42590-2023")</f>
        <v/>
      </c>
      <c r="T155">
        <f>HYPERLINK("https://klasma.github.io/Logging_1737/kartor/A 42590-2023 karta.png", "A 42590-2023")</f>
        <v/>
      </c>
      <c r="V155">
        <f>HYPERLINK("https://klasma.github.io/Logging_1737/klagomål/A 42590-2023 FSC-klagomål.docx", "A 42590-2023")</f>
        <v/>
      </c>
      <c r="W155">
        <f>HYPERLINK("https://klasma.github.io/Logging_1737/klagomålsmail/A 42590-2023 FSC-klagomål mail.docx", "A 42590-2023")</f>
        <v/>
      </c>
      <c r="X155">
        <f>HYPERLINK("https://klasma.github.io/Logging_1737/tillsyn/A 42590-2023 tillsynsbegäran.docx", "A 42590-2023")</f>
        <v/>
      </c>
      <c r="Y155">
        <f>HYPERLINK("https://klasma.github.io/Logging_1737/tillsynsmail/A 42590-2023 tillsynsbegäran mail.docx", "A 42590-2023")</f>
        <v/>
      </c>
      <c r="Z155">
        <f>HYPERLINK("https://klasma.github.io/Logging_1737/fåglar/A 42590-2023 prioriterade fågelarter.docx", "A 42590-2023")</f>
        <v/>
      </c>
    </row>
    <row r="156" ht="15" customHeight="1">
      <c r="A156" t="inlineStr">
        <is>
          <t>A 46016-2023</t>
        </is>
      </c>
      <c r="B156" s="1" t="n">
        <v>45196</v>
      </c>
      <c r="C156" s="1" t="n">
        <v>45346</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48855-2023</t>
        </is>
      </c>
      <c r="B157" s="1" t="n">
        <v>45203</v>
      </c>
      <c r="C157" s="1" t="n">
        <v>45346</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61045-2023</t>
        </is>
      </c>
      <c r="B158" s="1" t="n">
        <v>45260</v>
      </c>
      <c r="C158" s="1" t="n">
        <v>45346</v>
      </c>
      <c r="D158" t="inlineStr">
        <is>
          <t>VÄRMLANDS LÄN</t>
        </is>
      </c>
      <c r="E158" t="inlineStr">
        <is>
          <t>ÅRJÄNG</t>
        </is>
      </c>
      <c r="G158" t="n">
        <v>0.7</v>
      </c>
      <c r="H158" t="n">
        <v>1</v>
      </c>
      <c r="I158" t="n">
        <v>1</v>
      </c>
      <c r="J158" t="n">
        <v>2</v>
      </c>
      <c r="K158" t="n">
        <v>0</v>
      </c>
      <c r="L158" t="n">
        <v>0</v>
      </c>
      <c r="M158" t="n">
        <v>0</v>
      </c>
      <c r="N158" t="n">
        <v>0</v>
      </c>
      <c r="O158" t="n">
        <v>2</v>
      </c>
      <c r="P158" t="n">
        <v>0</v>
      </c>
      <c r="Q158" t="n">
        <v>3</v>
      </c>
      <c r="R158" s="2" t="inlineStr">
        <is>
          <t>Gränsticka
Tretåig hackspett
Vedticka</t>
        </is>
      </c>
      <c r="S158">
        <f>HYPERLINK("https://klasma.github.io/Logging_1765/artfynd/A 61045-2023 artfynd.xlsx", "A 61045-2023")</f>
        <v/>
      </c>
      <c r="T158">
        <f>HYPERLINK("https://klasma.github.io/Logging_1765/kartor/A 61045-2023 karta.png", "A 61045-2023")</f>
        <v/>
      </c>
      <c r="U158">
        <f>HYPERLINK("https://klasma.github.io/Logging_1765/knärot/A 61045-2023 karta knärot.png", "A 61045-2023")</f>
        <v/>
      </c>
      <c r="V158">
        <f>HYPERLINK("https://klasma.github.io/Logging_1765/klagomål/A 61045-2023 FSC-klagomål.docx", "A 61045-2023")</f>
        <v/>
      </c>
      <c r="W158">
        <f>HYPERLINK("https://klasma.github.io/Logging_1765/klagomålsmail/A 61045-2023 FSC-klagomål mail.docx", "A 61045-2023")</f>
        <v/>
      </c>
      <c r="X158">
        <f>HYPERLINK("https://klasma.github.io/Logging_1765/tillsyn/A 61045-2023 tillsynsbegäran.docx", "A 61045-2023")</f>
        <v/>
      </c>
      <c r="Y158">
        <f>HYPERLINK("https://klasma.github.io/Logging_1765/tillsynsmail/A 61045-2023 tillsynsbegäran mail.docx", "A 61045-2023")</f>
        <v/>
      </c>
      <c r="Z158">
        <f>HYPERLINK("https://klasma.github.io/Logging_1765/fåglar/A 61045-2023 prioriterade fågelarter.docx", "A 61045-2023")</f>
        <v/>
      </c>
    </row>
    <row r="159" ht="15" customHeight="1">
      <c r="A159" t="inlineStr">
        <is>
          <t>A 63921-2023</t>
        </is>
      </c>
      <c r="B159" s="1" t="n">
        <v>45278</v>
      </c>
      <c r="C159" s="1" t="n">
        <v>45346</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1111-2024</t>
        </is>
      </c>
      <c r="B160" s="1" t="n">
        <v>45302</v>
      </c>
      <c r="C160" s="1" t="n">
        <v>45346</v>
      </c>
      <c r="D160" t="inlineStr">
        <is>
          <t>VÄRMLANDS LÄN</t>
        </is>
      </c>
      <c r="E160" t="inlineStr">
        <is>
          <t>ARVIKA</t>
        </is>
      </c>
      <c r="F160" t="inlineStr">
        <is>
          <t>Kyrkan</t>
        </is>
      </c>
      <c r="G160" t="n">
        <v>2.4</v>
      </c>
      <c r="H160" t="n">
        <v>0</v>
      </c>
      <c r="I160" t="n">
        <v>1</v>
      </c>
      <c r="J160" t="n">
        <v>2</v>
      </c>
      <c r="K160" t="n">
        <v>0</v>
      </c>
      <c r="L160" t="n">
        <v>0</v>
      </c>
      <c r="M160" t="n">
        <v>0</v>
      </c>
      <c r="N160" t="n">
        <v>0</v>
      </c>
      <c r="O160" t="n">
        <v>2</v>
      </c>
      <c r="P160" t="n">
        <v>0</v>
      </c>
      <c r="Q160" t="n">
        <v>3</v>
      </c>
      <c r="R160" s="2" t="inlineStr">
        <is>
          <t>Kandelabersvamp
Stjärntagging
Vedticka</t>
        </is>
      </c>
      <c r="S160">
        <f>HYPERLINK("https://klasma.github.io/Logging_1784/artfynd/A 1111-2024 artfynd.xlsx", "A 1111-2024")</f>
        <v/>
      </c>
      <c r="T160">
        <f>HYPERLINK("https://klasma.github.io/Logging_1784/kartor/A 1111-2024 karta.png", "A 1111-2024")</f>
        <v/>
      </c>
      <c r="V160">
        <f>HYPERLINK("https://klasma.github.io/Logging_1784/klagomål/A 1111-2024 FSC-klagomål.docx", "A 1111-2024")</f>
        <v/>
      </c>
      <c r="W160">
        <f>HYPERLINK("https://klasma.github.io/Logging_1784/klagomålsmail/A 1111-2024 FSC-klagomål mail.docx", "A 1111-2024")</f>
        <v/>
      </c>
      <c r="X160">
        <f>HYPERLINK("https://klasma.github.io/Logging_1784/tillsyn/A 1111-2024 tillsynsbegäran.docx", "A 1111-2024")</f>
        <v/>
      </c>
      <c r="Y160">
        <f>HYPERLINK("https://klasma.github.io/Logging_1784/tillsynsmail/A 1111-2024 tillsynsbegäran mail.docx", "A 1111-2024")</f>
        <v/>
      </c>
    </row>
    <row r="161" ht="15" customHeight="1">
      <c r="A161" t="inlineStr">
        <is>
          <t>A 3099-2024</t>
        </is>
      </c>
      <c r="B161" s="1" t="n">
        <v>45316</v>
      </c>
      <c r="C161" s="1" t="n">
        <v>45346</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3713-2024</t>
        </is>
      </c>
      <c r="B162" s="1" t="n">
        <v>45321</v>
      </c>
      <c r="C162" s="1" t="n">
        <v>45346</v>
      </c>
      <c r="D162" t="inlineStr">
        <is>
          <t>VÄRMLANDS LÄN</t>
        </is>
      </c>
      <c r="E162" t="inlineStr">
        <is>
          <t>FORSHAGA</t>
        </is>
      </c>
      <c r="G162" t="n">
        <v>6.1</v>
      </c>
      <c r="H162" t="n">
        <v>3</v>
      </c>
      <c r="I162" t="n">
        <v>0</v>
      </c>
      <c r="J162" t="n">
        <v>0</v>
      </c>
      <c r="K162" t="n">
        <v>0</v>
      </c>
      <c r="L162" t="n">
        <v>0</v>
      </c>
      <c r="M162" t="n">
        <v>0</v>
      </c>
      <c r="N162" t="n">
        <v>0</v>
      </c>
      <c r="O162" t="n">
        <v>0</v>
      </c>
      <c r="P162" t="n">
        <v>0</v>
      </c>
      <c r="Q162" t="n">
        <v>3</v>
      </c>
      <c r="R162" s="2" t="inlineStr">
        <is>
          <t>Åkergroda
Mindre vattensalamander
Vanlig padda</t>
        </is>
      </c>
      <c r="S162">
        <f>HYPERLINK("https://klasma.github.io/Logging_1763/artfynd/A 3713-2024 artfynd.xlsx", "A 3713-2024")</f>
        <v/>
      </c>
      <c r="T162">
        <f>HYPERLINK("https://klasma.github.io/Logging_1763/kartor/A 3713-2024 karta.png", "A 3713-2024")</f>
        <v/>
      </c>
      <c r="V162">
        <f>HYPERLINK("https://klasma.github.io/Logging_1763/klagomål/A 3713-2024 FSC-klagomål.docx", "A 3713-2024")</f>
        <v/>
      </c>
      <c r="W162">
        <f>HYPERLINK("https://klasma.github.io/Logging_1763/klagomålsmail/A 3713-2024 FSC-klagomål mail.docx", "A 3713-2024")</f>
        <v/>
      </c>
      <c r="X162">
        <f>HYPERLINK("https://klasma.github.io/Logging_1763/tillsyn/A 3713-2024 tillsynsbegäran.docx", "A 3713-2024")</f>
        <v/>
      </c>
      <c r="Y162">
        <f>HYPERLINK("https://klasma.github.io/Logging_1763/tillsynsmail/A 3713-2024 tillsynsbegäran mail.docx", "A 3713-2024")</f>
        <v/>
      </c>
    </row>
    <row r="163" ht="15" customHeight="1">
      <c r="A163" t="inlineStr">
        <is>
          <t>A 5680-2024</t>
        </is>
      </c>
      <c r="B163" s="1" t="n">
        <v>45334</v>
      </c>
      <c r="C163" s="1" t="n">
        <v>45346</v>
      </c>
      <c r="D163" t="inlineStr">
        <is>
          <t>VÄRMLANDS LÄN</t>
        </is>
      </c>
      <c r="E163" t="inlineStr">
        <is>
          <t>TORSBY</t>
        </is>
      </c>
      <c r="G163" t="n">
        <v>24</v>
      </c>
      <c r="H163" t="n">
        <v>0</v>
      </c>
      <c r="I163" t="n">
        <v>1</v>
      </c>
      <c r="J163" t="n">
        <v>2</v>
      </c>
      <c r="K163" t="n">
        <v>0</v>
      </c>
      <c r="L163" t="n">
        <v>0</v>
      </c>
      <c r="M163" t="n">
        <v>0</v>
      </c>
      <c r="N163" t="n">
        <v>0</v>
      </c>
      <c r="O163" t="n">
        <v>2</v>
      </c>
      <c r="P163" t="n">
        <v>0</v>
      </c>
      <c r="Q163" t="n">
        <v>3</v>
      </c>
      <c r="R163" s="2" t="inlineStr">
        <is>
          <t>Garnlav
Motaggsvamp
Dropptaggsvamp</t>
        </is>
      </c>
      <c r="S163">
        <f>HYPERLINK("https://klasma.github.io/Logging_1737/artfynd/A 5680-2024 artfynd.xlsx", "A 5680-2024")</f>
        <v/>
      </c>
      <c r="T163">
        <f>HYPERLINK("https://klasma.github.io/Logging_1737/kartor/A 5680-2024 karta.png", "A 5680-2024")</f>
        <v/>
      </c>
      <c r="V163">
        <f>HYPERLINK("https://klasma.github.io/Logging_1737/klagomål/A 5680-2024 FSC-klagomål.docx", "A 5680-2024")</f>
        <v/>
      </c>
      <c r="W163">
        <f>HYPERLINK("https://klasma.github.io/Logging_1737/klagomålsmail/A 5680-2024 FSC-klagomål mail.docx", "A 5680-2024")</f>
        <v/>
      </c>
      <c r="X163">
        <f>HYPERLINK("https://klasma.github.io/Logging_1737/tillsyn/A 5680-2024 tillsynsbegäran.docx", "A 5680-2024")</f>
        <v/>
      </c>
      <c r="Y163">
        <f>HYPERLINK("https://klasma.github.io/Logging_1737/tillsynsmail/A 5680-2024 tillsynsbegäran mail.docx", "A 5680-2024")</f>
        <v/>
      </c>
    </row>
    <row r="164" ht="15" customHeight="1">
      <c r="A164" t="inlineStr">
        <is>
          <t>A 36762-2018</t>
        </is>
      </c>
      <c r="B164" s="1" t="n">
        <v>43332</v>
      </c>
      <c r="C164" s="1" t="n">
        <v>45346</v>
      </c>
      <c r="D164" t="inlineStr">
        <is>
          <t>VÄRMLANDS LÄN</t>
        </is>
      </c>
      <c r="E164" t="inlineStr">
        <is>
          <t>ARVIKA</t>
        </is>
      </c>
      <c r="G164" t="n">
        <v>3</v>
      </c>
      <c r="H164" t="n">
        <v>1</v>
      </c>
      <c r="I164" t="n">
        <v>1</v>
      </c>
      <c r="J164" t="n">
        <v>0</v>
      </c>
      <c r="K164" t="n">
        <v>1</v>
      </c>
      <c r="L164" t="n">
        <v>0</v>
      </c>
      <c r="M164" t="n">
        <v>0</v>
      </c>
      <c r="N164" t="n">
        <v>0</v>
      </c>
      <c r="O164" t="n">
        <v>1</v>
      </c>
      <c r="P164" t="n">
        <v>1</v>
      </c>
      <c r="Q164" t="n">
        <v>2</v>
      </c>
      <c r="R164" s="2" t="inlineStr">
        <is>
          <t>Knärot
Tibast</t>
        </is>
      </c>
      <c r="S164">
        <f>HYPERLINK("https://klasma.github.io/Logging_1784/artfynd/A 36762-2018 artfynd.xlsx", "A 36762-2018")</f>
        <v/>
      </c>
      <c r="T164">
        <f>HYPERLINK("https://klasma.github.io/Logging_1784/kartor/A 36762-2018 karta.png", "A 36762-2018")</f>
        <v/>
      </c>
      <c r="U164">
        <f>HYPERLINK("https://klasma.github.io/Logging_1784/knärot/A 36762-2018 karta knärot.png", "A 36762-2018")</f>
        <v/>
      </c>
      <c r="V164">
        <f>HYPERLINK("https://klasma.github.io/Logging_1784/klagomål/A 36762-2018 FSC-klagomål.docx", "A 36762-2018")</f>
        <v/>
      </c>
      <c r="W164">
        <f>HYPERLINK("https://klasma.github.io/Logging_1784/klagomålsmail/A 36762-2018 FSC-klagomål mail.docx", "A 36762-2018")</f>
        <v/>
      </c>
      <c r="X164">
        <f>HYPERLINK("https://klasma.github.io/Logging_1784/tillsyn/A 36762-2018 tillsynsbegäran.docx", "A 36762-2018")</f>
        <v/>
      </c>
      <c r="Y164">
        <f>HYPERLINK("https://klasma.github.io/Logging_1784/tillsynsmail/A 36762-2018 tillsynsbegäran mail.docx", "A 36762-2018")</f>
        <v/>
      </c>
    </row>
    <row r="165" ht="15" customHeight="1">
      <c r="A165" t="inlineStr">
        <is>
          <t>A 45025-2018</t>
        </is>
      </c>
      <c r="B165" s="1" t="n">
        <v>43360</v>
      </c>
      <c r="C165" s="1" t="n">
        <v>45346</v>
      </c>
      <c r="D165" t="inlineStr">
        <is>
          <t>VÄRMLANDS LÄN</t>
        </is>
      </c>
      <c r="E165" t="inlineStr">
        <is>
          <t>SÄFFLE</t>
        </is>
      </c>
      <c r="G165" t="n">
        <v>4.5</v>
      </c>
      <c r="H165" t="n">
        <v>0</v>
      </c>
      <c r="I165" t="n">
        <v>2</v>
      </c>
      <c r="J165" t="n">
        <v>0</v>
      </c>
      <c r="K165" t="n">
        <v>0</v>
      </c>
      <c r="L165" t="n">
        <v>0</v>
      </c>
      <c r="M165" t="n">
        <v>0</v>
      </c>
      <c r="N165" t="n">
        <v>0</v>
      </c>
      <c r="O165" t="n">
        <v>0</v>
      </c>
      <c r="P165" t="n">
        <v>0</v>
      </c>
      <c r="Q165" t="n">
        <v>2</v>
      </c>
      <c r="R165" s="2" t="inlineStr">
        <is>
          <t>Diskvaxskivling
Kryddspindling</t>
        </is>
      </c>
      <c r="S165">
        <f>HYPERLINK("https://klasma.github.io/Logging_1785/artfynd/A 45025-2018 artfynd.xlsx", "A 45025-2018")</f>
        <v/>
      </c>
      <c r="T165">
        <f>HYPERLINK("https://klasma.github.io/Logging_1785/kartor/A 45025-2018 karta.png", "A 45025-2018")</f>
        <v/>
      </c>
      <c r="V165">
        <f>HYPERLINK("https://klasma.github.io/Logging_1785/klagomål/A 45025-2018 FSC-klagomål.docx", "A 45025-2018")</f>
        <v/>
      </c>
      <c r="W165">
        <f>HYPERLINK("https://klasma.github.io/Logging_1785/klagomålsmail/A 45025-2018 FSC-klagomål mail.docx", "A 45025-2018")</f>
        <v/>
      </c>
      <c r="X165">
        <f>HYPERLINK("https://klasma.github.io/Logging_1785/tillsyn/A 45025-2018 tillsynsbegäran.docx", "A 45025-2018")</f>
        <v/>
      </c>
      <c r="Y165">
        <f>HYPERLINK("https://klasma.github.io/Logging_1785/tillsynsmail/A 45025-2018 tillsynsbegäran mail.docx", "A 45025-2018")</f>
        <v/>
      </c>
    </row>
    <row r="166" ht="15" customHeight="1">
      <c r="A166" t="inlineStr">
        <is>
          <t>A 54558-2018</t>
        </is>
      </c>
      <c r="B166" s="1" t="n">
        <v>43385</v>
      </c>
      <c r="C166" s="1" t="n">
        <v>45346</v>
      </c>
      <c r="D166" t="inlineStr">
        <is>
          <t>VÄRMLANDS LÄN</t>
        </is>
      </c>
      <c r="E166" t="inlineStr">
        <is>
          <t>TORSBY</t>
        </is>
      </c>
      <c r="G166" t="n">
        <v>4.8</v>
      </c>
      <c r="H166" t="n">
        <v>1</v>
      </c>
      <c r="I166" t="n">
        <v>0</v>
      </c>
      <c r="J166" t="n">
        <v>2</v>
      </c>
      <c r="K166" t="n">
        <v>0</v>
      </c>
      <c r="L166" t="n">
        <v>0</v>
      </c>
      <c r="M166" t="n">
        <v>0</v>
      </c>
      <c r="N166" t="n">
        <v>0</v>
      </c>
      <c r="O166" t="n">
        <v>2</v>
      </c>
      <c r="P166" t="n">
        <v>0</v>
      </c>
      <c r="Q166" t="n">
        <v>2</v>
      </c>
      <c r="R166" s="2" t="inlineStr">
        <is>
          <t>Lunglav
Tretåig hackspett</t>
        </is>
      </c>
      <c r="S166">
        <f>HYPERLINK("https://klasma.github.io/Logging_1737/artfynd/A 54558-2018 artfynd.xlsx", "A 54558-2018")</f>
        <v/>
      </c>
      <c r="T166">
        <f>HYPERLINK("https://klasma.github.io/Logging_1737/kartor/A 54558-2018 karta.png", "A 54558-2018")</f>
        <v/>
      </c>
      <c r="V166">
        <f>HYPERLINK("https://klasma.github.io/Logging_1737/klagomål/A 54558-2018 FSC-klagomål.docx", "A 54558-2018")</f>
        <v/>
      </c>
      <c r="W166">
        <f>HYPERLINK("https://klasma.github.io/Logging_1737/klagomålsmail/A 54558-2018 FSC-klagomål mail.docx", "A 54558-2018")</f>
        <v/>
      </c>
      <c r="X166">
        <f>HYPERLINK("https://klasma.github.io/Logging_1737/tillsyn/A 54558-2018 tillsynsbegäran.docx", "A 54558-2018")</f>
        <v/>
      </c>
      <c r="Y166">
        <f>HYPERLINK("https://klasma.github.io/Logging_1737/tillsynsmail/A 54558-2018 tillsynsbegäran mail.docx", "A 54558-2018")</f>
        <v/>
      </c>
      <c r="Z166">
        <f>HYPERLINK("https://klasma.github.io/Logging_1737/fåglar/A 54558-2018 prioriterade fågelarter.docx", "A 54558-2018")</f>
        <v/>
      </c>
    </row>
    <row r="167" ht="15" customHeight="1">
      <c r="A167" t="inlineStr">
        <is>
          <t>A 57535-2018</t>
        </is>
      </c>
      <c r="B167" s="1" t="n">
        <v>43397</v>
      </c>
      <c r="C167" s="1" t="n">
        <v>45346</v>
      </c>
      <c r="D167" t="inlineStr">
        <is>
          <t>VÄRMLANDS LÄN</t>
        </is>
      </c>
      <c r="E167" t="inlineStr">
        <is>
          <t>ARVIKA</t>
        </is>
      </c>
      <c r="G167" t="n">
        <v>8.5</v>
      </c>
      <c r="H167" t="n">
        <v>0</v>
      </c>
      <c r="I167" t="n">
        <v>0</v>
      </c>
      <c r="J167" t="n">
        <v>2</v>
      </c>
      <c r="K167" t="n">
        <v>0</v>
      </c>
      <c r="L167" t="n">
        <v>0</v>
      </c>
      <c r="M167" t="n">
        <v>0</v>
      </c>
      <c r="N167" t="n">
        <v>0</v>
      </c>
      <c r="O167" t="n">
        <v>2</v>
      </c>
      <c r="P167" t="n">
        <v>0</v>
      </c>
      <c r="Q167" t="n">
        <v>2</v>
      </c>
      <c r="R167" s="2" t="inlineStr">
        <is>
          <t>Brunklöver
Svedjenäva</t>
        </is>
      </c>
      <c r="S167">
        <f>HYPERLINK("https://klasma.github.io/Logging_1784/artfynd/A 57535-2018 artfynd.xlsx", "A 57535-2018")</f>
        <v/>
      </c>
      <c r="T167">
        <f>HYPERLINK("https://klasma.github.io/Logging_1784/kartor/A 57535-2018 karta.png", "A 57535-2018")</f>
        <v/>
      </c>
      <c r="V167">
        <f>HYPERLINK("https://klasma.github.io/Logging_1784/klagomål/A 57535-2018 FSC-klagomål.docx", "A 57535-2018")</f>
        <v/>
      </c>
      <c r="W167">
        <f>HYPERLINK("https://klasma.github.io/Logging_1784/klagomålsmail/A 57535-2018 FSC-klagomål mail.docx", "A 57535-2018")</f>
        <v/>
      </c>
      <c r="X167">
        <f>HYPERLINK("https://klasma.github.io/Logging_1784/tillsyn/A 57535-2018 tillsynsbegäran.docx", "A 57535-2018")</f>
        <v/>
      </c>
      <c r="Y167">
        <f>HYPERLINK("https://klasma.github.io/Logging_1784/tillsynsmail/A 57535-2018 tillsynsbegäran mail.docx", "A 57535-2018")</f>
        <v/>
      </c>
    </row>
    <row r="168" ht="15" customHeight="1">
      <c r="A168" t="inlineStr">
        <is>
          <t>A 59351-2018</t>
        </is>
      </c>
      <c r="B168" s="1" t="n">
        <v>43418</v>
      </c>
      <c r="C168" s="1" t="n">
        <v>45346</v>
      </c>
      <c r="D168" t="inlineStr">
        <is>
          <t>VÄRMLANDS LÄN</t>
        </is>
      </c>
      <c r="E168" t="inlineStr">
        <is>
          <t>EDA</t>
        </is>
      </c>
      <c r="G168" t="n">
        <v>0.6</v>
      </c>
      <c r="H168" t="n">
        <v>1</v>
      </c>
      <c r="I168" t="n">
        <v>0</v>
      </c>
      <c r="J168" t="n">
        <v>2</v>
      </c>
      <c r="K168" t="n">
        <v>0</v>
      </c>
      <c r="L168" t="n">
        <v>0</v>
      </c>
      <c r="M168" t="n">
        <v>0</v>
      </c>
      <c r="N168" t="n">
        <v>0</v>
      </c>
      <c r="O168" t="n">
        <v>2</v>
      </c>
      <c r="P168" t="n">
        <v>0</v>
      </c>
      <c r="Q168" t="n">
        <v>2</v>
      </c>
      <c r="R168" s="2" t="inlineStr">
        <is>
          <t>Tretåig hackspett
Ullticka</t>
        </is>
      </c>
      <c r="S168">
        <f>HYPERLINK("https://klasma.github.io/Logging_1730/artfynd/A 59351-2018 artfynd.xlsx", "A 59351-2018")</f>
        <v/>
      </c>
      <c r="T168">
        <f>HYPERLINK("https://klasma.github.io/Logging_1730/kartor/A 59351-2018 karta.png", "A 59351-2018")</f>
        <v/>
      </c>
      <c r="U168">
        <f>HYPERLINK("https://klasma.github.io/Logging_1730/knärot/A 59351-2018 karta knärot.png", "A 59351-2018")</f>
        <v/>
      </c>
      <c r="V168">
        <f>HYPERLINK("https://klasma.github.io/Logging_1730/klagomål/A 59351-2018 FSC-klagomål.docx", "A 59351-2018")</f>
        <v/>
      </c>
      <c r="W168">
        <f>HYPERLINK("https://klasma.github.io/Logging_1730/klagomålsmail/A 59351-2018 FSC-klagomål mail.docx", "A 59351-2018")</f>
        <v/>
      </c>
      <c r="X168">
        <f>HYPERLINK("https://klasma.github.io/Logging_1730/tillsyn/A 59351-2018 tillsynsbegäran.docx", "A 59351-2018")</f>
        <v/>
      </c>
      <c r="Y168">
        <f>HYPERLINK("https://klasma.github.io/Logging_1730/tillsynsmail/A 59351-2018 tillsynsbegäran mail.docx", "A 59351-2018")</f>
        <v/>
      </c>
      <c r="Z168">
        <f>HYPERLINK("https://klasma.github.io/Logging_1730/fåglar/A 59351-2018 prioriterade fågelarter.docx", "A 59351-2018")</f>
        <v/>
      </c>
    </row>
    <row r="169" ht="15" customHeight="1">
      <c r="A169" t="inlineStr">
        <is>
          <t>A 10801-2019</t>
        </is>
      </c>
      <c r="B169" s="1" t="n">
        <v>43514</v>
      </c>
      <c r="C169" s="1" t="n">
        <v>45346</v>
      </c>
      <c r="D169" t="inlineStr">
        <is>
          <t>VÄRMLANDS LÄN</t>
        </is>
      </c>
      <c r="E169" t="inlineStr">
        <is>
          <t>KRISTINEHAMN</t>
        </is>
      </c>
      <c r="G169" t="n">
        <v>11.3</v>
      </c>
      <c r="H169" t="n">
        <v>0</v>
      </c>
      <c r="I169" t="n">
        <v>1</v>
      </c>
      <c r="J169" t="n">
        <v>1</v>
      </c>
      <c r="K169" t="n">
        <v>0</v>
      </c>
      <c r="L169" t="n">
        <v>0</v>
      </c>
      <c r="M169" t="n">
        <v>0</v>
      </c>
      <c r="N169" t="n">
        <v>0</v>
      </c>
      <c r="O169" t="n">
        <v>1</v>
      </c>
      <c r="P169" t="n">
        <v>0</v>
      </c>
      <c r="Q169" t="n">
        <v>2</v>
      </c>
      <c r="R169" s="2" t="inlineStr">
        <is>
          <t>Dvärgbägarlav
Vedticka</t>
        </is>
      </c>
      <c r="S169">
        <f>HYPERLINK("https://klasma.github.io/Logging_1781/artfynd/A 10801-2019 artfynd.xlsx", "A 10801-2019")</f>
        <v/>
      </c>
      <c r="T169">
        <f>HYPERLINK("https://klasma.github.io/Logging_1781/kartor/A 10801-2019 karta.png", "A 10801-2019")</f>
        <v/>
      </c>
      <c r="V169">
        <f>HYPERLINK("https://klasma.github.io/Logging_1781/klagomål/A 10801-2019 FSC-klagomål.docx", "A 10801-2019")</f>
        <v/>
      </c>
      <c r="W169">
        <f>HYPERLINK("https://klasma.github.io/Logging_1781/klagomålsmail/A 10801-2019 FSC-klagomål mail.docx", "A 10801-2019")</f>
        <v/>
      </c>
      <c r="X169">
        <f>HYPERLINK("https://klasma.github.io/Logging_1781/tillsyn/A 10801-2019 tillsynsbegäran.docx", "A 10801-2019")</f>
        <v/>
      </c>
      <c r="Y169">
        <f>HYPERLINK("https://klasma.github.io/Logging_1781/tillsynsmail/A 10801-2019 tillsynsbegäran mail.docx", "A 10801-2019")</f>
        <v/>
      </c>
    </row>
    <row r="170" ht="15" customHeight="1">
      <c r="A170" t="inlineStr">
        <is>
          <t>A 13511-2019</t>
        </is>
      </c>
      <c r="B170" s="1" t="n">
        <v>43530</v>
      </c>
      <c r="C170" s="1" t="n">
        <v>45346</v>
      </c>
      <c r="D170" t="inlineStr">
        <is>
          <t>VÄRMLANDS LÄN</t>
        </is>
      </c>
      <c r="E170" t="inlineStr">
        <is>
          <t>KRISTINEHAMN</t>
        </is>
      </c>
      <c r="G170" t="n">
        <v>7.4</v>
      </c>
      <c r="H170" t="n">
        <v>1</v>
      </c>
      <c r="I170" t="n">
        <v>0</v>
      </c>
      <c r="J170" t="n">
        <v>1</v>
      </c>
      <c r="K170" t="n">
        <v>1</v>
      </c>
      <c r="L170" t="n">
        <v>0</v>
      </c>
      <c r="M170" t="n">
        <v>0</v>
      </c>
      <c r="N170" t="n">
        <v>0</v>
      </c>
      <c r="O170" t="n">
        <v>2</v>
      </c>
      <c r="P170" t="n">
        <v>1</v>
      </c>
      <c r="Q170" t="n">
        <v>2</v>
      </c>
      <c r="R170" s="2" t="inlineStr">
        <is>
          <t>Bombmurkla
Fyrflikig jordstjärna</t>
        </is>
      </c>
      <c r="S170">
        <f>HYPERLINK("https://klasma.github.io/Logging_1781/artfynd/A 13511-2019 artfynd.xlsx", "A 13511-2019")</f>
        <v/>
      </c>
      <c r="T170">
        <f>HYPERLINK("https://klasma.github.io/Logging_1781/kartor/A 13511-2019 karta.png", "A 13511-2019")</f>
        <v/>
      </c>
      <c r="V170">
        <f>HYPERLINK("https://klasma.github.io/Logging_1781/klagomål/A 13511-2019 FSC-klagomål.docx", "A 13511-2019")</f>
        <v/>
      </c>
      <c r="W170">
        <f>HYPERLINK("https://klasma.github.io/Logging_1781/klagomålsmail/A 13511-2019 FSC-klagomål mail.docx", "A 13511-2019")</f>
        <v/>
      </c>
      <c r="X170">
        <f>HYPERLINK("https://klasma.github.io/Logging_1781/tillsyn/A 13511-2019 tillsynsbegäran.docx", "A 13511-2019")</f>
        <v/>
      </c>
      <c r="Y170">
        <f>HYPERLINK("https://klasma.github.io/Logging_1781/tillsynsmail/A 13511-2019 tillsynsbegäran mail.docx", "A 13511-2019")</f>
        <v/>
      </c>
    </row>
    <row r="171" ht="15" customHeight="1">
      <c r="A171" t="inlineStr">
        <is>
          <t>A 18528-2019</t>
        </is>
      </c>
      <c r="B171" s="1" t="n">
        <v>43559</v>
      </c>
      <c r="C171" s="1" t="n">
        <v>45346</v>
      </c>
      <c r="D171" t="inlineStr">
        <is>
          <t>VÄRMLANDS LÄN</t>
        </is>
      </c>
      <c r="E171" t="inlineStr">
        <is>
          <t>TORSBY</t>
        </is>
      </c>
      <c r="G171" t="n">
        <v>1.9</v>
      </c>
      <c r="H171" t="n">
        <v>0</v>
      </c>
      <c r="I171" t="n">
        <v>1</v>
      </c>
      <c r="J171" t="n">
        <v>1</v>
      </c>
      <c r="K171" t="n">
        <v>0</v>
      </c>
      <c r="L171" t="n">
        <v>0</v>
      </c>
      <c r="M171" t="n">
        <v>0</v>
      </c>
      <c r="N171" t="n">
        <v>0</v>
      </c>
      <c r="O171" t="n">
        <v>1</v>
      </c>
      <c r="P171" t="n">
        <v>0</v>
      </c>
      <c r="Q171" t="n">
        <v>2</v>
      </c>
      <c r="R171" s="2" t="inlineStr">
        <is>
          <t>Lunglav
Kattfotslav</t>
        </is>
      </c>
      <c r="S171">
        <f>HYPERLINK("https://klasma.github.io/Logging_1737/artfynd/A 18528-2019 artfynd.xlsx", "A 18528-2019")</f>
        <v/>
      </c>
      <c r="T171">
        <f>HYPERLINK("https://klasma.github.io/Logging_1737/kartor/A 18528-2019 karta.png", "A 18528-2019")</f>
        <v/>
      </c>
      <c r="V171">
        <f>HYPERLINK("https://klasma.github.io/Logging_1737/klagomål/A 18528-2019 FSC-klagomål.docx", "A 18528-2019")</f>
        <v/>
      </c>
      <c r="W171">
        <f>HYPERLINK("https://klasma.github.io/Logging_1737/klagomålsmail/A 18528-2019 FSC-klagomål mail.docx", "A 18528-2019")</f>
        <v/>
      </c>
      <c r="X171">
        <f>HYPERLINK("https://klasma.github.io/Logging_1737/tillsyn/A 18528-2019 tillsynsbegäran.docx", "A 18528-2019")</f>
        <v/>
      </c>
      <c r="Y171">
        <f>HYPERLINK("https://klasma.github.io/Logging_1737/tillsynsmail/A 18528-2019 tillsynsbegäran mail.docx", "A 18528-2019")</f>
        <v/>
      </c>
    </row>
    <row r="172" ht="15" customHeight="1">
      <c r="A172" t="inlineStr">
        <is>
          <t>A 26083-2019</t>
        </is>
      </c>
      <c r="B172" s="1" t="n">
        <v>43609</v>
      </c>
      <c r="C172" s="1" t="n">
        <v>45346</v>
      </c>
      <c r="D172" t="inlineStr">
        <is>
          <t>VÄRMLANDS LÄN</t>
        </is>
      </c>
      <c r="E172" t="inlineStr">
        <is>
          <t>ÅRJÄNG</t>
        </is>
      </c>
      <c r="F172" t="inlineStr">
        <is>
          <t>Bergvik skog väst AB</t>
        </is>
      </c>
      <c r="G172" t="n">
        <v>5.5</v>
      </c>
      <c r="H172" t="n">
        <v>2</v>
      </c>
      <c r="I172" t="n">
        <v>0</v>
      </c>
      <c r="J172" t="n">
        <v>1</v>
      </c>
      <c r="K172" t="n">
        <v>0</v>
      </c>
      <c r="L172" t="n">
        <v>0</v>
      </c>
      <c r="M172" t="n">
        <v>0</v>
      </c>
      <c r="N172" t="n">
        <v>0</v>
      </c>
      <c r="O172" t="n">
        <v>1</v>
      </c>
      <c r="P172" t="n">
        <v>0</v>
      </c>
      <c r="Q172" t="n">
        <v>2</v>
      </c>
      <c r="R172" s="2" t="inlineStr">
        <is>
          <t>Talltita
Orre</t>
        </is>
      </c>
      <c r="S172">
        <f>HYPERLINK("https://klasma.github.io/Logging_1765/artfynd/A 26083-2019 artfynd.xlsx", "A 26083-2019")</f>
        <v/>
      </c>
      <c r="T172">
        <f>HYPERLINK("https://klasma.github.io/Logging_1765/kartor/A 26083-2019 karta.png", "A 26083-2019")</f>
        <v/>
      </c>
      <c r="V172">
        <f>HYPERLINK("https://klasma.github.io/Logging_1765/klagomål/A 26083-2019 FSC-klagomål.docx", "A 26083-2019")</f>
        <v/>
      </c>
      <c r="W172">
        <f>HYPERLINK("https://klasma.github.io/Logging_1765/klagomålsmail/A 26083-2019 FSC-klagomål mail.docx", "A 26083-2019")</f>
        <v/>
      </c>
      <c r="X172">
        <f>HYPERLINK("https://klasma.github.io/Logging_1765/tillsyn/A 26083-2019 tillsynsbegäran.docx", "A 26083-2019")</f>
        <v/>
      </c>
      <c r="Y172">
        <f>HYPERLINK("https://klasma.github.io/Logging_1765/tillsynsmail/A 26083-2019 tillsynsbegäran mail.docx", "A 26083-2019")</f>
        <v/>
      </c>
      <c r="Z172">
        <f>HYPERLINK("https://klasma.github.io/Logging_1765/fåglar/A 26083-2019 prioriterade fågelarter.docx", "A 26083-2019")</f>
        <v/>
      </c>
    </row>
    <row r="173" ht="15" customHeight="1">
      <c r="A173" t="inlineStr">
        <is>
          <t>A 60661-2019</t>
        </is>
      </c>
      <c r="B173" s="1" t="n">
        <v>43781</v>
      </c>
      <c r="C173" s="1" t="n">
        <v>45346</v>
      </c>
      <c r="D173" t="inlineStr">
        <is>
          <t>VÄRMLANDS LÄN</t>
        </is>
      </c>
      <c r="E173" t="inlineStr">
        <is>
          <t>TORSBY</t>
        </is>
      </c>
      <c r="F173" t="inlineStr">
        <is>
          <t>Bergvik skog väst AB</t>
        </is>
      </c>
      <c r="G173" t="n">
        <v>40.4</v>
      </c>
      <c r="H173" t="n">
        <v>2</v>
      </c>
      <c r="I173" t="n">
        <v>0</v>
      </c>
      <c r="J173" t="n">
        <v>2</v>
      </c>
      <c r="K173" t="n">
        <v>0</v>
      </c>
      <c r="L173" t="n">
        <v>0</v>
      </c>
      <c r="M173" t="n">
        <v>0</v>
      </c>
      <c r="N173" t="n">
        <v>0</v>
      </c>
      <c r="O173" t="n">
        <v>2</v>
      </c>
      <c r="P173" t="n">
        <v>0</v>
      </c>
      <c r="Q173" t="n">
        <v>2</v>
      </c>
      <c r="R173" s="2" t="inlineStr">
        <is>
          <t>Kråka
Spillkråka</t>
        </is>
      </c>
      <c r="S173">
        <f>HYPERLINK("https://klasma.github.io/Logging_1737/artfynd/A 60661-2019 artfynd.xlsx", "A 60661-2019")</f>
        <v/>
      </c>
      <c r="T173">
        <f>HYPERLINK("https://klasma.github.io/Logging_1737/kartor/A 60661-2019 karta.png", "A 60661-2019")</f>
        <v/>
      </c>
      <c r="V173">
        <f>HYPERLINK("https://klasma.github.io/Logging_1737/klagomål/A 60661-2019 FSC-klagomål.docx", "A 60661-2019")</f>
        <v/>
      </c>
      <c r="W173">
        <f>HYPERLINK("https://klasma.github.io/Logging_1737/klagomålsmail/A 60661-2019 FSC-klagomål mail.docx", "A 60661-2019")</f>
        <v/>
      </c>
      <c r="X173">
        <f>HYPERLINK("https://klasma.github.io/Logging_1737/tillsyn/A 60661-2019 tillsynsbegäran.docx", "A 60661-2019")</f>
        <v/>
      </c>
      <c r="Y173">
        <f>HYPERLINK("https://klasma.github.io/Logging_1737/tillsynsmail/A 60661-2019 tillsynsbegäran mail.docx", "A 60661-2019")</f>
        <v/>
      </c>
      <c r="Z173">
        <f>HYPERLINK("https://klasma.github.io/Logging_1737/fåglar/A 60661-2019 prioriterade fågelarter.docx", "A 60661-2019")</f>
        <v/>
      </c>
    </row>
    <row r="174" ht="15" customHeight="1">
      <c r="A174" t="inlineStr">
        <is>
          <t>A 68629-2019</t>
        </is>
      </c>
      <c r="B174" s="1" t="n">
        <v>43819</v>
      </c>
      <c r="C174" s="1" t="n">
        <v>45346</v>
      </c>
      <c r="D174" t="inlineStr">
        <is>
          <t>VÄRMLANDS LÄN</t>
        </is>
      </c>
      <c r="E174" t="inlineStr">
        <is>
          <t>ARVIKA</t>
        </is>
      </c>
      <c r="G174" t="n">
        <v>11.3</v>
      </c>
      <c r="H174" t="n">
        <v>1</v>
      </c>
      <c r="I174" t="n">
        <v>0</v>
      </c>
      <c r="J174" t="n">
        <v>2</v>
      </c>
      <c r="K174" t="n">
        <v>0</v>
      </c>
      <c r="L174" t="n">
        <v>0</v>
      </c>
      <c r="M174" t="n">
        <v>0</v>
      </c>
      <c r="N174" t="n">
        <v>0</v>
      </c>
      <c r="O174" t="n">
        <v>2</v>
      </c>
      <c r="P174" t="n">
        <v>0</v>
      </c>
      <c r="Q174" t="n">
        <v>2</v>
      </c>
      <c r="R174" s="2" t="inlineStr">
        <is>
          <t>Dvärglin
Havsörn</t>
        </is>
      </c>
      <c r="S174">
        <f>HYPERLINK("https://klasma.github.io/Logging_1784/artfynd/A 68629-2019 artfynd.xlsx", "A 68629-2019")</f>
        <v/>
      </c>
      <c r="T174">
        <f>HYPERLINK("https://klasma.github.io/Logging_1784/kartor/A 68629-2019 karta.png", "A 68629-2019")</f>
        <v/>
      </c>
      <c r="V174">
        <f>HYPERLINK("https://klasma.github.io/Logging_1784/klagomål/A 68629-2019 FSC-klagomål.docx", "A 68629-2019")</f>
        <v/>
      </c>
      <c r="W174">
        <f>HYPERLINK("https://klasma.github.io/Logging_1784/klagomålsmail/A 68629-2019 FSC-klagomål mail.docx", "A 68629-2019")</f>
        <v/>
      </c>
      <c r="X174">
        <f>HYPERLINK("https://klasma.github.io/Logging_1784/tillsyn/A 68629-2019 tillsynsbegäran.docx", "A 68629-2019")</f>
        <v/>
      </c>
      <c r="Y174">
        <f>HYPERLINK("https://klasma.github.io/Logging_1784/tillsynsmail/A 68629-2019 tillsynsbegäran mail.docx", "A 68629-2019")</f>
        <v/>
      </c>
      <c r="Z174">
        <f>HYPERLINK("https://klasma.github.io/Logging_1784/fåglar/A 68629-2019 prioriterade fågelarter.docx", "A 68629-2019")</f>
        <v/>
      </c>
    </row>
    <row r="175" ht="15" customHeight="1">
      <c r="A175" t="inlineStr">
        <is>
          <t>A 3380-2020</t>
        </is>
      </c>
      <c r="B175" s="1" t="n">
        <v>43852</v>
      </c>
      <c r="C175" s="1" t="n">
        <v>45346</v>
      </c>
      <c r="D175" t="inlineStr">
        <is>
          <t>VÄRMLANDS LÄN</t>
        </is>
      </c>
      <c r="E175" t="inlineStr">
        <is>
          <t>ÅRJÄNG</t>
        </is>
      </c>
      <c r="G175" t="n">
        <v>3.8</v>
      </c>
      <c r="H175" t="n">
        <v>1</v>
      </c>
      <c r="I175" t="n">
        <v>1</v>
      </c>
      <c r="J175" t="n">
        <v>1</v>
      </c>
      <c r="K175" t="n">
        <v>0</v>
      </c>
      <c r="L175" t="n">
        <v>0</v>
      </c>
      <c r="M175" t="n">
        <v>0</v>
      </c>
      <c r="N175" t="n">
        <v>0</v>
      </c>
      <c r="O175" t="n">
        <v>1</v>
      </c>
      <c r="P175" t="n">
        <v>0</v>
      </c>
      <c r="Q175" t="n">
        <v>2</v>
      </c>
      <c r="R175" s="2" t="inlineStr">
        <is>
          <t>Kådvaxskinn
Spindelblomster</t>
        </is>
      </c>
      <c r="S175">
        <f>HYPERLINK("https://klasma.github.io/Logging_1765/artfynd/A 3380-2020 artfynd.xlsx", "A 3380-2020")</f>
        <v/>
      </c>
      <c r="T175">
        <f>HYPERLINK("https://klasma.github.io/Logging_1765/kartor/A 3380-2020 karta.png", "A 3380-2020")</f>
        <v/>
      </c>
      <c r="V175">
        <f>HYPERLINK("https://klasma.github.io/Logging_1765/klagomål/A 3380-2020 FSC-klagomål.docx", "A 3380-2020")</f>
        <v/>
      </c>
      <c r="W175">
        <f>HYPERLINK("https://klasma.github.io/Logging_1765/klagomålsmail/A 3380-2020 FSC-klagomål mail.docx", "A 3380-2020")</f>
        <v/>
      </c>
      <c r="X175">
        <f>HYPERLINK("https://klasma.github.io/Logging_1765/tillsyn/A 3380-2020 tillsynsbegäran.docx", "A 3380-2020")</f>
        <v/>
      </c>
      <c r="Y175">
        <f>HYPERLINK("https://klasma.github.io/Logging_1765/tillsynsmail/A 3380-2020 tillsynsbegäran mail.docx", "A 3380-2020")</f>
        <v/>
      </c>
    </row>
    <row r="176" ht="15" customHeight="1">
      <c r="A176" t="inlineStr">
        <is>
          <t>A 9464-2020</t>
        </is>
      </c>
      <c r="B176" s="1" t="n">
        <v>43880</v>
      </c>
      <c r="C176" s="1" t="n">
        <v>45346</v>
      </c>
      <c r="D176" t="inlineStr">
        <is>
          <t>VÄRMLANDS LÄN</t>
        </is>
      </c>
      <c r="E176" t="inlineStr">
        <is>
          <t>ÅRJÄNG</t>
        </is>
      </c>
      <c r="G176" t="n">
        <v>5.3</v>
      </c>
      <c r="H176" t="n">
        <v>1</v>
      </c>
      <c r="I176" t="n">
        <v>1</v>
      </c>
      <c r="J176" t="n">
        <v>0</v>
      </c>
      <c r="K176" t="n">
        <v>1</v>
      </c>
      <c r="L176" t="n">
        <v>0</v>
      </c>
      <c r="M176" t="n">
        <v>0</v>
      </c>
      <c r="N176" t="n">
        <v>0</v>
      </c>
      <c r="O176" t="n">
        <v>1</v>
      </c>
      <c r="P176" t="n">
        <v>1</v>
      </c>
      <c r="Q176" t="n">
        <v>2</v>
      </c>
      <c r="R176" s="2" t="inlineStr">
        <is>
          <t>Knärot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18231-2020</t>
        </is>
      </c>
      <c r="B177" s="1" t="n">
        <v>43928</v>
      </c>
      <c r="C177" s="1" t="n">
        <v>45346</v>
      </c>
      <c r="D177" t="inlineStr">
        <is>
          <t>VÄRMLANDS LÄN</t>
        </is>
      </c>
      <c r="E177" t="inlineStr">
        <is>
          <t>KARLSTAD</t>
        </is>
      </c>
      <c r="G177" t="n">
        <v>0.5</v>
      </c>
      <c r="H177" t="n">
        <v>2</v>
      </c>
      <c r="I177" t="n">
        <v>0</v>
      </c>
      <c r="J177" t="n">
        <v>0</v>
      </c>
      <c r="K177" t="n">
        <v>1</v>
      </c>
      <c r="L177" t="n">
        <v>0</v>
      </c>
      <c r="M177" t="n">
        <v>0</v>
      </c>
      <c r="N177" t="n">
        <v>0</v>
      </c>
      <c r="O177" t="n">
        <v>1</v>
      </c>
      <c r="P177" t="n">
        <v>1</v>
      </c>
      <c r="Q177" t="n">
        <v>2</v>
      </c>
      <c r="R177" s="2" t="inlineStr">
        <is>
          <t>Knärot
Mattlummer</t>
        </is>
      </c>
      <c r="S177">
        <f>HYPERLINK("https://klasma.github.io/Logging_1780/artfynd/A 18231-2020 artfynd.xlsx", "A 18231-2020")</f>
        <v/>
      </c>
      <c r="T177">
        <f>HYPERLINK("https://klasma.github.io/Logging_1780/kartor/A 18231-2020 karta.png", "A 18231-2020")</f>
        <v/>
      </c>
      <c r="U177">
        <f>HYPERLINK("https://klasma.github.io/Logging_1780/knärot/A 18231-2020 karta knärot.png", "A 18231-2020")</f>
        <v/>
      </c>
      <c r="V177">
        <f>HYPERLINK("https://klasma.github.io/Logging_1780/klagomål/A 18231-2020 FSC-klagomål.docx", "A 18231-2020")</f>
        <v/>
      </c>
      <c r="W177">
        <f>HYPERLINK("https://klasma.github.io/Logging_1780/klagomålsmail/A 18231-2020 FSC-klagomål mail.docx", "A 18231-2020")</f>
        <v/>
      </c>
      <c r="X177">
        <f>HYPERLINK("https://klasma.github.io/Logging_1780/tillsyn/A 18231-2020 tillsynsbegäran.docx", "A 18231-2020")</f>
        <v/>
      </c>
      <c r="Y177">
        <f>HYPERLINK("https://klasma.github.io/Logging_1780/tillsynsmail/A 18231-2020 tillsynsbegäran mail.docx", "A 18231-2020")</f>
        <v/>
      </c>
    </row>
    <row r="178" ht="15" customHeight="1">
      <c r="A178" t="inlineStr">
        <is>
          <t>A 34418-2020</t>
        </is>
      </c>
      <c r="B178" s="1" t="n">
        <v>44029</v>
      </c>
      <c r="C178" s="1" t="n">
        <v>45346</v>
      </c>
      <c r="D178" t="inlineStr">
        <is>
          <t>VÄRMLANDS LÄN</t>
        </is>
      </c>
      <c r="E178" t="inlineStr">
        <is>
          <t>STORFORS</t>
        </is>
      </c>
      <c r="G178" t="n">
        <v>3.1</v>
      </c>
      <c r="H178" t="n">
        <v>0</v>
      </c>
      <c r="I178" t="n">
        <v>1</v>
      </c>
      <c r="J178" t="n">
        <v>1</v>
      </c>
      <c r="K178" t="n">
        <v>0</v>
      </c>
      <c r="L178" t="n">
        <v>0</v>
      </c>
      <c r="M178" t="n">
        <v>0</v>
      </c>
      <c r="N178" t="n">
        <v>0</v>
      </c>
      <c r="O178" t="n">
        <v>1</v>
      </c>
      <c r="P178" t="n">
        <v>0</v>
      </c>
      <c r="Q178" t="n">
        <v>2</v>
      </c>
      <c r="R178" s="2" t="inlineStr">
        <is>
          <t>Lunglav
Fällmossa</t>
        </is>
      </c>
      <c r="S178">
        <f>HYPERLINK("https://klasma.github.io/Logging_1760/artfynd/A 34418-2020 artfynd.xlsx", "A 34418-2020")</f>
        <v/>
      </c>
      <c r="T178">
        <f>HYPERLINK("https://klasma.github.io/Logging_1760/kartor/A 34418-2020 karta.png", "A 34418-2020")</f>
        <v/>
      </c>
      <c r="V178">
        <f>HYPERLINK("https://klasma.github.io/Logging_1760/klagomål/A 34418-2020 FSC-klagomål.docx", "A 34418-2020")</f>
        <v/>
      </c>
      <c r="W178">
        <f>HYPERLINK("https://klasma.github.io/Logging_1760/klagomålsmail/A 34418-2020 FSC-klagomål mail.docx", "A 34418-2020")</f>
        <v/>
      </c>
      <c r="X178">
        <f>HYPERLINK("https://klasma.github.io/Logging_1760/tillsyn/A 34418-2020 tillsynsbegäran.docx", "A 34418-2020")</f>
        <v/>
      </c>
      <c r="Y178">
        <f>HYPERLINK("https://klasma.github.io/Logging_1760/tillsynsmail/A 34418-2020 tillsynsbegäran mail.docx", "A 34418-2020")</f>
        <v/>
      </c>
    </row>
    <row r="179" ht="15" customHeight="1">
      <c r="A179" t="inlineStr">
        <is>
          <t>A 42882-2020</t>
        </is>
      </c>
      <c r="B179" s="1" t="n">
        <v>44078</v>
      </c>
      <c r="C179" s="1" t="n">
        <v>45346</v>
      </c>
      <c r="D179" t="inlineStr">
        <is>
          <t>VÄRMLANDS LÄN</t>
        </is>
      </c>
      <c r="E179" t="inlineStr">
        <is>
          <t>FILIPSTAD</t>
        </is>
      </c>
      <c r="F179" t="inlineStr">
        <is>
          <t>Bergvik skog väst AB</t>
        </is>
      </c>
      <c r="G179" t="n">
        <v>2.2</v>
      </c>
      <c r="H179" t="n">
        <v>0</v>
      </c>
      <c r="I179" t="n">
        <v>0</v>
      </c>
      <c r="J179" t="n">
        <v>2</v>
      </c>
      <c r="K179" t="n">
        <v>0</v>
      </c>
      <c r="L179" t="n">
        <v>0</v>
      </c>
      <c r="M179" t="n">
        <v>0</v>
      </c>
      <c r="N179" t="n">
        <v>0</v>
      </c>
      <c r="O179" t="n">
        <v>2</v>
      </c>
      <c r="P179" t="n">
        <v>0</v>
      </c>
      <c r="Q179" t="n">
        <v>2</v>
      </c>
      <c r="R179" s="2" t="inlineStr">
        <is>
          <t>Lunglav
Stjärntagging</t>
        </is>
      </c>
      <c r="S179">
        <f>HYPERLINK("https://klasma.github.io/Logging_1782/artfynd/A 42882-2020 artfynd.xlsx", "A 42882-2020")</f>
        <v/>
      </c>
      <c r="T179">
        <f>HYPERLINK("https://klasma.github.io/Logging_1782/kartor/A 42882-2020 karta.png", "A 42882-2020")</f>
        <v/>
      </c>
      <c r="V179">
        <f>HYPERLINK("https://klasma.github.io/Logging_1782/klagomål/A 42882-2020 FSC-klagomål.docx", "A 42882-2020")</f>
        <v/>
      </c>
      <c r="W179">
        <f>HYPERLINK("https://klasma.github.io/Logging_1782/klagomålsmail/A 42882-2020 FSC-klagomål mail.docx", "A 42882-2020")</f>
        <v/>
      </c>
      <c r="X179">
        <f>HYPERLINK("https://klasma.github.io/Logging_1782/tillsyn/A 42882-2020 tillsynsbegäran.docx", "A 42882-2020")</f>
        <v/>
      </c>
      <c r="Y179">
        <f>HYPERLINK("https://klasma.github.io/Logging_1782/tillsynsmail/A 42882-2020 tillsynsbegäran mail.docx", "A 42882-2020")</f>
        <v/>
      </c>
    </row>
    <row r="180" ht="15" customHeight="1">
      <c r="A180" t="inlineStr">
        <is>
          <t>A 43407-2020</t>
        </is>
      </c>
      <c r="B180" s="1" t="n">
        <v>44081</v>
      </c>
      <c r="C180" s="1" t="n">
        <v>45346</v>
      </c>
      <c r="D180" t="inlineStr">
        <is>
          <t>VÄRMLANDS LÄN</t>
        </is>
      </c>
      <c r="E180" t="inlineStr">
        <is>
          <t>KRISTINEHAMN</t>
        </is>
      </c>
      <c r="G180" t="n">
        <v>6.9</v>
      </c>
      <c r="H180" t="n">
        <v>2</v>
      </c>
      <c r="I180" t="n">
        <v>0</v>
      </c>
      <c r="J180" t="n">
        <v>0</v>
      </c>
      <c r="K180" t="n">
        <v>2</v>
      </c>
      <c r="L180" t="n">
        <v>0</v>
      </c>
      <c r="M180" t="n">
        <v>0</v>
      </c>
      <c r="N180" t="n">
        <v>0</v>
      </c>
      <c r="O180" t="n">
        <v>2</v>
      </c>
      <c r="P180" t="n">
        <v>2</v>
      </c>
      <c r="Q180" t="n">
        <v>2</v>
      </c>
      <c r="R180" s="2" t="inlineStr">
        <is>
          <t>Bombmurkla
Knärot</t>
        </is>
      </c>
      <c r="S180">
        <f>HYPERLINK("https://klasma.github.io/Logging_1781/artfynd/A 43407-2020 artfynd.xlsx", "A 43407-2020")</f>
        <v/>
      </c>
      <c r="T180">
        <f>HYPERLINK("https://klasma.github.io/Logging_1781/kartor/A 43407-2020 karta.png", "A 43407-2020")</f>
        <v/>
      </c>
      <c r="U180">
        <f>HYPERLINK("https://klasma.github.io/Logging_1781/knärot/A 43407-2020 karta knärot.png", "A 43407-2020")</f>
        <v/>
      </c>
      <c r="V180">
        <f>HYPERLINK("https://klasma.github.io/Logging_1781/klagomål/A 43407-2020 FSC-klagomål.docx", "A 43407-2020")</f>
        <v/>
      </c>
      <c r="W180">
        <f>HYPERLINK("https://klasma.github.io/Logging_1781/klagomålsmail/A 43407-2020 FSC-klagomål mail.docx", "A 43407-2020")</f>
        <v/>
      </c>
      <c r="X180">
        <f>HYPERLINK("https://klasma.github.io/Logging_1781/tillsyn/A 43407-2020 tillsynsbegäran.docx", "A 43407-2020")</f>
        <v/>
      </c>
      <c r="Y180">
        <f>HYPERLINK("https://klasma.github.io/Logging_1781/tillsynsmail/A 43407-2020 tillsynsbegäran mail.docx", "A 43407-2020")</f>
        <v/>
      </c>
    </row>
    <row r="181" ht="15" customHeight="1">
      <c r="A181" t="inlineStr">
        <is>
          <t>A 51666-2020</t>
        </is>
      </c>
      <c r="B181" s="1" t="n">
        <v>44113</v>
      </c>
      <c r="C181" s="1" t="n">
        <v>45346</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53198-2020</t>
        </is>
      </c>
      <c r="B182" s="1" t="n">
        <v>44122</v>
      </c>
      <c r="C182" s="1" t="n">
        <v>45346</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1524-2021</t>
        </is>
      </c>
      <c r="B183" s="1" t="n">
        <v>44209</v>
      </c>
      <c r="C183" s="1" t="n">
        <v>45346</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10098-2021</t>
        </is>
      </c>
      <c r="B184" s="1" t="n">
        <v>44253</v>
      </c>
      <c r="C184" s="1" t="n">
        <v>45346</v>
      </c>
      <c r="D184" t="inlineStr">
        <is>
          <t>VÄRMLANDS LÄN</t>
        </is>
      </c>
      <c r="E184" t="inlineStr">
        <is>
          <t>GRUMS</t>
        </is>
      </c>
      <c r="F184" t="inlineStr">
        <is>
          <t>Bergvik skog väst AB</t>
        </is>
      </c>
      <c r="G184" t="n">
        <v>8.4</v>
      </c>
      <c r="H184" t="n">
        <v>2</v>
      </c>
      <c r="I184" t="n">
        <v>0</v>
      </c>
      <c r="J184" t="n">
        <v>1</v>
      </c>
      <c r="K184" t="n">
        <v>0</v>
      </c>
      <c r="L184" t="n">
        <v>0</v>
      </c>
      <c r="M184" t="n">
        <v>0</v>
      </c>
      <c r="N184" t="n">
        <v>0</v>
      </c>
      <c r="O184" t="n">
        <v>1</v>
      </c>
      <c r="P184" t="n">
        <v>0</v>
      </c>
      <c r="Q184" t="n">
        <v>2</v>
      </c>
      <c r="R184" s="2" t="inlineStr">
        <is>
          <t>Spillkråka
Vanlig groda</t>
        </is>
      </c>
      <c r="S184">
        <f>HYPERLINK("https://klasma.github.io/Logging_1764/artfynd/A 10098-2021 artfynd.xlsx", "A 10098-2021")</f>
        <v/>
      </c>
      <c r="T184">
        <f>HYPERLINK("https://klasma.github.io/Logging_1764/kartor/A 10098-2021 karta.png", "A 10098-2021")</f>
        <v/>
      </c>
      <c r="V184">
        <f>HYPERLINK("https://klasma.github.io/Logging_1764/klagomål/A 10098-2021 FSC-klagomål.docx", "A 10098-2021")</f>
        <v/>
      </c>
      <c r="W184">
        <f>HYPERLINK("https://klasma.github.io/Logging_1764/klagomålsmail/A 10098-2021 FSC-klagomål mail.docx", "A 10098-2021")</f>
        <v/>
      </c>
      <c r="X184">
        <f>HYPERLINK("https://klasma.github.io/Logging_1764/tillsyn/A 10098-2021 tillsynsbegäran.docx", "A 10098-2021")</f>
        <v/>
      </c>
      <c r="Y184">
        <f>HYPERLINK("https://klasma.github.io/Logging_1764/tillsynsmail/A 10098-2021 tillsynsbegäran mail.docx", "A 10098-2021")</f>
        <v/>
      </c>
      <c r="Z184">
        <f>HYPERLINK("https://klasma.github.io/Logging_1764/fåglar/A 10098-2021 prioriterade fågelarter.docx", "A 10098-2021")</f>
        <v/>
      </c>
    </row>
    <row r="185" ht="15" customHeight="1">
      <c r="A185" t="inlineStr">
        <is>
          <t>A 11581-2021</t>
        </is>
      </c>
      <c r="B185" s="1" t="n">
        <v>44264</v>
      </c>
      <c r="C185" s="1" t="n">
        <v>45346</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17055-2021</t>
        </is>
      </c>
      <c r="B186" s="1" t="n">
        <v>44296</v>
      </c>
      <c r="C186" s="1" t="n">
        <v>45346</v>
      </c>
      <c r="D186" t="inlineStr">
        <is>
          <t>VÄRMLANDS LÄN</t>
        </is>
      </c>
      <c r="E186" t="inlineStr">
        <is>
          <t>EDA</t>
        </is>
      </c>
      <c r="G186" t="n">
        <v>3.8</v>
      </c>
      <c r="H186" t="n">
        <v>0</v>
      </c>
      <c r="I186" t="n">
        <v>1</v>
      </c>
      <c r="J186" t="n">
        <v>0</v>
      </c>
      <c r="K186" t="n">
        <v>0</v>
      </c>
      <c r="L186" t="n">
        <v>1</v>
      </c>
      <c r="M186" t="n">
        <v>0</v>
      </c>
      <c r="N186" t="n">
        <v>0</v>
      </c>
      <c r="O186" t="n">
        <v>1</v>
      </c>
      <c r="P186" t="n">
        <v>1</v>
      </c>
      <c r="Q186" t="n">
        <v>2</v>
      </c>
      <c r="R186" s="2" t="inlineStr">
        <is>
          <t>Ask
Dvärghäxört</t>
        </is>
      </c>
      <c r="S186">
        <f>HYPERLINK("https://klasma.github.io/Logging_1730/artfynd/A 17055-2021 artfynd.xlsx", "A 17055-2021")</f>
        <v/>
      </c>
      <c r="T186">
        <f>HYPERLINK("https://klasma.github.io/Logging_1730/kartor/A 17055-2021 karta.png", "A 17055-2021")</f>
        <v/>
      </c>
      <c r="V186">
        <f>HYPERLINK("https://klasma.github.io/Logging_1730/klagomål/A 17055-2021 FSC-klagomål.docx", "A 17055-2021")</f>
        <v/>
      </c>
      <c r="W186">
        <f>HYPERLINK("https://klasma.github.io/Logging_1730/klagomålsmail/A 17055-2021 FSC-klagomål mail.docx", "A 17055-2021")</f>
        <v/>
      </c>
      <c r="X186">
        <f>HYPERLINK("https://klasma.github.io/Logging_1730/tillsyn/A 17055-2021 tillsynsbegäran.docx", "A 17055-2021")</f>
        <v/>
      </c>
      <c r="Y186">
        <f>HYPERLINK("https://klasma.github.io/Logging_1730/tillsynsmail/A 17055-2021 tillsynsbegäran mail.docx", "A 17055-2021")</f>
        <v/>
      </c>
    </row>
    <row r="187" ht="15" customHeight="1">
      <c r="A187" t="inlineStr">
        <is>
          <t>A 22410-2021</t>
        </is>
      </c>
      <c r="B187" s="1" t="n">
        <v>44326</v>
      </c>
      <c r="C187" s="1" t="n">
        <v>45346</v>
      </c>
      <c r="D187" t="inlineStr">
        <is>
          <t>VÄRMLANDS LÄN</t>
        </is>
      </c>
      <c r="E187" t="inlineStr">
        <is>
          <t>FILIPSTAD</t>
        </is>
      </c>
      <c r="F187" t="inlineStr">
        <is>
          <t>Bergvik skog väst AB</t>
        </is>
      </c>
      <c r="G187" t="n">
        <v>9.800000000000001</v>
      </c>
      <c r="H187" t="n">
        <v>1</v>
      </c>
      <c r="I187" t="n">
        <v>0</v>
      </c>
      <c r="J187" t="n">
        <v>1</v>
      </c>
      <c r="K187" t="n">
        <v>0</v>
      </c>
      <c r="L187" t="n">
        <v>0</v>
      </c>
      <c r="M187" t="n">
        <v>0</v>
      </c>
      <c r="N187" t="n">
        <v>0</v>
      </c>
      <c r="O187" t="n">
        <v>1</v>
      </c>
      <c r="P187" t="n">
        <v>0</v>
      </c>
      <c r="Q187" t="n">
        <v>2</v>
      </c>
      <c r="R187" s="2" t="inlineStr">
        <is>
          <t>Brunklöver
Revlummer</t>
        </is>
      </c>
      <c r="S187">
        <f>HYPERLINK("https://klasma.github.io/Logging_1782/artfynd/A 22410-2021 artfynd.xlsx", "A 22410-2021")</f>
        <v/>
      </c>
      <c r="T187">
        <f>HYPERLINK("https://klasma.github.io/Logging_1782/kartor/A 22410-2021 karta.png", "A 22410-2021")</f>
        <v/>
      </c>
      <c r="V187">
        <f>HYPERLINK("https://klasma.github.io/Logging_1782/klagomål/A 22410-2021 FSC-klagomål.docx", "A 22410-2021")</f>
        <v/>
      </c>
      <c r="W187">
        <f>HYPERLINK("https://klasma.github.io/Logging_1782/klagomålsmail/A 22410-2021 FSC-klagomål mail.docx", "A 22410-2021")</f>
        <v/>
      </c>
      <c r="X187">
        <f>HYPERLINK("https://klasma.github.io/Logging_1782/tillsyn/A 22410-2021 tillsynsbegäran.docx", "A 22410-2021")</f>
        <v/>
      </c>
      <c r="Y187">
        <f>HYPERLINK("https://klasma.github.io/Logging_1782/tillsynsmail/A 22410-2021 tillsynsbegäran mail.docx", "A 22410-2021")</f>
        <v/>
      </c>
    </row>
    <row r="188" ht="15" customHeight="1">
      <c r="A188" t="inlineStr">
        <is>
          <t>A 31896-2021</t>
        </is>
      </c>
      <c r="B188" s="1" t="n">
        <v>44370</v>
      </c>
      <c r="C188" s="1" t="n">
        <v>45346</v>
      </c>
      <c r="D188" t="inlineStr">
        <is>
          <t>VÄRMLANDS LÄN</t>
        </is>
      </c>
      <c r="E188" t="inlineStr">
        <is>
          <t>KARLSTAD</t>
        </is>
      </c>
      <c r="F188" t="inlineStr">
        <is>
          <t>Kommuner</t>
        </is>
      </c>
      <c r="G188" t="n">
        <v>3.3</v>
      </c>
      <c r="H188" t="n">
        <v>0</v>
      </c>
      <c r="I188" t="n">
        <v>1</v>
      </c>
      <c r="J188" t="n">
        <v>0</v>
      </c>
      <c r="K188" t="n">
        <v>1</v>
      </c>
      <c r="L188" t="n">
        <v>0</v>
      </c>
      <c r="M188" t="n">
        <v>0</v>
      </c>
      <c r="N188" t="n">
        <v>0</v>
      </c>
      <c r="O188" t="n">
        <v>1</v>
      </c>
      <c r="P188" t="n">
        <v>1</v>
      </c>
      <c r="Q188" t="n">
        <v>2</v>
      </c>
      <c r="R188" s="2" t="inlineStr">
        <is>
          <t>Vågticka
Vågbandad barkbock</t>
        </is>
      </c>
      <c r="S188">
        <f>HYPERLINK("https://klasma.github.io/Logging_1780/artfynd/A 31896-2021 artfynd.xlsx", "A 31896-2021")</f>
        <v/>
      </c>
      <c r="T188">
        <f>HYPERLINK("https://klasma.github.io/Logging_1780/kartor/A 31896-2021 karta.png", "A 31896-2021")</f>
        <v/>
      </c>
      <c r="V188">
        <f>HYPERLINK("https://klasma.github.io/Logging_1780/klagomål/A 31896-2021 FSC-klagomål.docx", "A 31896-2021")</f>
        <v/>
      </c>
      <c r="W188">
        <f>HYPERLINK("https://klasma.github.io/Logging_1780/klagomålsmail/A 31896-2021 FSC-klagomål mail.docx", "A 31896-2021")</f>
        <v/>
      </c>
      <c r="X188">
        <f>HYPERLINK("https://klasma.github.io/Logging_1780/tillsyn/A 31896-2021 tillsynsbegäran.docx", "A 31896-2021")</f>
        <v/>
      </c>
      <c r="Y188">
        <f>HYPERLINK("https://klasma.github.io/Logging_1780/tillsynsmail/A 31896-2021 tillsynsbegäran mail.docx", "A 31896-2021")</f>
        <v/>
      </c>
    </row>
    <row r="189" ht="15" customHeight="1">
      <c r="A189" t="inlineStr">
        <is>
          <t>A 33866-2021</t>
        </is>
      </c>
      <c r="B189" s="1" t="n">
        <v>44378</v>
      </c>
      <c r="C189" s="1" t="n">
        <v>45346</v>
      </c>
      <c r="D189" t="inlineStr">
        <is>
          <t>VÄRMLANDS LÄN</t>
        </is>
      </c>
      <c r="E189" t="inlineStr">
        <is>
          <t>KARLSTAD</t>
        </is>
      </c>
      <c r="F189" t="inlineStr">
        <is>
          <t>Kyrkan</t>
        </is>
      </c>
      <c r="G189" t="n">
        <v>5.8</v>
      </c>
      <c r="H189" t="n">
        <v>2</v>
      </c>
      <c r="I189" t="n">
        <v>1</v>
      </c>
      <c r="J189" t="n">
        <v>0</v>
      </c>
      <c r="K189" t="n">
        <v>0</v>
      </c>
      <c r="L189" t="n">
        <v>0</v>
      </c>
      <c r="M189" t="n">
        <v>0</v>
      </c>
      <c r="N189" t="n">
        <v>0</v>
      </c>
      <c r="O189" t="n">
        <v>0</v>
      </c>
      <c r="P189" t="n">
        <v>0</v>
      </c>
      <c r="Q189" t="n">
        <v>2</v>
      </c>
      <c r="R189" s="2" t="inlineStr">
        <is>
          <t>Plattlummer
Mattlummer</t>
        </is>
      </c>
      <c r="S189">
        <f>HYPERLINK("https://klasma.github.io/Logging_1780/artfynd/A 33866-2021 artfynd.xlsx", "A 33866-2021")</f>
        <v/>
      </c>
      <c r="T189">
        <f>HYPERLINK("https://klasma.github.io/Logging_1780/kartor/A 33866-2021 karta.png", "A 33866-2021")</f>
        <v/>
      </c>
      <c r="V189">
        <f>HYPERLINK("https://klasma.github.io/Logging_1780/klagomål/A 33866-2021 FSC-klagomål.docx", "A 33866-2021")</f>
        <v/>
      </c>
      <c r="W189">
        <f>HYPERLINK("https://klasma.github.io/Logging_1780/klagomålsmail/A 33866-2021 FSC-klagomål mail.docx", "A 33866-2021")</f>
        <v/>
      </c>
      <c r="X189">
        <f>HYPERLINK("https://klasma.github.io/Logging_1780/tillsyn/A 33866-2021 tillsynsbegäran.docx", "A 33866-2021")</f>
        <v/>
      </c>
      <c r="Y189">
        <f>HYPERLINK("https://klasma.github.io/Logging_1780/tillsynsmail/A 33866-2021 tillsynsbegäran mail.docx", "A 33866-2021")</f>
        <v/>
      </c>
    </row>
    <row r="190" ht="15" customHeight="1">
      <c r="A190" t="inlineStr">
        <is>
          <t>A 43023-2021</t>
        </is>
      </c>
      <c r="B190" s="1" t="n">
        <v>44431</v>
      </c>
      <c r="C190" s="1" t="n">
        <v>45346</v>
      </c>
      <c r="D190" t="inlineStr">
        <is>
          <t>VÄRMLANDS LÄN</t>
        </is>
      </c>
      <c r="E190" t="inlineStr">
        <is>
          <t>TORSBY</t>
        </is>
      </c>
      <c r="G190" t="n">
        <v>1</v>
      </c>
      <c r="H190" t="n">
        <v>0</v>
      </c>
      <c r="I190" t="n">
        <v>0</v>
      </c>
      <c r="J190" t="n">
        <v>2</v>
      </c>
      <c r="K190" t="n">
        <v>0</v>
      </c>
      <c r="L190" t="n">
        <v>0</v>
      </c>
      <c r="M190" t="n">
        <v>0</v>
      </c>
      <c r="N190" t="n">
        <v>0</v>
      </c>
      <c r="O190" t="n">
        <v>2</v>
      </c>
      <c r="P190" t="n">
        <v>0</v>
      </c>
      <c r="Q190" t="n">
        <v>2</v>
      </c>
      <c r="R190" s="2" t="inlineStr">
        <is>
          <t>Doftskinn
Violettgrå tagellav</t>
        </is>
      </c>
      <c r="S190">
        <f>HYPERLINK("https://klasma.github.io/Logging_1737/artfynd/A 43023-2021 artfynd.xlsx", "A 43023-2021")</f>
        <v/>
      </c>
      <c r="T190">
        <f>HYPERLINK("https://klasma.github.io/Logging_1737/kartor/A 43023-2021 karta.png", "A 43023-2021")</f>
        <v/>
      </c>
      <c r="V190">
        <f>HYPERLINK("https://klasma.github.io/Logging_1737/klagomål/A 43023-2021 FSC-klagomål.docx", "A 43023-2021")</f>
        <v/>
      </c>
      <c r="W190">
        <f>HYPERLINK("https://klasma.github.io/Logging_1737/klagomålsmail/A 43023-2021 FSC-klagomål mail.docx", "A 43023-2021")</f>
        <v/>
      </c>
      <c r="X190">
        <f>HYPERLINK("https://klasma.github.io/Logging_1737/tillsyn/A 43023-2021 tillsynsbegäran.docx", "A 43023-2021")</f>
        <v/>
      </c>
      <c r="Y190">
        <f>HYPERLINK("https://klasma.github.io/Logging_1737/tillsynsmail/A 43023-2021 tillsynsbegäran mail.docx", "A 43023-2021")</f>
        <v/>
      </c>
    </row>
    <row r="191" ht="15" customHeight="1">
      <c r="A191" t="inlineStr">
        <is>
          <t>A 45750-2021</t>
        </is>
      </c>
      <c r="B191" s="1" t="n">
        <v>44435</v>
      </c>
      <c r="C191" s="1" t="n">
        <v>45346</v>
      </c>
      <c r="D191" t="inlineStr">
        <is>
          <t>VÄRMLANDS LÄN</t>
        </is>
      </c>
      <c r="E191" t="inlineStr">
        <is>
          <t>ARVIKA</t>
        </is>
      </c>
      <c r="G191" t="n">
        <v>2.1</v>
      </c>
      <c r="H191" t="n">
        <v>1</v>
      </c>
      <c r="I191" t="n">
        <v>0</v>
      </c>
      <c r="J191" t="n">
        <v>2</v>
      </c>
      <c r="K191" t="n">
        <v>0</v>
      </c>
      <c r="L191" t="n">
        <v>0</v>
      </c>
      <c r="M191" t="n">
        <v>0</v>
      </c>
      <c r="N191" t="n">
        <v>0</v>
      </c>
      <c r="O191" t="n">
        <v>2</v>
      </c>
      <c r="P191" t="n">
        <v>0</v>
      </c>
      <c r="Q191" t="n">
        <v>2</v>
      </c>
      <c r="R191" s="2" t="inlineStr">
        <is>
          <t>Lunglav
Talltita</t>
        </is>
      </c>
      <c r="S191">
        <f>HYPERLINK("https://klasma.github.io/Logging_1784/artfynd/A 45750-2021 artfynd.xlsx", "A 45750-2021")</f>
        <v/>
      </c>
      <c r="T191">
        <f>HYPERLINK("https://klasma.github.io/Logging_1784/kartor/A 45750-2021 karta.png", "A 45750-2021")</f>
        <v/>
      </c>
      <c r="V191">
        <f>HYPERLINK("https://klasma.github.io/Logging_1784/klagomål/A 45750-2021 FSC-klagomål.docx", "A 45750-2021")</f>
        <v/>
      </c>
      <c r="W191">
        <f>HYPERLINK("https://klasma.github.io/Logging_1784/klagomålsmail/A 45750-2021 FSC-klagomål mail.docx", "A 45750-2021")</f>
        <v/>
      </c>
      <c r="X191">
        <f>HYPERLINK("https://klasma.github.io/Logging_1784/tillsyn/A 45750-2021 tillsynsbegäran.docx", "A 45750-2021")</f>
        <v/>
      </c>
      <c r="Y191">
        <f>HYPERLINK("https://klasma.github.io/Logging_1784/tillsynsmail/A 45750-2021 tillsynsbegäran mail.docx", "A 45750-2021")</f>
        <v/>
      </c>
      <c r="Z191">
        <f>HYPERLINK("https://klasma.github.io/Logging_1784/fåglar/A 45750-2021 prioriterade fågelarter.docx", "A 45750-2021")</f>
        <v/>
      </c>
    </row>
    <row r="192" ht="15" customHeight="1">
      <c r="A192" t="inlineStr">
        <is>
          <t>A 48762-2021</t>
        </is>
      </c>
      <c r="B192" s="1" t="n">
        <v>44452</v>
      </c>
      <c r="C192" s="1" t="n">
        <v>45346</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v>
      </c>
      <c r="C193" s="1" t="n">
        <v>45346</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51072-2021</t>
        </is>
      </c>
      <c r="B194" s="1" t="n">
        <v>44461</v>
      </c>
      <c r="C194" s="1" t="n">
        <v>45346</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54323-2021</t>
        </is>
      </c>
      <c r="B195" s="1" t="n">
        <v>44472</v>
      </c>
      <c r="C195" s="1" t="n">
        <v>45346</v>
      </c>
      <c r="D195" t="inlineStr">
        <is>
          <t>VÄRMLANDS LÄN</t>
        </is>
      </c>
      <c r="E195" t="inlineStr">
        <is>
          <t>ARVIKA</t>
        </is>
      </c>
      <c r="G195" t="n">
        <v>26.7</v>
      </c>
      <c r="H195" t="n">
        <v>0</v>
      </c>
      <c r="I195" t="n">
        <v>0</v>
      </c>
      <c r="J195" t="n">
        <v>2</v>
      </c>
      <c r="K195" t="n">
        <v>0</v>
      </c>
      <c r="L195" t="n">
        <v>0</v>
      </c>
      <c r="M195" t="n">
        <v>0</v>
      </c>
      <c r="N195" t="n">
        <v>0</v>
      </c>
      <c r="O195" t="n">
        <v>2</v>
      </c>
      <c r="P195" t="n">
        <v>0</v>
      </c>
      <c r="Q195" t="n">
        <v>2</v>
      </c>
      <c r="R195" s="2" t="inlineStr">
        <is>
          <t>Tallticka
Vedskivlav</t>
        </is>
      </c>
      <c r="S195">
        <f>HYPERLINK("https://klasma.github.io/Logging_1784/artfynd/A 54323-2021 artfynd.xlsx", "A 54323-2021")</f>
        <v/>
      </c>
      <c r="T195">
        <f>HYPERLINK("https://klasma.github.io/Logging_1784/kartor/A 54323-2021 karta.png", "A 54323-2021")</f>
        <v/>
      </c>
      <c r="V195">
        <f>HYPERLINK("https://klasma.github.io/Logging_1784/klagomål/A 54323-2021 FSC-klagomål.docx", "A 54323-2021")</f>
        <v/>
      </c>
      <c r="W195">
        <f>HYPERLINK("https://klasma.github.io/Logging_1784/klagomålsmail/A 54323-2021 FSC-klagomål mail.docx", "A 54323-2021")</f>
        <v/>
      </c>
      <c r="X195">
        <f>HYPERLINK("https://klasma.github.io/Logging_1784/tillsyn/A 54323-2021 tillsynsbegäran.docx", "A 54323-2021")</f>
        <v/>
      </c>
      <c r="Y195">
        <f>HYPERLINK("https://klasma.github.io/Logging_1784/tillsynsmail/A 54323-2021 tillsynsbegäran mail.docx", "A 54323-2021")</f>
        <v/>
      </c>
    </row>
    <row r="196" ht="15" customHeight="1">
      <c r="A196" t="inlineStr">
        <is>
          <t>A 65319-2021</t>
        </is>
      </c>
      <c r="B196" s="1" t="n">
        <v>44515</v>
      </c>
      <c r="C196" s="1" t="n">
        <v>45346</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66072-2021</t>
        </is>
      </c>
      <c r="B197" s="1" t="n">
        <v>44517</v>
      </c>
      <c r="C197" s="1" t="n">
        <v>45346</v>
      </c>
      <c r="D197" t="inlineStr">
        <is>
          <t>VÄRMLANDS LÄN</t>
        </is>
      </c>
      <c r="E197" t="inlineStr">
        <is>
          <t>FORSHAGA</t>
        </is>
      </c>
      <c r="F197" t="inlineStr">
        <is>
          <t>Bergvik skog väst AB</t>
        </is>
      </c>
      <c r="G197" t="n">
        <v>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HYPERLINK("https://klasma.github.io/Logging_1763/artfynd/A 66072-2021 artfynd.xlsx", "A 66072-2021")</f>
        <v/>
      </c>
      <c r="T197">
        <f>HYPERLINK("https://klasma.github.io/Logging_1763/kartor/A 66072-2021 karta.png", "A 66072-2021")</f>
        <v/>
      </c>
      <c r="V197">
        <f>HYPERLINK("https://klasma.github.io/Logging_1763/klagomål/A 66072-2021 FSC-klagomål.docx", "A 66072-2021")</f>
        <v/>
      </c>
      <c r="W197">
        <f>HYPERLINK("https://klasma.github.io/Logging_1763/klagomålsmail/A 66072-2021 FSC-klagomål mail.docx", "A 66072-2021")</f>
        <v/>
      </c>
      <c r="X197">
        <f>HYPERLINK("https://klasma.github.io/Logging_1763/tillsyn/A 66072-2021 tillsynsbegäran.docx", "A 66072-2021")</f>
        <v/>
      </c>
      <c r="Y197">
        <f>HYPERLINK("https://klasma.github.io/Logging_1763/tillsynsmail/A 66072-2021 tillsynsbegäran mail.docx", "A 66072-2021")</f>
        <v/>
      </c>
    </row>
    <row r="198" ht="15" customHeight="1">
      <c r="A198" t="inlineStr">
        <is>
          <t>A 66652-2021</t>
        </is>
      </c>
      <c r="B198" s="1" t="n">
        <v>44519</v>
      </c>
      <c r="C198" s="1" t="n">
        <v>45346</v>
      </c>
      <c r="D198" t="inlineStr">
        <is>
          <t>VÄRMLANDS LÄN</t>
        </is>
      </c>
      <c r="E198" t="inlineStr">
        <is>
          <t>ARVIKA</t>
        </is>
      </c>
      <c r="G198" t="n">
        <v>12.3</v>
      </c>
      <c r="H198" t="n">
        <v>0</v>
      </c>
      <c r="I198" t="n">
        <v>1</v>
      </c>
      <c r="J198" t="n">
        <v>1</v>
      </c>
      <c r="K198" t="n">
        <v>0</v>
      </c>
      <c r="L198" t="n">
        <v>0</v>
      </c>
      <c r="M198" t="n">
        <v>0</v>
      </c>
      <c r="N198" t="n">
        <v>0</v>
      </c>
      <c r="O198" t="n">
        <v>1</v>
      </c>
      <c r="P198" t="n">
        <v>0</v>
      </c>
      <c r="Q198" t="n">
        <v>2</v>
      </c>
      <c r="R198" s="2" t="inlineStr">
        <is>
          <t>Garnlav
Korallblylav</t>
        </is>
      </c>
      <c r="S198">
        <f>HYPERLINK("https://klasma.github.io/Logging_1784/artfynd/A 66652-2021 artfynd.xlsx", "A 66652-2021")</f>
        <v/>
      </c>
      <c r="T198">
        <f>HYPERLINK("https://klasma.github.io/Logging_1784/kartor/A 66652-2021 karta.png", "A 66652-2021")</f>
        <v/>
      </c>
      <c r="V198">
        <f>HYPERLINK("https://klasma.github.io/Logging_1784/klagomål/A 66652-2021 FSC-klagomål.docx", "A 66652-2021")</f>
        <v/>
      </c>
      <c r="W198">
        <f>HYPERLINK("https://klasma.github.io/Logging_1784/klagomålsmail/A 66652-2021 FSC-klagomål mail.docx", "A 66652-2021")</f>
        <v/>
      </c>
      <c r="X198">
        <f>HYPERLINK("https://klasma.github.io/Logging_1784/tillsyn/A 66652-2021 tillsynsbegäran.docx", "A 66652-2021")</f>
        <v/>
      </c>
      <c r="Y198">
        <f>HYPERLINK("https://klasma.github.io/Logging_1784/tillsynsmail/A 66652-2021 tillsynsbegäran mail.docx", "A 66652-2021")</f>
        <v/>
      </c>
    </row>
    <row r="199" ht="15" customHeight="1">
      <c r="A199" t="inlineStr">
        <is>
          <t>A 69928-2021</t>
        </is>
      </c>
      <c r="B199" s="1" t="n">
        <v>44533</v>
      </c>
      <c r="C199" s="1" t="n">
        <v>45346</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72989-2021</t>
        </is>
      </c>
      <c r="B200" s="1" t="n">
        <v>44549</v>
      </c>
      <c r="C200" s="1" t="n">
        <v>45346</v>
      </c>
      <c r="D200" t="inlineStr">
        <is>
          <t>VÄRMLANDS LÄN</t>
        </is>
      </c>
      <c r="E200" t="inlineStr">
        <is>
          <t>FORSHAGA</t>
        </is>
      </c>
      <c r="G200" t="n">
        <v>3.3</v>
      </c>
      <c r="H200" t="n">
        <v>2</v>
      </c>
      <c r="I200" t="n">
        <v>0</v>
      </c>
      <c r="J200" t="n">
        <v>1</v>
      </c>
      <c r="K200" t="n">
        <v>1</v>
      </c>
      <c r="L200" t="n">
        <v>0</v>
      </c>
      <c r="M200" t="n">
        <v>0</v>
      </c>
      <c r="N200" t="n">
        <v>0</v>
      </c>
      <c r="O200" t="n">
        <v>2</v>
      </c>
      <c r="P200" t="n">
        <v>1</v>
      </c>
      <c r="Q200" t="n">
        <v>2</v>
      </c>
      <c r="R200" s="2" t="inlineStr">
        <is>
          <t>Kungsfiskare
Mindre hackspett</t>
        </is>
      </c>
      <c r="S200">
        <f>HYPERLINK("https://klasma.github.io/Logging_1763/artfynd/A 72989-2021 artfynd.xlsx", "A 72989-2021")</f>
        <v/>
      </c>
      <c r="T200">
        <f>HYPERLINK("https://klasma.github.io/Logging_1763/kartor/A 72989-2021 karta.png", "A 72989-2021")</f>
        <v/>
      </c>
      <c r="V200">
        <f>HYPERLINK("https://klasma.github.io/Logging_1763/klagomål/A 72989-2021 FSC-klagomål.docx", "A 72989-2021")</f>
        <v/>
      </c>
      <c r="W200">
        <f>HYPERLINK("https://klasma.github.io/Logging_1763/klagomålsmail/A 72989-2021 FSC-klagomål mail.docx", "A 72989-2021")</f>
        <v/>
      </c>
      <c r="X200">
        <f>HYPERLINK("https://klasma.github.io/Logging_1763/tillsyn/A 72989-2021 tillsynsbegäran.docx", "A 72989-2021")</f>
        <v/>
      </c>
      <c r="Y200">
        <f>HYPERLINK("https://klasma.github.io/Logging_1763/tillsynsmail/A 72989-2021 tillsynsbegäran mail.docx", "A 72989-2021")</f>
        <v/>
      </c>
      <c r="Z200">
        <f>HYPERLINK("https://klasma.github.io/Logging_1763/fåglar/A 72989-2021 prioriterade fågelarter.docx", "A 72989-2021")</f>
        <v/>
      </c>
    </row>
    <row r="201" ht="15" customHeight="1">
      <c r="A201" t="inlineStr">
        <is>
          <t>A 573-2022</t>
        </is>
      </c>
      <c r="B201" s="1" t="n">
        <v>44566</v>
      </c>
      <c r="C201" s="1" t="n">
        <v>45346</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656-2022</t>
        </is>
      </c>
      <c r="B202" s="1" t="n">
        <v>44566</v>
      </c>
      <c r="C202" s="1" t="n">
        <v>45346</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3340-2022</t>
        </is>
      </c>
      <c r="B203" s="1" t="n">
        <v>44585</v>
      </c>
      <c r="C203" s="1" t="n">
        <v>45346</v>
      </c>
      <c r="D203" t="inlineStr">
        <is>
          <t>VÄRMLANDS LÄN</t>
        </is>
      </c>
      <c r="E203" t="inlineStr">
        <is>
          <t>ARVIKA</t>
        </is>
      </c>
      <c r="G203" t="n">
        <v>5</v>
      </c>
      <c r="H203" t="n">
        <v>0</v>
      </c>
      <c r="I203" t="n">
        <v>2</v>
      </c>
      <c r="J203" t="n">
        <v>0</v>
      </c>
      <c r="K203" t="n">
        <v>0</v>
      </c>
      <c r="L203" t="n">
        <v>0</v>
      </c>
      <c r="M203" t="n">
        <v>0</v>
      </c>
      <c r="N203" t="n">
        <v>0</v>
      </c>
      <c r="O203" t="n">
        <v>0</v>
      </c>
      <c r="P203" t="n">
        <v>0</v>
      </c>
      <c r="Q203" t="n">
        <v>2</v>
      </c>
      <c r="R203" s="2" t="inlineStr">
        <is>
          <t>Skinnlav
Stor aspticka</t>
        </is>
      </c>
      <c r="S203">
        <f>HYPERLINK("https://klasma.github.io/Logging_1784/artfynd/A 3340-2022 artfynd.xlsx", "A 3340-2022")</f>
        <v/>
      </c>
      <c r="T203">
        <f>HYPERLINK("https://klasma.github.io/Logging_1784/kartor/A 3340-2022 karta.png", "A 3340-2022")</f>
        <v/>
      </c>
      <c r="V203">
        <f>HYPERLINK("https://klasma.github.io/Logging_1784/klagomål/A 3340-2022 FSC-klagomål.docx", "A 3340-2022")</f>
        <v/>
      </c>
      <c r="W203">
        <f>HYPERLINK("https://klasma.github.io/Logging_1784/klagomålsmail/A 3340-2022 FSC-klagomål mail.docx", "A 3340-2022")</f>
        <v/>
      </c>
      <c r="X203">
        <f>HYPERLINK("https://klasma.github.io/Logging_1784/tillsyn/A 3340-2022 tillsynsbegäran.docx", "A 3340-2022")</f>
        <v/>
      </c>
      <c r="Y203">
        <f>HYPERLINK("https://klasma.github.io/Logging_1784/tillsynsmail/A 3340-2022 tillsynsbegäran mail.docx", "A 3340-2022")</f>
        <v/>
      </c>
    </row>
    <row r="204" ht="15" customHeight="1">
      <c r="A204" t="inlineStr">
        <is>
          <t>A 12375-2022</t>
        </is>
      </c>
      <c r="B204" s="1" t="n">
        <v>44637</v>
      </c>
      <c r="C204" s="1" t="n">
        <v>45346</v>
      </c>
      <c r="D204" t="inlineStr">
        <is>
          <t>VÄRMLANDS LÄN</t>
        </is>
      </c>
      <c r="E204" t="inlineStr">
        <is>
          <t>TORSBY</t>
        </is>
      </c>
      <c r="G204" t="n">
        <v>5.8</v>
      </c>
      <c r="H204" t="n">
        <v>0</v>
      </c>
      <c r="I204" t="n">
        <v>1</v>
      </c>
      <c r="J204" t="n">
        <v>1</v>
      </c>
      <c r="K204" t="n">
        <v>0</v>
      </c>
      <c r="L204" t="n">
        <v>0</v>
      </c>
      <c r="M204" t="n">
        <v>0</v>
      </c>
      <c r="N204" t="n">
        <v>0</v>
      </c>
      <c r="O204" t="n">
        <v>1</v>
      </c>
      <c r="P204" t="n">
        <v>0</v>
      </c>
      <c r="Q204" t="n">
        <v>2</v>
      </c>
      <c r="R204" s="2" t="inlineStr">
        <is>
          <t>Garnlav
Nästlav</t>
        </is>
      </c>
      <c r="S204">
        <f>HYPERLINK("https://klasma.github.io/Logging_1737/artfynd/A 12375-2022 artfynd.xlsx", "A 12375-2022")</f>
        <v/>
      </c>
      <c r="T204">
        <f>HYPERLINK("https://klasma.github.io/Logging_1737/kartor/A 12375-2022 karta.png", "A 12375-2022")</f>
        <v/>
      </c>
      <c r="V204">
        <f>HYPERLINK("https://klasma.github.io/Logging_1737/klagomål/A 12375-2022 FSC-klagomål.docx", "A 12375-2022")</f>
        <v/>
      </c>
      <c r="W204">
        <f>HYPERLINK("https://klasma.github.io/Logging_1737/klagomålsmail/A 12375-2022 FSC-klagomål mail.docx", "A 12375-2022")</f>
        <v/>
      </c>
      <c r="X204">
        <f>HYPERLINK("https://klasma.github.io/Logging_1737/tillsyn/A 12375-2022 tillsynsbegäran.docx", "A 12375-2022")</f>
        <v/>
      </c>
      <c r="Y204">
        <f>HYPERLINK("https://klasma.github.io/Logging_1737/tillsynsmail/A 12375-2022 tillsynsbegäran mail.docx", "A 12375-2022")</f>
        <v/>
      </c>
    </row>
    <row r="205" ht="15" customHeight="1">
      <c r="A205" t="inlineStr">
        <is>
          <t>A 12372-2022</t>
        </is>
      </c>
      <c r="B205" s="1" t="n">
        <v>44637</v>
      </c>
      <c r="C205" s="1" t="n">
        <v>45346</v>
      </c>
      <c r="D205" t="inlineStr">
        <is>
          <t>VÄRMLANDS LÄN</t>
        </is>
      </c>
      <c r="E205" t="inlineStr">
        <is>
          <t>TORSBY</t>
        </is>
      </c>
      <c r="G205" t="n">
        <v>3.4</v>
      </c>
      <c r="H205" t="n">
        <v>0</v>
      </c>
      <c r="I205" t="n">
        <v>0</v>
      </c>
      <c r="J205" t="n">
        <v>2</v>
      </c>
      <c r="K205" t="n">
        <v>0</v>
      </c>
      <c r="L205" t="n">
        <v>0</v>
      </c>
      <c r="M205" t="n">
        <v>0</v>
      </c>
      <c r="N205" t="n">
        <v>0</v>
      </c>
      <c r="O205" t="n">
        <v>2</v>
      </c>
      <c r="P205" t="n">
        <v>0</v>
      </c>
      <c r="Q205" t="n">
        <v>2</v>
      </c>
      <c r="R205" s="2" t="inlineStr">
        <is>
          <t>Gammelgransskål
Garnlav</t>
        </is>
      </c>
      <c r="S205">
        <f>HYPERLINK("https://klasma.github.io/Logging_1737/artfynd/A 12372-2022 artfynd.xlsx", "A 12372-2022")</f>
        <v/>
      </c>
      <c r="T205">
        <f>HYPERLINK("https://klasma.github.io/Logging_1737/kartor/A 12372-2022 karta.png", "A 12372-2022")</f>
        <v/>
      </c>
      <c r="V205">
        <f>HYPERLINK("https://klasma.github.io/Logging_1737/klagomål/A 12372-2022 FSC-klagomål.docx", "A 12372-2022")</f>
        <v/>
      </c>
      <c r="W205">
        <f>HYPERLINK("https://klasma.github.io/Logging_1737/klagomålsmail/A 12372-2022 FSC-klagomål mail.docx", "A 12372-2022")</f>
        <v/>
      </c>
      <c r="X205">
        <f>HYPERLINK("https://klasma.github.io/Logging_1737/tillsyn/A 12372-2022 tillsynsbegäran.docx", "A 12372-2022")</f>
        <v/>
      </c>
      <c r="Y205">
        <f>HYPERLINK("https://klasma.github.io/Logging_1737/tillsynsmail/A 12372-2022 tillsynsbegäran mail.docx", "A 12372-2022")</f>
        <v/>
      </c>
    </row>
    <row r="206" ht="15" customHeight="1">
      <c r="A206" t="inlineStr">
        <is>
          <t>A 16766-2022</t>
        </is>
      </c>
      <c r="B206" s="1" t="n">
        <v>44673</v>
      </c>
      <c r="C206" s="1" t="n">
        <v>45346</v>
      </c>
      <c r="D206" t="inlineStr">
        <is>
          <t>VÄRMLANDS LÄN</t>
        </is>
      </c>
      <c r="E206" t="inlineStr">
        <is>
          <t>SÄFFLE</t>
        </is>
      </c>
      <c r="F206" t="inlineStr">
        <is>
          <t>Kyrkan</t>
        </is>
      </c>
      <c r="G206" t="n">
        <v>5.5</v>
      </c>
      <c r="H206" t="n">
        <v>1</v>
      </c>
      <c r="I206" t="n">
        <v>1</v>
      </c>
      <c r="J206" t="n">
        <v>0</v>
      </c>
      <c r="K206" t="n">
        <v>1</v>
      </c>
      <c r="L206" t="n">
        <v>0</v>
      </c>
      <c r="M206" t="n">
        <v>0</v>
      </c>
      <c r="N206" t="n">
        <v>0</v>
      </c>
      <c r="O206" t="n">
        <v>1</v>
      </c>
      <c r="P206" t="n">
        <v>1</v>
      </c>
      <c r="Q206" t="n">
        <v>2</v>
      </c>
      <c r="R206" s="2" t="inlineStr">
        <is>
          <t>Slåttergubbe
Korallrot</t>
        </is>
      </c>
      <c r="S206">
        <f>HYPERLINK("https://klasma.github.io/Logging_1785/artfynd/A 16766-2022 artfynd.xlsx", "A 16766-2022")</f>
        <v/>
      </c>
      <c r="T206">
        <f>HYPERLINK("https://klasma.github.io/Logging_1785/kartor/A 16766-2022 karta.png", "A 16766-2022")</f>
        <v/>
      </c>
      <c r="V206">
        <f>HYPERLINK("https://klasma.github.io/Logging_1785/klagomål/A 16766-2022 FSC-klagomål.docx", "A 16766-2022")</f>
        <v/>
      </c>
      <c r="W206">
        <f>HYPERLINK("https://klasma.github.io/Logging_1785/klagomålsmail/A 16766-2022 FSC-klagomål mail.docx", "A 16766-2022")</f>
        <v/>
      </c>
      <c r="X206">
        <f>HYPERLINK("https://klasma.github.io/Logging_1785/tillsyn/A 16766-2022 tillsynsbegäran.docx", "A 16766-2022")</f>
        <v/>
      </c>
      <c r="Y206">
        <f>HYPERLINK("https://klasma.github.io/Logging_1785/tillsynsmail/A 16766-2022 tillsynsbegäran mail.docx", "A 16766-2022")</f>
        <v/>
      </c>
    </row>
    <row r="207" ht="15" customHeight="1">
      <c r="A207" t="inlineStr">
        <is>
          <t>A 20765-2022</t>
        </is>
      </c>
      <c r="B207" s="1" t="n">
        <v>44701</v>
      </c>
      <c r="C207" s="1" t="n">
        <v>45346</v>
      </c>
      <c r="D207" t="inlineStr">
        <is>
          <t>VÄRMLANDS LÄN</t>
        </is>
      </c>
      <c r="E207" t="inlineStr">
        <is>
          <t>KARLSTAD</t>
        </is>
      </c>
      <c r="F207" t="inlineStr">
        <is>
          <t>Bergvik skog väst AB</t>
        </is>
      </c>
      <c r="G207" t="n">
        <v>3.4</v>
      </c>
      <c r="H207" t="n">
        <v>2</v>
      </c>
      <c r="I207" t="n">
        <v>0</v>
      </c>
      <c r="J207" t="n">
        <v>0</v>
      </c>
      <c r="K207" t="n">
        <v>0</v>
      </c>
      <c r="L207" t="n">
        <v>0</v>
      </c>
      <c r="M207" t="n">
        <v>0</v>
      </c>
      <c r="N207" t="n">
        <v>0</v>
      </c>
      <c r="O207" t="n">
        <v>0</v>
      </c>
      <c r="P207" t="n">
        <v>0</v>
      </c>
      <c r="Q207" t="n">
        <v>2</v>
      </c>
      <c r="R207" s="2" t="inlineStr">
        <is>
          <t>Fläcknycklar
Mattlummer</t>
        </is>
      </c>
      <c r="S207">
        <f>HYPERLINK("https://klasma.github.io/Logging_1780/artfynd/A 20765-2022 artfynd.xlsx", "A 20765-2022")</f>
        <v/>
      </c>
      <c r="T207">
        <f>HYPERLINK("https://klasma.github.io/Logging_1780/kartor/A 20765-2022 karta.png", "A 20765-2022")</f>
        <v/>
      </c>
      <c r="V207">
        <f>HYPERLINK("https://klasma.github.io/Logging_1780/klagomål/A 20765-2022 FSC-klagomål.docx", "A 20765-2022")</f>
        <v/>
      </c>
      <c r="W207">
        <f>HYPERLINK("https://klasma.github.io/Logging_1780/klagomålsmail/A 20765-2022 FSC-klagomål mail.docx", "A 20765-2022")</f>
        <v/>
      </c>
      <c r="X207">
        <f>HYPERLINK("https://klasma.github.io/Logging_1780/tillsyn/A 20765-2022 tillsynsbegäran.docx", "A 20765-2022")</f>
        <v/>
      </c>
      <c r="Y207">
        <f>HYPERLINK("https://klasma.github.io/Logging_1780/tillsynsmail/A 20765-2022 tillsynsbegäran mail.docx", "A 20765-2022")</f>
        <v/>
      </c>
    </row>
    <row r="208" ht="15" customHeight="1">
      <c r="A208" t="inlineStr">
        <is>
          <t>A 24616-2022</t>
        </is>
      </c>
      <c r="B208" s="1" t="n">
        <v>44727</v>
      </c>
      <c r="C208" s="1" t="n">
        <v>45346</v>
      </c>
      <c r="D208" t="inlineStr">
        <is>
          <t>VÄRMLANDS LÄN</t>
        </is>
      </c>
      <c r="E208" t="inlineStr">
        <is>
          <t>HAMMARÖ</t>
        </is>
      </c>
      <c r="F208" t="inlineStr">
        <is>
          <t>Kommuner</t>
        </is>
      </c>
      <c r="G208" t="n">
        <v>4</v>
      </c>
      <c r="H208" t="n">
        <v>2</v>
      </c>
      <c r="I208" t="n">
        <v>0</v>
      </c>
      <c r="J208" t="n">
        <v>1</v>
      </c>
      <c r="K208" t="n">
        <v>1</v>
      </c>
      <c r="L208" t="n">
        <v>0</v>
      </c>
      <c r="M208" t="n">
        <v>0</v>
      </c>
      <c r="N208" t="n">
        <v>0</v>
      </c>
      <c r="O208" t="n">
        <v>2</v>
      </c>
      <c r="P208" t="n">
        <v>1</v>
      </c>
      <c r="Q208" t="n">
        <v>2</v>
      </c>
      <c r="R208" s="2" t="inlineStr">
        <is>
          <t>Knärot
Spillkråka</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28156-2022</t>
        </is>
      </c>
      <c r="B209" s="1" t="n">
        <v>44746</v>
      </c>
      <c r="C209" s="1" t="n">
        <v>45346</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45346</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45346</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45346</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45346</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45346</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45346</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45346</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45346</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45346</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45346</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45346</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45346</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45346</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45346</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45346</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45346</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45346</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45346</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45346</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45346</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45346</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45346</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45346</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45346</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45346</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45346</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45346</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45346</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45346</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45346</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45346</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45346</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45346</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45346</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45346</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45346</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45346</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45346</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45346</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45346</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45346</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45346</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45346</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45346</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45346</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45346</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45346</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45346</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45346</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45346</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45346</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45346</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45346</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45346</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45346</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45346</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45346</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45346</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45346</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45346</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45346</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45346</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45346</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45346</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45346</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45346</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45346</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45346</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45346</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45346</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45346</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45346</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45346</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45346</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45346</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45346</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45346</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45346</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45346</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45346</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45346</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45346</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45346</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45346</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45346</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45346</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45346</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45346</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45346</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45346</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45346</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45346</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45346</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45346</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45346</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45346</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45346</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45346</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45346</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45346</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45346</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45346</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45346</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45346</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45346</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45346</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45346</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45346</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45346</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45346</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45346</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45346</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45346</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45346</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45346</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45346</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45346</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45346</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45346</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45346</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45346</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45346</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45346</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45346</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45346</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45346</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45346</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45346</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45346</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45346</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45346</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45346</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45346</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45346</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45346</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45346</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45346</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45346</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45346</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45346</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45346</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45346</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45346</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45346</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45346</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45346</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45346</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45346</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45346</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45346</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45346</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45346</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45346</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45346</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45346</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45346</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45346</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45346</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45346</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45346</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45346</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45346</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45346</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45346</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45346</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45346</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45346</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45346</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45346</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45346</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45346</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45346</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45346</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45346</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45346</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45346</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45346</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45346</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45346</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45346</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45346</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45346</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45346</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45346</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45346</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45346</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45346</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45346</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45346</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45346</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45346</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45346</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45346</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45346</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45346</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45346</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45346</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45346</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45346</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45346</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45346</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45346</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45346</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45346</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45346</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45346</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45346</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45346</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45346</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45346</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45346</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45346</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45346</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45346</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45346</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45346</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45346</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45346</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45346</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45346</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45346</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45346</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45346</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45346</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45346</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45346</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45346</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45346</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45346</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45346</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45346</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45346</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45346</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45346</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45346</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45346</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45346</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45346</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45346</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45346</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45346</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45346</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45346</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45346</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45346</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45346</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45346</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45346</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45346</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45346</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45346</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45346</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45346</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45346</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45346</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45346</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45346</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45346</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45346</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45346</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45346</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45346</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45346</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45346</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45346</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45346</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45346</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45346</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45346</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45346</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45346</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45346</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45346</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45346</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45346</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45346</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45346</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45346</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45346</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45346</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45346</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45346</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45346</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45346</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45346</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45346</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45346</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45346</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45346</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45346</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45346</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45346</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45346</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45346</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45346</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45346</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45346</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45346</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45346</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45346</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45346</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45346</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45346</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45346</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45346</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45346</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45346</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45346</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45346</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45346</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45346</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45346</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45346</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45346</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45346</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45346</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45346</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45346</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45346</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45346</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45346</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45346</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45346</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45346</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45346</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45346</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45346</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45346</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45346</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45346</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45346</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45346</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45346</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45346</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45346</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45346</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45346</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45346</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45346</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45346</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45346</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45346</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45346</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45346</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45346</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45346</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45346</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45346</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45346</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45346</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45346</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45346</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45346</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45346</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45346</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45346</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45346</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45346</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45346</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45346</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45346</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45346</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45346</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45346</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45346</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45346</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45346</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45346</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45346</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45346</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45346</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45346</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45346</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45346</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45346</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45346</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45346</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45346</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45346</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45346</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45346</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45346</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45346</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45346</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45346</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45346</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45346</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45346</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45346</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45346</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45346</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45346</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45346</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45346</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45346</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45346</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45346</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45346</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45346</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45346</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45346</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45346</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45346</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45346</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45346</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45346</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45346</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45346</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45346</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45346</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45346</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45346</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45346</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45346</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45346</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45346</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45346</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45346</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45346</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45346</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45346</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45346</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45346</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45346</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45346</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45346</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45346</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45346</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45346</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45346</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45346</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45346</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45346</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45346</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45346</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45346</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45346</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45346</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45346</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45346</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45346</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45346</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45346</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45346</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45346</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45346</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45346</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45346</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45346</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45346</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45346</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45346</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45346</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45346</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45346</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45346</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45346</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45346</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45346</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45346</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45346</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45346</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45346</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45346</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45346</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45346</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45346</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45346</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45346</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45346</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45346</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45346</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45346</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45346</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45346</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45346</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45346</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45346</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45346</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45346</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45346</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45346</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45346</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45346</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45346</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45346</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45346</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45346</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45346</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45346</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45346</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45346</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45346</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45346</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45346</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45346</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45346</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45346</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45346</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45346</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45346</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45346</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45346</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45346</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45346</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45346</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45346</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45346</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45346</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45346</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45346</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45346</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45346</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45346</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45346</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45346</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45346</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45346</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45346</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45346</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45346</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45346</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45346</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45346</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45346</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45346</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45346</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45346</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45346</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45346</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45346</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45346</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45346</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45346</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45346</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45346</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45346</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45346</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45346</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45346</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45346</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45346</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45346</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45346</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45346</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45346</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45346</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45346</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45346</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45346</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45346</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45346</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45346</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45346</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45346</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45346</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45346</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45346</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45346</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45346</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45346</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45346</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45346</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45346</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45346</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45346</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45346</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45346</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45346</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45346</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45346</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45346</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45346</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45346</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45346</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45346</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45346</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45346</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45346</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45346</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45346</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45346</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45346</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45346</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45346</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45346</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45346</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45346</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45346</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45346</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45346</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45346</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45346</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45346</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45346</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45346</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45346</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45346</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45346</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45346</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45346</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45346</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45346</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45346</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45346</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45346</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45346</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45346</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45346</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45346</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45346</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45346</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45346</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45346</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45346</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45346</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45346</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45346</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45346</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45346</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45346</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45346</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45346</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45346</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45346</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45346</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45346</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45346</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45346</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45346</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45346</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45346</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45346</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45346</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45346</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45346</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45346</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45346</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45346</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45346</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45346</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45346</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45346</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45346</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45346</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45346</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45346</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45346</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45346</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45346</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45346</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45346</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45346</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45346</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45346</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45346</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45346</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45346</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45346</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45346</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45346</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45346</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45346</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45346</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45346</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45346</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45346</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45346</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45346</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45346</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45346</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45346</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45346</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45346</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45346</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45346</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45346</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45346</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45346</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45346</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45346</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45346</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45346</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45346</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45346</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45346</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45346</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45346</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45346</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45346</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45346</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45346</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45346</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45346</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45346</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45346</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45346</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45346</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45346</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45346</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45346</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45346</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45346</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45346</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45346</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45346</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45346</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45346</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45346</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45346</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45346</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45346</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45346</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45346</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45346</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45346</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45346</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45346</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45346</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45346</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45346</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45346</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45346</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45346</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45346</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45346</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45346</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45346</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45346</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45346</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45346</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45346</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45346</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45346</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45346</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45346</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45346</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45346</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45346</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45346</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45346</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45346</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45346</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45346</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45346</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45346</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45346</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45346</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45346</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45346</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45346</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45346</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45346</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45346</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45346</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45346</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45346</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45346</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45346</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45346</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45346</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45346</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45346</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45346</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45346</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45346</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45346</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45346</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45346</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45346</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45346</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45346</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45346</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45346</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45346</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45346</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45346</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45346</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45346</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45346</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45346</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45346</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45346</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45346</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45346</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45346</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45346</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45346</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45346</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45346</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45346</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45346</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45346</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45346</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45346</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45346</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45346</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45346</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45346</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45346</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45346</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45346</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45346</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45346</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45346</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45346</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45346</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45346</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45346</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45346</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45346</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45346</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45346</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45346</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45346</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45346</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45346</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45346</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45346</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45346</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45346</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45346</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45346</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45346</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45346</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45346</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45346</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45346</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45346</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45346</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45346</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45346</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45346</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45346</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45346</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45346</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45346</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45346</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45346</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45346</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45346</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45346</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45346</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45346</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45346</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45346</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45346</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45346</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45346</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45346</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45346</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45346</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45346</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45346</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45346</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45346</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45346</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45346</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45346</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45346</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45346</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45346</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45346</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45346</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45346</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45346</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45346</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45346</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45346</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45346</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45346</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45346</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45346</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45346</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45346</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45346</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45346</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45346</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45346</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45346</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45346</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45346</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45346</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45346</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45346</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45346</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45346</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45346</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45346</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45346</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45346</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45346</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45346</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45346</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45346</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45346</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45346</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45346</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45346</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45346</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45346</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45346</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45346</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45346</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45346</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45346</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45346</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45346</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45346</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45346</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45346</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45346</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45346</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45346</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45346</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45346</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45346</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45346</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45346</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45346</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45346</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45346</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45346</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45346</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45346</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45346</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45346</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45346</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45346</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45346</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45346</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45346</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45346</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45346</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45346</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45346</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45346</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45346</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45346</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45346</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45346</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45346</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45346</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45346</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45346</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45346</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45346</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45346</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45346</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45346</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45346</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45346</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45346</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45346</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45346</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45346</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45346</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45346</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45346</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45346</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45346</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45346</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45346</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45346</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45346</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45346</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45346</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45346</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45346</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45346</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45346</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45346</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45346</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45346</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45346</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45346</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45346</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45346</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45346</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45346</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45346</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45346</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45346</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45346</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45346</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45346</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45346</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45346</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45346</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45346</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45346</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45346</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45346</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45346</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45346</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45346</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45346</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45346</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45346</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45346</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45346</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45346</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45346</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45346</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45346</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45346</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45346</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45346</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45346</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45346</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45346</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45346</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45346</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45346</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45346</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45346</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45346</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45346</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45346</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45346</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45346</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45346</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45346</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45346</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45346</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45346</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45346</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45346</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45346</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45346</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45346</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45346</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45346</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45346</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45346</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45346</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45346</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45346</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45346</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45346</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45346</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45346</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45346</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45346</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45346</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45346</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45346</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45346</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45346</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45346</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45346</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45346</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45346</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45346</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45346</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45346</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45346</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45346</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45346</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45346</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45346</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45346</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45346</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45346</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45346</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45346</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45346</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45346</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45346</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45346</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45346</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45346</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45346</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45346</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45346</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45346</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45346</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45346</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45346</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45346</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45346</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45346</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45346</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45346</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45346</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45346</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45346</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45346</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45346</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45346</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45346</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45346</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45346</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45346</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45346</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45346</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45346</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45346</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45346</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45346</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45346</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45346</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45346</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45346</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45346</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45346</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45346</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45346</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45346</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45346</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45346</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45346</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45346</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45346</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45346</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45346</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45346</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45346</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45346</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45346</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45346</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45346</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45346</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45346</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45346</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45346</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45346</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45346</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45346</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45346</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45346</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45346</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45346</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45346</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45346</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45346</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45346</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45346</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45346</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45346</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45346</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45346</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45346</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45346</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45346</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45346</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45346</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45346</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45346</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45346</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45346</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45346</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45346</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45346</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45346</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45346</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45346</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45346</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45346</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45346</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45346</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45346</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45346</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45346</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45346</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45346</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45346</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45346</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45346</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45346</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45346</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45346</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45346</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45346</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45346</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45346</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45346</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45346</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45346</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45346</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45346</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45346</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45346</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45346</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45346</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45346</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45346</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45346</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45346</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45346</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45346</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45346</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45346</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45346</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45346</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45346</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45346</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45346</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45346</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45346</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45346</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45346</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45346</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45346</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45346</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45346</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45346</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45346</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45346</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45346</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45346</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45346</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45346</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45346</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45346</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45346</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45346</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45346</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45346</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45346</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45346</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45346</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45346</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45346</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45346</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45346</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45346</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45346</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45346</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45346</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45346</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45346</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45346</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45346</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45346</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45346</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45346</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45346</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45346</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45346</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45346</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45346</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45346</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45346</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45346</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45346</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45346</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45346</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45346</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45346</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45346</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45346</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45346</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45346</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45346</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45346</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45346</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45346</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45346</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45346</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45346</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45346</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45346</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45346</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45346</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45346</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45346</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45346</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45346</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45346</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45346</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45346</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45346</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45346</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45346</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45346</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45346</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45346</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45346</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45346</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45346</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45346</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45346</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45346</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45346</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45346</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45346</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45346</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45346</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45346</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45346</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45346</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45346</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45346</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45346</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45346</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45346</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45346</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45346</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45346</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45346</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45346</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45346</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45346</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45346</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45346</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45346</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45346</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45346</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45346</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45346</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45346</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45346</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45346</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45346</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45346</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45346</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45346</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45346</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45346</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45346</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45346</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45346</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45346</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45346</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45346</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45346</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45346</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45346</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45346</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45346</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45346</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45346</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45346</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45346</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45346</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45346</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45346</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45346</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45346</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45346</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45346</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45346</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45346</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45346</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45346</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45346</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45346</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45346</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45346</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45346</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45346</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45346</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45346</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45346</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45346</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45346</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45346</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45346</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45346</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45346</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45346</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45346</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45346</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45346</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45346</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45346</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45346</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45346</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45346</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45346</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45346</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45346</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45346</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45346</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45346</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45346</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45346</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45346</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45346</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45346</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45346</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45346</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45346</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45346</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45346</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45346</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45346</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45346</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45346</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45346</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45346</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45346</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45346</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45346</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45346</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45346</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45346</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45346</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45346</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45346</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45346</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45346</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45346</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45346</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45346</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45346</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45346</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45346</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45346</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45346</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45346</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45346</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45346</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45346</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45346</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45346</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45346</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45346</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45346</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45346</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45346</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45346</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45346</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45346</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45346</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45346</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45346</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45346</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45346</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45346</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45346</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45346</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45346</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45346</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45346</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45346</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45346</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45346</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45346</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45346</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45346</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45346</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45346</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45346</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45346</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45346</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45346</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45346</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45346</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45346</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45346</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45346</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45346</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45346</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45346</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45346</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45346</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45346</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45346</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45346</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45346</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45346</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45346</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45346</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45346</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45346</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45346</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45346</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45346</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45346</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45346</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45346</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45346</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45346</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45346</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45346</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45346</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45346</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45346</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45346</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45346</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45346</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45346</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45346</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45346</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45346</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45346</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45346</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45346</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45346</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45346</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45346</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45346</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45346</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45346</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45346</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45346</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45346</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45346</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45346</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45346</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45346</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45346</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45346</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45346</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45346</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45346</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45346</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45346</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45346</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45346</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45346</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45346</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45346</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45346</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45346</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45346</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45346</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45346</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45346</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45346</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45346</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45346</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45346</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45346</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45346</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45346</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45346</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45346</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45346</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45346</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45346</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45346</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45346</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45346</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45346</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45346</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45346</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45346</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45346</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45346</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45346</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45346</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45346</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45346</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45346</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45346</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45346</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45346</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45346</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45346</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45346</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45346</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45346</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45346</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45346</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45346</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45346</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45346</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45346</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45346</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45346</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45346</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45346</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45346</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45346</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45346</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45346</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45346</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45346</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45346</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45346</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45346</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45346</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45346</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45346</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45346</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45346</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45346</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45346</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45346</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45346</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45346</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45346</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45346</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45346</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45346</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45346</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45346</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45346</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45346</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45346</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45346</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45346</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45346</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45346</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45346</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45346</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45346</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45346</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45346</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45346</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45346</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45346</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45346</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45346</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45346</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45346</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45346</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45346</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45346</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45346</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45346</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45346</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45346</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45346</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45346</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45346</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45346</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45346</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45346</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45346</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45346</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45346</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45346</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45346</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45346</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45346</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45346</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45346</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45346</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45346</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45346</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45346</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45346</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45346</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45346</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45346</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45346</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45346</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45346</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45346</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45346</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45346</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45346</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45346</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45346</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45346</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45346</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45346</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45346</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45346</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45346</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45346</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45346</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45346</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45346</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45346</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45346</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45346</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45346</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45346</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45346</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45346</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45346</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45346</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45346</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45346</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45346</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45346</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45346</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45346</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45346</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45346</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45346</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45346</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45346</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45346</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45346</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45346</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45346</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45346</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45346</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45346</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45346</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45346</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45346</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45346</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45346</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45346</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45346</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45346</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45346</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45346</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45346</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45346</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45346</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45346</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45346</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45346</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45346</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45346</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45346</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45346</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45346</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45346</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45346</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45346</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45346</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45346</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45346</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45346</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45346</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45346</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45346</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45346</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45346</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45346</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45346</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45346</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45346</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45346</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45346</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45346</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45346</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45346</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45346</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45346</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45346</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45346</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45346</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45346</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45346</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45346</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45346</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45346</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45346</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45346</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45346</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45346</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45346</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45346</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45346</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45346</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45346</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45346</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45346</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45346</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45346</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45346</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45346</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45346</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45346</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45346</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45346</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45346</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45346</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45346</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45346</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45346</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45346</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45346</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45346</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45346</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45346</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45346</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45346</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45346</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45346</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45346</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45346</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45346</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45346</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45346</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45346</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45346</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45346</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45346</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45346</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45346</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45346</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45346</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45346</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45346</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45346</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45346</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45346</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45346</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45346</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45346</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45346</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45346</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45346</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45346</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45346</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45346</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45346</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45346</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45346</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45346</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45346</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45346</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45346</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45346</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45346</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45346</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45346</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45346</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45346</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45346</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45346</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45346</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45346</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45346</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45346</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45346</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45346</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45346</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45346</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45346</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45346</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45346</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45346</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45346</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45346</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45346</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45346</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45346</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45346</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45346</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45346</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45346</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45346</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45346</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45346</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45346</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45346</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45346</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45346</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45346</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45346</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45346</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45346</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45346</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45346</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45346</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45346</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45346</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45346</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45346</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45346</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45346</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45346</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45346</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45346</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45346</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45346</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45346</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45346</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45346</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45346</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45346</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45346</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45346</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45346</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45346</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45346</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45346</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45346</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45346</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45346</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45346</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45346</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45346</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45346</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45346</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45346</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45346</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45346</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45346</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45346</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45346</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45346</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45346</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45346</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45346</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45346</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45346</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45346</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45346</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45346</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45346</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45346</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45346</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45346</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45346</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45346</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45346</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45346</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45346</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45346</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45346</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45346</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45346</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45346</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45346</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45346</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45346</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45346</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45346</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45346</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45346</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45346</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45346</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45346</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45346</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45346</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45346</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45346</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45346</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45346</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45346</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45346</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45346</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45346</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45346</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45346</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45346</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45346</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45346</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45346</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45346</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45346</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45346</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45346</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45346</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45346</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45346</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45346</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45346</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45346</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45346</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45346</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45346</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45346</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45346</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45346</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45346</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45346</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45346</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45346</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45346</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45346</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45346</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45346</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45346</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45346</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45346</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45346</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45346</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45346</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45346</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45346</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45346</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45346</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45346</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45346</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45346</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45346</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45346</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45346</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45346</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45346</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45346</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45346</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45346</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45346</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45346</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45346</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45346</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45346</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45346</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45346</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45346</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45346</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45346</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45346</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45346</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45346</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45346</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45346</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45346</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45346</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45346</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45346</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45346</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45346</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45346</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45346</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45346</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45346</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45346</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45346</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45346</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45346</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45346</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45346</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45346</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45346</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45346</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45346</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45346</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45346</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45346</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45346</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45346</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45346</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45346</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45346</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45346</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45346</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45346</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45346</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45346</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45346</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45346</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45346</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45346</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45346</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45346</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45346</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45346</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45346</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45346</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45346</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45346</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45346</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45346</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45346</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45346</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45346</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45346</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45346</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45346</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45346</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45346</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45346</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45346</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45346</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45346</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45346</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45346</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45346</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45346</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45346</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45346</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45346</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45346</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45346</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45346</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45346</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45346</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45346</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45346</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45346</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45346</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45346</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45346</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45346</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45346</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45346</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45346</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45346</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45346</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45346</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45346</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45346</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45346</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45346</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45346</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45346</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45346</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45346</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45346</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45346</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45346</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45346</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45346</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45346</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45346</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45346</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45346</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45346</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45346</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45346</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45346</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45346</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45346</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45346</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45346</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45346</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45346</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45346</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45346</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45346</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45346</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45346</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45346</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45346</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45346</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45346</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45346</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45346</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45346</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45346</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45346</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45346</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45346</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45346</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45346</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45346</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45346</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45346</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45346</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45346</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45346</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45346</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45346</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45346</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45346</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45346</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45346</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45346</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45346</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45346</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45346</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45346</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45346</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45346</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45346</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45346</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45346</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45346</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45346</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45346</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45346</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45346</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45346</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45346</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45346</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45346</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45346</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45346</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45346</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45346</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45346</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45346</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45346</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45346</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45346</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45346</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45346</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45346</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45346</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45346</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45346</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45346</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45346</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45346</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45346</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45346</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45346</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45346</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45346</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45346</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45346</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45346</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45346</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45346</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45346</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45346</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45346</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45346</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45346</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45346</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45346</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45346</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45346</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45346</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45346</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45346</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45346</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45346</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45346</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45346</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45346</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45346</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45346</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45346</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45346</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45346</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45346</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45346</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45346</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45346</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45346</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45346</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45346</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45346</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45346</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45346</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45346</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45346</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45346</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45346</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45346</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45346</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45346</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45346</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45346</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45346</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45346</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45346</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45346</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45346</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45346</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45346</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45346</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45346</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45346</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45346</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45346</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45346</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45346</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45346</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45346</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45346</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45346</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45346</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45346</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45346</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45346</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45346</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45346</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45346</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45346</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45346</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45346</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45346</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45346</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45346</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45346</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45346</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45346</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45346</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45346</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45346</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45346</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45346</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45346</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45346</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45346</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45346</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45346</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45346</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45346</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45346</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45346</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45346</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45346</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45346</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45346</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45346</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45346</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45346</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45346</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45346</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45346</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45346</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45346</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45346</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45346</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45346</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45346</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45346</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45346</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45346</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45346</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45346</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45346</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45346</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45346</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45346</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45346</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45346</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45346</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45346</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45346</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45346</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45346</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45346</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45346</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45346</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45346</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45346</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45346</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45346</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45346</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45346</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45346</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45346</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45346</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45346</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45346</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45346</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45346</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45346</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45346</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45346</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45346</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45346</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45346</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45346</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45346</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45346</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45346</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45346</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45346</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45346</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45346</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45346</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45346</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45346</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45346</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45346</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45346</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45346</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45346</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45346</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45346</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45346</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45346</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45346</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45346</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45346</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45346</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45346</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45346</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45346</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45346</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45346</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45346</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45346</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45346</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45346</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45346</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45346</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45346</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45346</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45346</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45346</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45346</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45346</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45346</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45346</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45346</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45346</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45346</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45346</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45346</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45346</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45346</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45346</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45346</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45346</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45346</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45346</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45346</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45346</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45346</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45346</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45346</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45346</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45346</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45346</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45346</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45346</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45346</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45346</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45346</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45346</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45346</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45346</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45346</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45346</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45346</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45346</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45346</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45346</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45346</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45346</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45346</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45346</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45346</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45346</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45346</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45346</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45346</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45346</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45346</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45346</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45346</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45346</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45346</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45346</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45346</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45346</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45346</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45346</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45346</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45346</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45346</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45346</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45346</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45346</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45346</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45346</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45346</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45346</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45346</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45346</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45346</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45346</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45346</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45346</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45346</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45346</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45346</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45346</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45346</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45346</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45346</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45346</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45346</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45346</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45346</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45346</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45346</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45346</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45346</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45346</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45346</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45346</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45346</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45346</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45346</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45346</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45346</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45346</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45346</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45346</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45346</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45346</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45346</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45346</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45346</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45346</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45346</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45346</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45346</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45346</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45346</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45346</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45346</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45346</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45346</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45346</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45346</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45346</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45346</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45346</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45346</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45346</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45346</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45346</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45346</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45346</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45346</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45346</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45346</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45346</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45346</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45346</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45346</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45346</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45346</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45346</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45346</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45346</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45346</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45346</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45346</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45346</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45346</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45346</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45346</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45346</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45346</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45346</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45346</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45346</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45346</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45346</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45346</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45346</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45346</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45346</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45346</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45346</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45346</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45346</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45346</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45346</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45346</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45346</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45346</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45346</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45346</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45346</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45346</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45346</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45346</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45346</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45346</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45346</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45346</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45346</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45346</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45346</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45346</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45346</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45346</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45346</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45346</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45346</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45346</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45346</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45346</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45346</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45346</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45346</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45346</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45346</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45346</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45346</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45346</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45346</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45346</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45346</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45346</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45346</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45346</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45346</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45346</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45346</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45346</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45346</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45346</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45346</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45346</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45346</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45346</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45346</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45346</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45346</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45346</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45346</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45346</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45346</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45346</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45346</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45346</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45346</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45346</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45346</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45346</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45346</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45346</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45346</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45346</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45346</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45346</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45346</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45346</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45346</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45346</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45346</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45346</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45346</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45346</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45346</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45346</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45346</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45346</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45346</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45346</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45346</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45346</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45346</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45346</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45346</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45346</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45346</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45346</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45346</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45346</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45346</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45346</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45346</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45346</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45346</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45346</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45346</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45346</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45346</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45346</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45346</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45346</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45346</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45346</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45346</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45346</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45346</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45346</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45346</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45346</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45346</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45346</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45346</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45346</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45346</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45346</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45346</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45346</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45346</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45346</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45346</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45346</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45346</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45346</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45346</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45346</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45346</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45346</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45346</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45346</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45346</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45346</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45346</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45346</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45346</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45346</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45346</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45346</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45346</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45346</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45346</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45346</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45346</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45346</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45346</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45346</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45346</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45346</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45346</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45346</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45346</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45346</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45346</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45346</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45346</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45346</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45346</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45346</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45346</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45346</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45346</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45346</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45346</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45346</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45346</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45346</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45346</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45346</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45346</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45346</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45346</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45346</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45346</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45346</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45346</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45346</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45346</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45346</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45346</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45346</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45346</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45346</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45346</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45346</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45346</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45346</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45346</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45346</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45346</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45346</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45346</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45346</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45346</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45346</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45346</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45346</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45346</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45346</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45346</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45346</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45346</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45346</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45346</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45346</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45346</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45346</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45346</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45346</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45346</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45346</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45346</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45346</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45346</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45346</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45346</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45346</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45346</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45346</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45346</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45346</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45346</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45346</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45346</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45346</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45346</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45346</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45346</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45346</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45346</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45346</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45346</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45346</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45346</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45346</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45346</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45346</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45346</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45346</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45346</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45346</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45346</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45346</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45346</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45346</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45346</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45346</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45346</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45346</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45346</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45346</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45346</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45346</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45346</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45346</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45346</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45346</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45346</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45346</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45346</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45346</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45346</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45346</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45346</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45346</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45346</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45346</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45346</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45346</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45346</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45346</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45346</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45346</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45346</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45346</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45346</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45346</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45346</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45346</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45346</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45346</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45346</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45346</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45346</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45346</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45346</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45346</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45346</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45346</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45346</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45346</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45346</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45346</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45346</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45346</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45346</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45346</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45346</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45346</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45346</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45346</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45346</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45346</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45346</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45346</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45346</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45346</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45346</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45346</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45346</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45346</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45346</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45346</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45346</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45346</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45346</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45346</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45346</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45346</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45346</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45346</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45346</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45346</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45346</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45346</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45346</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45346</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45346</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45346</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45346</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45346</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45346</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45346</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45346</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45346</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45346</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45346</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45346</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45346</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45346</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45346</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45346</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45346</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45346</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45346</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45346</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45346</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45346</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45346</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45346</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45346</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45346</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45346</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45346</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45346</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45346</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45346</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45346</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45346</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45346</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45346</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45346</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45346</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45346</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45346</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45346</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45346</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45346</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45346</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45346</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45346</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45346</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45346</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45346</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45346</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45346</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45346</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45346</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45346</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45346</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45346</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45346</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45346</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45346</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45346</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45346</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45346</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45346</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45346</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45346</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45346</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45346</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45346</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45346</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45346</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45346</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45346</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45346</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45346</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45346</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45346</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45346</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45346</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45346</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45346</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45346</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45346</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45346</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45346</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45346</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45346</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45346</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45346</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45346</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45346</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45346</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45346</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45346</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45346</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45346</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45346</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45346</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45346</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45346</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45346</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45346</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45346</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45346</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45346</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45346</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45346</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45346</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45346</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45346</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45346</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45346</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45346</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45346</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45346</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45346</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45346</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45346</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45346</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45346</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45346</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45346</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45346</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45346</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45346</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45346</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45346</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45346</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45346</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45346</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45346</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45346</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45346</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45346</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45346</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45346</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45346</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45346</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45346</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45346</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45346</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45346</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45346</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45346</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45346</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45346</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45346</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45346</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45346</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45346</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45346</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45346</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45346</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45346</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45346</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45346</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45346</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45346</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45346</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45346</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45346</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45346</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45346</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45346</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45346</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45346</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45346</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45346</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45346</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45346</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45346</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45346</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45346</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45346</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45346</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45346</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45346</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45346</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45346</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45346</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45346</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45346</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45346</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45346</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45346</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45346</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45346</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45346</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45346</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45346</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45346</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45346</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45346</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45346</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45346</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45346</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45346</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45346</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45346</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45346</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45346</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45346</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45346</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45346</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45346</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45346</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45346</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45346</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45346</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45346</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45346</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45346</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45346</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45346</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45346</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45346</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45346</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45346</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45346</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45346</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45346</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45346</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45346</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45346</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45346</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45346</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45346</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45346</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45346</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45346</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45346</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45346</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45346</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45346</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45346</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45346</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45346</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45346</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45346</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45346</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45346</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45346</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45346</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45346</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45346</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45346</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45346</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45346</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45346</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45346</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45346</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45346</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45346</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45346</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45346</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45346</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45346</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45346</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45346</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45346</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45346</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45346</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45346</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45346</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45346</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45346</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45346</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45346</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45346</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45346</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45346</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45346</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45346</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45346</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45346</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45346</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45346</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45346</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45346</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45346</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45346</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45346</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45346</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45346</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45346</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45346</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45346</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45346</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45346</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45346</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45346</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45346</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45346</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45346</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45346</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45346</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45346</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45346</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45346</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45346</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45346</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45346</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45346</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45346</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45346</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45346</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45346</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45346</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45346</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45346</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45346</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45346</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45346</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45346</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45346</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45346</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45346</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45346</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45346</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45346</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45346</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45346</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45346</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45346</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45346</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45346</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45346</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45346</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45346</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45346</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45346</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45346</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45346</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45346</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45346</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45346</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45346</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45346</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45346</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45346</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45346</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45346</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45346</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45346</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45346</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45346</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45346</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45346</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45346</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45346</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45346</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45346</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45346</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45346</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45346</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45346</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45346</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45346</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45346</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45346</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45346</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45346</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45346</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45346</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45346</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45346</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45346</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45346</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45346</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45346</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45346</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45346</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45346</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45346</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45346</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45346</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45346</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45346</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45346</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45346</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45346</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45346</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45346</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45346</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45346</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45346</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45346</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45346</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45346</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45346</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45346</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45346</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45346</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45346</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45346</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45346</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45346</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45346</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45346</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45346</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45346</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45346</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45346</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45346</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45346</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45346</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45346</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45346</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45346</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45346</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45346</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45346</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45346</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45346</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45346</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45346</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45346</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45346</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45346</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45346</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45346</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45346</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45346</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45346</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45346</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45346</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45346</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45346</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45346</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45346</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45346</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45346</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45346</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45346</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45346</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45346</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45346</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45346</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45346</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45346</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45346</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45346</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45346</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45346</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45346</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45346</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45346</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45346</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45346</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45346</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45346</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45346</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45346</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45346</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45346</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45346</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45346</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45346</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45346</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45346</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45346</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45346</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45346</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45346</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45346</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45346</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45346</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45346</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45346</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45346</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45346</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45346</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45346</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45346</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45346</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45346</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45346</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45346</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45346</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45346</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45346</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45346</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45346</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45346</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45346</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45346</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45346</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45346</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45346</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45346</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45346</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45346</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45346</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45346</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45346</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45346</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45346</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45346</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45346</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45346</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45346</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45346</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45346</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45346</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45346</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45346</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45346</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45346</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45346</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45346</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45346</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45346</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45346</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45346</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45346</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45346</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45346</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45346</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45346</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45346</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45346</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45346</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45346</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45346</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45346</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45346</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45346</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45346</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45346</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45346</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45346</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45346</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45346</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45346</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45346</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45346</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45346</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45346</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45346</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45346</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45346</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45346</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45346</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45346</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45346</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45346</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45346</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45346</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45346</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45346</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45346</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45346</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45346</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45346</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45346</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45346</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45346</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45346</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45346</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45346</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45346</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45346</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45346</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45346</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45346</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45346</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45346</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45346</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45346</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45346</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45346</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45346</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45346</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45346</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45346</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45346</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45346</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45346</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45346</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45346</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45346</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45346</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45346</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45346</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45346</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45346</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45346</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45346</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45346</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45346</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45346</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45346</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45346</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45346</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45346</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45346</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45346</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45346</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45346</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45346</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45346</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45346</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45346</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45346</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45346</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45346</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45346</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45346</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45346</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45346</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45346</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45346</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45346</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45346</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45346</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45346</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45346</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45346</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45346</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45346</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45346</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45346</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45346</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45346</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45346</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45346</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45346</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45346</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45346</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45346</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45346</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45346</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45346</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45346</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45346</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45346</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45346</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45346</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45346</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45346</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45346</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45346</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45346</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45346</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45346</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45346</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45346</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45346</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45346</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45346</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45346</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45346</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45346</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45346</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45346</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45346</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45346</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45346</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45346</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45346</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45346</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45346</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45346</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45346</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45346</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45346</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45346</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45346</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45346</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45346</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45346</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45346</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45346</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45346</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45346</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45346</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45346</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45346</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45346</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45346</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45346</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45346</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45346</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45346</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45346</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45346</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45346</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45346</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45346</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45346</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45346</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45346</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45346</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45346</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45346</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45346</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45346</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45346</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45346</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45346</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45346</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45346</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45346</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45346</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45346</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45346</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45346</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45346</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45346</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45346</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45346</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45346</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45346</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45346</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45346</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45346</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45346</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45346</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45346</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45346</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45346</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45346</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45346</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45346</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45346</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45346</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45346</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45346</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45346</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45346</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45346</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45346</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45346</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45346</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45346</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45346</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45346</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45346</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45346</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45346</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45346</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45346</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45346</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45346</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45346</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45346</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45346</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45346</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45346</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45346</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45346</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45346</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45346</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45346</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45346</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45346</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45346</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45346</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45346</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45346</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45346</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45346</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45346</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45346</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45346</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45346</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45346</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45346</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45346</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45346</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45346</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45346</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45346</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45346</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45346</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45346</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45346</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45346</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45346</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45346</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45346</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45346</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45346</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45346</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45346</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45346</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45346</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45346</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45346</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45346</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45346</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45346</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45346</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45346</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45346</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45346</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45346</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45346</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45346</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45346</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45346</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45346</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45346</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45346</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45346</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45346</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45346</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45346</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45346</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45346</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45346</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45346</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45346</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45346</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45346</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45346</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45346</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45346</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45346</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45346</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45346</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45346</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45346</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45346</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45346</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45346</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45346</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45346</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45346</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45346</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45346</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45346</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45346</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45346</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45346</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45346</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45346</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45346</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45346</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45346</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45346</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45346</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45346</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45346</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45346</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45346</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45346</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45346</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45346</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45346</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45346</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45346</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45346</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45346</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45346</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45346</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45346</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45346</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45346</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45346</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45346</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45346</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45346</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45346</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45346</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45346</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45346</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45346</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45346</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45346</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45346</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45346</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45346</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45346</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45346</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45346</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45346</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45346</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45346</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45346</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45346</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45346</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45346</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45346</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45346</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45346</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45346</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45346</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45346</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45346</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45346</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45346</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45346</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45346</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45346</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45346</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45346</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45346</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45346</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45346</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45346</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45346</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45346</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45346</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45346</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45346</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45346</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45346</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45346</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45346</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45346</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45346</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45346</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45346</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45346</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45346</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45346</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45346</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45346</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45346</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45346</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45346</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45346</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45346</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45346</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45346</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45346</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45346</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45346</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45346</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45346</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45346</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45346</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45346</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45346</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45346</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45346</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45346</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45346</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45346</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45346</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45346</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45346</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45346</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45346</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45346</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45346</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45346</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45346</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45346</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45346</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45346</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45346</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45346</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45346</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45346</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45346</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45346</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45346</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45346</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45346</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45346</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45346</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45346</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45346</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45346</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45346</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45346</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45346</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45346</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45346</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45346</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45346</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45346</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45346</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45346</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45346</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45346</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45346</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45346</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45346</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45346</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45346</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45346</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45346</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45346</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45346</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45346</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45346</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45346</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45346</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45346</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45346</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45346</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45346</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45346</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45346</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45346</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45346</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45346</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45346</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45346</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45346</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45346</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45346</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45346</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45346</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45346</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45346</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45346</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45346</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45346</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45346</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45346</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45346</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45346</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45346</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45346</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45346</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45346</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45346</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45346</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45346</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45346</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45346</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45346</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45346</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45346</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45346</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45346</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45346</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45346</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45346</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45346</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45346</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45346</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45346</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45346</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45346</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45346</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45346</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45346</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45346</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45346</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45346</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45346</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45346</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45346</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45346</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45346</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45346</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45346</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45346</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45346</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45346</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45346</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45346</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45346</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45346</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45346</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45346</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45346</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45346</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45346</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45346</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45346</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45346</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45346</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45346</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45346</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45346</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45346</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45346</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45346</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45346</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45346</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45346</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45346</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45346</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45346</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45346</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45346</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45346</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45346</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45346</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45346</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45346</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45346</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45346</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45346</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45346</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45346</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45346</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45346</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45346</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45346</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45346</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45346</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45346</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45346</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45346</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45346</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45346</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45346</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45346</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45346</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45346</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45346</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45346</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45346</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45346</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45346</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45346</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45346</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45346</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45346</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45346</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45346</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45346</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45346</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45346</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45346</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45346</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45346</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45346</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45346</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45346</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45346</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45346</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45346</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45346</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45346</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45346</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45346</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45346</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45346</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45346</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45346</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45346</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45346</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45346</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45346</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45346</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45346</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45346</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45346</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45346</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45346</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45346</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45346</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45346</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45346</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45346</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45346</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45346</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45346</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45346</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45346</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45346</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45346</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45346</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45346</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45346</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45346</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45346</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45346</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45346</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45346</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45346</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45346</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45346</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45346</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45346</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45346</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45346</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45346</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45346</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45346</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45346</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45346</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45346</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45346</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45346</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45346</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45346</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45346</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45346</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45346</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45346</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45346</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45346</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45346</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45346</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45346</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45346</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45346</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45346</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45346</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45346</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45346</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45346</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45346</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45346</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45346</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45346</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45346</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45346</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45346</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45346</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45346</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45346</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45346</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45346</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45346</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45346</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45346</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45346</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45346</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45346</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45346</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45346</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45346</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45346</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45346</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45346</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45346</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45346</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45346</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45346</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45346</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45346</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45346</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45346</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45346</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45346</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45346</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45346</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45346</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45346</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45346</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45346</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45346</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45346</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45346</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45346</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45346</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45346</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45346</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45346</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45346</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45346</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45346</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45346</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45346</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45346</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45346</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45346</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45346</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45346</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45346</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45346</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45346</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45346</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45346</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45346</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45346</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45346</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45346</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45346</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45346</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45346</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45346</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45346</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45346</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45346</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45346</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45346</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45346</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45346</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45346</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45346</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45346</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45346</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45346</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45346</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45346</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45346</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45346</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45346</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45346</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45346</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45346</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45346</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45346</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45346</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45346</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45346</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45346</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45346</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45346</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45346</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45346</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45346</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45346</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45346</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45346</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45346</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45346</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45346</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45346</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45346</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45346</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45346</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45346</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45346</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45346</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45346</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45346</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45346</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45346</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45346</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45346</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45346</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45346</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45346</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45346</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45346</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45346</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45346</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45346</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45346</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45346</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45346</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45346</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45346</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45346</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45346</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45346</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45346</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45346</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45346</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45346</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45346</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45346</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45346</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45346</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45346</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45346</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45346</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45346</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45346</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45346</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45346</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45346</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45346</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45346</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45346</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45346</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45346</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45346</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45346</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45346</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45346</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45346</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45346</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45346</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45346</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45346</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45346</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45346</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45346</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45346</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45346</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45346</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45346</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45346</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45346</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45346</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45346</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45346</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45346</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45346</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45346</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45346</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45346</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45346</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45346</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45346</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45346</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45346</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45346</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45346</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45346</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45346</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45346</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45346</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45346</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45346</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45346</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45346</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45346</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45346</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45346</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45346</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45346</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45346</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45346</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45346</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45346</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45346</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45346</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45346</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45346</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45346</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45346</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45346</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45346</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45346</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45346</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45346</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45346</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45346</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45346</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45346</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45346</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45346</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45346</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45346</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45346</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45346</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45346</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45346</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45346</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45346</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45346</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45346</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45346</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45346</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45346</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45346</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45346</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45346</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45346</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45346</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45346</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45346</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45346</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45346</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45346</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45346</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45346</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45346</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45346</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45346</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45346</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45346</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45346</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45346</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45346</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45346</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45346</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45346</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45346</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45346</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45346</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45346</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45346</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45346</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45346</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45346</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45346</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45346</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45346</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45346</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45346</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45346</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45346</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45346</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45346</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45346</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45346</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45346</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45346</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45346</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45346</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45346</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45346</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45346</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45346</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45346</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45346</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45346</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45346</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45346</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45346</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45346</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45346</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45346</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45346</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45346</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45346</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45346</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45346</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45346</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45346</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45346</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45346</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45346</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45346</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45346</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45346</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45346</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45346</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45346</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45346</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45346</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45346</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45346</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45346</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45346</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45346</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45346</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45346</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45346</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45346</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45346</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45346</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45346</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45346</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45346</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45346</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45346</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45346</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45346</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45346</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45346</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45346</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45346</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45346</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45346</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45346</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45346</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45346</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45346</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45346</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45346</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45346</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45346</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45346</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45346</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45346</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45346</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45346</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45346</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45346</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45346</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45346</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45346</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45346</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45346</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45346</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45346</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45346</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45346</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45346</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45346</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45346</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45346</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45346</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45346</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45346</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45346</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45346</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45346</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45346</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45346</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45346</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45346</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45346</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45346</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45346</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45346</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45346</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45346</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45346</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45346</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45346</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45346</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45346</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45346</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45346</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45346</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45346</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45346</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45346</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45346</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45346</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45346</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45346</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45346</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45346</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45346</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45346</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45346</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45346</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45346</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45346</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45346</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45346</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45346</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45346</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45346</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45346</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45346</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45346</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45346</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45346</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45346</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45346</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45346</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45346</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45346</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45346</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45346</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45346</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45346</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45346</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45346</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45346</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45346</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45346</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45346</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45346</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45346</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45346</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45346</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45346</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45346</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45346</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45346</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45346</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45346</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45346</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45346</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45346</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45346</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45346</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45346</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45346</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45346</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45346</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45346</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45346</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45346</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45346</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45346</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45346</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45346</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45346</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45346</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45346</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45346</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45346</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45346</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45346</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45346</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45346</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45346</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45346</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45346</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45346</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45346</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45346</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45346</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45346</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45346</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45346</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45346</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45346</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45346</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45346</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45346</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45346</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45346</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45346</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45346</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45346</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45346</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45346</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45346</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45346</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45346</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45346</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45346</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45346</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45346</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45346</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45346</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45346</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45346</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45346</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45346</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45346</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45346</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45346</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45346</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45346</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45346</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45346</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45346</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45346</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45346</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45346</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45346</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45346</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45346</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45346</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45346</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45346</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45346</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45346</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45346</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45346</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45346</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45346</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45346</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45346</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45346</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45346</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45346</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45346</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45346</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45346</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45346</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45346</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45346</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45346</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45346</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45346</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45346</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45346</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45346</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45346</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45346</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45346</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45346</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45346</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45346</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45346</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45346</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45346</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45346</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45346</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45346</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45346</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45346</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45346</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45346</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45346</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45346</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45346</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45346</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45346</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45346</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45346</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45346</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45346</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45346</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45346</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45346</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45346</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45346</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45346</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45346</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45346</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45346</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45346</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45346</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45346</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45346</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45346</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45346</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45346</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45346</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45346</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45346</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45346</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45346</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45346</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45346</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45346</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45346</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45346</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45346</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45346</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45346</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45346</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45346</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45346</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45346</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45346</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45346</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45346</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45346</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45346</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45346</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45346</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45346</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45346</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45346</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45346</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45346</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45346</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45346</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45346</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45346</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45346</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45346</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45346</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45346</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45346</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45346</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45346</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45346</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45346</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45346</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45346</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45346</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45346</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45346</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45346</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45346</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45346</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45346</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45346</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45346</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45346</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45346</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45346</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45346</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45346</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45346</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45346</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45346</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45346</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45346</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45346</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45346</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45346</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45346</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45346</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45346</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45346</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45346</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45346</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45346</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45346</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45346</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45346</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45346</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45346</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45346</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45346</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45346</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45346</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45346</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45346</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45346</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45346</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45346</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45346</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45346</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45346</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45346</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45346</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45346</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45346</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45346</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45346</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45346</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45346</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45346</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45346</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45346</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45346</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45346</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45346</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45346</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45346</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45346</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45346</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45346</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45346</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45346</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45346</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45346</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45346</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45346</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45346</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45346</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45346</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45346</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45346</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45346</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45346</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45346</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45346</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45346</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45346</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45346</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45346</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45346</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45346</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45346</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45346</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45346</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45346</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45346</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45346</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45346</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45346</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45346</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45346</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45346</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45346</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45346</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45346</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45346</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45346</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45346</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45346</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45346</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45346</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45346</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45346</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45346</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45346</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45346</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45346</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45346</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45346</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45346</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45346</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45346</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45346</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45346</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45346</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45346</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45346</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45346</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45346</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45346</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45346</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45346</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45346</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45346</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45346</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45346</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45346</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45346</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45346</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45346</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45346</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45346</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45346</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45346</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45346</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45346</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45346</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45346</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45346</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45346</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45346</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45346</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45346</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45346</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45346</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45346</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45346</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45346</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45346</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45346</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45346</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45346</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45346</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45346</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45346</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45346</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45346</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45346</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45346</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45346</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45346</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45346</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45346</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45346</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45346</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45346</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45346</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45346</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45346</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45346</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45346</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45346</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45346</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45346</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45346</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45346</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45346</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45346</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45346</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45346</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45346</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45346</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45346</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45346</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45346</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45346</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45346</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45346</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45346</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45346</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45346</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45346</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45346</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45346</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45346</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45346</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45346</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45346</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45346</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45346</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45346</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45346</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45346</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45346</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45346</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45346</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45346</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45346</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45346</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45346</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45346</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45346</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45346</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45346</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45346</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45346</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45346</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45346</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45346</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45346</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45346</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45346</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45346</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45346</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45346</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45346</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45346</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45346</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45346</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45346</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45346</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45346</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45346</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45346</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45346</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45346</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45346</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45346</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45346</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45346</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45346</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45346</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45346</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45346</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45346</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45346</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45346</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45346</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45346</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45346</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45346</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45346</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45346</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45346</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45346</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45346</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45346</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45346</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45346</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45346</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45346</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45346</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45346</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45346</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45346</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45346</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45346</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45346</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45346</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45346</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45346</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45346</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45346</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45346</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45346</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45346</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45346</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45346</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45346</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45346</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45346</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45346</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45346</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45346</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45346</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45346</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45346</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45346</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45346</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45346</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45346</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45346</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45346</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45346</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45346</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45346</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45346</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45346</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45346</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45346</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45346</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45346</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45346</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45346</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45346</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45346</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45346</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45346</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45346</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45346</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45346</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45346</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45346</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45346</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45346</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45346</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45346</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45346</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45346</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45346</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45346</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45346</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45346</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45346</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45346</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45346</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45346</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45346</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45346</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45346</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45346</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45346</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45346</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45346</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45346</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45346</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45346</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45346</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45346</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45346</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45346</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45346</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45346</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45346</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45346</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45346</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45346</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45346</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45346</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45346</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45346</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45346</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45346</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45346</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45346</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45346</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45346</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45346</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45346</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45346</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45346</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45346</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45346</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45346</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45346</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45346</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45346</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45346</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45346</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45346</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45346</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45346</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45346</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45346</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45346</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45346</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45346</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45346</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45346</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45346</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45346</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45346</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45346</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45346</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45346</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45346</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45346</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45346</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45346</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45346</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45346</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45346</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45346</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45346</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45346</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45346</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45346</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45346</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45346</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45346</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45346</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45346</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45346</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45346</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45346</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45346</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45346</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45346</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45346</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45346</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45346</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45346</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45346</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45346</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45346</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45346</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45346</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45346</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45346</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45346</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45346</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45346</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45346</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45346</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45346</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45346</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45346</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45346</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45346</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45346</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45346</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45346</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45346</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45346</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45346</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45346</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45346</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45346</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45346</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45346</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45346</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45346</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45346</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45346</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45346</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45346</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45346</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45346</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45346</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45346</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45346</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45346</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45346</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45346</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45346</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45346</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45346</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45346</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45346</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45346</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45346</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45346</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45346</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45346</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45346</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45346</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45346</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45346</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45346</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45346</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45346</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45346</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45346</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45346</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45346</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45346</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45346</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45346</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45346</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45346</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45346</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45346</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45346</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45346</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45346</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45346</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45346</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45346</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45346</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45346</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45346</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45346</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45346</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45346</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45346</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45346</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45346</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45346</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45346</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45346</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45346</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45346</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45346</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45346</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45346</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45346</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45346</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45346</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45346</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45346</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45346</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45346</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45346</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45346</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45346</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45346</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45346</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45346</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45346</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45346</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45346</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45346</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45346</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45346</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45346</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45346</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45346</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45346</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45346</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45346</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45346</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45346</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45346</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45346</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45346</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45346</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45346</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45346</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45346</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45346</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45346</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45346</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45346</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45346</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45346</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45346</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45346</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45346</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45346</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45346</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45346</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45346</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45346</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45346</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45346</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45346</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45346</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45346</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45346</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45346</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45346</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45346</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45346</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45346</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45346</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45346</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45346</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45346</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45346</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45346</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45346</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45346</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45346</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45346</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45346</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45346</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45346</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45346</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45346</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45346</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45346</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45346</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45346</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45346</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45346</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45346</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45346</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45346</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45346</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45346</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45346</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45346</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45346</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45346</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45346</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45346</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45346</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45346</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45346</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45346</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45346</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45346</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45346</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45346</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45346</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45346</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45346</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45346</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45346</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45346</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45346</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45346</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45346</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45346</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45346</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45346</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45346</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45346</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45346</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45346</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45346</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45346</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45346</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45346</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45346</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45346</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45346</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45346</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45346</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45346</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45346</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45346</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45346</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45346</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45346</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45346</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45346</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45346</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45346</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45346</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45346</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45346</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45346</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45346</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45346</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45346</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45346</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45346</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45346</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45346</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45346</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45346</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45346</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45346</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45346</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45346</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45346</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45346</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45346</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45346</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45346</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45346</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45346</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45346</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45346</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45346</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45346</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45346</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45346</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45346</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45346</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45346</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45346</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45346</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45346</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45346</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45346</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45346</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45346</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45346</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45346</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45346</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45346</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45346</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45346</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45346</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45346</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45346</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45346</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45346</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45346</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45346</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45346</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45346</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45346</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45346</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45346</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45346</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45346</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45346</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45346</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45346</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45346</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45346</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45346</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45346</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45346</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45346</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45346</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45346</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45346</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45346</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45346</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45346</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45346</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45346</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45346</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45346</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45346</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45346</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45346</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45346</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45346</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45346</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45346</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45346</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45346</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45346</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45346</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45346</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45346</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45346</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45346</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45346</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45346</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45346</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45346</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45346</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45346</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45346</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45346</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45346</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45346</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45346</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45346</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45346</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45346</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45346</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45346</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45346</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45346</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45346</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45346</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45346</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45346</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45346</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45346</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45346</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45346</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45346</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45346</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45346</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45346</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45346</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45346</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45346</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45346</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45346</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45346</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45346</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45346</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45346</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45346</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45346</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45346</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45346</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45346</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45346</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45346</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45346</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45346</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45346</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45346</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45346</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45346</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45346</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45346</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45346</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45346</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45346</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45346</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45346</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45346</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45346</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45346</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45346</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45346</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45346</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45346</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45346</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45346</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45346</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45346</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45346</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45346</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45346</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45346</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45346</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45346</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45346</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45346</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45346</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45346</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45346</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45346</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45346</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45346</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45346</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45346</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45346</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45346</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45346</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45346</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45346</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45346</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45346</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45346</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45346</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45346</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45346</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45346</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45346</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45346</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45346</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45346</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45346</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45346</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45346</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45346</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45346</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45346</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45346</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45346</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45346</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45346</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45346</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45346</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45346</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45346</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45346</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45346</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45346</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45346</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45346</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45346</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45346</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45346</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45346</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45346</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45346</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45346</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45346</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45346</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45346</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45346</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45346</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45346</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45346</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45346</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45346</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45346</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45346</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45346</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45346</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45346</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45346</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45346</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45346</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45346</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45346</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45346</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45346</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45346</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45346</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45346</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45346</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45346</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45346</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45346</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45346</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45346</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45346</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45346</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45346</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45346</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45346</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45346</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45346</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45346</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45346</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45346</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45346</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45346</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45346</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45346</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45346</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45346</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45346</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45346</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45346</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45346</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45346</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45346</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45346</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45346</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45346</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45346</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45346</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45346</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45346</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45346</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45346</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45346</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45346</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45346</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45346</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45346</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45346</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45346</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45346</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45346</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45346</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45346</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45346</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45346</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45346</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45346</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45346</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45346</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45346</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45346</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45346</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45346</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45346</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45346</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45346</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45346</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45346</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45346</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45346</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45346</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45346</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45346</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45346</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45346</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45346</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45346</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45346</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45346</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45346</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45346</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45346</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45346</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45346</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45346</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45346</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45346</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45346</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45346</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45346</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45346</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45346</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45346</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45346</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45346</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45346</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45346</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45346</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45346</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45346</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45346</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45346</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45346</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45346</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45346</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45346</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45346</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45346</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45346</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45346</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45346</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45346</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45346</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45346</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45346</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45346</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45346</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45346</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45346</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45346</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45346</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45346</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45346</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45346</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45346</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45346</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45346</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45346</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45346</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45346</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45346</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45346</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45346</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45346</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45346</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45346</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45346</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45346</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45346</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45346</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45346</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45346</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45346</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45346</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45346</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45346</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45346</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45346</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45346</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45346</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45346</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45346</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45346</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45346</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45346</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45346</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45346</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45346</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45346</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45346</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45346</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45346</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45346</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45346</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45346</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45346</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45346</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45346</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45346</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45346</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45346</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45346</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45346</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45346</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45346</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45346</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45346</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45346</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45346</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45346</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45346</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45346</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45346</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45346</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45346</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45346</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45346</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45346</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45346</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45346</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45346</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45346</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45346</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45346</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45346</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45346</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45346</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45346</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45346</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45346</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45346</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45346</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45346</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45346</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45346</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45346</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45346</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45346</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45346</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45346</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45346</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45346</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45346</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45346</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45346</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45346</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45346</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45346</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45346</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45346</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45346</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45346</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45346</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45346</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45346</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45346</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45346</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45346</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45346</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45346</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45346</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45346</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45346</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45346</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45346</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45346</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45346</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45346</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45346</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45346</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45346</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45346</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45346</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45346</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45346</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45346</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45346</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45346</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45346</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45346</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45346</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45346</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45346</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45346</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45346</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45346</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45346</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45346</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45346</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45346</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45346</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45346</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45346</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45346</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45346</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45346</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45346</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45346</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45346</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45346</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45346</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45346</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45346</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45346</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45346</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45346</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45346</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45346</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45346</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45346</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45346</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45346</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45346</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45346</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45346</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45346</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45346</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45346</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45346</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45346</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45346</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45346</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45346</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45346</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45346</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45346</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45346</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45346</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45346</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45346</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45346</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45346</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45346</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45346</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45346</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45346</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45346</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45346</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45346</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45346</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45346</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45346</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45346</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45346</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45346</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45346</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45346</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45346</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45346</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45346</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45346</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45346</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45346</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45346</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45346</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45346</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45346</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45346</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45346</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45346</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45346</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45346</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45346</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45346</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45346</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45346</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45346</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45346</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45346</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45346</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45346</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45346</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45346</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45346</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45346</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45346</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45346</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45346</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45346</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45346</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45346</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45346</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45346</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45346</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45346</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45346</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45346</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45346</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45346</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45346</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45346</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45346</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45346</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45346</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45346</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45346</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45346</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45346</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45346</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45346</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45346</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45346</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45346</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45346</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45346</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45346</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45346</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45346</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45346</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45346</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45346</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45346</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45346</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45346</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45346</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45346</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45346</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45346</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45346</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45346</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45346</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45346</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45346</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45346</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45346</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45346</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45346</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45346</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45346</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45346</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45346</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45346</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45346</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45346</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45346</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45346</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45346</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45346</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45346</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45346</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45346</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45346</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45346</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45346</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45346</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45346</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45346</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45346</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45346</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45346</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45346</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45346</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45346</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45346</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45346</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45346</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45346</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45346</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45346</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45346</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45346</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45346</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45346</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45346</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45346</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45346</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45346</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45346</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45346</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45346</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45346</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45346</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45346</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45346</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45346</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45346</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45346</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45346</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45346</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45346</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45346</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45346</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45346</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45346</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45346</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45346</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45346</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45346</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45346</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45346</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45346</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45346</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45346</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45346</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45346</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45346</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45346</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45346</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45346</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45346</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45346</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45346</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45346</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45346</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45346</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45346</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45346</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45346</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45346</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45346</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45346</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45346</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45346</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45346</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45346</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45346</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45346</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45346</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45346</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45346</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45346</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45346</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45346</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45346</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45346</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45346</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45346</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45346</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45346</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45346</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45346</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45346</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45346</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45346</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45346</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45346</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45346</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45346</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45346</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45346</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45346</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45346</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45346</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45346</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45346</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45346</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45346</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45346</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45346</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45346</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45346</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45346</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45346</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45346</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45346</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45346</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45346</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45346</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45346</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45346</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45346</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45346</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45346</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45346</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45346</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45346</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45346</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45346</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45346</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45346</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45346</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45346</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45346</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45346</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45346</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45346</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45346</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45346</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45346</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45346</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45346</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45346</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45346</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45346</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45346</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45346</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45346</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45346</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45346</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45346</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45346</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45346</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45346</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45346</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45346</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45346</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45346</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45346</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45346</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45346</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45346</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45346</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45346</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45346</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45346</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45346</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45346</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45346</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45346</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45346</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45346</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45346</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45346</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45346</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45346</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45346</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45346</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45346</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45346</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45346</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45346</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45346</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45346</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45346</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45346</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45346</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45346</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45346</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45346</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45346</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45346</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45346</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45346</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45346</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45346</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45346</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45346</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45346</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45346</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45346</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45346</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45346</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45346</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45346</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45346</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45346</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45346</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45346</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45346</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45346</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45346</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45346</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45346</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45346</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45346</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45346</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45346</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45346</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45346</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45346</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45346</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45346</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45346</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45346</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45346</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45346</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45346</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45346</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45346</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45346</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45346</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45346</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45346</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45346</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45346</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45346</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45346</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45346</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45346</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45346</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45346</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45346</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45346</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45346</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45346</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45346</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45346</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45346</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45346</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45346</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45346</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45346</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45346</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45346</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45346</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45346</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45346</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45346</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45346</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45346</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45346</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45346</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45346</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45346</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45346</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45346</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45346</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45346</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45346</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45346</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45346</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45346</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45346</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45346</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45346</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45346</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45346</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45346</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45346</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45346</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45346</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45346</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45346</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45346</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45346</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45346</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45346</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45346</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45346</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45346</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45346</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45346</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45346</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45346</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45346</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45346</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45346</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45346</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45346</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45346</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45346</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45346</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45346</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45346</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45346</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45346</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45346</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45346</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45346</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45346</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45346</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45346</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45346</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45346</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45346</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45346</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45346</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45346</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45346</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45346</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45346</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45346</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45346</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45346</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45346</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45346</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45346</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45346</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45346</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45346</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45346</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45346</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45346</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45346</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45346</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45346</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45346</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45346</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45346</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45346</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45346</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45346</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45346</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45346</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45346</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45346</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45346</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45346</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45346</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45346</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45346</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45346</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45346</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45346</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45346</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45346</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45346</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45346</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45346</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45346</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45346</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45346</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45346</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45346</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45346</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45346</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45346</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45346</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45346</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45346</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45346</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45346</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45346</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45346</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45346</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45346</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45346</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45346</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45346</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45346</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45346</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45346</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45346</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45346</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45346</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45346</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45346</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45346</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45346</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45346</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45346</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45346</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45346</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45346</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45346</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45346</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45346</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45346</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45346</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45346</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45346</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45346</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45346</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45346</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45346</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45346</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45346</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45346</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45346</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45346</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45346</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45346</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45346</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45346</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45346</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45346</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45346</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45346</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45346</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45346</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45346</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45346</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45346</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45346</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45346</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45346</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45346</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45346</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45346</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45346</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45346</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45346</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45346</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45346</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45346</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45346</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45346</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45346</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45346</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45346</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45346</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45346</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45346</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45346</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45346</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45346</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45346</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45346</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45346</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45346</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45346</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45346</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45346</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45346</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45346</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45346</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45346</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45346</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45346</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45346</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45346</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45346</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45346</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45346</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45346</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45346</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45346</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45346</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45346</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45346</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45346</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45346</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45346</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45346</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45346</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45346</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45346</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45346</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45346</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45346</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45346</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45346</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45346</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45346</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45346</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45346</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45346</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45346</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45346</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45346</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45346</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45346</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45346</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45346</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45346</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45346</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45346</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45346</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45346</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45346</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45346</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45346</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45346</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45346</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45346</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45346</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45346</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45346</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45346</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45346</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45346</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45346</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45346</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45346</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45346</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45346</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45346</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45346</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45346</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45346</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45346</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45346</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45346</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45346</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45346</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45346</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45346</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45346</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45346</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45346</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45346</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45346</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45346</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45346</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45346</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45346</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45346</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45346</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45346</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45346</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45346</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45346</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45346</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45346</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45346</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45346</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45346</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45346</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45346</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45346</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45346</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45346</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45346</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45346</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45346</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45346</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45346</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45346</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45346</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45346</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45346</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45346</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45346</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45346</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45346</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45346</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45346</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45346</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45346</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45346</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45346</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45346</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45346</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45346</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45346</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45346</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45346</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45346</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45346</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45346</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45346</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45346</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45346</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45346</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45346</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45346</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45346</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45346</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45346</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45346</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45346</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45346</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45346</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45346</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45346</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45346</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45346</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45346</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45346</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45346</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45346</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45346</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45346</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45346</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45346</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45346</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45346</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45346</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45346</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45346</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45346</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45346</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45346</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45346</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45346</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45346</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45346</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45346</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45346</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45346</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45346</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45346</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45346</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45346</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45346</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45346</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45346</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45346</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45346</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45346</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45346</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45346</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45346</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45346</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45346</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45346</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45346</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45346</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45346</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45346</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45346</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45346</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45346</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45346</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45346</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45346</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45346</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45346</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45346</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45346</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45346</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45346</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45346</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45346</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45346</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45346</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45346</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45346</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45346</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45346</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45346</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45346</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45346</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45346</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45346</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45346</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45346</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45346</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45346</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45346</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45346</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45346</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45346</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45346</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45346</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45346</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45346</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45346</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45346</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45346</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45346</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45346</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45346</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45346</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45346</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45346</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45346</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45346</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45346</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45346</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45346</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45346</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45346</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45346</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45346</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45346</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45346</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45346</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45346</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45346</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45346</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45346</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45346</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45346</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45346</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45346</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45346</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45346</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45346</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45346</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45346</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45346</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45346</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45346</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45346</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45346</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45346</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45346</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45346</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45346</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45346</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45346</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45346</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45346</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45346</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45346</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45346</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45346</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45346</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45346</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45346</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45346</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45346</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45346</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45346</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45346</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45346</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45346</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45346</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45346</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45346</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45346</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45346</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45346</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45346</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45346</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45346</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45346</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45346</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45346</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45346</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45346</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45346</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45346</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45346</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45346</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45346</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45346</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45346</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45346</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45346</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45346</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45346</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45346</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45346</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45346</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45346</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45346</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45346</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45346</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45346</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45346</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45346</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45346</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45346</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45346</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45346</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45346</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45346</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45346</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45346</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45346</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45346</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45346</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45346</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45346</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45346</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45346</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45346</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45346</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45346</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45346</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45346</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45346</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45346</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45346</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45346</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45346</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45346</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45346</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45346</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45346</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45346</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45346</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45346</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45346</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45346</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45346</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45346</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45346</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45346</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45346</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45346</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45346</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45346</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45346</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45346</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45346</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45346</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45346</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45346</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45346</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45346</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45346</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45346</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45346</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45346</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45346</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45346</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45346</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45346</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45346</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45346</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45346</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45346</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45346</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45346</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45346</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45346</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45346</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45346</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45346</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45346</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45346</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45346</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45346</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45346</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45346</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45346</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45346</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45346</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45346</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45346</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45346</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45346</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45346</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45346</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45346</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45346</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45346</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45346</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45346</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45346</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45346</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45346</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45346</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45346</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45346</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45346</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45346</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45346</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45346</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45346</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45346</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45346</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45346</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45346</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45346</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45346</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45346</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45346</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45346</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45346</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45346</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45346</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45346</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45346</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45346</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45346</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45346</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45346</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45346</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45346</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45346</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45346</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45346</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45346</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45346</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45346</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45346</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45346</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45346</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45346</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45346</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45346</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45346</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45346</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45346</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45346</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45346</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45346</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45346</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45346</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45346</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45346</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45346</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45346</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45346</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45346</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45346</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45346</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45346</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45346</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45346</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45346</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45346</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45346</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45346</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45346</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45346</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45346</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45346</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45346</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45346</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45346</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45346</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45346</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45346</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45346</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45346</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45346</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45346</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45346</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45346</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45346</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45346</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45346</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45346</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45346</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45346</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45346</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45346</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45346</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45346</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45346</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45346</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45346</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45346</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45346</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45346</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45346</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45346</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45346</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45346</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45346</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45346</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45346</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45346</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45346</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45346</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45346</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45346</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45346</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45346</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45346</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45346</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45346</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45346</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45346</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45346</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45346</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45346</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45346</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45346</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45346</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45346</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45346</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45346</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45346</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45346</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45346</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45346</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45346</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45346</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45346</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45346</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45346</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45346</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45346</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45346</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45346</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45346</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45346</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45346</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45346</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45346</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45346</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45346</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45346</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45346</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45346</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45346</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45346</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45346</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45346</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45346</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45346</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45346</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45346</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45346</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45346</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45346</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45346</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45346</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45346</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45346</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45346</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45346</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45346</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45346</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45346</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45346</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45346</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45346</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45346</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45346</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45346</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45346</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45346</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45346</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45346</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45346</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45346</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45346</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45346</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45346</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45346</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45346</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45346</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45346</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45346</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45346</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45346</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45346</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45346</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45346</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45346</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45346</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45346</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45346</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45346</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45346</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45346</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45346</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45346</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45346</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45346</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45346</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45346</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45346</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45346</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45346</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45346</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45346</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45346</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45346</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45346</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45346</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45346</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45346</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45346</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45346</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45346</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45346</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45346</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45346</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45346</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45346</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45346</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45346</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45346</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45346</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45346</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45346</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45346</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45346</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45346</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45346</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45346</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45346</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45346</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45346</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45346</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45346</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45346</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45346</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45346</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45346</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45346</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45346</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45346</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45346</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45346</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45346</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45346</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45346</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45346</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45346</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45346</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45346</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45346</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45346</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45346</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45346</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45346</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45346</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45346</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45346</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45346</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45346</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45346</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45346</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45346</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45346</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45346</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45346</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45346</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45346</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45346</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45346</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45346</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45346</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45346</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45346</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45346</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45346</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45346</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45346</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45346</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45346</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45346</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45346</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45346</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45346</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45346</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45346</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45346</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45346</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45346</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45346</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45346</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45346</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45346</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45346</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45346</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45346</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45346</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45346</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45346</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45346</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45346</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45346</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45346</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45346</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45346</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45346</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45346</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45346</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45346</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45346</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45346</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45346</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45346</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45346</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45346</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45346</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45346</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45346</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45346</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45346</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45346</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45346</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45346</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45346</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45346</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45346</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45346</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45346</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45346</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45346</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45346</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45346</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45346</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45346</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45346</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45346</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45346</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45346</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45346</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45346</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45346</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45346</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45346</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45346</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45346</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45346</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45346</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45346</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45346</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45346</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45346</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45346</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45346</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45346</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45346</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45346</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45346</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45346</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45346</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45346</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45346</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45346</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45346</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45346</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45346</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45346</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45346</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45346</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45346</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45346</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45346</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45346</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45346</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45346</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45346</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45346</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45346</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45346</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45346</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45346</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45346</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45346</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45346</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45346</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45346</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45346</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45346</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45346</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45346</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45346</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45346</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45346</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45346</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45346</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45346</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45346</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45346</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45346</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45346</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45346</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45346</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45346</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45346</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45346</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45346</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45346</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45346</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45346</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45346</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45346</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45346</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45346</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45346</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45346</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45346</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45346</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45346</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45346</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45346</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45346</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45346</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45346</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45346</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45346</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45346</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45346</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45346</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45346</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45346</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45346</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45346</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45346</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45346</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45346</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45346</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45346</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45346</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45346</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45346</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45346</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45346</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45346</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45346</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45346</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45346</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45346</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45346</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45346</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45346</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45346</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45346</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45346</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45346</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45346</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45346</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45346</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45346</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45346</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45346</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45346</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45346</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45346</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45346</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45346</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45346</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45346</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45346</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45346</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45346</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45346</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45346</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45346</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45346</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45346</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45346</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45346</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45346</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45346</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45346</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45346</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45346</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45346</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45346</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45346</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45346</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45346</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45346</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45346</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45346</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45346</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45346</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45346</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45346</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45346</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45346</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45346</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45346</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45346</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45346</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45346</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45346</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45346</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45346</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45346</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45346</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45346</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45346</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45346</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45346</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45346</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45346</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45346</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45346</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45346</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45346</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45346</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45346</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45346</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45346</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45346</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45346</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45346</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45346</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45346</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45346</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45346</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45346</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45346</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45346</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45346</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45346</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45346</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45346</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45346</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45346</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45346</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45346</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45346</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45346</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45346</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45346</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45346</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45346</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45346</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45346</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45346</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45346</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45346</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45346</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45346</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45346</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45346</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45346</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45346</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45346</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45346</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45346</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45346</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45346</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45346</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45346</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45346</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45346</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45346</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45346</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45346</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45346</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45346</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45346</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45346</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45346</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45346</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45346</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45346</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45346</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45346</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45346</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45346</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45346</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45346</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45346</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45346</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45346</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45346</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45346</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45346</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45346</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45346</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45346</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45346</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45346</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45346</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45346</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45346</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45346</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45346</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45346</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45346</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45346</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45346</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45346</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45346</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45346</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45346</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45346</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45346</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45346</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45346</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45346</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45346</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45346</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45346</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45346</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45346</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45346</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45346</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45346</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45346</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45346</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45346</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45346</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45346</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45346</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45346</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45346</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45346</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45346</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45346</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45346</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45346</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45346</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45346</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45346</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45346</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45346</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45346</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45346</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45346</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45346</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45346</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45346</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45346</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45346</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45346</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45346</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45346</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45346</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45346</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45346</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45346</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45346</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45346</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45346</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45346</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45346</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45346</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45346</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45346</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45346</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45346</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45346</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45346</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45346</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45346</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45346</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45346</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45346</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45346</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45346</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45346</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45346</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45346</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45346</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45346</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45346</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45346</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45346</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45346</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45346</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45346</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45346</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45346</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45346</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45346</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45346</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45346</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45346</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45346</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45346</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45346</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45346</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45346</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45346</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45346</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45346</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45346</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45346</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45346</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45346</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45346</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45346</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45346</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45346</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45346</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45346</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45346</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45346</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45346</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45346</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45346</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45346</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45346</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45346</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45346</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45346</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45346</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45346</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45346</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45346</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45346</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45346</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45346</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45346</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45346</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45346</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45346</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45346</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45346</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45346</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45346</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45346</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45346</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45346</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45346</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45346</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45346</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45346</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45346</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45346</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45346</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45346</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45346</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45346</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45346</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45346</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45346</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45346</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45346</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45346</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45346</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45346</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45346</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45346</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45346</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45346</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45346</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45346</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45346</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45346</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45346</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45346</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45346</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45346</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45346</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45346</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45346</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45346</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45346</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45346</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45346</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45346</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45346</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45346</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45346</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45346</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45346</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45346</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45346</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45346</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45346</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45346</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45346</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45346</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45346</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45346</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45346</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45346</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45346</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45346</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45346</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45346</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45346</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45346</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45346</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45346</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45346</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45346</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45346</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45346</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45346</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45346</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45346</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45346</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45346</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45346</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45346</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45346</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45346</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45346</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45346</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45346</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45346</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45346</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45346</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45346</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45346</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45346</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45346</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45346</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45346</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45346</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45346</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45346</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45346</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45346</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45346</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45346</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45346</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45346</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45346</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45346</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45346</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45346</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45346</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45346</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45346</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45346</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45346</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45346</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45346</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45346</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45346</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45346</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45346</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45346</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45346</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45346</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45346</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45346</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45346</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45346</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45346</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45346</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45346</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45346</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45346</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45346</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45346</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45346</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45346</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45346</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45346</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45346</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45346</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45346</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45346</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45346</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45346</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45346</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45346</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45346</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45346</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45346</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45346</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45346</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45346</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45346</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45346</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45346</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45346</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45346</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45346</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45346</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45346</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45346</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45346</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45346</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45346</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45346</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45346</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45346</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45346</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45346</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45346</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45346</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45346</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45346</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45346</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45346</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45346</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45346</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45346</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45346</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45346</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45346</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45346</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45346</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45346</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45346</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45346</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45346</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45346</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45346</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45346</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45346</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45346</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45346</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45346</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45346</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45346</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45346</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45346</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45346</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45346</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45346</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45346</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45346</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45346</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45346</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45346</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45346</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45346</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45346</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45346</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45346</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45346</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45346</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45346</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45346</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45346</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45346</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45346</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45346</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45346</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45346</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45346</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45346</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45346</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45346</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45346</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45346</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45346</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45346</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45346</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45346</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45346</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45346</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45346</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45346</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45346</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45346</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45346</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45346</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45346</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45346</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45346</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45346</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45346</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45346</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45346</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45346</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45346</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45346</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45346</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45346</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45346</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45346</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45346</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45346</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45346</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45346</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45346</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45346</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45346</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45346</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45346</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45346</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45346</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45346</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45346</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45346</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45346</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45346</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45346</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45346</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45346</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45346</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45346</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45346</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45346</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45346</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45346</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45346</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45346</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45346</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45346</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45346</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45346</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45346</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45346</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45346</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45346</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45346</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45346</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45346</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45346</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45346</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45346</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45346</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45346</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45346</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45346</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45346</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45346</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45346</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45346</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45346</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45346</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45346</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45346</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45346</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45346</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45346</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45346</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45346</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45346</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45346</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45346</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45346</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45346</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45346</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45346</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45346</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45346</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45346</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45346</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45346</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45346</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45346</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45346</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45346</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45346</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45346</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45346</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45346</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45346</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45346</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45346</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45346</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45346</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45346</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45346</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45346</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45346</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45346</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45346</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45346</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45346</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45346</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45346</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45346</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45346</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45346</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45346</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45346</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45346</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45346</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45346</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45346</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45346</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45346</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45346</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45346</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45346</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45346</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45346</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45346</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45346</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45346</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45346</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45346</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45346</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45346</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45346</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45346</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45346</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45346</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45346</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45346</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45346</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45346</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45346</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45346</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45346</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45346</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45346</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45346</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45346</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45346</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45346</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45346</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45346</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45346</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45346</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45346</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45346</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45346</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45346</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45346</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45346</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45346</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45346</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45346</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45346</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45346</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45346</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45346</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45346</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45346</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45346</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45346</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45346</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45346</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45346</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45346</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45346</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45346</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45346</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45346</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45346</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45346</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45346</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45346</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45346</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45346</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45346</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45346</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45346</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45346</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45346</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45346</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45346</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45346</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45346</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45346</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45346</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45346</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45346</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45346</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45346</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45346</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45346</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45346</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45346</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45346</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45346</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45346</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45346</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45346</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45346</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45346</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45346</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45346</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45346</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45346</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45346</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45346</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45346</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45346</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45346</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45346</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45346</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45346</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45346</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45346</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45346</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45346</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45346</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45346</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45346</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45346</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45346</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45346</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45346</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45346</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45346</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45346</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45346</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45346</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45346</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45346</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45346</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45346</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45346</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45346</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45346</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45346</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45346</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45346</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45346</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45346</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45346</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45346</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45346</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45346</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45346</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45346</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45346</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45346</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45346</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45346</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45346</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45346</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45346</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45346</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45346</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45346</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45346</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45346</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45346</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45346</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45346</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45346</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45346</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45346</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45346</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45346</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45346</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45346</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45346</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45346</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45346</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45346</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45346</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45346</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45346</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45346</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45346</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45346</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45346</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45346</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45346</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45346</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45346</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45346</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45346</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45346</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45346</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45346</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45346</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45346</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45346</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45346</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45346</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45346</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45346</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45346</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45346</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45346</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45346</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45346</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45346</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45346</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45346</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45346</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45346</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45346</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45346</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45346</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45346</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45346</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45346</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45346</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45346</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45346</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45346</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45346</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45346</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45346</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45346</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45346</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45346</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45346</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45346</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45346</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45346</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45346</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45346</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45346</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45346</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45346</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45346</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45346</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45346</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45346</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45346</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45346</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45346</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45346</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45346</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45346</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45346</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45346</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45346</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45346</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45346</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45346</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45346</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45346</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45346</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45346</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45346</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45346</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45346</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45346</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45346</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45346</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45346</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45346</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45346</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45346</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45346</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45346</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45346</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45346</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45346</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45346</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45346</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45346</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45346</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45346</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45346</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45346</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45346</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45346</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45346</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45346</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45346</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45346</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45346</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45346</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45346</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45346</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45346</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45346</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45346</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45346</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45346</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45346</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45346</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45346</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45346</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45346</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45346</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45346</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45346</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45346</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45346</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45346</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45346</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45346</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45346</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45346</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45346</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45346</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45346</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45346</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45346</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45346</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45346</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45346</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45346</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45346</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45346</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45346</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45346</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45346</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45346</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45346</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45346</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45346</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45346</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45346</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45346</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45346</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45346</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45346</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45346</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45346</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45346</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45346</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45346</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45346</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45346</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45346</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45346</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45346</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45346</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45346</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45346</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45346</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45346</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45346</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45346</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45346</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45346</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45346</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45346</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45346</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45346</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45346</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45346</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45346</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45346</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45346</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45346</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45346</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45346</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45346</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45346</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45346</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45346</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45346</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45346</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45346</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45346</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45346</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45346</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45346</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45346</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45346</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45346</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45346</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45346</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45346</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45346</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45346</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45346</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45346</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45346</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45346</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45346</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45346</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45346</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45346</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45346</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45346</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45346</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45346</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45346</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45346</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45346</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45346</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45346</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45346</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45346</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45346</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45346</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45346</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45346</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45346</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45346</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45346</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45346</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45346</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45346</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45346</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45346</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45346</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45346</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45346</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45346</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45346</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45346</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45346</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45346</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45346</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45346</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45346</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45346</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45346</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45346</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45346</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45346</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45346</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45346</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45346</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45346</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45346</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45346</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45346</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45346</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45346</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45346</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45346</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45346</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45346</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45346</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45346</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45346</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45346</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45346</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45346</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45346</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45346</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45346</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45346</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45346</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45346</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45346</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45346</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45346</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45346</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45346</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45346</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45346</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45346</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45346</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45346</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45346</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45346</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45346</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45346</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45346</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45346</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45346</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45346</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45346</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45346</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45346</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45346</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45346</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45346</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45346</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45346</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45346</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45346</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45346</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45346</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45346</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45346</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45346</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45346</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45346</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45346</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45346</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45346</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45346</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45346</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45346</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45346</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45346</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45346</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45346</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45346</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45346</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45346</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45346</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45346</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45346</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45346</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45346</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45346</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45346</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45346</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45346</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45346</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45346</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45346</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45346</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45346</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45346</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45346</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45346</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45346</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45346</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45346</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45346</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45346</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45346</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45346</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45346</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45346</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45346</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45346</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45346</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45346</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45346</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45346</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45346</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45346</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45346</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45346</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45346</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45346</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45346</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45346</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45346</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45346</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45346</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45346</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45346</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45346</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45346</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45346</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45346</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45346</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45346</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45346</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45346</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45346</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45346</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45346</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45346</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45346</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45346</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45346</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45346</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45346</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45346</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45346</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45346</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45346</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45346</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45346</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45346</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45346</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45346</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45346</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45346</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45346</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45346</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45346</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45346</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45346</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45346</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45346</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45346</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45346</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45346</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45346</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45346</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45346</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45346</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45346</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45346</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45346</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45346</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45346</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45346</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45346</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45346</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45346</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45346</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45346</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45346</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45346</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45346</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45346</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45346</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45346</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45346</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45346</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45346</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45346</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45346</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45346</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45346</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45346</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45346</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45346</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45346</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45346</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45346</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45346</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45346</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45346</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45346</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45346</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45346</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45346</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45346</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45346</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45346</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45346</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45346</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45346</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45346</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45346</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45346</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45346</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45346</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45346</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45346</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45346</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45346</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45346</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45346</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45346</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45346</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45346</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45346</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45346</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45346</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45346</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45346</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45346</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45346</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45346</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45346</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45346</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45346</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45346</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45346</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45346</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45346</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45346</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45346</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45346</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45346</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45346</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45346</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45346</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45346</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45346</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45346</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45346</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45346</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45346</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45346</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45346</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45346</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45346</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45346</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45346</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45346</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45346</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45346</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45346</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45346</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45346</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45346</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45346</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45346</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45346</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45346</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45346</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45346</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45346</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45346</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45346</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45346</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45346</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45346</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45346</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45346</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45346</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45346</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45346</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45346</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45346</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45346</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45346</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45346</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45346</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45346</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45346</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45346</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45346</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45346</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45346</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45346</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45346</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45346</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45346</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45346</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45346</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45346</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45346</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45346</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45346</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45346</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45346</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45346</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45346</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45346</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45346</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45346</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45346</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45346</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45346</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45346</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45346</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45346</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45346</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45346</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45346</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45346</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45346</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45346</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45346</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45346</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45346</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45346</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45346</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45346</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45346</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45346</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45346</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45346</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45346</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45346</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45346</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45346</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45346</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45346</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45346</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45346</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45346</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45346</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45346</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45346</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45346</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45346</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45346</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45346</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45346</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45346</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45346</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45346</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45346</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45346</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45346</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45346</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45346</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45346</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45346</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45346</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45346</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45346</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45346</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45346</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45346</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45346</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45346</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45346</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45346</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45346</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45346</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45346</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45346</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45346</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45346</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45346</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45346</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45346</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45346</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45346</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45346</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45346</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45346</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45346</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45346</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45346</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45346</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45346</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45346</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45346</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45346</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45346</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45346</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45346</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45346</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45346</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45346</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45346</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45346</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45346</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45346</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45346</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45346</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45346</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45346</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45346</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45346</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45346</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45346</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45346</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45346</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45346</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45346</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45346</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45346</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45346</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45346</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45346</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45346</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45346</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45346</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45346</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45346</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45346</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45346</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45346</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45346</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45346</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45346</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45346</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45346</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45346</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45346</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45346</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45346</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45346</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45346</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45346</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45346</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45346</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45346</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45346</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45346</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45346</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45346</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45346</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45346</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45346</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45346</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45346</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45346</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45346</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45346</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45346</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45346</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45346</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45346</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45346</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45346</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45346</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45346</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45346</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45346</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45346</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45346</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45346</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45346</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45346</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45346</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45346</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45346</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45346</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45346</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45346</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45346</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45346</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45346</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45346</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45346</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45346</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45346</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45346</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45346</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45346</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45346</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45346</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45346</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45346</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45346</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45346</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45346</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45346</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45346</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45346</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45346</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45346</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45346</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45346</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45346</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45346</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45346</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45346</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45346</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45346</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45346</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45346</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45346</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45346</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45346</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45346</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45346</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45346</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45346</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45346</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45346</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45346</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45346</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45346</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45346</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45346</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45346</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45346</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45346</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45346</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45346</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45346</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45346</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45346</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45346</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45346</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45346</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45346</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45346</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45346</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45346</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45346</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45346</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45346</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45346</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45346</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45346</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45346</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45346</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45346</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45346</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45346</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45346</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45346</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45346</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45346</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45346</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45346</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45346</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45346</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45346</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45346</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45346</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45346</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45346</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45346</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45346</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45346</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45346</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45346</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45346</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45346</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45346</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45346</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45346</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45346</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45346</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45346</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45346</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45346</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45346</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45346</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45346</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45346</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45346</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45346</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45346</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45346</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45346</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45346</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45346</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45346</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45346</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45346</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45346</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45346</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45346</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45346</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45346</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45346</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45346</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45346</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45346</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45346</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45346</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45346</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45346</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45346</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45346</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45346</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45346</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45346</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45346</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45346</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45346</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45346</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45346</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45346</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45346</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45346</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45346</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45346</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45346</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45346</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45346</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45346</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45346</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45346</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45346</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45346</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45346</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45346</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45346</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45346</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45346</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45346</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45346</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45346</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45346</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45346</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45346</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45346</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45346</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45346</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45346</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45346</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45346</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45346</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45346</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45346</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45346</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45346</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45346</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45346</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45346</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45346</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45346</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45346</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45346</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45346</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45346</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45346</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45346</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45346</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45346</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45346</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45346</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45346</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45346</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45346</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45346</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45346</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45346</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45346</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45346</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45346</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45346</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45346</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45346</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45346</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45346</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45346</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45346</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45346</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45346</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45346</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45346</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45346</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45346</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45346</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45346</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45346</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45346</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45346</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45346</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45346</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45346</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45346</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45346</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45346</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45346</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45346</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45346</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45346</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45346</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45346</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45346</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45346</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45346</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45346</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45346</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45346</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45346</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45346</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45346</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45346</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45346</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45346</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45346</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45346</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45346</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45346</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45346</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45346</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45346</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45346</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45346</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45346</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45346</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45346</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45346</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45346</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45346</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45346</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45346</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45346</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45346</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45346</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45346</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45346</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45346</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45346</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45346</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45346</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45346</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45346</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45346</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45346</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45346</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45346</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45346</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45346</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45346</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45346</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45346</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45346</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45346</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45346</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45346</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45346</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45346</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45346</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45346</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45346</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45346</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45346</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45346</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45346</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45346</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45346</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45346</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45346</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45346</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45346</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45346</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45346</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45346</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45346</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45346</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45346</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45346</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45346</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45346</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45346</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45346</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45346</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45346</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45346</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45346</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45346</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45346</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45346</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45346</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45346</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45346</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45346</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45346</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45346</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45346</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45346</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45346</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45346</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45346</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45346</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45346</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45346</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45346</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45346</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45346</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45346</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45346</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45346</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45346</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45346</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45346</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45346</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45346</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45346</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45346</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45346</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45346</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45346</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45346</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45346</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45346</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45346</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45346</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45346</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45346</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45346</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45346</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45346</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45346</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45346</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45346</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45346</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45346</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45346</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45346</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45346</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45346</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45346</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45346</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45346</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45346</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45346</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45346</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45346</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45346</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45346</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45346</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45346</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45346</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45346</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45346</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45346</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45346</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45346</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45346</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45346</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45346</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45346</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45346</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45346</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45346</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45346</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45346</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45346</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45346</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45346</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45346</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45346</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45346</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45346</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45346</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45346</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45346</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45346</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45346</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45346</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45346</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45346</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45346</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45346</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45346</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45346</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45346</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45346</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45346</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45346</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45346</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45346</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45346</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45346</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45346</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45346</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45346</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45346</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45346</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45346</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45346</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45346</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45346</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45346</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45346</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45346</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45346</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45346</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45346</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45346</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45346</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45346</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45346</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45346</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45346</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45346</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45346</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45346</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45346</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45346</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45346</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45346</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45346</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45346</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45346</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45346</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45346</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45346</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45346</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45346</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45346</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45346</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45346</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45346</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45346</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45346</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45346</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45346</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45346</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45346</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45346</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45346</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45346</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45346</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45346</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45346</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45346</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45346</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45346</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45346</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45346</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45346</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45346</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45346</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45346</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45346</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45346</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45346</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45346</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45346</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45346</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45346</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45346</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45346</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45346</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45346</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45346</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45346</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45346</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45346</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45346</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45346</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45346</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45346</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45346</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45346</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45346</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45346</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45346</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45346</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45346</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45346</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45346</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45346</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45346</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45346</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45346</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45346</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45346</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45346</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45346</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45346</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45346</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45346</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45346</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45346</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45346</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45346</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45346</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45346</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45346</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45346</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45346</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45346</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45346</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45346</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45346</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45346</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45346</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45346</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45346</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45346</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45346</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45346</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45346</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45346</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45346</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45346</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45346</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45346</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45346</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45346</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45346</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45346</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45346</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45346</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45346</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45346</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45346</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45346</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45346</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45346</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45346</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45346</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45346</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45346</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45346</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45346</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45346</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45346</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45346</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45346</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45346</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45346</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45346</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45346</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45346</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45346</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45346</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45346</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45346</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45346</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45346</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45346</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45346</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45346</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45346</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45346</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45346</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45346</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45346</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45346</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45346</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45346</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45346</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45346</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45346</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45346</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45346</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45346</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45346</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45346</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45346</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45346</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45346</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45346</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45346</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45346</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45346</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45346</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45346</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45346</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45346</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45346</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45346</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45346</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45346</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45346</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45346</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45346</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45346</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45346</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45346</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45346</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45346</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45346</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45346</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45346</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45346</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45346</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45346</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45346</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45346</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45346</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45346</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45346</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45346</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45346</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45346</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45346</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45346</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45346</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45346</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45346</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45346</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45346</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45346</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45346</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45346</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45346</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45346</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45346</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45346</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45346</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45346</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45346</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45346</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45346</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45346</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45346</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45346</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45346</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45346</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45346</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45346</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45346</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45346</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45346</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45346</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45346</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45346</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45346</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45346</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45346</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45346</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45346</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45346</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45346</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45346</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45346</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45346</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45346</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45346</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45346</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45346</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45346</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45346</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45346</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45346</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45346</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45346</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45346</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45346</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45346</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45346</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45346</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45346</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45346</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45346</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45346</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45346</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45346</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45346</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45346</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45346</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45346</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45346</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45346</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45346</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45346</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45346</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45346</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45346</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45346</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45346</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45346</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45346</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45346</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45346</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45346</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45346</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45346</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45346</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45346</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45346</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45346</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45346</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45346</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45346</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45346</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45346</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45346</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45346</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45346</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45346</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45346</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45346</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45346</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45346</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45346</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45346</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45346</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45346</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45346</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45346</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45346</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45346</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45346</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45346</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45346</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45346</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45346</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45346</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45346</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45346</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45346</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45346</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45346</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45346</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45346</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45346</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45346</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45346</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45346</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45346</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45346</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45346</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45346</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45346</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45346</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45346</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45346</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45346</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45346</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45346</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45346</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45346</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45346</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45346</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45346</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45346</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45346</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45346</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45346</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45346</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45346</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45346</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45346</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45346</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45346</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45346</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45346</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45346</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45346</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45346</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45346</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45346</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45346</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45346</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45346</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45346</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45346</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45346</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45346</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45346</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45346</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45346</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45346</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45346</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45346</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45346</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45346</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45346</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45346</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45346</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45346</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45346</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45346</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45346</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45346</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45346</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45346</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45346</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45346</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45346</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45346</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45346</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45346</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45346</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45346</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45346</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45346</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45346</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45346</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45346</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45346</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45346</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45346</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45346</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45346</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45346</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45346</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45346</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45346</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45346</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45346</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45346</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45346</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45346</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45346</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45346</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45346</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45346</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45346</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45346</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45346</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45346</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45346</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45346</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45346</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45346</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45346</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45346</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45346</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45346</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45346</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45346</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45346</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45346</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45346</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45346</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45346</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45346</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45346</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45346</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45346</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45346</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45346</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45346</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45346</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45346</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45346</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45346</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45346</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45346</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45346</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45346</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45346</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45346</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45346</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45346</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45346</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45346</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45346</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45346</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45346</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45346</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45346</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45346</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45346</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45346</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45346</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45346</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45346</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45346</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45346</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45346</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45346</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45346</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45346</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45346</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45346</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45346</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45346</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45346</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45346</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45346</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45346</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45346</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45346</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45346</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45346</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45346</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45346</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45346</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45346</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45346</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45346</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45346</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45346</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45346</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45346</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45346</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45346</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45346</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45346</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45346</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45346</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45346</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45346</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45346</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45346</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45346</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45346</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45346</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45346</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45346</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45346</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45346</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45346</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45346</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45346</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45346</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45346</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45346</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45346</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45346</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45346</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45346</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45346</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45346</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45346</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45346</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45346</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45346</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45346</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45346</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45346</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45346</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45346</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45346</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45346</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45346</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45346</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45346</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45346</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45346</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45346</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45346</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45346</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45346</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45346</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45346</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45346</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45346</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45346</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45346</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45346</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45346</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45346</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45346</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45346</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45346</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45346</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45346</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45346</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45346</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45346</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45346</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45346</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45346</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45346</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45346</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45346</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45346</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45346</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45346</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45346</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45346</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45346</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45346</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45346</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45346</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45346</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45346</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45346</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45346</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45346</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45346</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45346</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45346</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45346</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45346</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45346</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45346</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45346</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45346</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45346</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45346</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45346</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45346</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45346</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45346</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45346</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45346</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45346</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45346</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45346</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45346</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45346</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45346</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45346</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45346</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45346</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45346</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45346</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45346</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45346</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45346</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45346</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45346</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45346</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45346</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45346</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45346</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45346</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45346</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45346</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45346</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45346</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45346</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45346</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45346</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45346</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45346</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45346</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45346</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45346</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45346</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45346</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45346</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45346</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45346</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45346</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45346</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45346</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45346</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45346</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45346</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45346</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45346</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45346</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45346</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45346</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45346</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45346</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45346</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45346</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45346</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45346</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45346</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45346</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45346</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45346</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45346</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45346</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45346</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45346</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45346</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45346</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45346</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45346</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45346</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45346</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45346</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45346</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45346</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45346</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45346</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45346</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45346</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45346</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45346</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45346</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45346</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45346</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45346</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45346</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45346</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45346</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45346</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45346</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45346</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45346</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45346</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45346</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45346</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45346</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45346</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45346</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45346</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45346</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45346</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45346</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45346</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45346</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45346</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45346</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45346</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45346</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45346</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45346</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45346</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45346</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45346</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45346</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45346</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45346</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45346</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45346</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45346</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45346</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45346</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45346</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45346</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45346</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45346</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45346</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45346</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45346</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45346</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45346</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45346</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45346</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45346</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45346</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45346</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45346</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45346</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45346</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45346</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45346</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45346</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45346</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45346</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45346</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45346</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45346</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45346</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45346</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45346</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45346</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45346</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45346</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45346</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45346</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45346</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45346</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45346</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45346</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45346</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45346</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45346</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45346</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45346</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45346</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45346</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45346</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45346</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45346</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45346</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45346</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45346</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45346</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45346</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45346</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45346</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45346</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45346</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45346</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45346</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45346</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45346</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45346</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45346</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45346</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45346</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45346</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45346</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45346</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45346</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45346</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45346</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45346</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45346</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45346</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45346</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45346</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45346</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45346</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45346</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45346</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45346</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45346</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45346</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45346</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45346</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45346</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45346</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45346</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45346</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45346</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45346</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45346</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45346</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45346</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45346</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45346</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45346</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45346</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45346</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45346</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45346</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45346</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45346</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45346</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45346</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45346</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45346</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45346</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45346</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45346</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45346</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45346</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45346</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45346</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45346</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45346</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45346</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45346</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45346</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45346</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45346</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45346</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45346</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45346</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45346</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45346</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45346</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45346</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45346</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45346</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45346</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45346</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45346</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45346</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45346</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45346</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45346</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45346</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45346</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45346</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45346</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45346</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45346</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45346</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45346</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45346</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45346</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45346</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45346</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45346</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45346</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45346</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45346</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45346</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45346</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45346</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45346</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45346</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45346</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45346</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45346</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45346</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45346</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45346</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45346</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45346</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45346</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45346</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45346</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45346</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45346</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45346</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45346</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45346</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45346</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45346</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45346</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45346</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45346</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45346</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45346</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45346</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45346</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45346</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45346</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45346</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45346</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45346</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45346</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45346</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45346</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45346</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45346</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45346</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45346</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45346</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45346</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45346</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45346</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45346</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45346</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45346</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45346</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45346</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45346</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45346</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45346</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45346</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45346</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45346</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45346</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45346</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45346</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45346</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45346</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45346</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45346</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45346</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45346</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45346</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45346</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45346</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45346</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45346</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45346</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45346</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45346</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45346</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45346</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45346</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45346</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45346</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45346</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45346</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45346</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45346</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45346</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45346</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45346</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45346</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45346</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45346</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45346</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45346</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45346</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45346</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45346</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45346</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45346</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45346</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45346</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45346</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45346</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45346</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45346</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45346</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45346</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45346</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45346</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45346</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45346</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45346</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45346</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45346</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45346</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45346</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45346</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45346</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45346</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45346</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45346</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45346</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45346</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45346</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45346</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45346</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45346</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45346</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45346</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45346</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45346</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45346</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45346</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45346</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45346</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45346</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45346</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45346</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45346</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45346</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45346</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45346</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45346</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45346</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45346</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45346</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45346</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45346</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45346</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45346</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45346</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45346</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45346</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45346</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45346</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45346</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45346</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45346</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45346</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45346</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45346</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45346</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45346</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45346</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45346</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45346</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45346</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45346</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45346</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45346</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45346</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45346</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45346</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45346</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45346</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45346</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45346</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45346</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45346</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45346</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45346</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45346</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45346</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45346</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45346</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45346</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45346</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45346</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45346</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45346</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45346</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45346</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45346</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45346</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45346</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45346</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45346</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45346</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45346</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45346</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45346</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45346</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45346</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45346</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45346</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45346</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45346</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45346</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45346</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45346</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45346</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45346</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45346</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45346</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45346</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45346</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45346</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45346</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45346</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45346</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45346</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45346</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45346</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45346</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45346</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45346</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45346</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45346</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45346</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45346</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45346</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45346</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45346</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45346</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45346</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45346</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45346</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45346</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45346</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45346</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45346</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45346</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45346</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45346</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45346</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45346</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45346</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45346</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45346</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45346</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45346</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45346</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45346</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45346</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45346</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45346</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45346</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45346</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45346</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45346</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45346</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45346</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45346</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45346</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45346</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45346</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45346</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45346</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45346</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45346</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45346</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45346</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45346</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45346</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45346</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45346</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45346</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45346</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45346</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45346</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45346</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45346</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45346</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45346</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45346</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45346</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45346</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45346</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45346</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45346</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45346</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45346</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45346</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45346</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45346</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45346</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45346</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45346</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45346</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45346</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45346</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45346</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45346</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45346</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45346</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45346</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45346</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45346</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45346</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45346</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45346</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45346</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45346</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45346</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45346</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45346</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45346</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45346</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45346</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45346</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45346</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45346</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45346</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45346</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45346</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45346</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45346</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45346</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45346</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45346</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45346</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45346</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45346</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45346</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45346</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45346</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45346</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45346</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45346</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45346</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45346</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45346</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45346</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45346</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45346</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45346</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45346</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45346</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45346</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45346</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45346</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45346</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45346</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45346</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45346</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45346</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45346</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45346</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45346</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45346</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45346</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45346</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45346</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45346</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45346</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45346</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45346</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45346</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45346</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45346</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45346</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45346</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45346</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45346</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45346</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45346</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45346</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45346</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45346</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45346</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45346</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45346</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45346</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45346</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45346</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45346</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45346</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45346</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45346</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45346</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45346</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45346</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45346</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45346</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45346</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45346</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45346</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45346</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45346</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45346</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45346</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45346</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45346</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45346</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45346</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45346</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45346</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45346</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45346</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45346</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45346</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45346</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45346</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45346</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45346</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45346</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45346</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45346</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45346</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45346</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45346</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45346</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45346</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45346</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45346</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45346</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45346</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45346</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45346</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45346</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45346</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45346</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45346</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45346</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45346</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45346</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45346</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45346</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45346</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45346</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45346</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45346</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45346</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45346</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45346</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45346</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45346</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45346</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45346</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45346</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45346</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45346</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45346</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45346</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45346</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45346</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45346</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45346</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45346</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45346</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45346</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45346</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45346</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45346</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45346</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45346</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45346</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45346</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45346</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45346</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45346</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45346</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45346</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45346</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45346</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45346</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45346</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45346</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45346</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45346</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45346</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45346</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45346</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45346</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45346</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45346</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45346</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45346</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45346</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45346</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45346</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45346</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45346</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45346</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45346</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45346</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45346</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45346</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45346</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45346</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45346</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45346</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45346</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45346</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45346</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45346</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45346</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45346</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45346</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45346</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45346</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45346</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45346</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45346</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45346</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45346</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45346</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45346</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45346</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45346</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45346</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45346</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45346</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45346</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45346</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45346</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45346</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45346</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45346</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45346</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45346</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45346</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45346</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45346</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45346</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45346</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45346</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45346</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45346</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45346</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45346</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45346</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45346</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45346</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45346</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45346</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45346</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45346</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45346</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45346</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45346</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45346</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45346</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45346</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45346</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45346</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45346</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45346</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45346</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45346</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45346</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45346</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45346</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45346</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45346</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45346</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45346</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45346</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45346</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45346</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45346</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45346</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45346</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45346</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45346</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45346</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45346</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45346</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45346</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45346</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45346</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45346</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45346</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45346</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45346</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45346</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45346</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45346</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45346</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45346</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45346</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45346</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45346</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45346</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45346</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45346</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45346</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45346</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45346</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45346</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45346</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45346</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45346</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45346</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45346</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45346</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45346</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45346</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45346</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45346</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45346</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45346</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45346</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45346</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45346</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45346</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45346</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45346</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45346</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45346</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45346</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45346</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45346</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45346</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45346</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45346</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45346</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45346</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45346</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45346</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45346</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45346</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45346</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45346</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45346</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45346</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45346</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45346</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45346</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45346</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45346</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45346</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45346</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45346</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45346</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45346</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45346</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45346</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45346</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45346</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45346</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45346</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45346</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45346</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45346</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45346</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45346</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45346</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45346</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45346</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45346</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45346</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45346</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45346</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45346</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45346</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45346</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45346</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45346</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45346</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45346</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45346</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45346</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45346</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45346</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45346</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45346</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45346</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45346</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45346</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45346</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45346</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45346</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45346</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45346</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45346</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45346</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45346</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45346</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45346</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45346</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45346</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45346</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45346</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45346</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45346</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45346</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45346</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45346</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45346</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45346</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45346</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45346</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45346</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45346</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45346</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45346</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45346</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45346</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45346</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45346</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45346</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45346</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45346</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45346</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45346</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45346</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45346</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45346</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45346</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45346</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45346</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45346</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45346</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45346</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45346</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45346</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45346</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45346</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45346</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45346</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45346</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45346</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45346</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45346</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45346</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45346</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45346</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45346</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45346</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45346</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45346</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45346</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45346</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45346</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45346</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45346</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45346</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45346</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45346</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45346</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45346</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45346</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45346</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45346</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45346</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45346</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45346</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45346</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45346</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45346</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45346</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45346</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45346</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45346</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45346</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45346</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45346</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45346</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45346</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45346</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45346</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45346</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45346</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45346</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45346</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45346</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45346</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45346</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45346</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45346</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45346</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45346</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45346</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45346</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45346</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45346</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45346</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45346</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45346</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45346</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45346</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45346</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45346</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45346</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45346</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45346</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45346</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45346</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45346</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45346</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45346</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45346</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45346</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45346</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45346</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45346</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45346</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45346</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45346</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45346</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45346</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45346</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45346</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45346</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45346</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45346</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45346</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45346</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45346</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45346</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45346</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45346</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45346</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45346</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45346</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45346</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45346</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45346</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45346</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45346</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45346</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45346</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45346</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45346</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45346</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45346</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45346</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45346</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45346</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45346</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45346</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45346</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45346</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45346</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45346</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45346</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45346</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45346</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45346</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45346</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45346</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45346</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45346</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45346</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45346</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45346</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45346</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45346</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45346</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45346</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45346</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45346</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45346</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45346</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45346</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45346</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45346</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45346</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45346</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45346</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45346</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45346</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45346</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45346</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45346</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45346</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45346</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45346</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45346</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45346</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45346</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45346</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45346</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45346</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45346</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45346</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45346</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45346</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45346</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45346</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45346</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45346</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45346</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45346</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45346</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45346</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45346</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45346</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45346</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45346</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45346</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45346</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45346</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45346</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45346</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45346</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45346</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45346</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45346</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45346</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45346</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45346</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45346</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45346</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45346</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45346</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45346</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45346</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45346</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45346</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45346</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45346</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45346</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45346</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45346</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45346</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45346</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45346</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45346</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45346</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45346</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45346</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45346</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45346</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45346</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45346</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45346</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45346</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45346</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45346</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45346</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45346</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45346</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45346</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45346</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45346</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45346</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45346</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45346</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45346</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45346</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45346</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45346</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45346</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45346</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45346</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45346</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45346</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45346</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45346</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45346</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45346</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45346</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45346</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45346</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45346</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45346</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45346</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45346</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45346</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45346</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45346</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45346</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45346</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45346</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45346</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45346</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45346</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45346</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45346</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45346</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45346</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45346</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45346</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45346</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45346</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45346</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45346</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45346</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45346</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45346</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45346</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45346</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45346</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45346</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45346</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45346</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45346</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45346</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45346</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45346</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45346</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45346</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45346</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45346</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45346</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45346</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45346</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45346</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45346</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45346</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45346</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45346</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45346</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45346</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45346</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45346</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45346</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45346</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45346</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45346</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45346</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45346</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45346</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45346</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45346</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45346</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45346</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45346</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45346</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45346</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45346</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45346</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45346</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45346</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45346</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45346</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45346</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45346</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45346</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45346</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45346</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45346</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45346</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45346</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45346</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45346</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45346</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45346</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45346</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45346</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45346</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45346</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45346</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45346</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45346</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45346</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45346</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45346</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45346</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45346</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45346</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45346</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45346</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45346</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45346</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45346</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45346</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45346</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45346</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45346</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45346</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45346</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45346</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45346</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45346</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45346</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45346</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45346</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45346</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45346</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45346</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45346</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45346</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45346</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45346</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45346</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45346</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45346</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45346</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45346</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45346</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45346</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45346</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45346</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45346</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45346</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45346</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45346</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45346</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45346</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45346</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45346</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45346</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45346</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45346</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45346</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45346</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45346</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45346</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45346</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45346</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45346</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45346</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45346</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45346</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45346</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45346</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45346</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45346</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45346</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45346</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45346</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45346</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45346</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45346</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45346</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45346</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45346</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45346</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45346</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45346</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45346</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45346</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45346</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45346</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45346</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45346</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45346</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45346</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45346</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45346</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45346</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45346</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45346</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45346</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45346</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45346</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45346</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45346</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45346</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45346</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45346</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45346</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45346</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45346</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45346</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45346</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45346</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45346</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45346</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45346</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45346</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45346</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45346</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45346</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45346</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45346</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45346</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45346</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45346</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45346</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45346</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45346</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45346</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45346</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45346</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45346</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45346</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45346</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45346</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45346</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45346</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45346</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45346</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45346</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45346</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45346</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45346</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45346</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45346</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45346</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45346</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45346</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45346</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45346</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45346</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45346</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45346</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45346</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45346</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45346</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45346</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45346</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45346</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45346</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45346</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45346</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45346</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45346</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45346</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45346</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45346</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45346</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45346</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45346</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45346</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45346</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45346</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45346</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45346</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45346</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45346</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45346</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45346</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45346</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45346</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45346</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45346</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45346</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45346</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45346</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45346</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45346</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45346</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45346</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45346</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45346</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45346</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45346</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45346</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45346</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45346</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45346</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45346</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45346</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45346</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45346</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45346</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45346</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45346</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45346</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45346</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45346</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45346</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45346</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45346</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45346</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45346</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45346</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45346</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45346</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45346</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45346</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45346</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45346</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45346</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45346</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45346</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45346</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45346</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45346</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45346</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45346</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45346</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45346</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45346</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45346</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45346</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45346</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45346</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45346</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45346</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45346</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45346</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45346</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45346</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45346</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45346</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45346</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45346</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45346</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45346</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45346</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45346</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45346</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45346</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45346</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45346</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45346</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45346</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45346</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45346</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45346</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45346</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45346</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45346</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45346</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45346</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45346</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45346</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45346</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45346</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45346</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45346</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45346</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45346</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45346</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45346</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45346</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45346</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45346</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45346</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45346</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45346</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45346</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45346</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45346</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45346</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45346</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45346</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45346</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45346</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45346</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45346</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45346</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45346</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45346</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45346</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45346</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45346</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45346</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45346</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45346</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45346</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45346</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45346</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45346</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45346</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45346</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45346</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45346</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45346</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45346</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45346</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45346</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45346</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45346</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45346</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45346</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45346</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45346</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45346</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45346</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45346</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45346</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45346</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45346</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45346</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45346</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45346</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45346</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45346</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45346</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45346</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45346</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45346</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45346</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45346</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45346</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45346</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45346</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45346</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45346</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45346</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45346</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45346</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45346</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45346</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45346</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45346</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45346</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45346</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45346</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45346</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45346</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45346</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45346</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45346</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45346</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45346</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45346</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45346</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45346</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45346</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45346</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45346</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45346</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45346</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45346</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45346</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45346</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45346</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45346</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45346</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45346</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45346</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45346</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45346</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45346</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45346</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45346</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45346</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45346</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45346</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45346</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45346</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45346</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45346</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45346</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45346</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45346</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45346</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45346</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45346</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45346</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45346</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45346</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45346</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45346</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45346</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45346</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45346</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45346</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45346</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45346</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45346</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45346</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45346</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45346</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45346</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45346</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45346</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45346</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45346</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45346</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45346</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45346</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45346</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45346</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45346</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45346</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45346</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45346</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45346</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45346</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45346</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45346</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45346</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45346</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45346</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45346</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45346</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45346</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45346</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45346</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45346</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45346</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45346</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45346</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45346</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45346</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45346</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45346</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45346</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45346</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45346</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45346</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45346</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45346</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45346</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45346</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45346</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45346</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45346</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45346</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45346</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45346</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45346</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45346</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45346</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45346</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45346</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45346</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45346</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45346</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45346</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45346</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45346</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45346</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45346</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45346</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45346</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45346</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45346</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45346</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45346</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45346</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45346</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45346</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45346</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45346</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45346</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45346</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45346</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45346</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45346</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45346</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45346</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45346</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45346</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45346</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45346</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45346</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45346</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45346</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45346</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45346</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45346</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45346</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45346</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45346</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45346</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45346</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45346</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45346</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45346</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45346</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45346</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45346</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45346</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45346</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45346</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45346</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45346</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45346</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45346</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45346</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45346</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45346</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45346</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45346</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45346</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45346</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45346</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45346</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45346</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45346</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45346</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45346</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45346</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45346</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45346</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45346</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45346</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45346</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45346</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45346</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45346</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45346</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45346</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45346</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45346</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45346</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45346</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45346</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45346</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45346</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45346</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45346</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45346</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45346</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45346</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45346</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45346</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45346</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45346</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45346</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45346</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45346</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45346</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45346</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45346</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45346</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45346</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45346</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45346</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45346</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45346</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45346</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45346</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45346</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45346</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45346</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45346</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45346</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45346</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45346</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45346</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45346</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45346</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45346</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45346</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45346</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45346</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45346</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45346</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45346</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45346</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45346</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45346</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45346</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45346</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45346</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45346</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45346</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45346</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45346</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45346</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45346</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45346</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45346</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45346</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45346</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45346</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45346</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45346</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45346</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45346</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45346</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45346</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45346</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45346</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45346</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45346</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45346</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45346</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45346</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45346</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45346</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45346</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45346</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45346</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45346</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45346</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45346</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45346</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45346</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45346</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45346</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45346</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45346</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45346</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45346</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45346</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45346</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45346</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45346</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45346</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45346</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45346</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45346</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45346</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45346</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45346</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45346</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45346</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45346</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45346</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45346</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45346</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45346</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45346</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45346</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45346</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45346</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45346</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45346</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45346</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45346</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45346</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45346</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45346</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45346</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45346</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45346</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45346</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45346</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45346</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45346</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45346</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45346</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45346</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45346</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45346</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45346</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45346</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45346</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45346</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45346</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45346</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45346</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45346</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45346</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45346</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45346</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45346</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45346</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45346</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45346</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45346</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45346</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45346</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45346</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45346</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45346</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45346</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45346</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45346</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45346</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45346</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45346</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45346</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45346</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45346</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45346</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45346</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45346</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45346</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45346</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45346</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45346</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45346</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45346</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45346</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45346</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45346</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45346</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45346</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45346</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45346</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45346</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45346</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45346</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45346</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45346</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45346</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45346</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45346</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45346</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45346</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45346</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45346</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45346</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45346</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45346</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45346</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45346</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45346</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45346</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45346</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45346</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45346</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45346</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45346</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45346</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45346</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45346</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45346</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45346</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45346</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45346</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45346</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45346</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45346</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45346</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45346</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45346</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45346</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45346</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45346</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45346</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45346</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45346</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45346</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45346</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45346</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45346</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45346</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45346</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45346</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45346</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45346</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45346</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45346</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45346</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45346</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45346</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45346</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45346</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45346</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45346</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45346</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45346</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45346</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45346</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45346</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45346</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45346</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45346</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45346</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45346</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45346</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45346</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45346</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45346</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45346</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45346</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45346</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45346</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45346</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45346</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45346</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45346</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45346</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45346</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45346</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45346</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45346</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45346</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45346</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45346</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45346</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45346</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45346</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45346</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45346</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45346</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45346</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45346</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45346</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45346</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45346</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45346</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45346</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45346</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45346</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45346</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45346</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45346</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45346</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45346</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45346</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45346</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45346</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45346</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45346</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45346</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45346</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45346</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45346</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45346</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45346</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45346</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45346</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45346</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45346</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45346</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45346</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45346</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45346</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45346</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45346</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45346</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45346</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45346</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45346</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45346</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45346</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45346</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45346</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45346</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45346</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45346</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45346</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45346</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45346</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45346</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45346</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45346</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45346</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45346</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45346</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45346</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45346</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45346</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45346</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45346</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45346</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45346</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45346</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45346</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45346</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45346</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45346</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45346</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45346</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45346</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45346</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45346</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45346</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45346</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45346</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45346</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45346</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45346</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45346</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45346</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45346</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45346</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45346</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45346</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45346</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45346</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45346</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45346</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45346</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45346</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45346</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45346</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45346</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45346</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45346</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45346</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45346</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45346</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45346</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45346</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45346</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45346</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45346</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45346</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45346</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45346</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45346</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45346</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45346</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45346</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45346</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45346</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45346</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45346</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45346</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45346</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45346</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45346</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45346</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45346</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45346</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45346</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45346</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45346</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45346</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45346</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45346</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45346</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45346</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45346</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45346</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45346</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45346</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45346</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45346</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45346</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45346</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45346</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45346</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45346</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45346</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45346</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45346</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45346</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45346</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45346</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45346</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45346</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45346</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45346</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45346</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45346</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45346</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45346</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45346</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45346</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45346</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45346</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45346</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45346</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45346</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45346</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45346</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45346</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45346</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45346</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45346</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45346</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45346</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45346</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45346</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45346</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45346</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45346</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45346</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45346</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45346</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45346</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45346</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45346</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45346</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45346</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45346</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45346</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45346</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45346</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45346</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45346</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45346</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45346</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45346</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45346</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45346</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45346</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45346</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45346</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45346</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45346</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45346</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45346</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45346</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45346</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45346</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45346</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45346</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45346</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45346</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45346</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45346</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45346</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45346</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45346</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45346</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45346</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45346</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45346</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45346</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45346</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45346</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45346</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45346</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45346</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45346</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45346</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45346</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45346</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45346</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45346</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45346</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45346</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45346</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45346</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45346</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45346</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45346</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45346</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45346</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45346</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45346</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45346</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45346</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45346</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45346</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45346</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45346</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45346</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45346</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45346</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45346</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45346</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45346</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45346</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45346</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45346</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45346</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45346</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45346</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45346</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45346</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45346</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45346</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45346</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45346</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45346</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45346</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45346</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45346</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45346</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45346</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45346</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45346</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45346</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45346</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45346</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45346</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45346</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45346</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45346</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45346</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45346</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45346</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45346</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45346</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45346</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45346</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45346</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45346</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45346</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45346</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45346</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45346</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45346</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45346</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45346</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45346</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45346</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45346</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45346</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45346</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45346</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45346</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45346</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45346</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45346</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45346</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45346</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45346</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45346</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45346</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45346</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45346</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45346</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45346</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45346</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45346</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45346</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45346</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45346</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45346</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45346</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45346</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45346</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45346</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45346</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45346</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45346</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45346</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45346</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45346</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45346</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45346</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45346</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45346</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45346</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45346</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45346</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45346</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45346</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45346</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45346</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45346</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45346</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45346</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45346</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45346</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45346</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45346</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45346</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45346</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45346</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45346</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45346</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45346</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45346</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45346</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45346</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45346</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45346</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45346</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45346</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45346</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45346</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45346</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45346</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45346</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45346</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45346</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45346</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45346</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45346</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45346</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45346</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45346</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45346</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45346</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45346</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45346</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45346</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45346</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45346</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45346</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45346</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45346</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45346</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45346</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45346</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45346</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45346</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45346</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45346</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45346</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45346</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45346</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45346</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45346</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45346</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45346</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45346</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45346</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45346</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45346</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45346</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45346</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45346</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45346</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45346</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45346</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45346</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45346</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45346</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45346</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45346</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45346</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45346</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45346</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45346</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45346</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45346</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45346</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45346</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45346</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45346</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45346</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45346</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45346</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45346</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45346</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45346</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45346</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45346</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45346</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45346</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45346</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45346</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45346</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45346</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45346</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45346</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45346</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45346</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45346</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45346</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45346</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45346</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45346</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45346</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45346</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45346</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45346</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45346</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45346</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45346</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45346</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45346</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45346</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45346</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45346</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45346</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45346</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45346</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45346</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45346</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45346</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45346</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45346</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45346</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45346</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45346</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45346</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45346</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45346</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45346</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45346</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45346</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45346</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45346</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45346</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45346</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45346</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45346</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45346</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45346</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45346</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45346</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45346</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45346</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45346</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45346</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45346</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45346</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45346</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45346</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45346</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45346</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45346</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45346</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45346</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45346</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45346</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45346</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45346</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45346</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45346</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45346</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45346</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45346</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45346</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45346</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45346</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45346</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45346</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45346</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45346</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45346</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45346</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45346</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45346</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45346</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45346</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45346</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45346</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45346</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45346</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45346</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45346</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45346</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45346</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45346</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45346</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45346</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45346</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45346</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45346</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45346</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45346</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45346</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45346</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45346</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45346</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45346</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45346</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45346</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45346</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45346</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45346</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45346</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45346</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45346</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45346</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45346</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45346</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45346</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45346</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45346</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45346</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45346</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45346</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45346</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45346</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45346</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45346</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45346</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45346</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45346</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45346</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45346</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45346</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45346</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45346</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45346</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45346</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45346</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45346</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45346</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45346</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45346</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45346</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45346</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45346</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45346</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45346</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45346</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45346</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45346</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45346</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45346</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45346</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45346</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45346</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45346</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45346</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45346</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45346</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45346</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45346</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45346</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45346</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45346</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45346</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45346</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45346</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45346</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45346</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45346</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45346</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45346</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45346</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45346</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45346</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45346</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45346</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45346</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45346</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45346</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45346</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45346</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45346</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45346</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45346</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45346</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45346</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45346</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45346</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45346</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45346</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45346</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45346</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45346</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45346</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45346</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45346</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45346</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45346</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45346</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45346</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45346</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45346</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45346</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45346</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45346</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45346</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45346</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45346</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45346</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45346</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45346</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45346</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45346</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45346</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45346</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45346</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45346</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45346</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45346</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45346</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45346</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45346</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45346</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45346</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45346</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45346</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45346</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45346</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45346</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45346</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45346</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45346</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45346</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45346</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45346</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45346</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45346</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45346</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45346</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45346</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45346</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45346</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45346</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45346</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45346</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45346</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45346</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45346</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45346</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45346</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45346</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45346</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45346</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45346</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45346</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45346</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45346</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45346</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45346</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45346</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45346</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45346</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45346</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45346</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45346</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45346</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45346</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45346</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45346</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45346</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45346</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45346</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45346</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45346</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45346</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45346</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45346</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45346</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45346</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45346</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45346</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45346</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45346</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45346</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45346</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45346</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45346</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45346</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45346</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45346</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45346</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45346</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45346</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45346</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45346</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45346</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45346</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45346</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45346</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45346</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45346</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45346</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45346</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45346</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45346</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45346</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45346</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45346</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45346</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45346</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45346</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45346</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45346</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45346</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45346</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45346</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45346</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45346</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45346</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45346</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45346</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45346</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45346</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45346</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45346</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45346</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45346</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45346</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45346</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45346</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45346</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45346</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45346</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45346</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45346</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45346</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45346</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45346</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45346</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45346</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45346</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45346</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45346</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45346</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45346</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45346</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45346</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45346</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45346</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45346</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45346</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45346</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45346</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45346</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45346</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45346</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45346</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45346</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45346</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45346</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45346</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45346</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45346</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45346</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45346</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45346</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45346</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45346</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45346</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45346</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45346</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45346</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45346</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45346</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45346</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45346</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45346</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45346</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45346</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45346</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45346</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45346</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45346</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45346</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45346</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45346</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45346</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45346</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45346</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45346</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45346</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45346</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45346</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45346</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45346</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45346</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45346</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45346</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45346</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45346</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45346</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45346</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45346</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45346</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45346</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45346</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45346</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45346</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45346</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45346</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45346</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45346</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45346</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45346</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45346</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45346</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45346</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45346</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45346</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45346</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45346</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45346</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45346</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45346</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45346</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45346</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45346</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45346</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45346</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45346</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45346</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45346</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45346</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45346</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45346</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45346</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45346</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45346</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45346</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45346</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45346</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45346</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45346</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45346</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45346</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45346</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45346</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45346</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45346</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45346</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45346</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45346</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45346</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45346</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45346</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45346</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45346</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45346</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45346</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45346</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45346</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45346</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45346</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45346</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45346</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45346</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45346</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45346</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45346</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45346</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45346</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45346</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45346</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45346</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45346</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45346</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45346</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45346</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45346</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45346</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45346</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45346</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45346</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45346</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45346</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45346</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45346</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45346</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45346</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45346</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45346</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45346</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45346</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45346</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45346</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45346</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45346</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45346</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45346</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45346</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45346</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45346</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45346</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45346</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45346</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45346</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45346</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45346</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45346</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45346</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45346</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45346</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45346</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45346</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45346</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45346</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45346</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45346</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45346</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45346</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45346</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45346</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45346</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45346</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45346</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45346</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45346</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45346</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45346</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45346</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45346</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45346</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45346</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45346</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45346</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45346</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45346</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45346</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45346</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45346</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45346</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45346</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45346</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45346</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45346</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45346</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45346</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45346</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45346</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45346</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45346</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45346</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45346</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45346</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45346</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45346</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45346</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45346</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45346</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45346</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45346</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45346</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45346</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45346</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45346</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45346</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45346</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45346</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45346</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45346</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45346</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45346</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45346</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45346</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45346</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45346</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45346</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45346</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45346</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45346</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45346</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45346</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45346</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45346</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45346</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45346</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45346</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45346</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45346</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45346</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45346</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45346</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45346</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45346</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45346</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45346</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45346</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45346</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45346</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45346</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45346</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45346</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45346</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45346</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45346</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45346</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45346</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45346</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45346</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45346</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45346</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45346</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45346</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45346</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45346</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45346</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45346</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45346</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45346</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45346</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45346</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45346</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45346</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45346</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45346</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45346</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45346</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45346</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45346</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45346</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45346</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45346</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45346</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45346</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45346</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45346</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45346</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45346</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45346</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45346</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45346</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45346</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45346</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45346</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45346</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45346</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45346</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45346</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45346</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45346</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45346</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45346</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45346</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45346</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45346</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45346</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45346</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45346</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45346</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45346</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45346</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45346</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45346</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45346</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45346</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45346</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45346</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45346</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45346</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45346</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45346</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45346</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45346</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45346</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45346</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45346</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45346</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45346</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45346</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45346</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45346</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45346</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45346</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45346</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45346</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45346</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45346</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45346</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45346</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45346</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45346</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45346</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45346</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45346</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45346</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45346</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45346</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45346</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45346</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45346</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45346</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45346</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45346</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45346</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45346</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45346</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45346</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45346</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45346</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45346</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45346</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45346</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45346</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45346</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45346</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45346</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45346</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45346</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45346</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45346</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45346</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45346</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45346</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45346</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45346</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45346</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45346</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45346</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45346</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45346</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45346</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45346</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45346</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45346</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45346</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45346</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45346</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45346</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45346</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45346</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45346</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45346</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45346</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45346</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45346</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45346</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45346</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45346</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45346</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45346</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45346</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45346</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45346</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45346</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45346</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45346</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45346</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45346</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45346</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45346</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45346</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45346</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45346</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45346</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45346</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45346</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45346</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45346</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45346</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45346</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45346</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45346</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45346</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45346</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45346</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45346</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45346</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45346</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45346</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45346</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45346</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45346</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45346</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45346</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45346</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45346</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45346</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45346</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45346</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45346</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45346</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45346</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45346</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45346</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45346</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45346</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45346</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45346</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45346</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45346</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45346</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45346</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45346</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45346</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45346</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45346</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45346</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45346</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45346</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45346</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45346</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45346</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45346</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45346</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45346</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45346</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45346</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45346</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45346</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45346</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45346</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45346</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45346</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45346</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45346</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45346</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45346</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45346</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45346</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45346</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45346</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45346</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45346</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45346</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45346</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45346</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45346</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45346</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45346</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45346</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45346</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45346</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45346</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45346</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45346</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45346</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45346</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45346</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45346</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45346</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45346</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45346</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45346</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45346</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45346</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45346</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45346</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45346</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45346</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45346</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45346</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45346</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45346</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45346</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45346</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45346</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45346</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45346</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45346</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45346</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45346</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45346</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45346</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45346</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45346</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45346</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45346</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45346</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45346</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45346</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45346</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45346</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45346</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45346</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45346</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45346</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45346</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45346</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45346</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45346</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45346</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45346</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45346</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45346</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45346</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45346</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45346</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45346</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45346</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45346</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45346</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45346</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45346</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45346</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45346</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45346</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45346</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45346</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45346</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45346</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45346</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45346</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45346</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45346</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45346</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45346</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45346</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45346</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45346</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45346</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45346</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45346</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45346</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45346</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45346</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45346</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45346</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45346</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45346</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45346</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45346</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45346</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45346</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45346</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45346</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45346</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45346</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45346</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45346</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45346</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45346</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45346</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45346</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45346</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45346</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45346</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45346</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45346</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45346</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45346</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45346</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45346</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45346</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45346</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45346</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45346</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45346</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45346</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45346</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45346</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45346</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45346</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45346</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45346</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45346</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45346</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45346</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45346</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45346</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45346</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45346</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45346</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45346</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45346</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45346</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45346</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45346</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45346</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45346</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45346</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45346</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45346</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45346</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45346</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45346</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45346</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45346</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45346</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45346</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45346</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45346</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45346</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45346</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45346</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45346</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45346</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45346</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45346</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45346</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45346</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45346</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45346</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45346</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45346</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45346</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45346</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45346</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45346</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45346</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45346</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45346</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45346</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45346</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45346</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45346</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45346</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45346</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45346</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45346</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45346</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45346</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45346</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45346</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45346</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45346</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45346</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45346</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45346</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45346</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45346</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45346</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45346</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45346</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45346</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45346</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45346</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45346</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45346</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45346</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45346</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45346</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45346</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45346</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45346</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45346</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45346</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45346</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45346</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45346</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45346</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45346</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45346</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45346</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45346</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45346</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45346</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45346</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45346</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45346</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45346</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45346</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45346</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45346</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45346</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45346</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45346</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45346</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45346</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45346</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45346</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45346</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45346</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45346</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45346</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45346</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45346</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45346</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45346</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45346</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45346</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45346</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45346</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45346</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45346</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45346</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45346</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45346</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45346</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45346</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45346</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45346</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45346</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45346</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45346</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45346</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45346</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45346</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45346</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45346</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45346</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45346</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45346</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45346</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45346</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45346</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45346</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45346</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45346</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45346</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45346</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45346</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45346</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45346</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45346</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45346</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45346</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45346</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45346</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45346</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45346</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45346</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45346</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45346</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45346</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45346</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45346</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45346</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45346</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45346</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45346</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45346</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45346</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45346</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45346</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45346</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45346</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45346</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45346</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45346</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45346</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45346</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45346</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45346</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45346</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45346</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45346</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45346</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45346</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45346</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45346</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45346</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45346</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45346</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45346</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45346</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45346</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45346</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45346</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45346</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45346</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45346</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45346</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45346</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45346</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45346</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45346</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45346</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45346</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45346</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45346</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45346</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45346</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45346</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45346</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45346</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45346</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45346</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45346</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45346</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45346</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45346</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45346</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45346</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45346</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45346</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45346</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45346</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45346</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45346</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45346</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45346</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45346</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45346</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45346</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45346</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45346</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45346</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45346</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45346</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45346</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45346</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45346</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45346</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45346</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45346</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45346</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45346</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45346</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45346</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45346</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45346</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45346</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45346</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45346</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45346</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45346</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45346</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45346</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45346</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45346</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45346</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45346</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45346</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45346</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45346</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45346</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45346</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45346</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45346</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45346</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45346</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45346</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45346</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45346</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45346</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45346</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45346</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45346</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45346</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45346</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45346</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45346</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45346</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45346</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45346</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45346</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45346</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45346</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45346</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45346</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45346</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45346</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45346</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45346</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45346</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45346</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45346</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45346</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45346</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45346</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45346</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45346</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45346</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45346</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45346</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45346</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45346</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45346</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45346</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45346</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45346</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45346</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45346</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45346</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45346</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45346</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45346</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45346</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45346</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45346</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45346</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45346</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45346</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45346</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45346</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45346</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45346</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45346</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45346</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45346</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45346</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45346</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45346</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45346</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45346</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45346</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45346</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45346</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45346</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45346</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45346</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45346</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45346</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45346</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45346</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45346</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45346</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45346</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45346</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45346</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45346</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45346</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45346</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45346</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45346</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45346</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45346</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45346</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45346</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45346</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45346</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45346</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45346</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45346</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45346</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45346</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45346</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45346</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45346</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45346</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45346</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45346</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45346</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45346</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45346</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45346</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45346</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45346</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45346</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45346</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45346</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45346</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45346</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45346</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45346</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45346</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45346</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45346</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45346</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45346</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45346</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45346</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45346</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45346</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45346</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45346</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45346</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45346</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45346</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45346</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45346</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45346</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45346</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45346</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45346</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45346</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45346</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45346</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45346</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45346</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45346</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45346</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45346</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45346</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45346</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45346</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45346</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45346</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45346</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45346</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45346</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45346</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45346</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45346</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45346</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45346</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45346</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45346</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45346</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45346</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45346</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45346</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45346</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45346</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45346</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45346</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45346</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45346</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45346</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45346</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45346</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45346</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45346</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45346</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45346</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45346</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45346</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45346</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45346</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45346</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45346</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45346</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45346</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45346</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45346</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45346</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45346</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45346</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45346</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45346</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45346</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45346</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45346</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45346</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45346</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45346</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45346</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45346</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45346</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45346</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45346</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45346</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45346</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45346</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45346</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45346</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45346</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45346</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45346</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45346</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45346</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45346</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45346</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45346</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45346</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45346</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45346</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45346</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45346</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45346</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45346</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45346</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45346</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45346</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45346</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45346</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45346</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45346</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45346</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45346</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45346</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45346</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45346</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45346</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45346</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45346</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45346</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45346</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45346</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45346</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45346</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45346</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45346</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45346</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45346</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45346</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45346</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45346</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45346</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45346</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45346</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45346</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45346</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45346</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45346</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45346</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45346</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45346</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45346</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45346</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45346</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45346</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45346</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45346</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45346</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45346</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45346</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45346</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45346</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45346</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45346</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45346</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45346</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45346</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45346</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45346</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45346</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45346</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45346</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45346</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45346</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45346</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45346</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45346</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45346</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45346</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45346</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45346</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45346</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45346</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45346</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45346</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45346</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45346</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45346</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45346</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45346</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45346</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45346</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45346</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45346</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45346</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45346</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45346</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45346</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45346</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45346</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45346</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45346</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45346</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45346</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45346</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45346</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45346</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45346</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45346</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45346</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45346</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45346</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45346</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45346</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45346</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45346</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45346</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45346</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45346</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45346</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45346</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45346</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45346</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45346</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45346</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45346</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45346</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45346</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45346</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45346</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45346</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45346</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45346</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45346</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45346</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45346</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45346</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45346</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45346</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45346</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45346</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45346</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45346</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45346</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45346</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45346</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45346</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45346</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45346</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45346</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45346</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45346</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45346</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45346</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45346</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45346</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45346</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45346</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45346</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45346</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45346</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45346</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45346</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45346</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45346</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45346</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45346</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45346</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45346</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45346</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45346</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45346</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45346</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45346</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45346</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45346</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45346</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45346</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45346</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45346</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45346</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45346</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45346</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45346</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45346</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45346</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45346</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45346</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45346</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45346</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45346</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45346</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45346</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45346</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45346</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45346</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45346</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45346</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45346</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45346</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45346</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45346</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45346</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45346</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45346</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45346</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45346</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45346</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45346</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45346</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45346</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45346</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45346</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45346</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45346</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45346</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45346</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45346</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45346</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45346</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45346</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45346</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45346</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45346</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45346</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45346</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45346</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45346</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45346</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45346</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45346</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45346</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45346</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45346</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45346</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45346</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45346</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45346</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45346</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45346</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45346</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45346</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45346</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45346</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45346</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45346</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45346</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45346</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45346</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45346</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45346</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45346</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45346</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45346</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45346</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45346</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45346</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45346</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45346</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45346</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45346</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45346</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45346</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45346</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45346</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45346</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45346</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45346</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45346</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45346</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45346</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45346</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45346</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45346</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45346</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45346</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45346</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45346</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45346</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45346</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45346</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45346</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45346</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45346</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45346</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45346</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45346</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45346</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45346</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45346</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45346</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45346</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45346</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45346</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45346</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45346</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45346</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45346</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45346</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45346</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45346</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45346</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45346</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45346</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45346</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45346</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45346</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45346</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45346</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45346</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45346</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45346</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45346</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45346</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45346</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45346</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45346</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45346</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3311-2024</t>
        </is>
      </c>
      <c r="B14355" s="1" t="n">
        <v>45317</v>
      </c>
      <c r="C14355" s="1" t="n">
        <v>45346</v>
      </c>
      <c r="D14355" t="inlineStr">
        <is>
          <t>VÄRMLANDS LÄN</t>
        </is>
      </c>
      <c r="E14355" t="inlineStr">
        <is>
          <t>ÅRJÄNG</t>
        </is>
      </c>
      <c r="G14355" t="n">
        <v>7.4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3336-2024</t>
        </is>
      </c>
      <c r="B14356" s="1" t="n">
        <v>45317</v>
      </c>
      <c r="C14356" s="1" t="n">
        <v>45346</v>
      </c>
      <c r="D14356" t="inlineStr">
        <is>
          <t>VÄRMLANDS LÄN</t>
        </is>
      </c>
      <c r="E14356" t="inlineStr">
        <is>
          <t>SUNNE</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3364-2024</t>
        </is>
      </c>
      <c r="B14357" s="1" t="n">
        <v>45317</v>
      </c>
      <c r="C14357" s="1" t="n">
        <v>45346</v>
      </c>
      <c r="D14357" t="inlineStr">
        <is>
          <t>VÄRMLANDS LÄN</t>
        </is>
      </c>
      <c r="E14357" t="inlineStr">
        <is>
          <t>ARVIKA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3326-2024</t>
        </is>
      </c>
      <c r="B14358" s="1" t="n">
        <v>45317</v>
      </c>
      <c r="C14358" s="1" t="n">
        <v>45346</v>
      </c>
      <c r="D14358" t="inlineStr">
        <is>
          <t>VÄRMLANDS LÄN</t>
        </is>
      </c>
      <c r="E14358" t="inlineStr">
        <is>
          <t>TORSBY</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3298-2024</t>
        </is>
      </c>
      <c r="B14359" s="1" t="n">
        <v>45317</v>
      </c>
      <c r="C14359" s="1" t="n">
        <v>45346</v>
      </c>
      <c r="D14359" t="inlineStr">
        <is>
          <t>VÄRMLANDS LÄN</t>
        </is>
      </c>
      <c r="E14359" t="inlineStr">
        <is>
          <t>TORSBY</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3331-2024</t>
        </is>
      </c>
      <c r="B14360" s="1" t="n">
        <v>45317</v>
      </c>
      <c r="C14360" s="1" t="n">
        <v>45346</v>
      </c>
      <c r="D14360" t="inlineStr">
        <is>
          <t>VÄRMLANDS LÄN</t>
        </is>
      </c>
      <c r="E14360" t="inlineStr">
        <is>
          <t>TORSBY</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3335-2024</t>
        </is>
      </c>
      <c r="B14361" s="1" t="n">
        <v>45317</v>
      </c>
      <c r="C14361" s="1" t="n">
        <v>45346</v>
      </c>
      <c r="D14361" t="inlineStr">
        <is>
          <t>VÄRMLANDS LÄN</t>
        </is>
      </c>
      <c r="E14361" t="inlineStr">
        <is>
          <t>SUNNE</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3330-2024</t>
        </is>
      </c>
      <c r="B14362" s="1" t="n">
        <v>45317</v>
      </c>
      <c r="C14362" s="1" t="n">
        <v>45346</v>
      </c>
      <c r="D14362" t="inlineStr">
        <is>
          <t>VÄRMLANDS LÄN</t>
        </is>
      </c>
      <c r="E14362" t="inlineStr">
        <is>
          <t>SUNNE</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3350-2024</t>
        </is>
      </c>
      <c r="B14363" s="1" t="n">
        <v>45317</v>
      </c>
      <c r="C14363" s="1" t="n">
        <v>45346</v>
      </c>
      <c r="D14363" t="inlineStr">
        <is>
          <t>VÄRMLANDS LÄN</t>
        </is>
      </c>
      <c r="E14363" t="inlineStr">
        <is>
          <t>SUNNE</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45346</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3485-2024</t>
        </is>
      </c>
      <c r="B14365" s="1" t="n">
        <v>45320</v>
      </c>
      <c r="C14365" s="1" t="n">
        <v>45346</v>
      </c>
      <c r="D14365" t="inlineStr">
        <is>
          <t>VÄRMLANDS LÄN</t>
        </is>
      </c>
      <c r="E14365" t="inlineStr">
        <is>
          <t>HAGFORS</t>
        </is>
      </c>
      <c r="F14365" t="inlineStr">
        <is>
          <t>Bergvik skog väst AB</t>
        </is>
      </c>
      <c r="G14365" t="n">
        <v>4.5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3494-2024</t>
        </is>
      </c>
      <c r="B14366" s="1" t="n">
        <v>45320</v>
      </c>
      <c r="C14366" s="1" t="n">
        <v>45346</v>
      </c>
      <c r="D14366" t="inlineStr">
        <is>
          <t>VÄRMLANDS LÄN</t>
        </is>
      </c>
      <c r="E14366" t="inlineStr">
        <is>
          <t>SÄFFLE</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3499-2024</t>
        </is>
      </c>
      <c r="B14367" s="1" t="n">
        <v>45320</v>
      </c>
      <c r="C14367" s="1" t="n">
        <v>45346</v>
      </c>
      <c r="D14367" t="inlineStr">
        <is>
          <t>VÄRMLANDS LÄN</t>
        </is>
      </c>
      <c r="E14367" t="inlineStr">
        <is>
          <t>SÄFFLE</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3491-2024</t>
        </is>
      </c>
      <c r="B14368" s="1" t="n">
        <v>45320</v>
      </c>
      <c r="C14368" s="1" t="n">
        <v>45346</v>
      </c>
      <c r="D14368" t="inlineStr">
        <is>
          <t>VÄRMLANDS LÄN</t>
        </is>
      </c>
      <c r="E14368" t="inlineStr">
        <is>
          <t>SÄFFLE</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3501-2024</t>
        </is>
      </c>
      <c r="B14369" s="1" t="n">
        <v>45320</v>
      </c>
      <c r="C14369" s="1" t="n">
        <v>45346</v>
      </c>
      <c r="D14369" t="inlineStr">
        <is>
          <t>VÄRMLANDS LÄN</t>
        </is>
      </c>
      <c r="E14369" t="inlineStr">
        <is>
          <t>SÄFFLE</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3511-2024</t>
        </is>
      </c>
      <c r="B14370" s="1" t="n">
        <v>45320</v>
      </c>
      <c r="C14370" s="1" t="n">
        <v>45346</v>
      </c>
      <c r="D14370" t="inlineStr">
        <is>
          <t>VÄRMLANDS LÄN</t>
        </is>
      </c>
      <c r="E14370" t="inlineStr">
        <is>
          <t>KRISTINEHAMN</t>
        </is>
      </c>
      <c r="G14370" t="n">
        <v>2.4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3479-2024</t>
        </is>
      </c>
      <c r="B14371" s="1" t="n">
        <v>45320</v>
      </c>
      <c r="C14371" s="1" t="n">
        <v>45346</v>
      </c>
      <c r="D14371" t="inlineStr">
        <is>
          <t>VÄRMLANDS LÄN</t>
        </is>
      </c>
      <c r="E14371" t="inlineStr">
        <is>
          <t>TORSBY</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3517-2024</t>
        </is>
      </c>
      <c r="B14372" s="1" t="n">
        <v>45320</v>
      </c>
      <c r="C14372" s="1" t="n">
        <v>45346</v>
      </c>
      <c r="D14372" t="inlineStr">
        <is>
          <t>VÄRMLANDS LÄN</t>
        </is>
      </c>
      <c r="E14372" t="inlineStr">
        <is>
          <t>ARVIKA</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3550-2024</t>
        </is>
      </c>
      <c r="B14373" s="1" t="n">
        <v>45320</v>
      </c>
      <c r="C14373" s="1" t="n">
        <v>45346</v>
      </c>
      <c r="D14373" t="inlineStr">
        <is>
          <t>VÄRMLANDS LÄN</t>
        </is>
      </c>
      <c r="E14373" t="inlineStr">
        <is>
          <t>KARLSTAD</t>
        </is>
      </c>
      <c r="G14373" t="n">
        <v>1.3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3536-2024</t>
        </is>
      </c>
      <c r="B14374" s="1" t="n">
        <v>45320</v>
      </c>
      <c r="C14374" s="1" t="n">
        <v>45346</v>
      </c>
      <c r="D14374" t="inlineStr">
        <is>
          <t>VÄRMLANDS LÄN</t>
        </is>
      </c>
      <c r="E14374" t="inlineStr">
        <is>
          <t>TORSBY</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3540-2024</t>
        </is>
      </c>
      <c r="B14375" s="1" t="n">
        <v>45320</v>
      </c>
      <c r="C14375" s="1" t="n">
        <v>45346</v>
      </c>
      <c r="D14375" t="inlineStr">
        <is>
          <t>VÄRMLANDS LÄN</t>
        </is>
      </c>
      <c r="E14375" t="inlineStr">
        <is>
          <t>HAGFORS</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3555-2024</t>
        </is>
      </c>
      <c r="B14376" s="1" t="n">
        <v>45320</v>
      </c>
      <c r="C14376" s="1" t="n">
        <v>45346</v>
      </c>
      <c r="D14376" t="inlineStr">
        <is>
          <t>VÄRMLANDS LÄN</t>
        </is>
      </c>
      <c r="E14376" t="inlineStr">
        <is>
          <t>ARVIKA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3576-2024</t>
        </is>
      </c>
      <c r="B14377" s="1" t="n">
        <v>45320</v>
      </c>
      <c r="C14377" s="1" t="n">
        <v>45346</v>
      </c>
      <c r="D14377" t="inlineStr">
        <is>
          <t>VÄRMLANDS LÄN</t>
        </is>
      </c>
      <c r="E14377" t="inlineStr">
        <is>
          <t>FORSHAGA</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3591-2024</t>
        </is>
      </c>
      <c r="B14378" s="1" t="n">
        <v>45320</v>
      </c>
      <c r="C14378" s="1" t="n">
        <v>45346</v>
      </c>
      <c r="D14378" t="inlineStr">
        <is>
          <t>VÄRMLANDS LÄN</t>
        </is>
      </c>
      <c r="E14378" t="inlineStr">
        <is>
          <t>TORSBY</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3541-2024</t>
        </is>
      </c>
      <c r="B14379" s="1" t="n">
        <v>45320</v>
      </c>
      <c r="C14379" s="1" t="n">
        <v>45346</v>
      </c>
      <c r="D14379" t="inlineStr">
        <is>
          <t>VÄRMLANDS LÄN</t>
        </is>
      </c>
      <c r="E14379" t="inlineStr">
        <is>
          <t>KARLSTAD</t>
        </is>
      </c>
      <c r="G14379" t="n">
        <v>4.2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3608-2024</t>
        </is>
      </c>
      <c r="B14380" s="1" t="n">
        <v>45320</v>
      </c>
      <c r="C14380" s="1" t="n">
        <v>45346</v>
      </c>
      <c r="D14380" t="inlineStr">
        <is>
          <t>VÄRMLANDS LÄN</t>
        </is>
      </c>
      <c r="E14380" t="inlineStr">
        <is>
          <t>TORSBY</t>
        </is>
      </c>
      <c r="G14380" t="n">
        <v>20.2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3578-2024</t>
        </is>
      </c>
      <c r="B14381" s="1" t="n">
        <v>45320</v>
      </c>
      <c r="C14381" s="1" t="n">
        <v>45346</v>
      </c>
      <c r="D14381" t="inlineStr">
        <is>
          <t>VÄRMLANDS LÄN</t>
        </is>
      </c>
      <c r="E14381" t="inlineStr">
        <is>
          <t>ARVIKA</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3590-2024</t>
        </is>
      </c>
      <c r="B14382" s="1" t="n">
        <v>45320</v>
      </c>
      <c r="C14382" s="1" t="n">
        <v>45346</v>
      </c>
      <c r="D14382" t="inlineStr">
        <is>
          <t>VÄRMLANDS LÄN</t>
        </is>
      </c>
      <c r="E14382" t="inlineStr">
        <is>
          <t>TORSBY</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45346</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45346</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3787-2024</t>
        </is>
      </c>
      <c r="B14385" s="1" t="n">
        <v>45321</v>
      </c>
      <c r="C14385" s="1" t="n">
        <v>45346</v>
      </c>
      <c r="D14385" t="inlineStr">
        <is>
          <t>VÄRMLANDS LÄN</t>
        </is>
      </c>
      <c r="E14385" t="inlineStr">
        <is>
          <t>ARVIKA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3664-2024</t>
        </is>
      </c>
      <c r="B14386" s="1" t="n">
        <v>45321</v>
      </c>
      <c r="C14386" s="1" t="n">
        <v>45346</v>
      </c>
      <c r="D14386" t="inlineStr">
        <is>
          <t>VÄRMLANDS LÄN</t>
        </is>
      </c>
      <c r="E14386" t="inlineStr">
        <is>
          <t>EDA</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3668-2024</t>
        </is>
      </c>
      <c r="B14387" s="1" t="n">
        <v>45321</v>
      </c>
      <c r="C14387" s="1" t="n">
        <v>45346</v>
      </c>
      <c r="D14387" t="inlineStr">
        <is>
          <t>VÄRMLANDS LÄN</t>
        </is>
      </c>
      <c r="E14387" t="inlineStr">
        <is>
          <t>EDA</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3672-2024</t>
        </is>
      </c>
      <c r="B14388" s="1" t="n">
        <v>45321</v>
      </c>
      <c r="C14388" s="1" t="n">
        <v>45346</v>
      </c>
      <c r="D14388" t="inlineStr">
        <is>
          <t>VÄRMLANDS LÄN</t>
        </is>
      </c>
      <c r="E14388" t="inlineStr">
        <is>
          <t>TORSBY</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3692-2024</t>
        </is>
      </c>
      <c r="B14389" s="1" t="n">
        <v>45321</v>
      </c>
      <c r="C14389" s="1" t="n">
        <v>45346</v>
      </c>
      <c r="D14389" t="inlineStr">
        <is>
          <t>VÄRMLANDS LÄN</t>
        </is>
      </c>
      <c r="E14389" t="inlineStr">
        <is>
          <t>SUNNE</t>
        </is>
      </c>
      <c r="G14389" t="n">
        <v>5.6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3730-2024</t>
        </is>
      </c>
      <c r="B14390" s="1" t="n">
        <v>45321</v>
      </c>
      <c r="C14390" s="1" t="n">
        <v>45346</v>
      </c>
      <c r="D14390" t="inlineStr">
        <is>
          <t>VÄRMLANDS LÄN</t>
        </is>
      </c>
      <c r="E14390" t="inlineStr">
        <is>
          <t>ARVIKA</t>
        </is>
      </c>
      <c r="F14390" t="inlineStr">
        <is>
          <t>Bergvik skog väst AB</t>
        </is>
      </c>
      <c r="G14390" t="n">
        <v>22.1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3734-2024</t>
        </is>
      </c>
      <c r="B14391" s="1" t="n">
        <v>45321</v>
      </c>
      <c r="C14391" s="1" t="n">
        <v>45346</v>
      </c>
      <c r="D14391" t="inlineStr">
        <is>
          <t>VÄRMLANDS LÄN</t>
        </is>
      </c>
      <c r="E14391" t="inlineStr">
        <is>
          <t>TORSBY</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3750-2024</t>
        </is>
      </c>
      <c r="B14392" s="1" t="n">
        <v>45321</v>
      </c>
      <c r="C14392" s="1" t="n">
        <v>45346</v>
      </c>
      <c r="D14392" t="inlineStr">
        <is>
          <t>VÄRMLANDS LÄN</t>
        </is>
      </c>
      <c r="E14392" t="inlineStr">
        <is>
          <t>TORSBY</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3786-2024</t>
        </is>
      </c>
      <c r="B14393" s="1" t="n">
        <v>45321</v>
      </c>
      <c r="C14393" s="1" t="n">
        <v>45346</v>
      </c>
      <c r="D14393" t="inlineStr">
        <is>
          <t>VÄRMLANDS LÄN</t>
        </is>
      </c>
      <c r="E14393" t="inlineStr">
        <is>
          <t>FILIPSTAD</t>
        </is>
      </c>
      <c r="F14393" t="inlineStr">
        <is>
          <t>Bergvik skog väst AB</t>
        </is>
      </c>
      <c r="G14393" t="n">
        <v>13.4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3659-2024</t>
        </is>
      </c>
      <c r="B14394" s="1" t="n">
        <v>45321</v>
      </c>
      <c r="C14394" s="1" t="n">
        <v>45346</v>
      </c>
      <c r="D14394" t="inlineStr">
        <is>
          <t>VÄRMLANDS LÄN</t>
        </is>
      </c>
      <c r="E14394" t="inlineStr">
        <is>
          <t>FILIPSTAD</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3679-2024</t>
        </is>
      </c>
      <c r="B14395" s="1" t="n">
        <v>45321</v>
      </c>
      <c r="C14395" s="1" t="n">
        <v>45346</v>
      </c>
      <c r="D14395" t="inlineStr">
        <is>
          <t>VÄRMLANDS LÄN</t>
        </is>
      </c>
      <c r="E14395" t="inlineStr">
        <is>
          <t>SUNNE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3695-2024</t>
        </is>
      </c>
      <c r="B14396" s="1" t="n">
        <v>45321</v>
      </c>
      <c r="C14396" s="1" t="n">
        <v>45346</v>
      </c>
      <c r="D14396" t="inlineStr">
        <is>
          <t>VÄRMLANDS LÄN</t>
        </is>
      </c>
      <c r="E14396" t="inlineStr">
        <is>
          <t>SUNNE</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3678-2024</t>
        </is>
      </c>
      <c r="B14397" s="1" t="n">
        <v>45321</v>
      </c>
      <c r="C14397" s="1" t="n">
        <v>45346</v>
      </c>
      <c r="D14397" t="inlineStr">
        <is>
          <t>VÄRMLANDS LÄN</t>
        </is>
      </c>
      <c r="E14397" t="inlineStr">
        <is>
          <t>TORSBY</t>
        </is>
      </c>
      <c r="G14397" t="n">
        <v>24.6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3698-2024</t>
        </is>
      </c>
      <c r="B14398" s="1" t="n">
        <v>45321</v>
      </c>
      <c r="C14398" s="1" t="n">
        <v>45346</v>
      </c>
      <c r="D14398" t="inlineStr">
        <is>
          <t>VÄRMLANDS LÄN</t>
        </is>
      </c>
      <c r="E14398" t="inlineStr">
        <is>
          <t>SUNNE</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3720-2024</t>
        </is>
      </c>
      <c r="B14399" s="1" t="n">
        <v>45321</v>
      </c>
      <c r="C14399" s="1" t="n">
        <v>45346</v>
      </c>
      <c r="D14399" t="inlineStr">
        <is>
          <t>VÄRMLANDS LÄN</t>
        </is>
      </c>
      <c r="E14399" t="inlineStr">
        <is>
          <t>TORSBY</t>
        </is>
      </c>
      <c r="F14399" t="inlineStr">
        <is>
          <t>Bergvik skog väst AB</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3724-2024</t>
        </is>
      </c>
      <c r="B14400" s="1" t="n">
        <v>45321</v>
      </c>
      <c r="C14400" s="1" t="n">
        <v>45346</v>
      </c>
      <c r="D14400" t="inlineStr">
        <is>
          <t>VÄRMLANDS LÄN</t>
        </is>
      </c>
      <c r="E14400" t="inlineStr">
        <is>
          <t>TORSBY</t>
        </is>
      </c>
      <c r="F14400" t="inlineStr">
        <is>
          <t>Bergvik skog väst AB</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3744-2024</t>
        </is>
      </c>
      <c r="B14401" s="1" t="n">
        <v>45321</v>
      </c>
      <c r="C14401" s="1" t="n">
        <v>45346</v>
      </c>
      <c r="D14401" t="inlineStr">
        <is>
          <t>VÄRMLANDS LÄN</t>
        </is>
      </c>
      <c r="E14401" t="inlineStr">
        <is>
          <t>ARVIKA</t>
        </is>
      </c>
      <c r="F14401" t="inlineStr">
        <is>
          <t>Bergvik skog väst AB</t>
        </is>
      </c>
      <c r="G14401" t="n">
        <v>4.2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3768-2024</t>
        </is>
      </c>
      <c r="B14402" s="1" t="n">
        <v>45321</v>
      </c>
      <c r="C14402" s="1" t="n">
        <v>45346</v>
      </c>
      <c r="D14402" t="inlineStr">
        <is>
          <t>VÄRMLANDS LÄN</t>
        </is>
      </c>
      <c r="E14402" t="inlineStr">
        <is>
          <t>ARVIKA</t>
        </is>
      </c>
      <c r="F14402" t="inlineStr">
        <is>
          <t>Bergvik skog väst AB</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3785-2024</t>
        </is>
      </c>
      <c r="B14403" s="1" t="n">
        <v>45321</v>
      </c>
      <c r="C14403" s="1" t="n">
        <v>45346</v>
      </c>
      <c r="D14403" t="inlineStr">
        <is>
          <t>VÄRMLANDS LÄN</t>
        </is>
      </c>
      <c r="E14403" t="inlineStr">
        <is>
          <t>ÅRJÄNG</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3822-2024</t>
        </is>
      </c>
      <c r="B14404" s="1" t="n">
        <v>45321</v>
      </c>
      <c r="C14404" s="1" t="n">
        <v>45346</v>
      </c>
      <c r="D14404" t="inlineStr">
        <is>
          <t>VÄRMLANDS LÄN</t>
        </is>
      </c>
      <c r="E14404" t="inlineStr">
        <is>
          <t>TORSBY</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3842-2024</t>
        </is>
      </c>
      <c r="B14405" s="1" t="n">
        <v>45321</v>
      </c>
      <c r="C14405" s="1" t="n">
        <v>45346</v>
      </c>
      <c r="D14405" t="inlineStr">
        <is>
          <t>VÄRMLANDS LÄN</t>
        </is>
      </c>
      <c r="E14405" t="inlineStr">
        <is>
          <t>KIL</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3827-2024</t>
        </is>
      </c>
      <c r="B14406" s="1" t="n">
        <v>45321</v>
      </c>
      <c r="C14406" s="1" t="n">
        <v>45346</v>
      </c>
      <c r="D14406" t="inlineStr">
        <is>
          <t>VÄRMLANDS LÄN</t>
        </is>
      </c>
      <c r="E14406" t="inlineStr">
        <is>
          <t>SUNNE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3852-2024</t>
        </is>
      </c>
      <c r="B14407" s="1" t="n">
        <v>45322</v>
      </c>
      <c r="C14407" s="1" t="n">
        <v>45346</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3932-2024</t>
        </is>
      </c>
      <c r="B14408" s="1" t="n">
        <v>45322</v>
      </c>
      <c r="C14408" s="1" t="n">
        <v>45346</v>
      </c>
      <c r="D14408" t="inlineStr">
        <is>
          <t>VÄRMLANDS LÄN</t>
        </is>
      </c>
      <c r="E14408" t="inlineStr">
        <is>
          <t>KRISTINEHAMN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3851-2024</t>
        </is>
      </c>
      <c r="B14409" s="1" t="n">
        <v>45322</v>
      </c>
      <c r="C14409" s="1" t="n">
        <v>45346</v>
      </c>
      <c r="D14409" t="inlineStr">
        <is>
          <t>VÄRMLANDS LÄN</t>
        </is>
      </c>
      <c r="E14409" t="inlineStr">
        <is>
          <t>KRISTINEHAMN</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3850-2024</t>
        </is>
      </c>
      <c r="B14410" s="1" t="n">
        <v>45322</v>
      </c>
      <c r="C14410" s="1" t="n">
        <v>45346</v>
      </c>
      <c r="D14410" t="inlineStr">
        <is>
          <t>VÄRMLANDS LÄN</t>
        </is>
      </c>
      <c r="E14410" t="inlineStr">
        <is>
          <t>KRISTINEHAMN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3922-2024</t>
        </is>
      </c>
      <c r="B14411" s="1" t="n">
        <v>45322</v>
      </c>
      <c r="C14411" s="1" t="n">
        <v>45346</v>
      </c>
      <c r="D14411" t="inlineStr">
        <is>
          <t>VÄRMLANDS LÄN</t>
        </is>
      </c>
      <c r="E14411" t="inlineStr">
        <is>
          <t>TORSBY</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45346</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45346</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45346</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3949-2024</t>
        </is>
      </c>
      <c r="B14415" s="1" t="n">
        <v>45322</v>
      </c>
      <c r="C14415" s="1" t="n">
        <v>45346</v>
      </c>
      <c r="D14415" t="inlineStr">
        <is>
          <t>VÄRMLANDS LÄN</t>
        </is>
      </c>
      <c r="E14415" t="inlineStr">
        <is>
          <t>SUNNE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3957-2024</t>
        </is>
      </c>
      <c r="B14416" s="1" t="n">
        <v>45322</v>
      </c>
      <c r="C14416" s="1" t="n">
        <v>45346</v>
      </c>
      <c r="D14416" t="inlineStr">
        <is>
          <t>VÄRMLANDS LÄN</t>
        </is>
      </c>
      <c r="E14416" t="inlineStr">
        <is>
          <t>GRUMS</t>
        </is>
      </c>
      <c r="F14416" t="inlineStr">
        <is>
          <t>Bergvik skog väst AB</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3979-2024</t>
        </is>
      </c>
      <c r="B14417" s="1" t="n">
        <v>45322</v>
      </c>
      <c r="C14417" s="1" t="n">
        <v>45346</v>
      </c>
      <c r="D14417" t="inlineStr">
        <is>
          <t>VÄRMLANDS LÄN</t>
        </is>
      </c>
      <c r="E14417" t="inlineStr">
        <is>
          <t>FILIPSTAD</t>
        </is>
      </c>
      <c r="G14417" t="n">
        <v>8.199999999999999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45346</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4093-2024</t>
        </is>
      </c>
      <c r="B14419" s="1" t="n">
        <v>45323</v>
      </c>
      <c r="C14419" s="1" t="n">
        <v>45346</v>
      </c>
      <c r="D14419" t="inlineStr">
        <is>
          <t>VÄRMLANDS LÄN</t>
        </is>
      </c>
      <c r="E14419" t="inlineStr">
        <is>
          <t>SÄFFLE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4030-2024</t>
        </is>
      </c>
      <c r="B14420" s="1" t="n">
        <v>45323</v>
      </c>
      <c r="C14420" s="1" t="n">
        <v>45346</v>
      </c>
      <c r="D14420" t="inlineStr">
        <is>
          <t>VÄRMLANDS LÄN</t>
        </is>
      </c>
      <c r="E14420" t="inlineStr">
        <is>
          <t>TORSBY</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4070-2024</t>
        </is>
      </c>
      <c r="B14421" s="1" t="n">
        <v>45323</v>
      </c>
      <c r="C14421" s="1" t="n">
        <v>45346</v>
      </c>
      <c r="D14421" t="inlineStr">
        <is>
          <t>VÄRMLANDS LÄN</t>
        </is>
      </c>
      <c r="E14421" t="inlineStr">
        <is>
          <t>TORSBY</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4078-2024</t>
        </is>
      </c>
      <c r="B14422" s="1" t="n">
        <v>45323</v>
      </c>
      <c r="C14422" s="1" t="n">
        <v>45346</v>
      </c>
      <c r="D14422" t="inlineStr">
        <is>
          <t>VÄRMLANDS LÄN</t>
        </is>
      </c>
      <c r="E14422" t="inlineStr">
        <is>
          <t>TORSBY</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45346</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45346</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45346</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4186-2024</t>
        </is>
      </c>
      <c r="B14426" s="1" t="n">
        <v>45324</v>
      </c>
      <c r="C14426" s="1" t="n">
        <v>45346</v>
      </c>
      <c r="D14426" t="inlineStr">
        <is>
          <t>VÄRMLANDS LÄN</t>
        </is>
      </c>
      <c r="E14426" t="inlineStr">
        <is>
          <t>HAGFORS</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4218-2024</t>
        </is>
      </c>
      <c r="B14427" s="1" t="n">
        <v>45324</v>
      </c>
      <c r="C14427" s="1" t="n">
        <v>45346</v>
      </c>
      <c r="D14427" t="inlineStr">
        <is>
          <t>VÄRMLANDS LÄN</t>
        </is>
      </c>
      <c r="E14427" t="inlineStr">
        <is>
          <t>SUNNE</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4231-2024</t>
        </is>
      </c>
      <c r="B14428" s="1" t="n">
        <v>45324</v>
      </c>
      <c r="C14428" s="1" t="n">
        <v>45346</v>
      </c>
      <c r="D14428" t="inlineStr">
        <is>
          <t>VÄRMLANDS LÄN</t>
        </is>
      </c>
      <c r="E14428" t="inlineStr">
        <is>
          <t>TORSBY</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4219-2024</t>
        </is>
      </c>
      <c r="B14429" s="1" t="n">
        <v>45324</v>
      </c>
      <c r="C14429" s="1" t="n">
        <v>45346</v>
      </c>
      <c r="D14429" t="inlineStr">
        <is>
          <t>VÄRMLANDS LÄN</t>
        </is>
      </c>
      <c r="E14429" t="inlineStr">
        <is>
          <t>TORSBY</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4279-2024</t>
        </is>
      </c>
      <c r="B14430" s="1" t="n">
        <v>45324</v>
      </c>
      <c r="C14430" s="1" t="n">
        <v>45346</v>
      </c>
      <c r="D14430" t="inlineStr">
        <is>
          <t>VÄRMLANDS LÄN</t>
        </is>
      </c>
      <c r="E14430" t="inlineStr">
        <is>
          <t>HAGFORS</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4200-2024</t>
        </is>
      </c>
      <c r="B14431" s="1" t="n">
        <v>45324</v>
      </c>
      <c r="C14431" s="1" t="n">
        <v>45346</v>
      </c>
      <c r="D14431" t="inlineStr">
        <is>
          <t>VÄRMLANDS LÄN</t>
        </is>
      </c>
      <c r="E14431" t="inlineStr">
        <is>
          <t>SUNNE</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4330-2024</t>
        </is>
      </c>
      <c r="B14432" s="1" t="n">
        <v>45324</v>
      </c>
      <c r="C14432" s="1" t="n">
        <v>45346</v>
      </c>
      <c r="D14432" t="inlineStr">
        <is>
          <t>VÄRMLANDS LÄN</t>
        </is>
      </c>
      <c r="E14432" t="inlineStr">
        <is>
          <t>SÄFFLE</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4195-2024</t>
        </is>
      </c>
      <c r="B14433" s="1" t="n">
        <v>45324</v>
      </c>
      <c r="C14433" s="1" t="n">
        <v>45346</v>
      </c>
      <c r="D14433" t="inlineStr">
        <is>
          <t>VÄRMLANDS LÄN</t>
        </is>
      </c>
      <c r="E14433" t="inlineStr">
        <is>
          <t>ARVIKA</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4253-2024</t>
        </is>
      </c>
      <c r="B14434" s="1" t="n">
        <v>45324</v>
      </c>
      <c r="C14434" s="1" t="n">
        <v>45346</v>
      </c>
      <c r="D14434" t="inlineStr">
        <is>
          <t>VÄRMLANDS LÄN</t>
        </is>
      </c>
      <c r="E14434" t="inlineStr">
        <is>
          <t>SÄFFLE</t>
        </is>
      </c>
      <c r="G14434" t="n">
        <v>5.9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4273-2024</t>
        </is>
      </c>
      <c r="B14435" s="1" t="n">
        <v>45324</v>
      </c>
      <c r="C14435" s="1" t="n">
        <v>45346</v>
      </c>
      <c r="D14435" t="inlineStr">
        <is>
          <t>VÄRMLANDS LÄN</t>
        </is>
      </c>
      <c r="E14435" t="inlineStr">
        <is>
          <t>SUNNE</t>
        </is>
      </c>
      <c r="G14435" t="n">
        <v>10.6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4277-2024</t>
        </is>
      </c>
      <c r="B14436" s="1" t="n">
        <v>45324</v>
      </c>
      <c r="C14436" s="1" t="n">
        <v>45346</v>
      </c>
      <c r="D14436" t="inlineStr">
        <is>
          <t>VÄRMLANDS LÄN</t>
        </is>
      </c>
      <c r="E14436" t="inlineStr">
        <is>
          <t>KRISTINEHAMN</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4289-2024</t>
        </is>
      </c>
      <c r="B14437" s="1" t="n">
        <v>45324</v>
      </c>
      <c r="C14437" s="1" t="n">
        <v>45346</v>
      </c>
      <c r="D14437" t="inlineStr">
        <is>
          <t>VÄRMLANDS LÄN</t>
        </is>
      </c>
      <c r="E14437" t="inlineStr">
        <is>
          <t>SUNNE</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45346</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4463-2024</t>
        </is>
      </c>
      <c r="B14439" s="1" t="n">
        <v>45326</v>
      </c>
      <c r="C14439" s="1" t="n">
        <v>45346</v>
      </c>
      <c r="D14439" t="inlineStr">
        <is>
          <t>VÄRMLANDS LÄN</t>
        </is>
      </c>
      <c r="E14439" t="inlineStr">
        <is>
          <t>ARVIKA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45346</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4382-2024</t>
        </is>
      </c>
      <c r="B14441" s="1" t="n">
        <v>45327</v>
      </c>
      <c r="C14441" s="1" t="n">
        <v>45346</v>
      </c>
      <c r="D14441" t="inlineStr">
        <is>
          <t>VÄRMLANDS LÄN</t>
        </is>
      </c>
      <c r="E14441" t="inlineStr">
        <is>
          <t>ÅRJÄNG</t>
        </is>
      </c>
      <c r="G14441" t="n">
        <v>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4418-2024</t>
        </is>
      </c>
      <c r="B14442" s="1" t="n">
        <v>45327</v>
      </c>
      <c r="C14442" s="1" t="n">
        <v>45346</v>
      </c>
      <c r="D14442" t="inlineStr">
        <is>
          <t>VÄRMLANDS LÄN</t>
        </is>
      </c>
      <c r="E14442" t="inlineStr">
        <is>
          <t>FILIPSTAD</t>
        </is>
      </c>
      <c r="F14442" t="inlineStr">
        <is>
          <t>Bergvik skog väst AB</t>
        </is>
      </c>
      <c r="G14442" t="n">
        <v>9.300000000000001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4430-2024</t>
        </is>
      </c>
      <c r="B14443" s="1" t="n">
        <v>45327</v>
      </c>
      <c r="C14443" s="1" t="n">
        <v>45346</v>
      </c>
      <c r="D14443" t="inlineStr">
        <is>
          <t>VÄRMLANDS LÄN</t>
        </is>
      </c>
      <c r="E14443" t="inlineStr">
        <is>
          <t>ARVIKA</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4388-2024</t>
        </is>
      </c>
      <c r="B14444" s="1" t="n">
        <v>45327</v>
      </c>
      <c r="C14444" s="1" t="n">
        <v>45346</v>
      </c>
      <c r="D14444" t="inlineStr">
        <is>
          <t>VÄRMLANDS LÄN</t>
        </is>
      </c>
      <c r="E14444" t="inlineStr">
        <is>
          <t>ARVIKA</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45346</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45346</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4606-2024</t>
        </is>
      </c>
      <c r="B14447" s="1" t="n">
        <v>45328</v>
      </c>
      <c r="C14447" s="1" t="n">
        <v>45346</v>
      </c>
      <c r="D14447" t="inlineStr">
        <is>
          <t>VÄRMLANDS LÄN</t>
        </is>
      </c>
      <c r="E14447" t="inlineStr">
        <is>
          <t>ÅRJÄNG</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4743-2024</t>
        </is>
      </c>
      <c r="B14448" s="1" t="n">
        <v>45328</v>
      </c>
      <c r="C14448" s="1" t="n">
        <v>45346</v>
      </c>
      <c r="D14448" t="inlineStr">
        <is>
          <t>VÄRMLANDS LÄN</t>
        </is>
      </c>
      <c r="E14448" t="inlineStr">
        <is>
          <t>SÄFFLE</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4796-2024</t>
        </is>
      </c>
      <c r="B14449" s="1" t="n">
        <v>45328</v>
      </c>
      <c r="C14449" s="1" t="n">
        <v>45346</v>
      </c>
      <c r="D14449" t="inlineStr">
        <is>
          <t>VÄRMLANDS LÄN</t>
        </is>
      </c>
      <c r="E14449" t="inlineStr">
        <is>
          <t>KRISTINEHAMN</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4748-2024</t>
        </is>
      </c>
      <c r="B14450" s="1" t="n">
        <v>45328</v>
      </c>
      <c r="C14450" s="1" t="n">
        <v>45346</v>
      </c>
      <c r="D14450" t="inlineStr">
        <is>
          <t>VÄRMLANDS LÄN</t>
        </is>
      </c>
      <c r="E14450" t="inlineStr">
        <is>
          <t>HAGFORS</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4797-2024</t>
        </is>
      </c>
      <c r="B14451" s="1" t="n">
        <v>45328</v>
      </c>
      <c r="C14451" s="1" t="n">
        <v>45346</v>
      </c>
      <c r="D14451" t="inlineStr">
        <is>
          <t>VÄRMLANDS LÄN</t>
        </is>
      </c>
      <c r="E14451" t="inlineStr">
        <is>
          <t>ARVIKA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4742-2024</t>
        </is>
      </c>
      <c r="B14452" s="1" t="n">
        <v>45328</v>
      </c>
      <c r="C14452" s="1" t="n">
        <v>45346</v>
      </c>
      <c r="D14452" t="inlineStr">
        <is>
          <t>VÄRMLANDS LÄN</t>
        </is>
      </c>
      <c r="E14452" t="inlineStr">
        <is>
          <t>SÄFFLE</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4754-2024</t>
        </is>
      </c>
      <c r="B14453" s="1" t="n">
        <v>45328</v>
      </c>
      <c r="C14453" s="1" t="n">
        <v>45346</v>
      </c>
      <c r="D14453" t="inlineStr">
        <is>
          <t>VÄRMLANDS LÄN</t>
        </is>
      </c>
      <c r="E14453" t="inlineStr">
        <is>
          <t>ARVIKA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4745-2024</t>
        </is>
      </c>
      <c r="B14454" s="1" t="n">
        <v>45328</v>
      </c>
      <c r="C14454" s="1" t="n">
        <v>45346</v>
      </c>
      <c r="D14454" t="inlineStr">
        <is>
          <t>VÄRMLANDS LÄN</t>
        </is>
      </c>
      <c r="E14454" t="inlineStr">
        <is>
          <t>HAGFORS</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4749-2024</t>
        </is>
      </c>
      <c r="B14455" s="1" t="n">
        <v>45328</v>
      </c>
      <c r="C14455" s="1" t="n">
        <v>45346</v>
      </c>
      <c r="D14455" t="inlineStr">
        <is>
          <t>VÄRMLANDS LÄN</t>
        </is>
      </c>
      <c r="E14455" t="inlineStr">
        <is>
          <t>ARVIKA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4908-2024</t>
        </is>
      </c>
      <c r="B14456" s="1" t="n">
        <v>45329</v>
      </c>
      <c r="C14456" s="1" t="n">
        <v>45346</v>
      </c>
      <c r="D14456" t="inlineStr">
        <is>
          <t>VÄRMLANDS LÄN</t>
        </is>
      </c>
      <c r="E14456" t="inlineStr">
        <is>
          <t>TORSBY</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4920-2024</t>
        </is>
      </c>
      <c r="B14457" s="1" t="n">
        <v>45329</v>
      </c>
      <c r="C14457" s="1" t="n">
        <v>45346</v>
      </c>
      <c r="D14457" t="inlineStr">
        <is>
          <t>VÄRMLANDS LÄN</t>
        </is>
      </c>
      <c r="E14457" t="inlineStr">
        <is>
          <t>TORSBY</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4913-2024</t>
        </is>
      </c>
      <c r="B14458" s="1" t="n">
        <v>45329</v>
      </c>
      <c r="C14458" s="1" t="n">
        <v>45346</v>
      </c>
      <c r="D14458" t="inlineStr">
        <is>
          <t>VÄRMLANDS LÄN</t>
        </is>
      </c>
      <c r="E14458" t="inlineStr">
        <is>
          <t>TORSBY</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4982-2024</t>
        </is>
      </c>
      <c r="B14459" s="1" t="n">
        <v>45329</v>
      </c>
      <c r="C14459" s="1" t="n">
        <v>45346</v>
      </c>
      <c r="D14459" t="inlineStr">
        <is>
          <t>VÄRMLANDS LÄN</t>
        </is>
      </c>
      <c r="E14459" t="inlineStr">
        <is>
          <t>GRUMS</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5011-2024</t>
        </is>
      </c>
      <c r="B14460" s="1" t="n">
        <v>45329</v>
      </c>
      <c r="C14460" s="1" t="n">
        <v>45346</v>
      </c>
      <c r="D14460" t="inlineStr">
        <is>
          <t>VÄRMLANDS LÄN</t>
        </is>
      </c>
      <c r="E14460" t="inlineStr">
        <is>
          <t>GRUMS</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4983-2024</t>
        </is>
      </c>
      <c r="B14461" s="1" t="n">
        <v>45329</v>
      </c>
      <c r="C14461" s="1" t="n">
        <v>45346</v>
      </c>
      <c r="D14461" t="inlineStr">
        <is>
          <t>VÄRMLANDS LÄN</t>
        </is>
      </c>
      <c r="E14461" t="inlineStr">
        <is>
          <t>ARVIKA</t>
        </is>
      </c>
      <c r="F14461" t="inlineStr">
        <is>
          <t>Bergvik skog väst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4865-2024</t>
        </is>
      </c>
      <c r="B14462" s="1" t="n">
        <v>45329</v>
      </c>
      <c r="C14462" s="1" t="n">
        <v>45346</v>
      </c>
      <c r="D14462" t="inlineStr">
        <is>
          <t>VÄRMLANDS LÄN</t>
        </is>
      </c>
      <c r="E14462" t="inlineStr">
        <is>
          <t>ÅRJÄNG</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4890-2024</t>
        </is>
      </c>
      <c r="B14463" s="1" t="n">
        <v>45329</v>
      </c>
      <c r="C14463" s="1" t="n">
        <v>45346</v>
      </c>
      <c r="D14463" t="inlineStr">
        <is>
          <t>VÄRMLANDS LÄN</t>
        </is>
      </c>
      <c r="E14463" t="inlineStr">
        <is>
          <t>ARVIKA</t>
        </is>
      </c>
      <c r="F14463" t="inlineStr">
        <is>
          <t>Bergvik skog väst AB</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4918-2024</t>
        </is>
      </c>
      <c r="B14464" s="1" t="n">
        <v>45329</v>
      </c>
      <c r="C14464" s="1" t="n">
        <v>45346</v>
      </c>
      <c r="D14464" t="inlineStr">
        <is>
          <t>VÄRMLANDS LÄN</t>
        </is>
      </c>
      <c r="E14464" t="inlineStr">
        <is>
          <t>TORSBY</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4870-2024</t>
        </is>
      </c>
      <c r="B14465" s="1" t="n">
        <v>45329</v>
      </c>
      <c r="C14465" s="1" t="n">
        <v>45346</v>
      </c>
      <c r="D14465" t="inlineStr">
        <is>
          <t>VÄRMLANDS LÄN</t>
        </is>
      </c>
      <c r="E14465" t="inlineStr">
        <is>
          <t>GRUMS</t>
        </is>
      </c>
      <c r="G14465" t="n">
        <v>8.4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4907-2024</t>
        </is>
      </c>
      <c r="B14466" s="1" t="n">
        <v>45329</v>
      </c>
      <c r="C14466" s="1" t="n">
        <v>45346</v>
      </c>
      <c r="D14466" t="inlineStr">
        <is>
          <t>VÄRMLANDS LÄN</t>
        </is>
      </c>
      <c r="E14466" t="inlineStr">
        <is>
          <t>ARVIKA</t>
        </is>
      </c>
      <c r="F14466" t="inlineStr">
        <is>
          <t>Bergvik skog väst AB</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4943-2024</t>
        </is>
      </c>
      <c r="B14467" s="1" t="n">
        <v>45329</v>
      </c>
      <c r="C14467" s="1" t="n">
        <v>45346</v>
      </c>
      <c r="D14467" t="inlineStr">
        <is>
          <t>VÄRMLANDS LÄN</t>
        </is>
      </c>
      <c r="E14467" t="inlineStr">
        <is>
          <t>GRUMS</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4959-2024</t>
        </is>
      </c>
      <c r="B14468" s="1" t="n">
        <v>45329</v>
      </c>
      <c r="C14468" s="1" t="n">
        <v>45346</v>
      </c>
      <c r="D14468" t="inlineStr">
        <is>
          <t>VÄRMLANDS LÄN</t>
        </is>
      </c>
      <c r="E14468" t="inlineStr">
        <is>
          <t>ARVIKA</t>
        </is>
      </c>
      <c r="F14468" t="inlineStr">
        <is>
          <t>Bergvik skog väst AB</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4963-2024</t>
        </is>
      </c>
      <c r="B14469" s="1" t="n">
        <v>45329</v>
      </c>
      <c r="C14469" s="1" t="n">
        <v>45346</v>
      </c>
      <c r="D14469" t="inlineStr">
        <is>
          <t>VÄRMLANDS LÄN</t>
        </is>
      </c>
      <c r="E14469" t="inlineStr">
        <is>
          <t>GRUMS</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4948-2024</t>
        </is>
      </c>
      <c r="B14470" s="1" t="n">
        <v>45329</v>
      </c>
      <c r="C14470" s="1" t="n">
        <v>45346</v>
      </c>
      <c r="D14470" t="inlineStr">
        <is>
          <t>VÄRMLANDS LÄN</t>
        </is>
      </c>
      <c r="E14470" t="inlineStr">
        <is>
          <t>ARVIKA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4993-2024</t>
        </is>
      </c>
      <c r="B14471" s="1" t="n">
        <v>45329</v>
      </c>
      <c r="C14471" s="1" t="n">
        <v>45346</v>
      </c>
      <c r="D14471" t="inlineStr">
        <is>
          <t>VÄRMLANDS LÄN</t>
        </is>
      </c>
      <c r="E14471" t="inlineStr">
        <is>
          <t>ARVIKA</t>
        </is>
      </c>
      <c r="F14471" t="inlineStr">
        <is>
          <t>Bergvik skog väst AB</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4998-2024</t>
        </is>
      </c>
      <c r="B14472" s="1" t="n">
        <v>45329</v>
      </c>
      <c r="C14472" s="1" t="n">
        <v>45346</v>
      </c>
      <c r="D14472" t="inlineStr">
        <is>
          <t>VÄRMLANDS LÄN</t>
        </is>
      </c>
      <c r="E14472" t="inlineStr">
        <is>
          <t>STORFORS</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4976-2024</t>
        </is>
      </c>
      <c r="B14473" s="1" t="n">
        <v>45329</v>
      </c>
      <c r="C14473" s="1" t="n">
        <v>45346</v>
      </c>
      <c r="D14473" t="inlineStr">
        <is>
          <t>VÄRMLANDS LÄN</t>
        </is>
      </c>
      <c r="E14473" t="inlineStr">
        <is>
          <t>GRUMS</t>
        </is>
      </c>
      <c r="G14473" t="n">
        <v>5.1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4988-2024</t>
        </is>
      </c>
      <c r="B14474" s="1" t="n">
        <v>45329</v>
      </c>
      <c r="C14474" s="1" t="n">
        <v>45346</v>
      </c>
      <c r="D14474" t="inlineStr">
        <is>
          <t>VÄRMLANDS LÄN</t>
        </is>
      </c>
      <c r="E14474" t="inlineStr">
        <is>
          <t>ARVIKA</t>
        </is>
      </c>
      <c r="F14474" t="inlineStr">
        <is>
          <t>Bergvik skog väst AB</t>
        </is>
      </c>
      <c r="G14474" t="n">
        <v>9.4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5179-2024</t>
        </is>
      </c>
      <c r="B14475" s="1" t="n">
        <v>45330</v>
      </c>
      <c r="C14475" s="1" t="n">
        <v>45346</v>
      </c>
      <c r="D14475" t="inlineStr">
        <is>
          <t>VÄRMLANDS LÄN</t>
        </is>
      </c>
      <c r="E14475" t="inlineStr">
        <is>
          <t>SUNNE</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5221-2024</t>
        </is>
      </c>
      <c r="B14476" s="1" t="n">
        <v>45330</v>
      </c>
      <c r="C14476" s="1" t="n">
        <v>45346</v>
      </c>
      <c r="D14476" t="inlineStr">
        <is>
          <t>VÄRMLANDS LÄN</t>
        </is>
      </c>
      <c r="E14476" t="inlineStr">
        <is>
          <t>SÄFFLE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5208-2024</t>
        </is>
      </c>
      <c r="B14477" s="1" t="n">
        <v>45330</v>
      </c>
      <c r="C14477" s="1" t="n">
        <v>45346</v>
      </c>
      <c r="D14477" t="inlineStr">
        <is>
          <t>VÄRMLANDS LÄN</t>
        </is>
      </c>
      <c r="E14477" t="inlineStr">
        <is>
          <t>SUNNE</t>
        </is>
      </c>
      <c r="F14477" t="inlineStr">
        <is>
          <t>Kommuner</t>
        </is>
      </c>
      <c r="G14477" t="n">
        <v>16.8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5115-2024</t>
        </is>
      </c>
      <c r="B14478" s="1" t="n">
        <v>45330</v>
      </c>
      <c r="C14478" s="1" t="n">
        <v>45346</v>
      </c>
      <c r="D14478" t="inlineStr">
        <is>
          <t>VÄRMLANDS LÄN</t>
        </is>
      </c>
      <c r="E14478" t="inlineStr">
        <is>
          <t>TORSBY</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45346</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5240-2024</t>
        </is>
      </c>
      <c r="B14480" s="1" t="n">
        <v>45330</v>
      </c>
      <c r="C14480" s="1" t="n">
        <v>45346</v>
      </c>
      <c r="D14480" t="inlineStr">
        <is>
          <t>VÄRMLANDS LÄN</t>
        </is>
      </c>
      <c r="E14480" t="inlineStr">
        <is>
          <t>SUNNE</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5311-2024</t>
        </is>
      </c>
      <c r="B14481" s="1" t="n">
        <v>45331</v>
      </c>
      <c r="C14481" s="1" t="n">
        <v>45346</v>
      </c>
      <c r="D14481" t="inlineStr">
        <is>
          <t>VÄRMLANDS LÄN</t>
        </is>
      </c>
      <c r="E14481" t="inlineStr">
        <is>
          <t>ARVIKA</t>
        </is>
      </c>
      <c r="F14481" t="inlineStr">
        <is>
          <t>Bergvik skog väst AB</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5332-2024</t>
        </is>
      </c>
      <c r="B14482" s="1" t="n">
        <v>45331</v>
      </c>
      <c r="C14482" s="1" t="n">
        <v>45346</v>
      </c>
      <c r="D14482" t="inlineStr">
        <is>
          <t>VÄRMLANDS LÄN</t>
        </is>
      </c>
      <c r="E14482" t="inlineStr">
        <is>
          <t>ARVIKA</t>
        </is>
      </c>
      <c r="F14482" t="inlineStr">
        <is>
          <t>Bergvik skog väst AB</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5351-2024</t>
        </is>
      </c>
      <c r="B14483" s="1" t="n">
        <v>45331</v>
      </c>
      <c r="C14483" s="1" t="n">
        <v>45346</v>
      </c>
      <c r="D14483" t="inlineStr">
        <is>
          <t>VÄRMLANDS LÄN</t>
        </is>
      </c>
      <c r="E14483" t="inlineStr">
        <is>
          <t>TORSBY</t>
        </is>
      </c>
      <c r="G14483" t="n">
        <v>8.9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5297-2024</t>
        </is>
      </c>
      <c r="B14484" s="1" t="n">
        <v>45331</v>
      </c>
      <c r="C14484" s="1" t="n">
        <v>45346</v>
      </c>
      <c r="D14484" t="inlineStr">
        <is>
          <t>VÄRMLANDS LÄN</t>
        </is>
      </c>
      <c r="E14484" t="inlineStr">
        <is>
          <t>EDA</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5304-2024</t>
        </is>
      </c>
      <c r="B14485" s="1" t="n">
        <v>45331</v>
      </c>
      <c r="C14485" s="1" t="n">
        <v>45346</v>
      </c>
      <c r="D14485" t="inlineStr">
        <is>
          <t>VÄRMLANDS LÄN</t>
        </is>
      </c>
      <c r="E14485" t="inlineStr">
        <is>
          <t>ARVIKA</t>
        </is>
      </c>
      <c r="F14485" t="inlineStr">
        <is>
          <t>Bergvik skog väst AB</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5393-2024</t>
        </is>
      </c>
      <c r="B14486" s="1" t="n">
        <v>45331</v>
      </c>
      <c r="C14486" s="1" t="n">
        <v>45346</v>
      </c>
      <c r="D14486" t="inlineStr">
        <is>
          <t>VÄRMLANDS LÄN</t>
        </is>
      </c>
      <c r="E14486" t="inlineStr">
        <is>
          <t>KIL</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5287-2024</t>
        </is>
      </c>
      <c r="B14487" s="1" t="n">
        <v>45331</v>
      </c>
      <c r="C14487" s="1" t="n">
        <v>45346</v>
      </c>
      <c r="D14487" t="inlineStr">
        <is>
          <t>VÄRMLANDS LÄN</t>
        </is>
      </c>
      <c r="E14487" t="inlineStr">
        <is>
          <t>SÄFFLE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5387-2024</t>
        </is>
      </c>
      <c r="B14488" s="1" t="n">
        <v>45331</v>
      </c>
      <c r="C14488" s="1" t="n">
        <v>45346</v>
      </c>
      <c r="D14488" t="inlineStr">
        <is>
          <t>VÄRMLANDS LÄN</t>
        </is>
      </c>
      <c r="E14488" t="inlineStr">
        <is>
          <t>KARLSTAD</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5551-2024</t>
        </is>
      </c>
      <c r="B14489" s="1" t="n">
        <v>45332</v>
      </c>
      <c r="C14489" s="1" t="n">
        <v>45346</v>
      </c>
      <c r="D14489" t="inlineStr">
        <is>
          <t>VÄRMLANDS LÄN</t>
        </is>
      </c>
      <c r="E14489" t="inlineStr">
        <is>
          <t>SÄFFLE</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5562-2024</t>
        </is>
      </c>
      <c r="B14490" s="1" t="n">
        <v>45332</v>
      </c>
      <c r="C14490" s="1" t="n">
        <v>45346</v>
      </c>
      <c r="D14490" t="inlineStr">
        <is>
          <t>VÄRMLANDS LÄN</t>
        </is>
      </c>
      <c r="E14490" t="inlineStr">
        <is>
          <t>SÄFFLE</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5484-2024</t>
        </is>
      </c>
      <c r="B14491" s="1" t="n">
        <v>45333</v>
      </c>
      <c r="C14491" s="1" t="n">
        <v>45346</v>
      </c>
      <c r="D14491" t="inlineStr">
        <is>
          <t>VÄRMLANDS LÄN</t>
        </is>
      </c>
      <c r="E14491" t="inlineStr">
        <is>
          <t>SÄFFLE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5483-2024</t>
        </is>
      </c>
      <c r="B14492" s="1" t="n">
        <v>45333</v>
      </c>
      <c r="C14492" s="1" t="n">
        <v>45346</v>
      </c>
      <c r="D14492" t="inlineStr">
        <is>
          <t>VÄRMLANDS LÄN</t>
        </is>
      </c>
      <c r="E14492" t="inlineStr">
        <is>
          <t>SÄFFLE</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5594-2024</t>
        </is>
      </c>
      <c r="B14493" s="1" t="n">
        <v>45334</v>
      </c>
      <c r="C14493" s="1" t="n">
        <v>45346</v>
      </c>
      <c r="D14493" t="inlineStr">
        <is>
          <t>VÄRMLANDS LÄN</t>
        </is>
      </c>
      <c r="E14493" t="inlineStr">
        <is>
          <t>SÄFFLE</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5505-2024</t>
        </is>
      </c>
      <c r="B14494" s="1" t="n">
        <v>45334</v>
      </c>
      <c r="C14494" s="1" t="n">
        <v>45346</v>
      </c>
      <c r="D14494" t="inlineStr">
        <is>
          <t>VÄRMLANDS LÄN</t>
        </is>
      </c>
      <c r="E14494" t="inlineStr">
        <is>
          <t>SUNNE</t>
        </is>
      </c>
      <c r="F14494" t="inlineStr">
        <is>
          <t>Bergvik skog väst AB</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5509-2024</t>
        </is>
      </c>
      <c r="B14495" s="1" t="n">
        <v>45334</v>
      </c>
      <c r="C14495" s="1" t="n">
        <v>45346</v>
      </c>
      <c r="D14495" t="inlineStr">
        <is>
          <t>VÄRMLANDS LÄN</t>
        </is>
      </c>
      <c r="E14495" t="inlineStr">
        <is>
          <t>TORSBY</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5612-2024</t>
        </is>
      </c>
      <c r="B14496" s="1" t="n">
        <v>45334</v>
      </c>
      <c r="C14496" s="1" t="n">
        <v>45346</v>
      </c>
      <c r="D14496" t="inlineStr">
        <is>
          <t>VÄRMLANDS LÄN</t>
        </is>
      </c>
      <c r="E14496" t="inlineStr">
        <is>
          <t>HAGFORS</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5621-2024</t>
        </is>
      </c>
      <c r="B14497" s="1" t="n">
        <v>45334</v>
      </c>
      <c r="C14497" s="1" t="n">
        <v>45346</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5653-2024</t>
        </is>
      </c>
      <c r="B14498" s="1" t="n">
        <v>45334</v>
      </c>
      <c r="C14498" s="1" t="n">
        <v>45346</v>
      </c>
      <c r="D14498" t="inlineStr">
        <is>
          <t>VÄRMLANDS LÄN</t>
        </is>
      </c>
      <c r="E14498" t="inlineStr">
        <is>
          <t>SUNNE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5507-2024</t>
        </is>
      </c>
      <c r="B14499" s="1" t="n">
        <v>45334</v>
      </c>
      <c r="C14499" s="1" t="n">
        <v>45346</v>
      </c>
      <c r="D14499" t="inlineStr">
        <is>
          <t>VÄRMLANDS LÄN</t>
        </is>
      </c>
      <c r="E14499" t="inlineStr">
        <is>
          <t>ÅRJÄNG</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5523-2024</t>
        </is>
      </c>
      <c r="B14500" s="1" t="n">
        <v>45334</v>
      </c>
      <c r="C14500" s="1" t="n">
        <v>45346</v>
      </c>
      <c r="D14500" t="inlineStr">
        <is>
          <t>VÄRMLANDS LÄN</t>
        </is>
      </c>
      <c r="E14500" t="inlineStr">
        <is>
          <t>SUNNE</t>
        </is>
      </c>
      <c r="F14500" t="inlineStr">
        <is>
          <t>Bergvik skog väst AB</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5652-2024</t>
        </is>
      </c>
      <c r="B14501" s="1" t="n">
        <v>45334</v>
      </c>
      <c r="C14501" s="1" t="n">
        <v>45346</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5743-2024</t>
        </is>
      </c>
      <c r="B14502" s="1" t="n">
        <v>45335</v>
      </c>
      <c r="C14502" s="1" t="n">
        <v>45346</v>
      </c>
      <c r="D14502" t="inlineStr">
        <is>
          <t>VÄRMLANDS LÄN</t>
        </is>
      </c>
      <c r="E14502" t="inlineStr">
        <is>
          <t>ARVIKA</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5783-2024</t>
        </is>
      </c>
      <c r="B14503" s="1" t="n">
        <v>45335</v>
      </c>
      <c r="C14503" s="1" t="n">
        <v>45346</v>
      </c>
      <c r="D14503" t="inlineStr">
        <is>
          <t>VÄRMLANDS LÄN</t>
        </is>
      </c>
      <c r="E14503" t="inlineStr">
        <is>
          <t>KARLSTAD</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5864-2024</t>
        </is>
      </c>
      <c r="B14504" s="1" t="n">
        <v>45335</v>
      </c>
      <c r="C14504" s="1" t="n">
        <v>45346</v>
      </c>
      <c r="D14504" t="inlineStr">
        <is>
          <t>VÄRMLANDS LÄN</t>
        </is>
      </c>
      <c r="E14504" t="inlineStr">
        <is>
          <t>KRISTINEHAMN</t>
        </is>
      </c>
      <c r="F14504" t="inlineStr">
        <is>
          <t>Kommuner</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5740-2024</t>
        </is>
      </c>
      <c r="B14505" s="1" t="n">
        <v>45335</v>
      </c>
      <c r="C14505" s="1" t="n">
        <v>45346</v>
      </c>
      <c r="D14505" t="inlineStr">
        <is>
          <t>VÄRMLANDS LÄN</t>
        </is>
      </c>
      <c r="E14505" t="inlineStr">
        <is>
          <t>ARVIKA</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5744-2024</t>
        </is>
      </c>
      <c r="B14506" s="1" t="n">
        <v>45335</v>
      </c>
      <c r="C14506" s="1" t="n">
        <v>45346</v>
      </c>
      <c r="D14506" t="inlineStr">
        <is>
          <t>VÄRMLANDS LÄN</t>
        </is>
      </c>
      <c r="E14506" t="inlineStr">
        <is>
          <t>ARVIKA</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5796-2024</t>
        </is>
      </c>
      <c r="B14507" s="1" t="n">
        <v>45335</v>
      </c>
      <c r="C14507" s="1" t="n">
        <v>45346</v>
      </c>
      <c r="D14507" t="inlineStr">
        <is>
          <t>VÄRMLANDS LÄN</t>
        </is>
      </c>
      <c r="E14507" t="inlineStr">
        <is>
          <t>HAGFORS</t>
        </is>
      </c>
      <c r="G14507" t="n">
        <v>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5741-2024</t>
        </is>
      </c>
      <c r="B14508" s="1" t="n">
        <v>45335</v>
      </c>
      <c r="C14508" s="1" t="n">
        <v>45346</v>
      </c>
      <c r="D14508" t="inlineStr">
        <is>
          <t>VÄRMLANDS LÄN</t>
        </is>
      </c>
      <c r="E14508" t="inlineStr">
        <is>
          <t>ARVIKA</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5746-2024</t>
        </is>
      </c>
      <c r="B14509" s="1" t="n">
        <v>45335</v>
      </c>
      <c r="C14509" s="1" t="n">
        <v>45346</v>
      </c>
      <c r="D14509" t="inlineStr">
        <is>
          <t>VÄRMLANDS LÄN</t>
        </is>
      </c>
      <c r="E14509" t="inlineStr">
        <is>
          <t>KIL</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5872-2024</t>
        </is>
      </c>
      <c r="B14510" s="1" t="n">
        <v>45335</v>
      </c>
      <c r="C14510" s="1" t="n">
        <v>45346</v>
      </c>
      <c r="D14510" t="inlineStr">
        <is>
          <t>VÄRMLANDS LÄN</t>
        </is>
      </c>
      <c r="E14510" t="inlineStr">
        <is>
          <t>KRISTINEHAMN</t>
        </is>
      </c>
      <c r="F14510" t="inlineStr">
        <is>
          <t>Naturvårdsverket</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5806-2024</t>
        </is>
      </c>
      <c r="B14511" s="1" t="n">
        <v>45335</v>
      </c>
      <c r="C14511" s="1" t="n">
        <v>45346</v>
      </c>
      <c r="D14511" t="inlineStr">
        <is>
          <t>VÄRMLANDS LÄN</t>
        </is>
      </c>
      <c r="E14511" t="inlineStr">
        <is>
          <t>ÅRJÄNG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5814-2024</t>
        </is>
      </c>
      <c r="B14512" s="1" t="n">
        <v>45335</v>
      </c>
      <c r="C14512" s="1" t="n">
        <v>45346</v>
      </c>
      <c r="D14512" t="inlineStr">
        <is>
          <t>VÄRMLANDS LÄN</t>
        </is>
      </c>
      <c r="E14512" t="inlineStr">
        <is>
          <t>TORSBY</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5778-2024</t>
        </is>
      </c>
      <c r="B14513" s="1" t="n">
        <v>45335</v>
      </c>
      <c r="C14513" s="1" t="n">
        <v>45346</v>
      </c>
      <c r="D14513" t="inlineStr">
        <is>
          <t>VÄRMLANDS LÄN</t>
        </is>
      </c>
      <c r="E14513" t="inlineStr">
        <is>
          <t>HAGFORS</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5790-2024</t>
        </is>
      </c>
      <c r="B14514" s="1" t="n">
        <v>45335</v>
      </c>
      <c r="C14514" s="1" t="n">
        <v>45346</v>
      </c>
      <c r="D14514" t="inlineStr">
        <is>
          <t>VÄRMLANDS LÄN</t>
        </is>
      </c>
      <c r="E14514" t="inlineStr">
        <is>
          <t>HAGFORS</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5954-2024</t>
        </is>
      </c>
      <c r="B14515" s="1" t="n">
        <v>45336</v>
      </c>
      <c r="C14515" s="1" t="n">
        <v>45346</v>
      </c>
      <c r="D14515" t="inlineStr">
        <is>
          <t>VÄRMLANDS LÄN</t>
        </is>
      </c>
      <c r="E14515" t="inlineStr">
        <is>
          <t>EDA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5965-2024</t>
        </is>
      </c>
      <c r="B14516" s="1" t="n">
        <v>45336</v>
      </c>
      <c r="C14516" s="1" t="n">
        <v>45346</v>
      </c>
      <c r="D14516" t="inlineStr">
        <is>
          <t>VÄRMLANDS LÄN</t>
        </is>
      </c>
      <c r="E14516" t="inlineStr">
        <is>
          <t>ARVIKA</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5948-2024</t>
        </is>
      </c>
      <c r="B14517" s="1" t="n">
        <v>45336</v>
      </c>
      <c r="C14517" s="1" t="n">
        <v>45346</v>
      </c>
      <c r="D14517" t="inlineStr">
        <is>
          <t>VÄRMLANDS LÄN</t>
        </is>
      </c>
      <c r="E14517" t="inlineStr">
        <is>
          <t>TORSBY</t>
        </is>
      </c>
      <c r="F14517" t="inlineStr">
        <is>
          <t>Bergvik skog väst AB</t>
        </is>
      </c>
      <c r="G14517" t="n">
        <v>9.300000000000001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5953-2024</t>
        </is>
      </c>
      <c r="B14518" s="1" t="n">
        <v>45336</v>
      </c>
      <c r="C14518" s="1" t="n">
        <v>45346</v>
      </c>
      <c r="D14518" t="inlineStr">
        <is>
          <t>VÄRMLANDS LÄN</t>
        </is>
      </c>
      <c r="E14518" t="inlineStr">
        <is>
          <t>EDA</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5957-2024</t>
        </is>
      </c>
      <c r="B14519" s="1" t="n">
        <v>45336</v>
      </c>
      <c r="C14519" s="1" t="n">
        <v>45346</v>
      </c>
      <c r="D14519" t="inlineStr">
        <is>
          <t>VÄRMLANDS LÄN</t>
        </is>
      </c>
      <c r="E14519" t="inlineStr">
        <is>
          <t>GRUMS</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5963-2024</t>
        </is>
      </c>
      <c r="B14520" s="1" t="n">
        <v>45336</v>
      </c>
      <c r="C14520" s="1" t="n">
        <v>45346</v>
      </c>
      <c r="D14520" t="inlineStr">
        <is>
          <t>VÄRMLANDS LÄN</t>
        </is>
      </c>
      <c r="E14520" t="inlineStr">
        <is>
          <t>SÄFFLE</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6010-2024</t>
        </is>
      </c>
      <c r="B14521" s="1" t="n">
        <v>45336</v>
      </c>
      <c r="C14521" s="1" t="n">
        <v>45346</v>
      </c>
      <c r="D14521" t="inlineStr">
        <is>
          <t>VÄRMLANDS LÄN</t>
        </is>
      </c>
      <c r="E14521" t="inlineStr">
        <is>
          <t>HAGFORS</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6013-2024</t>
        </is>
      </c>
      <c r="B14522" s="1" t="n">
        <v>45336</v>
      </c>
      <c r="C14522" s="1" t="n">
        <v>45346</v>
      </c>
      <c r="D14522" t="inlineStr">
        <is>
          <t>VÄRMLANDS LÄN</t>
        </is>
      </c>
      <c r="E14522" t="inlineStr">
        <is>
          <t>TORSBY</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6135-2024</t>
        </is>
      </c>
      <c r="B14523" s="1" t="n">
        <v>45337</v>
      </c>
      <c r="C14523" s="1" t="n">
        <v>45346</v>
      </c>
      <c r="D14523" t="inlineStr">
        <is>
          <t>VÄRMLANDS LÄN</t>
        </is>
      </c>
      <c r="E14523" t="inlineStr">
        <is>
          <t>HAGFORS</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6118-2024</t>
        </is>
      </c>
      <c r="B14524" s="1" t="n">
        <v>45337</v>
      </c>
      <c r="C14524" s="1" t="n">
        <v>45346</v>
      </c>
      <c r="D14524" t="inlineStr">
        <is>
          <t>VÄRMLANDS LÄN</t>
        </is>
      </c>
      <c r="E14524" t="inlineStr">
        <is>
          <t>FORSHAGA</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6107-2024</t>
        </is>
      </c>
      <c r="B14525" s="1" t="n">
        <v>45337</v>
      </c>
      <c r="C14525" s="1" t="n">
        <v>45346</v>
      </c>
      <c r="D14525" t="inlineStr">
        <is>
          <t>VÄRMLANDS LÄN</t>
        </is>
      </c>
      <c r="E14525" t="inlineStr">
        <is>
          <t>ÅRJÄNG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6145-2024</t>
        </is>
      </c>
      <c r="B14526" s="1" t="n">
        <v>45337</v>
      </c>
      <c r="C14526" s="1" t="n">
        <v>45346</v>
      </c>
      <c r="D14526" t="inlineStr">
        <is>
          <t>VÄRMLANDS LÄN</t>
        </is>
      </c>
      <c r="E14526" t="inlineStr">
        <is>
          <t>FORSHAGA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6220-2024</t>
        </is>
      </c>
      <c r="B14527" s="1" t="n">
        <v>45337</v>
      </c>
      <c r="C14527" s="1" t="n">
        <v>45346</v>
      </c>
      <c r="D14527" t="inlineStr">
        <is>
          <t>VÄRMLANDS LÄN</t>
        </is>
      </c>
      <c r="E14527" t="inlineStr">
        <is>
          <t>KARLSTAD</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6162-2024</t>
        </is>
      </c>
      <c r="B14528" s="1" t="n">
        <v>45337</v>
      </c>
      <c r="C14528" s="1" t="n">
        <v>45346</v>
      </c>
      <c r="D14528" t="inlineStr">
        <is>
          <t>VÄRMLANDS LÄN</t>
        </is>
      </c>
      <c r="E14528" t="inlineStr">
        <is>
          <t>STORFORS</t>
        </is>
      </c>
      <c r="F14528" t="inlineStr">
        <is>
          <t>Naturvårdsverket</t>
        </is>
      </c>
      <c r="G14528" t="n">
        <v>15.7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6246-2024</t>
        </is>
      </c>
      <c r="B14529" s="1" t="n">
        <v>45337</v>
      </c>
      <c r="C14529" s="1" t="n">
        <v>45346</v>
      </c>
      <c r="D14529" t="inlineStr">
        <is>
          <t>VÄRMLANDS LÄN</t>
        </is>
      </c>
      <c r="E14529" t="inlineStr">
        <is>
          <t>KRISTINEHAMN</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6254-2024</t>
        </is>
      </c>
      <c r="B14530" s="1" t="n">
        <v>45337</v>
      </c>
      <c r="C14530" s="1" t="n">
        <v>45346</v>
      </c>
      <c r="D14530" t="inlineStr">
        <is>
          <t>VÄRMLANDS LÄN</t>
        </is>
      </c>
      <c r="E14530" t="inlineStr">
        <is>
          <t>SÄFFLE</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6320-2024</t>
        </is>
      </c>
      <c r="B14531" s="1" t="n">
        <v>45338</v>
      </c>
      <c r="C14531" s="1" t="n">
        <v>45346</v>
      </c>
      <c r="D14531" t="inlineStr">
        <is>
          <t>VÄRMLANDS LÄN</t>
        </is>
      </c>
      <c r="E14531" t="inlineStr">
        <is>
          <t>EDA</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6404-2024</t>
        </is>
      </c>
      <c r="B14532" s="1" t="n">
        <v>45338</v>
      </c>
      <c r="C14532" s="1" t="n">
        <v>45346</v>
      </c>
      <c r="D14532" t="inlineStr">
        <is>
          <t>VÄRMLANDS LÄN</t>
        </is>
      </c>
      <c r="E14532" t="inlineStr">
        <is>
          <t>HAGFORS</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6413-2024</t>
        </is>
      </c>
      <c r="B14533" s="1" t="n">
        <v>45338</v>
      </c>
      <c r="C14533" s="1" t="n">
        <v>45346</v>
      </c>
      <c r="D14533" t="inlineStr">
        <is>
          <t>VÄRMLANDS LÄN</t>
        </is>
      </c>
      <c r="E14533" t="inlineStr">
        <is>
          <t>ARVIKA</t>
        </is>
      </c>
      <c r="G14533" t="n">
        <v>7.3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6318-2024</t>
        </is>
      </c>
      <c r="B14534" s="1" t="n">
        <v>45338</v>
      </c>
      <c r="C14534" s="1" t="n">
        <v>45346</v>
      </c>
      <c r="D14534" t="inlineStr">
        <is>
          <t>VÄRMLANDS LÄN</t>
        </is>
      </c>
      <c r="E14534" t="inlineStr">
        <is>
          <t>EDA</t>
        </is>
      </c>
      <c r="G14534" t="n">
        <v>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6317-2024</t>
        </is>
      </c>
      <c r="B14535" s="1" t="n">
        <v>45338</v>
      </c>
      <c r="C14535" s="1" t="n">
        <v>45346</v>
      </c>
      <c r="D14535" t="inlineStr">
        <is>
          <t>VÄRMLANDS LÄN</t>
        </is>
      </c>
      <c r="E14535" t="inlineStr">
        <is>
          <t>EDA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6354-2024</t>
        </is>
      </c>
      <c r="B14536" s="1" t="n">
        <v>45338</v>
      </c>
      <c r="C14536" s="1" t="n">
        <v>45346</v>
      </c>
      <c r="D14536" t="inlineStr">
        <is>
          <t>VÄRMLANDS LÄN</t>
        </is>
      </c>
      <c r="E14536" t="inlineStr">
        <is>
          <t>ÅRJÄNG</t>
        </is>
      </c>
      <c r="F14536" t="inlineStr">
        <is>
          <t>Bergvik skog väst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6371-2024</t>
        </is>
      </c>
      <c r="B14537" s="1" t="n">
        <v>45338</v>
      </c>
      <c r="C14537" s="1" t="n">
        <v>45346</v>
      </c>
      <c r="D14537" t="inlineStr">
        <is>
          <t>VÄRMLANDS LÄN</t>
        </is>
      </c>
      <c r="E14537" t="inlineStr">
        <is>
          <t>TORSBY</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6321-2024</t>
        </is>
      </c>
      <c r="B14538" s="1" t="n">
        <v>45338</v>
      </c>
      <c r="C14538" s="1" t="n">
        <v>45346</v>
      </c>
      <c r="D14538" t="inlineStr">
        <is>
          <t>VÄRMLANDS LÄN</t>
        </is>
      </c>
      <c r="E14538" t="inlineStr">
        <is>
          <t>EDA</t>
        </is>
      </c>
      <c r="G14538" t="n">
        <v>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6405-2024</t>
        </is>
      </c>
      <c r="B14539" s="1" t="n">
        <v>45338</v>
      </c>
      <c r="C14539" s="1" t="n">
        <v>45346</v>
      </c>
      <c r="D14539" t="inlineStr">
        <is>
          <t>VÄRMLANDS LÄN</t>
        </is>
      </c>
      <c r="E14539" t="inlineStr">
        <is>
          <t>ÅRJÄNG</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6437-2024</t>
        </is>
      </c>
      <c r="B14540" s="1" t="n">
        <v>45338</v>
      </c>
      <c r="C14540" s="1" t="n">
        <v>45346</v>
      </c>
      <c r="D14540" t="inlineStr">
        <is>
          <t>VÄRMLANDS LÄN</t>
        </is>
      </c>
      <c r="E14540" t="inlineStr">
        <is>
          <t>HAGFORS</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6602-2024</t>
        </is>
      </c>
      <c r="B14541" s="1" t="n">
        <v>45341</v>
      </c>
      <c r="C14541" s="1" t="n">
        <v>45346</v>
      </c>
      <c r="D14541" t="inlineStr">
        <is>
          <t>VÄRMLANDS LÄN</t>
        </is>
      </c>
      <c r="E14541" t="inlineStr">
        <is>
          <t>ARVIKA</t>
        </is>
      </c>
      <c r="G14541" t="n">
        <v>7.5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6641-2024</t>
        </is>
      </c>
      <c r="B14542" s="1" t="n">
        <v>45341</v>
      </c>
      <c r="C14542" s="1" t="n">
        <v>45346</v>
      </c>
      <c r="D14542" t="inlineStr">
        <is>
          <t>VÄRMLANDS LÄN</t>
        </is>
      </c>
      <c r="E14542" t="inlineStr">
        <is>
          <t>SUNNE</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6636-2024</t>
        </is>
      </c>
      <c r="B14543" s="1" t="n">
        <v>45341</v>
      </c>
      <c r="C14543" s="1" t="n">
        <v>45346</v>
      </c>
      <c r="D14543" t="inlineStr">
        <is>
          <t>VÄRMLANDS LÄN</t>
        </is>
      </c>
      <c r="E14543" t="inlineStr">
        <is>
          <t>KRISTINEHAMN</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6646-2024</t>
        </is>
      </c>
      <c r="B14544" s="1" t="n">
        <v>45341</v>
      </c>
      <c r="C14544" s="1" t="n">
        <v>45346</v>
      </c>
      <c r="D14544" t="inlineStr">
        <is>
          <t>VÄRMLANDS LÄN</t>
        </is>
      </c>
      <c r="E14544" t="inlineStr">
        <is>
          <t>TORSBY</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6675-2024</t>
        </is>
      </c>
      <c r="B14545" s="1" t="n">
        <v>45341</v>
      </c>
      <c r="C14545" s="1" t="n">
        <v>45346</v>
      </c>
      <c r="D14545" t="inlineStr">
        <is>
          <t>VÄRMLANDS LÄN</t>
        </is>
      </c>
      <c r="E14545" t="inlineStr">
        <is>
          <t>TORSBY</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6582-2024</t>
        </is>
      </c>
      <c r="B14546" s="1" t="n">
        <v>45341</v>
      </c>
      <c r="C14546" s="1" t="n">
        <v>45346</v>
      </c>
      <c r="D14546" t="inlineStr">
        <is>
          <t>VÄRMLANDS LÄN</t>
        </is>
      </c>
      <c r="E14546" t="inlineStr">
        <is>
          <t>EDA</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6614-2024</t>
        </is>
      </c>
      <c r="B14547" s="1" t="n">
        <v>45341</v>
      </c>
      <c r="C14547" s="1" t="n">
        <v>45346</v>
      </c>
      <c r="D14547" t="inlineStr">
        <is>
          <t>VÄRMLANDS LÄN</t>
        </is>
      </c>
      <c r="E14547" t="inlineStr">
        <is>
          <t>SÄFFLE</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6640-2024</t>
        </is>
      </c>
      <c r="B14548" s="1" t="n">
        <v>45341</v>
      </c>
      <c r="C14548" s="1" t="n">
        <v>45346</v>
      </c>
      <c r="D14548" t="inlineStr">
        <is>
          <t>VÄRMLANDS LÄN</t>
        </is>
      </c>
      <c r="E14548" t="inlineStr">
        <is>
          <t>KRISTINEHAMN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6644-2024</t>
        </is>
      </c>
      <c r="B14549" s="1" t="n">
        <v>45341</v>
      </c>
      <c r="C14549" s="1" t="n">
        <v>45346</v>
      </c>
      <c r="D14549" t="inlineStr">
        <is>
          <t>VÄRMLANDS LÄN</t>
        </is>
      </c>
      <c r="E14549" t="inlineStr">
        <is>
          <t>KRISTINEHAMN</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6648-2024</t>
        </is>
      </c>
      <c r="B14550" s="1" t="n">
        <v>45341</v>
      </c>
      <c r="C14550" s="1" t="n">
        <v>45346</v>
      </c>
      <c r="D14550" t="inlineStr">
        <is>
          <t>VÄRMLANDS LÄN</t>
        </is>
      </c>
      <c r="E14550" t="inlineStr">
        <is>
          <t>TORSBY</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6829-2024</t>
        </is>
      </c>
      <c r="B14551" s="1" t="n">
        <v>45342</v>
      </c>
      <c r="C14551" s="1" t="n">
        <v>45346</v>
      </c>
      <c r="D14551" t="inlineStr">
        <is>
          <t>VÄRMLANDS LÄN</t>
        </is>
      </c>
      <c r="E14551" t="inlineStr">
        <is>
          <t>SÄFFLE</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6732-2024</t>
        </is>
      </c>
      <c r="B14552" s="1" t="n">
        <v>45342</v>
      </c>
      <c r="C14552" s="1" t="n">
        <v>45346</v>
      </c>
      <c r="D14552" t="inlineStr">
        <is>
          <t>VÄRMLANDS LÄN</t>
        </is>
      </c>
      <c r="E14552" t="inlineStr">
        <is>
          <t>GRUMS</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6741-2024</t>
        </is>
      </c>
      <c r="B14553" s="1" t="n">
        <v>45342</v>
      </c>
      <c r="C14553" s="1" t="n">
        <v>45346</v>
      </c>
      <c r="D14553" t="inlineStr">
        <is>
          <t>VÄRMLANDS LÄN</t>
        </is>
      </c>
      <c r="E14553" t="inlineStr">
        <is>
          <t>SÄFFLE</t>
        </is>
      </c>
      <c r="G14553" t="n">
        <v>7.7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6868-2024</t>
        </is>
      </c>
      <c r="B14554" s="1" t="n">
        <v>45342</v>
      </c>
      <c r="C14554" s="1" t="n">
        <v>45346</v>
      </c>
      <c r="D14554" t="inlineStr">
        <is>
          <t>VÄRMLANDS LÄN</t>
        </is>
      </c>
      <c r="E14554" t="inlineStr">
        <is>
          <t>ARVIKA</t>
        </is>
      </c>
      <c r="G14554" t="n">
        <v>3.6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6828-2024</t>
        </is>
      </c>
      <c r="B14555" s="1" t="n">
        <v>45342</v>
      </c>
      <c r="C14555" s="1" t="n">
        <v>45346</v>
      </c>
      <c r="D14555" t="inlineStr">
        <is>
          <t>VÄRMLANDS LÄN</t>
        </is>
      </c>
      <c r="E14555" t="inlineStr">
        <is>
          <t>TORSBY</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6860-2024</t>
        </is>
      </c>
      <c r="B14556" s="1" t="n">
        <v>45342</v>
      </c>
      <c r="C14556" s="1" t="n">
        <v>45346</v>
      </c>
      <c r="D14556" t="inlineStr">
        <is>
          <t>VÄRMLANDS LÄN</t>
        </is>
      </c>
      <c r="E14556" t="inlineStr">
        <is>
          <t>FILIPSTAD</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6935-2024</t>
        </is>
      </c>
      <c r="B14557" s="1" t="n">
        <v>45343</v>
      </c>
      <c r="C14557" s="1" t="n">
        <v>45346</v>
      </c>
      <c r="D14557" t="inlineStr">
        <is>
          <t>VÄRMLANDS LÄN</t>
        </is>
      </c>
      <c r="E14557" t="inlineStr">
        <is>
          <t>EDA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6943-2024</t>
        </is>
      </c>
      <c r="B14558" s="1" t="n">
        <v>45343</v>
      </c>
      <c r="C14558" s="1" t="n">
        <v>45346</v>
      </c>
      <c r="D14558" t="inlineStr">
        <is>
          <t>VÄRMLANDS LÄN</t>
        </is>
      </c>
      <c r="E14558" t="inlineStr">
        <is>
          <t>TORSBY</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6956-2024</t>
        </is>
      </c>
      <c r="B14559" s="1" t="n">
        <v>45343</v>
      </c>
      <c r="C14559" s="1" t="n">
        <v>45346</v>
      </c>
      <c r="D14559" t="inlineStr">
        <is>
          <t>VÄRMLANDS LÄN</t>
        </is>
      </c>
      <c r="E14559" t="inlineStr">
        <is>
          <t>ARVIKA</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7002-2024</t>
        </is>
      </c>
      <c r="B14560" s="1" t="n">
        <v>45343</v>
      </c>
      <c r="C14560" s="1" t="n">
        <v>45346</v>
      </c>
      <c r="D14560" t="inlineStr">
        <is>
          <t>VÄRMLANDS LÄN</t>
        </is>
      </c>
      <c r="E14560" t="inlineStr">
        <is>
          <t>KRISTINEHAMN</t>
        </is>
      </c>
      <c r="F14560" t="inlineStr">
        <is>
          <t>Kommuner</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6984-2024</t>
        </is>
      </c>
      <c r="B14561" s="1" t="n">
        <v>45343</v>
      </c>
      <c r="C14561" s="1" t="n">
        <v>45346</v>
      </c>
      <c r="D14561" t="inlineStr">
        <is>
          <t>VÄRMLANDS LÄN</t>
        </is>
      </c>
      <c r="E14561" t="inlineStr">
        <is>
          <t>EDA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7036-2024</t>
        </is>
      </c>
      <c r="B14562" s="1" t="n">
        <v>45343</v>
      </c>
      <c r="C14562" s="1" t="n">
        <v>45346</v>
      </c>
      <c r="D14562" t="inlineStr">
        <is>
          <t>VÄRMLANDS LÄN</t>
        </is>
      </c>
      <c r="E14562" t="inlineStr">
        <is>
          <t>SUNNE</t>
        </is>
      </c>
      <c r="G14562" t="n">
        <v>10.4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6916-2024</t>
        </is>
      </c>
      <c r="B14563" s="1" t="n">
        <v>45343</v>
      </c>
      <c r="C14563" s="1" t="n">
        <v>45346</v>
      </c>
      <c r="D14563" t="inlineStr">
        <is>
          <t>VÄRMLANDS LÄN</t>
        </is>
      </c>
      <c r="E14563" t="inlineStr">
        <is>
          <t>ARVIKA</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6910-2024</t>
        </is>
      </c>
      <c r="B14564" s="1" t="n">
        <v>45343</v>
      </c>
      <c r="C14564" s="1" t="n">
        <v>45346</v>
      </c>
      <c r="D14564" t="inlineStr">
        <is>
          <t>VÄRMLANDS LÄN</t>
        </is>
      </c>
      <c r="E14564" t="inlineStr">
        <is>
          <t>HAGFORS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6926-2024</t>
        </is>
      </c>
      <c r="B14565" s="1" t="n">
        <v>45343</v>
      </c>
      <c r="C14565" s="1" t="n">
        <v>45346</v>
      </c>
      <c r="D14565" t="inlineStr">
        <is>
          <t>VÄRMLANDS LÄN</t>
        </is>
      </c>
      <c r="E14565" t="inlineStr">
        <is>
          <t>SUNNE</t>
        </is>
      </c>
      <c r="G14565" t="n">
        <v>7.4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6975-2024</t>
        </is>
      </c>
      <c r="B14566" s="1" t="n">
        <v>45343</v>
      </c>
      <c r="C14566" s="1" t="n">
        <v>45346</v>
      </c>
      <c r="D14566" t="inlineStr">
        <is>
          <t>VÄRMLANDS LÄN</t>
        </is>
      </c>
      <c r="E14566" t="inlineStr">
        <is>
          <t>SUNNE</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6938-2024</t>
        </is>
      </c>
      <c r="B14567" s="1" t="n">
        <v>45343</v>
      </c>
      <c r="C14567" s="1" t="n">
        <v>45346</v>
      </c>
      <c r="D14567" t="inlineStr">
        <is>
          <t>VÄRMLANDS LÄN</t>
        </is>
      </c>
      <c r="E14567" t="inlineStr">
        <is>
          <t>GRUMS</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6942-2024</t>
        </is>
      </c>
      <c r="B14568" s="1" t="n">
        <v>45343</v>
      </c>
      <c r="C14568" s="1" t="n">
        <v>45346</v>
      </c>
      <c r="D14568" t="inlineStr">
        <is>
          <t>VÄRMLANDS LÄN</t>
        </is>
      </c>
      <c r="E14568" t="inlineStr">
        <is>
          <t>TORSBY</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6946-2024</t>
        </is>
      </c>
      <c r="B14569" s="1" t="n">
        <v>45343</v>
      </c>
      <c r="C14569" s="1" t="n">
        <v>45346</v>
      </c>
      <c r="D14569" t="inlineStr">
        <is>
          <t>VÄRMLANDS LÄN</t>
        </is>
      </c>
      <c r="E14569" t="inlineStr">
        <is>
          <t>KARLSTAD</t>
        </is>
      </c>
      <c r="G14569" t="n">
        <v>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6959-2024</t>
        </is>
      </c>
      <c r="B14570" s="1" t="n">
        <v>45343</v>
      </c>
      <c r="C14570" s="1" t="n">
        <v>45346</v>
      </c>
      <c r="D14570" t="inlineStr">
        <is>
          <t>VÄRMLANDS LÄN</t>
        </is>
      </c>
      <c r="E14570" t="inlineStr">
        <is>
          <t>SÄFFLE</t>
        </is>
      </c>
      <c r="G14570" t="n">
        <v>3.8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6999-2024</t>
        </is>
      </c>
      <c r="B14571" s="1" t="n">
        <v>45343</v>
      </c>
      <c r="C14571" s="1" t="n">
        <v>45346</v>
      </c>
      <c r="D14571" t="inlineStr">
        <is>
          <t>VÄRMLANDS LÄN</t>
        </is>
      </c>
      <c r="E14571" t="inlineStr">
        <is>
          <t>SUNNE</t>
        </is>
      </c>
      <c r="G14571" t="n">
        <v>11.3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7053-2024</t>
        </is>
      </c>
      <c r="B14572" s="1" t="n">
        <v>45343</v>
      </c>
      <c r="C14572" s="1" t="n">
        <v>45346</v>
      </c>
      <c r="D14572" t="inlineStr">
        <is>
          <t>VÄRMLANDS LÄN</t>
        </is>
      </c>
      <c r="E14572" t="inlineStr">
        <is>
          <t>ARVIKA</t>
        </is>
      </c>
      <c r="F14572" t="inlineStr">
        <is>
          <t>Bergvik skog väst AB</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7057-2024</t>
        </is>
      </c>
      <c r="B14573" s="1" t="n">
        <v>45343</v>
      </c>
      <c r="C14573" s="1" t="n">
        <v>45346</v>
      </c>
      <c r="D14573" t="inlineStr">
        <is>
          <t>VÄRMLANDS LÄN</t>
        </is>
      </c>
      <c r="E14573" t="inlineStr">
        <is>
          <t>SUNNE</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7071-2024</t>
        </is>
      </c>
      <c r="B14574" s="1" t="n">
        <v>45343</v>
      </c>
      <c r="C14574" s="1" t="n">
        <v>45346</v>
      </c>
      <c r="D14574" t="inlineStr">
        <is>
          <t>VÄRMLANDS LÄN</t>
        </is>
      </c>
      <c r="E14574" t="inlineStr">
        <is>
          <t>FILIPSTAD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7098-2024</t>
        </is>
      </c>
      <c r="B14575" s="1" t="n">
        <v>45343</v>
      </c>
      <c r="C14575" s="1" t="n">
        <v>45346</v>
      </c>
      <c r="D14575" t="inlineStr">
        <is>
          <t>VÄRMLANDS LÄN</t>
        </is>
      </c>
      <c r="E14575" t="inlineStr">
        <is>
          <t>ÅRJÄNG</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7100-2024</t>
        </is>
      </c>
      <c r="B14576" s="1" t="n">
        <v>45343</v>
      </c>
      <c r="C14576" s="1" t="n">
        <v>45346</v>
      </c>
      <c r="D14576" t="inlineStr">
        <is>
          <t>VÄRMLANDS LÄN</t>
        </is>
      </c>
      <c r="E14576" t="inlineStr">
        <is>
          <t>ÅRJÄNG</t>
        </is>
      </c>
      <c r="G14576" t="n">
        <v>6.5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7193-2024</t>
        </is>
      </c>
      <c r="B14577" s="1" t="n">
        <v>45344</v>
      </c>
      <c r="C14577" s="1" t="n">
        <v>45346</v>
      </c>
      <c r="D14577" t="inlineStr">
        <is>
          <t>VÄRMLANDS LÄN</t>
        </is>
      </c>
      <c r="E14577" t="inlineStr">
        <is>
          <t>ÅRJÄNG</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7198-2024</t>
        </is>
      </c>
      <c r="B14578" s="1" t="n">
        <v>45344</v>
      </c>
      <c r="C14578" s="1" t="n">
        <v>45346</v>
      </c>
      <c r="D14578" t="inlineStr">
        <is>
          <t>VÄRMLANDS LÄN</t>
        </is>
      </c>
      <c r="E14578" t="inlineStr">
        <is>
          <t>ARVIKA</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7167-2024</t>
        </is>
      </c>
      <c r="B14579" s="1" t="n">
        <v>45344</v>
      </c>
      <c r="C14579" s="1" t="n">
        <v>45346</v>
      </c>
      <c r="D14579" t="inlineStr">
        <is>
          <t>VÄRMLANDS LÄN</t>
        </is>
      </c>
      <c r="E14579" t="inlineStr">
        <is>
          <t>SUNNE</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7171-2024</t>
        </is>
      </c>
      <c r="B14580" s="1" t="n">
        <v>45344</v>
      </c>
      <c r="C14580" s="1" t="n">
        <v>45346</v>
      </c>
      <c r="D14580" t="inlineStr">
        <is>
          <t>VÄRMLANDS LÄN</t>
        </is>
      </c>
      <c r="E14580" t="inlineStr">
        <is>
          <t>HAGFORS</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7165-2024</t>
        </is>
      </c>
      <c r="B14581" s="1" t="n">
        <v>45344</v>
      </c>
      <c r="C14581" s="1" t="n">
        <v>45346</v>
      </c>
      <c r="D14581" t="inlineStr">
        <is>
          <t>VÄRMLANDS LÄN</t>
        </is>
      </c>
      <c r="E14581" t="inlineStr">
        <is>
          <t>SUNNE</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7139-2024</t>
        </is>
      </c>
      <c r="B14582" s="1" t="n">
        <v>45344</v>
      </c>
      <c r="C14582" s="1" t="n">
        <v>45346</v>
      </c>
      <c r="D14582" t="inlineStr">
        <is>
          <t>VÄRMLANDS LÄN</t>
        </is>
      </c>
      <c r="E14582" t="inlineStr">
        <is>
          <t>ARVIKA</t>
        </is>
      </c>
      <c r="F14582" t="inlineStr">
        <is>
          <t>Bergvik skog väst AB</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7206-2024</t>
        </is>
      </c>
      <c r="B14583" s="1" t="n">
        <v>45344</v>
      </c>
      <c r="C14583" s="1" t="n">
        <v>45346</v>
      </c>
      <c r="D14583" t="inlineStr">
        <is>
          <t>VÄRMLANDS LÄN</t>
        </is>
      </c>
      <c r="E14583" t="inlineStr">
        <is>
          <t>ÅRJÄNG</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7221-2024</t>
        </is>
      </c>
      <c r="B14584" s="1" t="n">
        <v>45344</v>
      </c>
      <c r="C14584" s="1" t="n">
        <v>45346</v>
      </c>
      <c r="D14584" t="inlineStr">
        <is>
          <t>VÄRMLANDS LÄN</t>
        </is>
      </c>
      <c r="E14584" t="inlineStr">
        <is>
          <t>TORSBY</t>
        </is>
      </c>
      <c r="G14584" t="n">
        <v>8.1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7164-2024</t>
        </is>
      </c>
      <c r="B14585" s="1" t="n">
        <v>45344</v>
      </c>
      <c r="C14585" s="1" t="n">
        <v>45346</v>
      </c>
      <c r="D14585" t="inlineStr">
        <is>
          <t>VÄRMLANDS LÄN</t>
        </is>
      </c>
      <c r="E14585" t="inlineStr">
        <is>
          <t>SUNNE</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7168-2024</t>
        </is>
      </c>
      <c r="B14586" s="1" t="n">
        <v>45344</v>
      </c>
      <c r="C14586" s="1" t="n">
        <v>45346</v>
      </c>
      <c r="D14586" t="inlineStr">
        <is>
          <t>VÄRMLANDS LÄN</t>
        </is>
      </c>
      <c r="E14586" t="inlineStr">
        <is>
          <t>SUNNE</t>
        </is>
      </c>
      <c r="G14586" t="n">
        <v>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7223-2024</t>
        </is>
      </c>
      <c r="B14587" s="1" t="n">
        <v>45344</v>
      </c>
      <c r="C14587" s="1" t="n">
        <v>45346</v>
      </c>
      <c r="D14587" t="inlineStr">
        <is>
          <t>VÄRMLANDS LÄN</t>
        </is>
      </c>
      <c r="E14587" t="inlineStr">
        <is>
          <t>FILIPSTAD</t>
        </is>
      </c>
      <c r="G14587" t="n">
        <v>5.6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7227-2024</t>
        </is>
      </c>
      <c r="B14588" s="1" t="n">
        <v>45344</v>
      </c>
      <c r="C14588" s="1" t="n">
        <v>45346</v>
      </c>
      <c r="D14588" t="inlineStr">
        <is>
          <t>VÄRMLANDS LÄN</t>
        </is>
      </c>
      <c r="E14588" t="inlineStr">
        <is>
          <t>KRISTINEHAMN</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7230-2024</t>
        </is>
      </c>
      <c r="B14589" s="1" t="n">
        <v>45344</v>
      </c>
      <c r="C14589" s="1" t="n">
        <v>45346</v>
      </c>
      <c r="D14589" t="inlineStr">
        <is>
          <t>VÄRMLANDS LÄN</t>
        </is>
      </c>
      <c r="E14589" t="inlineStr">
        <is>
          <t>KRISTINEHAMN</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7184-2024</t>
        </is>
      </c>
      <c r="B14590" s="1" t="n">
        <v>45344</v>
      </c>
      <c r="C14590" s="1" t="n">
        <v>45346</v>
      </c>
      <c r="D14590" t="inlineStr">
        <is>
          <t>VÄRMLANDS LÄN</t>
        </is>
      </c>
      <c r="E14590" t="inlineStr">
        <is>
          <t>ÅRJÄNG</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7196-2024</t>
        </is>
      </c>
      <c r="B14591" s="1" t="n">
        <v>45344</v>
      </c>
      <c r="C14591" s="1" t="n">
        <v>45346</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7222-2024</t>
        </is>
      </c>
      <c r="B14592" s="1" t="n">
        <v>45344</v>
      </c>
      <c r="C14592" s="1" t="n">
        <v>45346</v>
      </c>
      <c r="D14592" t="inlineStr">
        <is>
          <t>VÄRMLANDS LÄN</t>
        </is>
      </c>
      <c r="E14592" t="inlineStr">
        <is>
          <t>KRISTINEHAMN</t>
        </is>
      </c>
      <c r="F14592" t="inlineStr">
        <is>
          <t>Naturvårdsverket</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7315-2024</t>
        </is>
      </c>
      <c r="B14593" s="1" t="n">
        <v>45345</v>
      </c>
      <c r="C14593" s="1" t="n">
        <v>45346</v>
      </c>
      <c r="D14593" t="inlineStr">
        <is>
          <t>VÄRMLANDS LÄN</t>
        </is>
      </c>
      <c r="E14593" t="inlineStr">
        <is>
          <t>SUNNE</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7339-2024</t>
        </is>
      </c>
      <c r="B14594" s="1" t="n">
        <v>45345</v>
      </c>
      <c r="C14594" s="1" t="n">
        <v>45346</v>
      </c>
      <c r="D14594" t="inlineStr">
        <is>
          <t>VÄRMLANDS LÄN</t>
        </is>
      </c>
      <c r="E14594" t="inlineStr">
        <is>
          <t>SUNNE</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7401-2024</t>
        </is>
      </c>
      <c r="B14595" s="1" t="n">
        <v>45345</v>
      </c>
      <c r="C14595" s="1" t="n">
        <v>45346</v>
      </c>
      <c r="D14595" t="inlineStr">
        <is>
          <t>VÄRMLANDS LÄN</t>
        </is>
      </c>
      <c r="E14595" t="inlineStr">
        <is>
          <t>ÅRJÄNG</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7438-2024</t>
        </is>
      </c>
      <c r="B14596" s="1" t="n">
        <v>45345</v>
      </c>
      <c r="C14596" s="1" t="n">
        <v>45346</v>
      </c>
      <c r="D14596" t="inlineStr">
        <is>
          <t>VÄRMLANDS LÄN</t>
        </is>
      </c>
      <c r="E14596" t="inlineStr">
        <is>
          <t>ÅRJÄNG</t>
        </is>
      </c>
      <c r="G14596" t="n">
        <v>12.3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7443-2024</t>
        </is>
      </c>
      <c r="B14597" s="1" t="n">
        <v>45345</v>
      </c>
      <c r="C14597" s="1" t="n">
        <v>45346</v>
      </c>
      <c r="D14597" t="inlineStr">
        <is>
          <t>VÄRMLANDS LÄN</t>
        </is>
      </c>
      <c r="E14597" t="inlineStr">
        <is>
          <t>ÅRJÄNG</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7447-2024</t>
        </is>
      </c>
      <c r="B14598" s="1" t="n">
        <v>45345</v>
      </c>
      <c r="C14598" s="1" t="n">
        <v>45346</v>
      </c>
      <c r="D14598" t="inlineStr">
        <is>
          <t>VÄRMLANDS LÄN</t>
        </is>
      </c>
      <c r="E14598" t="inlineStr">
        <is>
          <t>ÅRJÄNG</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7444-2024</t>
        </is>
      </c>
      <c r="B14599" s="1" t="n">
        <v>45345</v>
      </c>
      <c r="C14599" s="1" t="n">
        <v>45346</v>
      </c>
      <c r="D14599" t="inlineStr">
        <is>
          <t>VÄRMLANDS LÄN</t>
        </is>
      </c>
      <c r="E14599" t="inlineStr">
        <is>
          <t>ÅRJÄNG</t>
        </is>
      </c>
      <c r="G14599" t="n">
        <v>0.6</v>
      </c>
      <c r="H14599" t="n">
        <v>0</v>
      </c>
      <c r="I14599" t="n">
        <v>0</v>
      </c>
      <c r="J14599" t="n">
        <v>0</v>
      </c>
      <c r="K14599" t="n">
        <v>0</v>
      </c>
      <c r="L14599" t="n">
        <v>0</v>
      </c>
      <c r="M14599" t="n">
        <v>0</v>
      </c>
      <c r="N14599" t="n">
        <v>0</v>
      </c>
      <c r="O14599" t="n">
        <v>0</v>
      </c>
      <c r="P14599" t="n">
        <v>0</v>
      </c>
      <c r="Q14599" t="n">
        <v>0</v>
      </c>
      <c r="R14599" s="2" t="inlineStr"/>
    </row>
    <row r="14600">
      <c r="A14600" t="inlineStr">
        <is>
          <t>A 7445-2024</t>
        </is>
      </c>
      <c r="B14600" s="1" t="n">
        <v>45345</v>
      </c>
      <c r="C14600" s="1" t="n">
        <v>45346</v>
      </c>
      <c r="D14600" t="inlineStr">
        <is>
          <t>VÄRMLANDS LÄN</t>
        </is>
      </c>
      <c r="E14600" t="inlineStr">
        <is>
          <t>ÅRJÄNG</t>
        </is>
      </c>
      <c r="G14600" t="n">
        <v>0.5</v>
      </c>
      <c r="H14600" t="n">
        <v>0</v>
      </c>
      <c r="I14600" t="n">
        <v>0</v>
      </c>
      <c r="J14600" t="n">
        <v>0</v>
      </c>
      <c r="K14600" t="n">
        <v>0</v>
      </c>
      <c r="L14600" t="n">
        <v>0</v>
      </c>
      <c r="M14600" t="n">
        <v>0</v>
      </c>
      <c r="N14600" t="n">
        <v>0</v>
      </c>
      <c r="O14600" t="n">
        <v>0</v>
      </c>
      <c r="P14600" t="n">
        <v>0</v>
      </c>
      <c r="Q14600" t="n">
        <v>0</v>
      </c>
      <c r="R146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2024-02-24T12:38:27Z</dcterms:created>
  <dcterms:modified xmlns:dcterms="http://purl.org/dc/terms/" xmlns:xsi="http://www.w3.org/2001/XMLSchema-instance" xsi:type="dcterms:W3CDTF">2024-02-24T12:38:45Z</dcterms:modified>
</cp:coreProperties>
</file>