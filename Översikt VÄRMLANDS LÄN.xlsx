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45932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45932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45932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45932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45932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45932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45932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45932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45932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45932</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57613-2023</t>
        </is>
      </c>
      <c r="B13" s="1" t="n">
        <v>45246</v>
      </c>
      <c r="C13" s="1" t="n">
        <v>45932</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44460-2023</t>
        </is>
      </c>
      <c r="B14" s="1" t="n">
        <v>45189.39309027778</v>
      </c>
      <c r="C14" s="1" t="n">
        <v>45932</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41379-2022</t>
        </is>
      </c>
      <c r="B15" s="1" t="n">
        <v>44824</v>
      </c>
      <c r="C15" s="1" t="n">
        <v>45932</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12370-2022</t>
        </is>
      </c>
      <c r="B16" s="1" t="n">
        <v>44637</v>
      </c>
      <c r="C16" s="1" t="n">
        <v>45932</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53132-2023</t>
        </is>
      </c>
      <c r="B17" s="1" t="n">
        <v>45229</v>
      </c>
      <c r="C17" s="1" t="n">
        <v>45932</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34188-2024</t>
        </is>
      </c>
      <c r="B18" s="1" t="n">
        <v>45524</v>
      </c>
      <c r="C18" s="1" t="n">
        <v>45932</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13841-2022</t>
        </is>
      </c>
      <c r="B19" s="1" t="n">
        <v>44649</v>
      </c>
      <c r="C19" s="1" t="n">
        <v>45932</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1069-2025</t>
        </is>
      </c>
      <c r="B20" s="1" t="n">
        <v>45665</v>
      </c>
      <c r="C20" s="1" t="n">
        <v>45932</v>
      </c>
      <c r="D20" t="inlineStr">
        <is>
          <t>VÄRMLANDS LÄN</t>
        </is>
      </c>
      <c r="E20" t="inlineStr">
        <is>
          <t>SÄFFLE</t>
        </is>
      </c>
      <c r="G20" t="n">
        <v>29.3</v>
      </c>
      <c r="H20" t="n">
        <v>1</v>
      </c>
      <c r="I20" t="n">
        <v>2</v>
      </c>
      <c r="J20" t="n">
        <v>7</v>
      </c>
      <c r="K20" t="n">
        <v>1</v>
      </c>
      <c r="L20" t="n">
        <v>0</v>
      </c>
      <c r="M20" t="n">
        <v>0</v>
      </c>
      <c r="N20" t="n">
        <v>0</v>
      </c>
      <c r="O20" t="n">
        <v>8</v>
      </c>
      <c r="P20" t="n">
        <v>1</v>
      </c>
      <c r="Q20" t="n">
        <v>10</v>
      </c>
      <c r="R20" s="2" t="inlineStr">
        <is>
          <t>Liten blekspik
Doftskinn
Garnlav
Järpe
Kolflarnlav
Kortskaftad ärgspik
Vedskivlav
Vedtrappmossa
Gulnål
Vedticka</t>
        </is>
      </c>
      <c r="S20">
        <f>HYPERLINK("https://klasma.github.io/Logging_1785/artfynd/A 1069-2025 artfynd.xlsx", "A 1069-2025")</f>
        <v/>
      </c>
      <c r="T20">
        <f>HYPERLINK("https://klasma.github.io/Logging_1785/kartor/A 1069-2025 karta.png", "A 1069-2025")</f>
        <v/>
      </c>
      <c r="V20">
        <f>HYPERLINK("https://klasma.github.io/Logging_1785/klagomål/A 1069-2025 FSC-klagomål.docx", "A 1069-2025")</f>
        <v/>
      </c>
      <c r="W20">
        <f>HYPERLINK("https://klasma.github.io/Logging_1785/klagomålsmail/A 1069-2025 FSC-klagomål mail.docx", "A 1069-2025")</f>
        <v/>
      </c>
      <c r="X20">
        <f>HYPERLINK("https://klasma.github.io/Logging_1785/tillsyn/A 1069-2025 tillsynsbegäran.docx", "A 1069-2025")</f>
        <v/>
      </c>
      <c r="Y20">
        <f>HYPERLINK("https://klasma.github.io/Logging_1785/tillsynsmail/A 1069-2025 tillsynsbegäran mail.docx", "A 1069-2025")</f>
        <v/>
      </c>
      <c r="Z20">
        <f>HYPERLINK("https://klasma.github.io/Logging_1785/fåglar/A 1069-2025 prioriterade fågelarter.docx", "A 1069-2025")</f>
        <v/>
      </c>
    </row>
    <row r="21" ht="15" customHeight="1">
      <c r="A21" t="inlineStr">
        <is>
          <t>A 22621-2025</t>
        </is>
      </c>
      <c r="B21" s="1" t="n">
        <v>45789.43234953703</v>
      </c>
      <c r="C21" s="1" t="n">
        <v>45932</v>
      </c>
      <c r="D21" t="inlineStr">
        <is>
          <t>VÄRMLANDS LÄN</t>
        </is>
      </c>
      <c r="E21" t="inlineStr">
        <is>
          <t>TORSBY</t>
        </is>
      </c>
      <c r="G21" t="n">
        <v>17.1</v>
      </c>
      <c r="H21" t="n">
        <v>0</v>
      </c>
      <c r="I21" t="n">
        <v>1</v>
      </c>
      <c r="J21" t="n">
        <v>9</v>
      </c>
      <c r="K21" t="n">
        <v>0</v>
      </c>
      <c r="L21" t="n">
        <v>0</v>
      </c>
      <c r="M21" t="n">
        <v>0</v>
      </c>
      <c r="N21" t="n">
        <v>0</v>
      </c>
      <c r="O21" t="n">
        <v>9</v>
      </c>
      <c r="P21" t="n">
        <v>0</v>
      </c>
      <c r="Q21" t="n">
        <v>10</v>
      </c>
      <c r="R21" s="2" t="inlineStr">
        <is>
          <t>Dvärgbägarlav
Garnlav
Kolflarnlav
Mörk kolflarnlav
Vaddporing
Vedflamlav
Vedskivlav
Vedtrappmossa
Violettgrå tagellav
Nästlav</t>
        </is>
      </c>
      <c r="S21">
        <f>HYPERLINK("https://klasma.github.io/Logging_1737/artfynd/A 22621-2025 artfynd.xlsx", "A 22621-2025")</f>
        <v/>
      </c>
      <c r="T21">
        <f>HYPERLINK("https://klasma.github.io/Logging_1737/kartor/A 22621-2025 karta.png", "A 22621-2025")</f>
        <v/>
      </c>
      <c r="V21">
        <f>HYPERLINK("https://klasma.github.io/Logging_1737/klagomål/A 22621-2025 FSC-klagomål.docx", "A 22621-2025")</f>
        <v/>
      </c>
      <c r="W21">
        <f>HYPERLINK("https://klasma.github.io/Logging_1737/klagomålsmail/A 22621-2025 FSC-klagomål mail.docx", "A 22621-2025")</f>
        <v/>
      </c>
      <c r="X21">
        <f>HYPERLINK("https://klasma.github.io/Logging_1737/tillsyn/A 22621-2025 tillsynsbegäran.docx", "A 22621-2025")</f>
        <v/>
      </c>
      <c r="Y21">
        <f>HYPERLINK("https://klasma.github.io/Logging_1737/tillsynsmail/A 22621-2025 tillsynsbegäran mail.docx", "A 22621-2025")</f>
        <v/>
      </c>
    </row>
    <row r="22" ht="15" customHeight="1">
      <c r="A22" t="inlineStr">
        <is>
          <t>A 31203-2022</t>
        </is>
      </c>
      <c r="B22" s="1" t="n">
        <v>44770</v>
      </c>
      <c r="C22" s="1" t="n">
        <v>45932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53130-2023</t>
        </is>
      </c>
      <c r="B23" s="1" t="n">
        <v>45229</v>
      </c>
      <c r="C23" s="1" t="n">
        <v>45932</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39627-2023</t>
        </is>
      </c>
      <c r="B24" s="1" t="n">
        <v>45167</v>
      </c>
      <c r="C24" s="1" t="n">
        <v>45932</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45932</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56535-2023</t>
        </is>
      </c>
      <c r="B26" s="1" t="n">
        <v>45243.5708912037</v>
      </c>
      <c r="C26" s="1" t="n">
        <v>45932</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45932</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45932</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45932</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39819-2021</t>
        </is>
      </c>
      <c r="B30" s="1" t="n">
        <v>44417</v>
      </c>
      <c r="C30" s="1" t="n">
        <v>45932</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45932</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45932</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45932</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45932</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45932</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45932</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41346-2024</t>
        </is>
      </c>
      <c r="B37" s="1" t="n">
        <v>45559</v>
      </c>
      <c r="C37" s="1" t="n">
        <v>45932</v>
      </c>
      <c r="D37" t="inlineStr">
        <is>
          <t>VÄRMLANDS LÄN</t>
        </is>
      </c>
      <c r="E37" t="inlineStr">
        <is>
          <t>TORSBY</t>
        </is>
      </c>
      <c r="G37" t="n">
        <v>4.1</v>
      </c>
      <c r="H37" t="n">
        <v>0</v>
      </c>
      <c r="I37" t="n">
        <v>0</v>
      </c>
      <c r="J37" t="n">
        <v>8</v>
      </c>
      <c r="K37" t="n">
        <v>0</v>
      </c>
      <c r="L37" t="n">
        <v>0</v>
      </c>
      <c r="M37" t="n">
        <v>0</v>
      </c>
      <c r="N37" t="n">
        <v>0</v>
      </c>
      <c r="O37" t="n">
        <v>8</v>
      </c>
      <c r="P37" t="n">
        <v>0</v>
      </c>
      <c r="Q37" t="n">
        <v>8</v>
      </c>
      <c r="R37" s="2" t="inlineStr">
        <is>
          <t>Garnlav
Lunglav
Skrovellav
Tallticka
Ullticka
Vedskivlav
Vedtrappmossa
Violettgrå tagellav</t>
        </is>
      </c>
      <c r="S37">
        <f>HYPERLINK("https://klasma.github.io/Logging_1737/artfynd/A 41346-2024 artfynd.xlsx", "A 41346-2024")</f>
        <v/>
      </c>
      <c r="T37">
        <f>HYPERLINK("https://klasma.github.io/Logging_1737/kartor/A 41346-2024 karta.png", "A 41346-2024")</f>
        <v/>
      </c>
      <c r="V37">
        <f>HYPERLINK("https://klasma.github.io/Logging_1737/klagomål/A 41346-2024 FSC-klagomål.docx", "A 41346-2024")</f>
        <v/>
      </c>
      <c r="W37">
        <f>HYPERLINK("https://klasma.github.io/Logging_1737/klagomålsmail/A 41346-2024 FSC-klagomål mail.docx", "A 41346-2024")</f>
        <v/>
      </c>
      <c r="X37">
        <f>HYPERLINK("https://klasma.github.io/Logging_1737/tillsyn/A 41346-2024 tillsynsbegäran.docx", "A 41346-2024")</f>
        <v/>
      </c>
      <c r="Y37">
        <f>HYPERLINK("https://klasma.github.io/Logging_1737/tillsynsmail/A 41346-2024 tillsynsbegäran mail.docx", "A 41346-2024")</f>
        <v/>
      </c>
    </row>
    <row r="38" ht="15" customHeight="1">
      <c r="A38" t="inlineStr">
        <is>
          <t>A 63921-2023</t>
        </is>
      </c>
      <c r="B38" s="1" t="n">
        <v>45278</v>
      </c>
      <c r="C38" s="1" t="n">
        <v>45932</v>
      </c>
      <c r="D38" t="inlineStr">
        <is>
          <t>VÄRMLANDS LÄN</t>
        </is>
      </c>
      <c r="E38" t="inlineStr">
        <is>
          <t>ÅRJÄNG</t>
        </is>
      </c>
      <c r="G38" t="n">
        <v>6.2</v>
      </c>
      <c r="H38" t="n">
        <v>3</v>
      </c>
      <c r="I38" t="n">
        <v>2</v>
      </c>
      <c r="J38" t="n">
        <v>5</v>
      </c>
      <c r="K38" t="n">
        <v>1</v>
      </c>
      <c r="L38" t="n">
        <v>0</v>
      </c>
      <c r="M38" t="n">
        <v>0</v>
      </c>
      <c r="N38" t="n">
        <v>0</v>
      </c>
      <c r="O38" t="n">
        <v>6</v>
      </c>
      <c r="P38" t="n">
        <v>1</v>
      </c>
      <c r="Q38" t="n">
        <v>8</v>
      </c>
      <c r="R38" s="2" t="inlineStr">
        <is>
          <t>Knärot
Garnlav
Spillkråka
Tallticka
Talltita
Vedtrappmossa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24663-2023</t>
        </is>
      </c>
      <c r="B39" s="1" t="n">
        <v>45084</v>
      </c>
      <c r="C39" s="1" t="n">
        <v>45932</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46165-2024</t>
        </is>
      </c>
      <c r="B40" s="1" t="n">
        <v>45581</v>
      </c>
      <c r="C40" s="1" t="n">
        <v>45932</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29984-2024</t>
        </is>
      </c>
      <c r="B41" s="1" t="n">
        <v>45488</v>
      </c>
      <c r="C41" s="1" t="n">
        <v>45932</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41096-2025</t>
        </is>
      </c>
      <c r="B42" s="1" t="n">
        <v>45898</v>
      </c>
      <c r="C42" s="1" t="n">
        <v>45932</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4553-2021</t>
        </is>
      </c>
      <c r="B43" s="1" t="n">
        <v>44224</v>
      </c>
      <c r="C43" s="1" t="n">
        <v>45932</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58718-2021</t>
        </is>
      </c>
      <c r="B44" s="1" t="n">
        <v>44489</v>
      </c>
      <c r="C44" s="1" t="n">
        <v>45932</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45932</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45932</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47888-2021</t>
        </is>
      </c>
      <c r="B47" s="1" t="n">
        <v>44448</v>
      </c>
      <c r="C47" s="1" t="n">
        <v>45932</v>
      </c>
      <c r="D47" t="inlineStr">
        <is>
          <t>VÄRMLANDS LÄN</t>
        </is>
      </c>
      <c r="E47" t="inlineStr">
        <is>
          <t>FILIPSTAD</t>
        </is>
      </c>
      <c r="F47" t="inlineStr">
        <is>
          <t>Bergvik skog väst AB</t>
        </is>
      </c>
      <c r="G47" t="n">
        <v>9</v>
      </c>
      <c r="H47" t="n">
        <v>3</v>
      </c>
      <c r="I47" t="n">
        <v>7</v>
      </c>
      <c r="J47" t="n">
        <v>0</v>
      </c>
      <c r="K47" t="n">
        <v>0</v>
      </c>
      <c r="L47" t="n">
        <v>0</v>
      </c>
      <c r="M47" t="n">
        <v>0</v>
      </c>
      <c r="N47" t="n">
        <v>0</v>
      </c>
      <c r="O47" t="n">
        <v>0</v>
      </c>
      <c r="P47" t="n">
        <v>0</v>
      </c>
      <c r="Q47" t="n">
        <v>7</v>
      </c>
      <c r="R47" s="2" t="inlineStr">
        <is>
          <t>Grönkulla
Skogsknipprot
Svart trolldruva
Tibast
Tvåblad
Underviol
Vårärt</t>
        </is>
      </c>
      <c r="S47">
        <f>HYPERLINK("https://klasma.github.io/Logging_1782/artfynd/A 47888-2021 artfynd.xlsx", "A 47888-2021")</f>
        <v/>
      </c>
      <c r="T47">
        <f>HYPERLINK("https://klasma.github.io/Logging_1782/kartor/A 47888-2021 karta.png", "A 47888-2021")</f>
        <v/>
      </c>
      <c r="V47">
        <f>HYPERLINK("https://klasma.github.io/Logging_1782/klagomål/A 47888-2021 FSC-klagomål.docx", "A 47888-2021")</f>
        <v/>
      </c>
      <c r="W47">
        <f>HYPERLINK("https://klasma.github.io/Logging_1782/klagomålsmail/A 47888-2021 FSC-klagomål mail.docx", "A 47888-2021")</f>
        <v/>
      </c>
      <c r="X47">
        <f>HYPERLINK("https://klasma.github.io/Logging_1782/tillsyn/A 47888-2021 tillsynsbegäran.docx", "A 47888-2021")</f>
        <v/>
      </c>
      <c r="Y47">
        <f>HYPERLINK("https://klasma.github.io/Logging_1782/tillsynsmail/A 47888-2021 tillsynsbegäran mail.docx", "A 47888-2021")</f>
        <v/>
      </c>
    </row>
    <row r="48" ht="15" customHeight="1">
      <c r="A48" t="inlineStr">
        <is>
          <t>A 73921-2021</t>
        </is>
      </c>
      <c r="B48" s="1" t="n">
        <v>44553</v>
      </c>
      <c r="C48" s="1" t="n">
        <v>45932</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68622-2021</t>
        </is>
      </c>
      <c r="B49" s="1" t="n">
        <v>44529</v>
      </c>
      <c r="C49" s="1" t="n">
        <v>45932</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8002-2025</t>
        </is>
      </c>
      <c r="B50" s="1" t="n">
        <v>45707.52704861111</v>
      </c>
      <c r="C50" s="1" t="n">
        <v>45932</v>
      </c>
      <c r="D50" t="inlineStr">
        <is>
          <t>VÄRMLANDS LÄN</t>
        </is>
      </c>
      <c r="E50" t="inlineStr">
        <is>
          <t>ÅRJÄNG</t>
        </is>
      </c>
      <c r="G50" t="n">
        <v>1.7</v>
      </c>
      <c r="H50" t="n">
        <v>3</v>
      </c>
      <c r="I50" t="n">
        <v>2</v>
      </c>
      <c r="J50" t="n">
        <v>4</v>
      </c>
      <c r="K50" t="n">
        <v>0</v>
      </c>
      <c r="L50" t="n">
        <v>0</v>
      </c>
      <c r="M50" t="n">
        <v>0</v>
      </c>
      <c r="N50" t="n">
        <v>0</v>
      </c>
      <c r="O50" t="n">
        <v>4</v>
      </c>
      <c r="P50" t="n">
        <v>0</v>
      </c>
      <c r="Q50" t="n">
        <v>7</v>
      </c>
      <c r="R50" s="2" t="inlineStr">
        <is>
          <t>Dofttaggsvamp
Spillkråka
Tallticka
Talltita
Blåmossa
Dropptaggsvamp
Kungsfågel</t>
        </is>
      </c>
      <c r="S50">
        <f>HYPERLINK("https://klasma.github.io/Logging_1765/artfynd/A 8002-2025 artfynd.xlsx", "A 8002-2025")</f>
        <v/>
      </c>
      <c r="T50">
        <f>HYPERLINK("https://klasma.github.io/Logging_1765/kartor/A 8002-2025 karta.png", "A 8002-2025")</f>
        <v/>
      </c>
      <c r="V50">
        <f>HYPERLINK("https://klasma.github.io/Logging_1765/klagomål/A 8002-2025 FSC-klagomål.docx", "A 8002-2025")</f>
        <v/>
      </c>
      <c r="W50">
        <f>HYPERLINK("https://klasma.github.io/Logging_1765/klagomålsmail/A 8002-2025 FSC-klagomål mail.docx", "A 8002-2025")</f>
        <v/>
      </c>
      <c r="X50">
        <f>HYPERLINK("https://klasma.github.io/Logging_1765/tillsyn/A 8002-2025 tillsynsbegäran.docx", "A 8002-2025")</f>
        <v/>
      </c>
      <c r="Y50">
        <f>HYPERLINK("https://klasma.github.io/Logging_1765/tillsynsmail/A 8002-2025 tillsynsbegäran mail.docx", "A 8002-2025")</f>
        <v/>
      </c>
      <c r="Z50">
        <f>HYPERLINK("https://klasma.github.io/Logging_1765/fåglar/A 8002-2025 prioriterade fågelarter.docx", "A 8002-2025")</f>
        <v/>
      </c>
    </row>
    <row r="51" ht="15" customHeight="1">
      <c r="A51" t="inlineStr">
        <is>
          <t>A 11656-2025</t>
        </is>
      </c>
      <c r="B51" s="1" t="n">
        <v>45727</v>
      </c>
      <c r="C51" s="1" t="n">
        <v>45932</v>
      </c>
      <c r="D51" t="inlineStr">
        <is>
          <t>VÄRMLANDS LÄN</t>
        </is>
      </c>
      <c r="E51" t="inlineStr">
        <is>
          <t>KRISTINEHAMN</t>
        </is>
      </c>
      <c r="G51" t="n">
        <v>13.1</v>
      </c>
      <c r="H51" t="n">
        <v>2</v>
      </c>
      <c r="I51" t="n">
        <v>4</v>
      </c>
      <c r="J51" t="n">
        <v>1</v>
      </c>
      <c r="K51" t="n">
        <v>0</v>
      </c>
      <c r="L51" t="n">
        <v>0</v>
      </c>
      <c r="M51" t="n">
        <v>0</v>
      </c>
      <c r="N51" t="n">
        <v>0</v>
      </c>
      <c r="O51" t="n">
        <v>1</v>
      </c>
      <c r="P51" t="n">
        <v>0</v>
      </c>
      <c r="Q51" t="n">
        <v>7</v>
      </c>
      <c r="R51" s="2" t="inlineStr">
        <is>
          <t>Stor sotdyna
Gulnål
Kornig nållav
Lönnlav
Rostfläck
Åkergroda
Blåsippa</t>
        </is>
      </c>
      <c r="S51">
        <f>HYPERLINK("https://klasma.github.io/Logging_1781/artfynd/A 11656-2025 artfynd.xlsx", "A 11656-2025")</f>
        <v/>
      </c>
      <c r="T51">
        <f>HYPERLINK("https://klasma.github.io/Logging_1781/kartor/A 11656-2025 karta.png", "A 11656-2025")</f>
        <v/>
      </c>
      <c r="V51">
        <f>HYPERLINK("https://klasma.github.io/Logging_1781/klagomål/A 11656-2025 FSC-klagomål.docx", "A 11656-2025")</f>
        <v/>
      </c>
      <c r="W51">
        <f>HYPERLINK("https://klasma.github.io/Logging_1781/klagomålsmail/A 11656-2025 FSC-klagomål mail.docx", "A 11656-2025")</f>
        <v/>
      </c>
      <c r="X51">
        <f>HYPERLINK("https://klasma.github.io/Logging_1781/tillsyn/A 11656-2025 tillsynsbegäran.docx", "A 11656-2025")</f>
        <v/>
      </c>
      <c r="Y51">
        <f>HYPERLINK("https://klasma.github.io/Logging_1781/tillsynsmail/A 11656-2025 tillsynsbegäran mail.docx", "A 11656-2025")</f>
        <v/>
      </c>
    </row>
    <row r="52" ht="15" customHeight="1">
      <c r="A52" t="inlineStr">
        <is>
          <t>A 21224-2024</t>
        </is>
      </c>
      <c r="B52" s="1" t="n">
        <v>45440</v>
      </c>
      <c r="C52" s="1" t="n">
        <v>45932</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23086-2024</t>
        </is>
      </c>
      <c r="B53" s="1" t="n">
        <v>45450</v>
      </c>
      <c r="C53" s="1" t="n">
        <v>45932</v>
      </c>
      <c r="D53" t="inlineStr">
        <is>
          <t>VÄRMLANDS LÄN</t>
        </is>
      </c>
      <c r="E53" t="inlineStr">
        <is>
          <t>ARVIKA</t>
        </is>
      </c>
      <c r="F53" t="inlineStr">
        <is>
          <t>Bergvik skog väst AB</t>
        </is>
      </c>
      <c r="G53" t="n">
        <v>1.5</v>
      </c>
      <c r="H53" t="n">
        <v>2</v>
      </c>
      <c r="I53" t="n">
        <v>4</v>
      </c>
      <c r="J53" t="n">
        <v>2</v>
      </c>
      <c r="K53" t="n">
        <v>1</v>
      </c>
      <c r="L53" t="n">
        <v>0</v>
      </c>
      <c r="M53" t="n">
        <v>0</v>
      </c>
      <c r="N53" t="n">
        <v>0</v>
      </c>
      <c r="O53" t="n">
        <v>3</v>
      </c>
      <c r="P53" t="n">
        <v>1</v>
      </c>
      <c r="Q53" t="n">
        <v>7</v>
      </c>
      <c r="R53" s="2" t="inlineStr">
        <is>
          <t>Knärot
Spillkråka
Vedtrappmossa
Bårdlav
Flagellkvastmossa
Korallblylav
Skinnlav</t>
        </is>
      </c>
      <c r="S53">
        <f>HYPERLINK("https://klasma.github.io/Logging_1784/artfynd/A 23086-2024 artfynd.xlsx", "A 23086-2024")</f>
        <v/>
      </c>
      <c r="T53">
        <f>HYPERLINK("https://klasma.github.io/Logging_1784/kartor/A 23086-2024 karta.png", "A 23086-2024")</f>
        <v/>
      </c>
      <c r="U53">
        <f>HYPERLINK("https://klasma.github.io/Logging_1784/knärot/A 23086-2024 karta knärot.png", "A 23086-2024")</f>
        <v/>
      </c>
      <c r="V53">
        <f>HYPERLINK("https://klasma.github.io/Logging_1784/klagomål/A 23086-2024 FSC-klagomål.docx", "A 23086-2024")</f>
        <v/>
      </c>
      <c r="W53">
        <f>HYPERLINK("https://klasma.github.io/Logging_1784/klagomålsmail/A 23086-2024 FSC-klagomål mail.docx", "A 23086-2024")</f>
        <v/>
      </c>
      <c r="X53">
        <f>HYPERLINK("https://klasma.github.io/Logging_1784/tillsyn/A 23086-2024 tillsynsbegäran.docx", "A 23086-2024")</f>
        <v/>
      </c>
      <c r="Y53">
        <f>HYPERLINK("https://klasma.github.io/Logging_1784/tillsynsmail/A 23086-2024 tillsynsbegäran mail.docx", "A 23086-2024")</f>
        <v/>
      </c>
      <c r="Z53">
        <f>HYPERLINK("https://klasma.github.io/Logging_1784/fåglar/A 23086-2024 prioriterade fågelarter.docx", "A 23086-2024")</f>
        <v/>
      </c>
    </row>
    <row r="54" ht="15" customHeight="1">
      <c r="A54" t="inlineStr">
        <is>
          <t>A 23087-2024</t>
        </is>
      </c>
      <c r="B54" s="1" t="n">
        <v>45450</v>
      </c>
      <c r="C54" s="1" t="n">
        <v>45932</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5979-2023</t>
        </is>
      </c>
      <c r="B55" s="1" t="n">
        <v>44964</v>
      </c>
      <c r="C55" s="1" t="n">
        <v>45932</v>
      </c>
      <c r="D55" t="inlineStr">
        <is>
          <t>VÄRMLANDS LÄN</t>
        </is>
      </c>
      <c r="E55" t="inlineStr">
        <is>
          <t>ÅRJÄNG</t>
        </is>
      </c>
      <c r="G55" t="n">
        <v>4</v>
      </c>
      <c r="H55" t="n">
        <v>0</v>
      </c>
      <c r="I55" t="n">
        <v>3</v>
      </c>
      <c r="J55" t="n">
        <v>2</v>
      </c>
      <c r="K55" t="n">
        <v>2</v>
      </c>
      <c r="L55" t="n">
        <v>0</v>
      </c>
      <c r="M55" t="n">
        <v>0</v>
      </c>
      <c r="N55" t="n">
        <v>0</v>
      </c>
      <c r="O55" t="n">
        <v>4</v>
      </c>
      <c r="P55" t="n">
        <v>2</v>
      </c>
      <c r="Q55" t="n">
        <v>7</v>
      </c>
      <c r="R55" s="2" t="inlineStr">
        <is>
          <t>Brödtaggsvamp
Porslinsblå spindling
Grantaggsvamp
Svart taggsvamp
Fjällig taggsvamp s.str.
Rödgul trumpetsvamp
Skarp dropptaggsvamp</t>
        </is>
      </c>
      <c r="S55">
        <f>HYPERLINK("https://klasma.github.io/Logging_1765/artfynd/A 5979-2023 artfynd.xlsx", "A 5979-2023")</f>
        <v/>
      </c>
      <c r="T55">
        <f>HYPERLINK("https://klasma.github.io/Logging_1765/kartor/A 5979-2023 karta.png", "A 5979-2023")</f>
        <v/>
      </c>
      <c r="V55">
        <f>HYPERLINK("https://klasma.github.io/Logging_1765/klagomål/A 5979-2023 FSC-klagomål.docx", "A 5979-2023")</f>
        <v/>
      </c>
      <c r="W55">
        <f>HYPERLINK("https://klasma.github.io/Logging_1765/klagomålsmail/A 5979-2023 FSC-klagomål mail.docx", "A 5979-2023")</f>
        <v/>
      </c>
      <c r="X55">
        <f>HYPERLINK("https://klasma.github.io/Logging_1765/tillsyn/A 5979-2023 tillsynsbegäran.docx", "A 5979-2023")</f>
        <v/>
      </c>
      <c r="Y55">
        <f>HYPERLINK("https://klasma.github.io/Logging_1765/tillsynsmail/A 5979-2023 tillsynsbegäran mail.docx", "A 5979-2023")</f>
        <v/>
      </c>
    </row>
    <row r="56" ht="15" customHeight="1">
      <c r="A56" t="inlineStr">
        <is>
          <t>A 44253-2025</t>
        </is>
      </c>
      <c r="B56" s="1" t="n">
        <v>45915.71048611111</v>
      </c>
      <c r="C56" s="1" t="n">
        <v>45932</v>
      </c>
      <c r="D56" t="inlineStr">
        <is>
          <t>VÄRMLANDS LÄN</t>
        </is>
      </c>
      <c r="E56" t="inlineStr">
        <is>
          <t>SÄFFLE</t>
        </is>
      </c>
      <c r="F56" t="inlineStr">
        <is>
          <t>Kyrkan</t>
        </is>
      </c>
      <c r="G56" t="n">
        <v>2.3</v>
      </c>
      <c r="H56" t="n">
        <v>5</v>
      </c>
      <c r="I56" t="n">
        <v>0</v>
      </c>
      <c r="J56" t="n">
        <v>2</v>
      </c>
      <c r="K56" t="n">
        <v>0</v>
      </c>
      <c r="L56" t="n">
        <v>0</v>
      </c>
      <c r="M56" t="n">
        <v>0</v>
      </c>
      <c r="N56" t="n">
        <v>0</v>
      </c>
      <c r="O56" t="n">
        <v>2</v>
      </c>
      <c r="P56" t="n">
        <v>0</v>
      </c>
      <c r="Q56" t="n">
        <v>7</v>
      </c>
      <c r="R56" s="2" t="inlineStr">
        <is>
          <t>Luddfingersvamp
Svinrot
Huggorm
Vanlig groda
Vanlig snok
Nattviol
Mattlummer</t>
        </is>
      </c>
      <c r="S56">
        <f>HYPERLINK("https://klasma.github.io/Logging_1785/artfynd/A 44253-2025 artfynd.xlsx", "A 44253-2025")</f>
        <v/>
      </c>
      <c r="T56">
        <f>HYPERLINK("https://klasma.github.io/Logging_1785/kartor/A 44253-2025 karta.png", "A 44253-2025")</f>
        <v/>
      </c>
      <c r="V56">
        <f>HYPERLINK("https://klasma.github.io/Logging_1785/klagomål/A 44253-2025 FSC-klagomål.docx", "A 44253-2025")</f>
        <v/>
      </c>
      <c r="W56">
        <f>HYPERLINK("https://klasma.github.io/Logging_1785/klagomålsmail/A 44253-2025 FSC-klagomål mail.docx", "A 44253-2025")</f>
        <v/>
      </c>
      <c r="X56">
        <f>HYPERLINK("https://klasma.github.io/Logging_1785/tillsyn/A 44253-2025 tillsynsbegäran.docx", "A 44253-2025")</f>
        <v/>
      </c>
      <c r="Y56">
        <f>HYPERLINK("https://klasma.github.io/Logging_1785/tillsynsmail/A 44253-2025 tillsynsbegäran mail.docx", "A 44253-2025")</f>
        <v/>
      </c>
    </row>
    <row r="57" ht="15" customHeight="1">
      <c r="A57" t="inlineStr">
        <is>
          <t>A 43822-2023</t>
        </is>
      </c>
      <c r="B57" s="1" t="n">
        <v>45182</v>
      </c>
      <c r="C57" s="1" t="n">
        <v>45932</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44658-2024</t>
        </is>
      </c>
      <c r="B58" s="1" t="n">
        <v>45574</v>
      </c>
      <c r="C58" s="1" t="n">
        <v>45932</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40934-2025</t>
        </is>
      </c>
      <c r="B59" s="1" t="n">
        <v>45897</v>
      </c>
      <c r="C59" s="1" t="n">
        <v>45932</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57758-2020</t>
        </is>
      </c>
      <c r="B60" s="1" t="n">
        <v>44140</v>
      </c>
      <c r="C60" s="1" t="n">
        <v>45932</v>
      </c>
      <c r="D60" t="inlineStr">
        <is>
          <t>VÄRMLANDS LÄN</t>
        </is>
      </c>
      <c r="E60" t="inlineStr">
        <is>
          <t>ÅRJÄNG</t>
        </is>
      </c>
      <c r="G60" t="n">
        <v>3.2</v>
      </c>
      <c r="H60" t="n">
        <v>1</v>
      </c>
      <c r="I60" t="n">
        <v>2</v>
      </c>
      <c r="J60" t="n">
        <v>2</v>
      </c>
      <c r="K60" t="n">
        <v>2</v>
      </c>
      <c r="L60" t="n">
        <v>0</v>
      </c>
      <c r="M60" t="n">
        <v>0</v>
      </c>
      <c r="N60" t="n">
        <v>0</v>
      </c>
      <c r="O60" t="n">
        <v>4</v>
      </c>
      <c r="P60" t="n">
        <v>2</v>
      </c>
      <c r="Q60" t="n">
        <v>6</v>
      </c>
      <c r="R60" s="2" t="inlineStr">
        <is>
          <t>Aspgelélav
Västlig njurlav
Lunglav
Talltita
Dropptaggsvamp
Havstulpanlav</t>
        </is>
      </c>
      <c r="S60">
        <f>HYPERLINK("https://klasma.github.io/Logging_1765/artfynd/A 57758-2020 artfynd.xlsx", "A 57758-2020")</f>
        <v/>
      </c>
      <c r="T60">
        <f>HYPERLINK("https://klasma.github.io/Logging_1765/kartor/A 57758-2020 karta.png", "A 57758-2020")</f>
        <v/>
      </c>
      <c r="V60">
        <f>HYPERLINK("https://klasma.github.io/Logging_1765/klagomål/A 57758-2020 FSC-klagomål.docx", "A 57758-2020")</f>
        <v/>
      </c>
      <c r="W60">
        <f>HYPERLINK("https://klasma.github.io/Logging_1765/klagomålsmail/A 57758-2020 FSC-klagomål mail.docx", "A 57758-2020")</f>
        <v/>
      </c>
      <c r="X60">
        <f>HYPERLINK("https://klasma.github.io/Logging_1765/tillsyn/A 57758-2020 tillsynsbegäran.docx", "A 57758-2020")</f>
        <v/>
      </c>
      <c r="Y60">
        <f>HYPERLINK("https://klasma.github.io/Logging_1765/tillsynsmail/A 57758-2020 tillsynsbegäran mail.docx", "A 57758-2020")</f>
        <v/>
      </c>
      <c r="Z60">
        <f>HYPERLINK("https://klasma.github.io/Logging_1765/fåglar/A 57758-2020 prioriterade fågelarter.docx", "A 57758-2020")</f>
        <v/>
      </c>
    </row>
    <row r="61" ht="15" customHeight="1">
      <c r="A61" t="inlineStr">
        <is>
          <t>A 44271-2023</t>
        </is>
      </c>
      <c r="B61" s="1" t="n">
        <v>45188</v>
      </c>
      <c r="C61" s="1" t="n">
        <v>45932</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52132-2022</t>
        </is>
      </c>
      <c r="B62" s="1" t="n">
        <v>44873</v>
      </c>
      <c r="C62" s="1" t="n">
        <v>45932</v>
      </c>
      <c r="D62" t="inlineStr">
        <is>
          <t>VÄRMLANDS LÄN</t>
        </is>
      </c>
      <c r="E62" t="inlineStr">
        <is>
          <t>ÅRJÄNG</t>
        </is>
      </c>
      <c r="G62" t="n">
        <v>14</v>
      </c>
      <c r="H62" t="n">
        <v>1</v>
      </c>
      <c r="I62" t="n">
        <v>3</v>
      </c>
      <c r="J62" t="n">
        <v>2</v>
      </c>
      <c r="K62" t="n">
        <v>1</v>
      </c>
      <c r="L62" t="n">
        <v>0</v>
      </c>
      <c r="M62" t="n">
        <v>0</v>
      </c>
      <c r="N62" t="n">
        <v>0</v>
      </c>
      <c r="O62" t="n">
        <v>3</v>
      </c>
      <c r="P62" t="n">
        <v>1</v>
      </c>
      <c r="Q62" t="n">
        <v>6</v>
      </c>
      <c r="R62" s="2" t="inlineStr">
        <is>
          <t>Knärot
Garnlav
Vedtrappmossa
Dropptaggsvamp
Kattfotslav
Vedticka</t>
        </is>
      </c>
      <c r="S62">
        <f>HYPERLINK("https://klasma.github.io/Logging_1765/artfynd/A 52132-2022 artfynd.xlsx", "A 52132-2022")</f>
        <v/>
      </c>
      <c r="T62">
        <f>HYPERLINK("https://klasma.github.io/Logging_1765/kartor/A 52132-2022 karta.png", "A 52132-2022")</f>
        <v/>
      </c>
      <c r="U62">
        <f>HYPERLINK("https://klasma.github.io/Logging_1765/knärot/A 52132-2022 karta knärot.png", "A 52132-2022")</f>
        <v/>
      </c>
      <c r="V62">
        <f>HYPERLINK("https://klasma.github.io/Logging_1765/klagomål/A 52132-2022 FSC-klagomål.docx", "A 52132-2022")</f>
        <v/>
      </c>
      <c r="W62">
        <f>HYPERLINK("https://klasma.github.io/Logging_1765/klagomålsmail/A 52132-2022 FSC-klagomål mail.docx", "A 52132-2022")</f>
        <v/>
      </c>
      <c r="X62">
        <f>HYPERLINK("https://klasma.github.io/Logging_1765/tillsyn/A 52132-2022 tillsynsbegäran.docx", "A 52132-2022")</f>
        <v/>
      </c>
      <c r="Y62">
        <f>HYPERLINK("https://klasma.github.io/Logging_1765/tillsynsmail/A 52132-2022 tillsynsbegäran mail.docx", "A 52132-2022")</f>
        <v/>
      </c>
    </row>
    <row r="63" ht="15" customHeight="1">
      <c r="A63" t="inlineStr">
        <is>
          <t>A 22604-2025</t>
        </is>
      </c>
      <c r="B63" s="1" t="n">
        <v>45789.41592592592</v>
      </c>
      <c r="C63" s="1" t="n">
        <v>45932</v>
      </c>
      <c r="D63" t="inlineStr">
        <is>
          <t>VÄRMLANDS LÄN</t>
        </is>
      </c>
      <c r="E63" t="inlineStr">
        <is>
          <t>TORSBY</t>
        </is>
      </c>
      <c r="G63" t="n">
        <v>13.3</v>
      </c>
      <c r="H63" t="n">
        <v>0</v>
      </c>
      <c r="I63" t="n">
        <v>0</v>
      </c>
      <c r="J63" t="n">
        <v>6</v>
      </c>
      <c r="K63" t="n">
        <v>0</v>
      </c>
      <c r="L63" t="n">
        <v>0</v>
      </c>
      <c r="M63" t="n">
        <v>0</v>
      </c>
      <c r="N63" t="n">
        <v>0</v>
      </c>
      <c r="O63" t="n">
        <v>6</v>
      </c>
      <c r="P63" t="n">
        <v>0</v>
      </c>
      <c r="Q63" t="n">
        <v>6</v>
      </c>
      <c r="R63" s="2" t="inlineStr">
        <is>
          <t>Dvärgbägarlav
Garnlav
Kolflarnlav
Lunglav
Mörk kolflarnlav
Vedskivlav</t>
        </is>
      </c>
      <c r="S63">
        <f>HYPERLINK("https://klasma.github.io/Logging_1737/artfynd/A 22604-2025 artfynd.xlsx", "A 22604-2025")</f>
        <v/>
      </c>
      <c r="T63">
        <f>HYPERLINK("https://klasma.github.io/Logging_1737/kartor/A 22604-2025 karta.png", "A 22604-2025")</f>
        <v/>
      </c>
      <c r="V63">
        <f>HYPERLINK("https://klasma.github.io/Logging_1737/klagomål/A 22604-2025 FSC-klagomål.docx", "A 22604-2025")</f>
        <v/>
      </c>
      <c r="W63">
        <f>HYPERLINK("https://klasma.github.io/Logging_1737/klagomålsmail/A 22604-2025 FSC-klagomål mail.docx", "A 22604-2025")</f>
        <v/>
      </c>
      <c r="X63">
        <f>HYPERLINK("https://klasma.github.io/Logging_1737/tillsyn/A 22604-2025 tillsynsbegäran.docx", "A 22604-2025")</f>
        <v/>
      </c>
      <c r="Y63">
        <f>HYPERLINK("https://klasma.github.io/Logging_1737/tillsynsmail/A 22604-2025 tillsynsbegäran mail.docx", "A 22604-2025")</f>
        <v/>
      </c>
    </row>
    <row r="64" ht="15" customHeight="1">
      <c r="A64" t="inlineStr">
        <is>
          <t>A 32845-2023</t>
        </is>
      </c>
      <c r="B64" s="1" t="n">
        <v>45109</v>
      </c>
      <c r="C64" s="1" t="n">
        <v>45932</v>
      </c>
      <c r="D64" t="inlineStr">
        <is>
          <t>VÄRMLANDS LÄN</t>
        </is>
      </c>
      <c r="E64" t="inlineStr">
        <is>
          <t>ARVIKA</t>
        </is>
      </c>
      <c r="G64" t="n">
        <v>2.2</v>
      </c>
      <c r="H64" t="n">
        <v>1</v>
      </c>
      <c r="I64" t="n">
        <v>3</v>
      </c>
      <c r="J64" t="n">
        <v>2</v>
      </c>
      <c r="K64" t="n">
        <v>1</v>
      </c>
      <c r="L64" t="n">
        <v>0</v>
      </c>
      <c r="M64" t="n">
        <v>0</v>
      </c>
      <c r="N64" t="n">
        <v>0</v>
      </c>
      <c r="O64" t="n">
        <v>3</v>
      </c>
      <c r="P64" t="n">
        <v>1</v>
      </c>
      <c r="Q64" t="n">
        <v>6</v>
      </c>
      <c r="R64" s="2" t="inlineStr">
        <is>
          <t>Knärot
Oljetagging
Ullticka
Mandelriska
Rävticka
Vedticka</t>
        </is>
      </c>
      <c r="S64">
        <f>HYPERLINK("https://klasma.github.io/Logging_1784/artfynd/A 32845-2023 artfynd.xlsx", "A 32845-2023")</f>
        <v/>
      </c>
      <c r="T64">
        <f>HYPERLINK("https://klasma.github.io/Logging_1784/kartor/A 32845-2023 karta.png", "A 32845-2023")</f>
        <v/>
      </c>
      <c r="U64">
        <f>HYPERLINK("https://klasma.github.io/Logging_1784/knärot/A 32845-2023 karta knärot.png", "A 32845-2023")</f>
        <v/>
      </c>
      <c r="V64">
        <f>HYPERLINK("https://klasma.github.io/Logging_1784/klagomål/A 32845-2023 FSC-klagomål.docx", "A 32845-2023")</f>
        <v/>
      </c>
      <c r="W64">
        <f>HYPERLINK("https://klasma.github.io/Logging_1784/klagomålsmail/A 32845-2023 FSC-klagomål mail.docx", "A 32845-2023")</f>
        <v/>
      </c>
      <c r="X64">
        <f>HYPERLINK("https://klasma.github.io/Logging_1784/tillsyn/A 32845-2023 tillsynsbegäran.docx", "A 32845-2023")</f>
        <v/>
      </c>
      <c r="Y64">
        <f>HYPERLINK("https://klasma.github.io/Logging_1784/tillsynsmail/A 32845-2023 tillsynsbegäran mail.docx", "A 32845-2023")</f>
        <v/>
      </c>
    </row>
    <row r="65" ht="15" customHeight="1">
      <c r="A65" t="inlineStr">
        <is>
          <t>A 17057-2025</t>
        </is>
      </c>
      <c r="B65" s="1" t="n">
        <v>45754</v>
      </c>
      <c r="C65" s="1" t="n">
        <v>45932</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12294-2025</t>
        </is>
      </c>
      <c r="B66" s="1" t="n">
        <v>45729</v>
      </c>
      <c r="C66" s="1" t="n">
        <v>45932</v>
      </c>
      <c r="D66" t="inlineStr">
        <is>
          <t>VÄRMLANDS LÄN</t>
        </is>
      </c>
      <c r="E66" t="inlineStr">
        <is>
          <t>TORSBY</t>
        </is>
      </c>
      <c r="G66" t="n">
        <v>2.4</v>
      </c>
      <c r="H66" t="n">
        <v>1</v>
      </c>
      <c r="I66" t="n">
        <v>5</v>
      </c>
      <c r="J66" t="n">
        <v>0</v>
      </c>
      <c r="K66" t="n">
        <v>0</v>
      </c>
      <c r="L66" t="n">
        <v>0</v>
      </c>
      <c r="M66" t="n">
        <v>0</v>
      </c>
      <c r="N66" t="n">
        <v>0</v>
      </c>
      <c r="O66" t="n">
        <v>0</v>
      </c>
      <c r="P66" t="n">
        <v>0</v>
      </c>
      <c r="Q66" t="n">
        <v>6</v>
      </c>
      <c r="R66" s="2" t="inlineStr">
        <is>
          <t>Dvärghäxört
Svart trolldruva
Tibast
Underviol
Vårärt
Blåsippa</t>
        </is>
      </c>
      <c r="S66">
        <f>HYPERLINK("https://klasma.github.io/Logging_1737/artfynd/A 12294-2025 artfynd.xlsx", "A 12294-2025")</f>
        <v/>
      </c>
      <c r="T66">
        <f>HYPERLINK("https://klasma.github.io/Logging_1737/kartor/A 12294-2025 karta.png", "A 12294-2025")</f>
        <v/>
      </c>
      <c r="V66">
        <f>HYPERLINK("https://klasma.github.io/Logging_1737/klagomål/A 12294-2025 FSC-klagomål.docx", "A 12294-2025")</f>
        <v/>
      </c>
      <c r="W66">
        <f>HYPERLINK("https://klasma.github.io/Logging_1737/klagomålsmail/A 12294-2025 FSC-klagomål mail.docx", "A 12294-2025")</f>
        <v/>
      </c>
      <c r="X66">
        <f>HYPERLINK("https://klasma.github.io/Logging_1737/tillsyn/A 12294-2025 tillsynsbegäran.docx", "A 12294-2025")</f>
        <v/>
      </c>
      <c r="Y66">
        <f>HYPERLINK("https://klasma.github.io/Logging_1737/tillsynsmail/A 12294-2025 tillsynsbegäran mail.docx", "A 12294-2025")</f>
        <v/>
      </c>
    </row>
    <row r="67" ht="15" customHeight="1">
      <c r="A67" t="inlineStr">
        <is>
          <t>A 26488-2025</t>
        </is>
      </c>
      <c r="B67" s="1" t="n">
        <v>45807.47668981482</v>
      </c>
      <c r="C67" s="1" t="n">
        <v>45932</v>
      </c>
      <c r="D67" t="inlineStr">
        <is>
          <t>VÄRMLANDS LÄN</t>
        </is>
      </c>
      <c r="E67" t="inlineStr">
        <is>
          <t>TORSBY</t>
        </is>
      </c>
      <c r="G67" t="n">
        <v>1.6</v>
      </c>
      <c r="H67" t="n">
        <v>2</v>
      </c>
      <c r="I67" t="n">
        <v>3</v>
      </c>
      <c r="J67" t="n">
        <v>2</v>
      </c>
      <c r="K67" t="n">
        <v>0</v>
      </c>
      <c r="L67" t="n">
        <v>0</v>
      </c>
      <c r="M67" t="n">
        <v>0</v>
      </c>
      <c r="N67" t="n">
        <v>0</v>
      </c>
      <c r="O67" t="n">
        <v>2</v>
      </c>
      <c r="P67" t="n">
        <v>0</v>
      </c>
      <c r="Q67" t="n">
        <v>6</v>
      </c>
      <c r="R67" s="2" t="inlineStr">
        <is>
          <t>Garnlav
Talltita
Gullgröppa
Nästlav
Skuggblåslav
Kungsfågel</t>
        </is>
      </c>
      <c r="S67">
        <f>HYPERLINK("https://klasma.github.io/Logging_1737/artfynd/A 26488-2025 artfynd.xlsx", "A 26488-2025")</f>
        <v/>
      </c>
      <c r="T67">
        <f>HYPERLINK("https://klasma.github.io/Logging_1737/kartor/A 26488-2025 karta.png", "A 26488-2025")</f>
        <v/>
      </c>
      <c r="V67">
        <f>HYPERLINK("https://klasma.github.io/Logging_1737/klagomål/A 26488-2025 FSC-klagomål.docx", "A 26488-2025")</f>
        <v/>
      </c>
      <c r="W67">
        <f>HYPERLINK("https://klasma.github.io/Logging_1737/klagomålsmail/A 26488-2025 FSC-klagomål mail.docx", "A 26488-2025")</f>
        <v/>
      </c>
      <c r="X67">
        <f>HYPERLINK("https://klasma.github.io/Logging_1737/tillsyn/A 26488-2025 tillsynsbegäran.docx", "A 26488-2025")</f>
        <v/>
      </c>
      <c r="Y67">
        <f>HYPERLINK("https://klasma.github.io/Logging_1737/tillsynsmail/A 26488-2025 tillsynsbegäran mail.docx", "A 26488-2025")</f>
        <v/>
      </c>
      <c r="Z67">
        <f>HYPERLINK("https://klasma.github.io/Logging_1737/fåglar/A 26488-2025 prioriterade fågelarter.docx", "A 26488-2025")</f>
        <v/>
      </c>
    </row>
    <row r="68" ht="15" customHeight="1">
      <c r="A68" t="inlineStr">
        <is>
          <t>A 44477-2024</t>
        </is>
      </c>
      <c r="B68" s="1" t="n">
        <v>45574</v>
      </c>
      <c r="C68" s="1" t="n">
        <v>45932</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31472-2025</t>
        </is>
      </c>
      <c r="B69" s="1" t="n">
        <v>45833.56451388889</v>
      </c>
      <c r="C69" s="1" t="n">
        <v>45932</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40910-2023</t>
        </is>
      </c>
      <c r="B70" s="1" t="n">
        <v>45173</v>
      </c>
      <c r="C70" s="1" t="n">
        <v>45932</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37729-2025</t>
        </is>
      </c>
      <c r="B71" s="1" t="n">
        <v>45880</v>
      </c>
      <c r="C71" s="1" t="n">
        <v>45932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7650-2021</t>
        </is>
      </c>
      <c r="B72" s="1" t="n">
        <v>44242</v>
      </c>
      <c r="C72" s="1" t="n">
        <v>45932</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29379-2023</t>
        </is>
      </c>
      <c r="B73" s="1" t="n">
        <v>45106</v>
      </c>
      <c r="C73" s="1" t="n">
        <v>45932</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45932</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8514-2022</t>
        </is>
      </c>
      <c r="B75" s="1" t="n">
        <v>44613.43620370371</v>
      </c>
      <c r="C75" s="1" t="n">
        <v>45932</v>
      </c>
      <c r="D75" t="inlineStr">
        <is>
          <t>VÄRMLANDS LÄN</t>
        </is>
      </c>
      <c r="E75" t="inlineStr">
        <is>
          <t>TORSBY</t>
        </is>
      </c>
      <c r="G75" t="n">
        <v>4.4</v>
      </c>
      <c r="H75" t="n">
        <v>2</v>
      </c>
      <c r="I75" t="n">
        <v>0</v>
      </c>
      <c r="J75" t="n">
        <v>4</v>
      </c>
      <c r="K75" t="n">
        <v>0</v>
      </c>
      <c r="L75" t="n">
        <v>0</v>
      </c>
      <c r="M75" t="n">
        <v>0</v>
      </c>
      <c r="N75" t="n">
        <v>0</v>
      </c>
      <c r="O75" t="n">
        <v>4</v>
      </c>
      <c r="P75" t="n">
        <v>0</v>
      </c>
      <c r="Q75" t="n">
        <v>5</v>
      </c>
      <c r="R75" s="2" t="inlineStr">
        <is>
          <t>Garnlav
Kolflarnlav
Mörk kolflarnlav
Talltita
Tjäder</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c r="Z75">
        <f>HYPERLINK("https://klasma.github.io/Logging_1737/fåglar/A 8514-2022 prioriterade fågelarter.docx", "A 8514-2022")</f>
        <v/>
      </c>
    </row>
    <row r="76" ht="15" customHeight="1">
      <c r="A76" t="inlineStr">
        <is>
          <t>A 49109-2021</t>
        </is>
      </c>
      <c r="B76" s="1" t="n">
        <v>44453</v>
      </c>
      <c r="C76" s="1" t="n">
        <v>45932</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72312-2021</t>
        </is>
      </c>
      <c r="B77" s="1" t="n">
        <v>44545</v>
      </c>
      <c r="C77" s="1" t="n">
        <v>45932</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41279-2021</t>
        </is>
      </c>
      <c r="B78" s="1" t="n">
        <v>44424</v>
      </c>
      <c r="C78" s="1" t="n">
        <v>45932</v>
      </c>
      <c r="D78" t="inlineStr">
        <is>
          <t>VÄRMLANDS LÄN</t>
        </is>
      </c>
      <c r="E78" t="inlineStr">
        <is>
          <t>TORSBY</t>
        </is>
      </c>
      <c r="G78" t="n">
        <v>9.699999999999999</v>
      </c>
      <c r="H78" t="n">
        <v>1</v>
      </c>
      <c r="I78" t="n">
        <v>1</v>
      </c>
      <c r="J78" t="n">
        <v>4</v>
      </c>
      <c r="K78" t="n">
        <v>0</v>
      </c>
      <c r="L78" t="n">
        <v>0</v>
      </c>
      <c r="M78" t="n">
        <v>0</v>
      </c>
      <c r="N78" t="n">
        <v>0</v>
      </c>
      <c r="O78" t="n">
        <v>4</v>
      </c>
      <c r="P78" t="n">
        <v>0</v>
      </c>
      <c r="Q78" t="n">
        <v>5</v>
      </c>
      <c r="R78" s="2" t="inlineStr">
        <is>
          <t>Gammelgransskål
Garnlav
Tretåig hackspett
Vedskivlav
Vedticka</t>
        </is>
      </c>
      <c r="S78">
        <f>HYPERLINK("https://klasma.github.io/Logging_1737/artfynd/A 41279-2021 artfynd.xlsx", "A 41279-2021")</f>
        <v/>
      </c>
      <c r="T78">
        <f>HYPERLINK("https://klasma.github.io/Logging_1737/kartor/A 41279-2021 karta.png", "A 41279-2021")</f>
        <v/>
      </c>
      <c r="V78">
        <f>HYPERLINK("https://klasma.github.io/Logging_1737/klagomål/A 41279-2021 FSC-klagomål.docx", "A 41279-2021")</f>
        <v/>
      </c>
      <c r="W78">
        <f>HYPERLINK("https://klasma.github.io/Logging_1737/klagomålsmail/A 41279-2021 FSC-klagomål mail.docx", "A 41279-2021")</f>
        <v/>
      </c>
      <c r="X78">
        <f>HYPERLINK("https://klasma.github.io/Logging_1737/tillsyn/A 41279-2021 tillsynsbegäran.docx", "A 41279-2021")</f>
        <v/>
      </c>
      <c r="Y78">
        <f>HYPERLINK("https://klasma.github.io/Logging_1737/tillsynsmail/A 41279-2021 tillsynsbegäran mail.docx", "A 41279-2021")</f>
        <v/>
      </c>
      <c r="Z78">
        <f>HYPERLINK("https://klasma.github.io/Logging_1737/fåglar/A 41279-2021 prioriterade fågelarter.docx", "A 41279-2021")</f>
        <v/>
      </c>
    </row>
    <row r="79" ht="15" customHeight="1">
      <c r="A79" t="inlineStr">
        <is>
          <t>A 17008-2021</t>
        </is>
      </c>
      <c r="B79" s="1" t="n">
        <v>44295</v>
      </c>
      <c r="C79" s="1" t="n">
        <v>45932</v>
      </c>
      <c r="D79" t="inlineStr">
        <is>
          <t>VÄRMLANDS LÄN</t>
        </is>
      </c>
      <c r="E79" t="inlineStr">
        <is>
          <t>ARVIKA</t>
        </is>
      </c>
      <c r="G79" t="n">
        <v>3.6</v>
      </c>
      <c r="H79" t="n">
        <v>1</v>
      </c>
      <c r="I79" t="n">
        <v>4</v>
      </c>
      <c r="J79" t="n">
        <v>1</v>
      </c>
      <c r="K79" t="n">
        <v>0</v>
      </c>
      <c r="L79" t="n">
        <v>0</v>
      </c>
      <c r="M79" t="n">
        <v>0</v>
      </c>
      <c r="N79" t="n">
        <v>0</v>
      </c>
      <c r="O79" t="n">
        <v>1</v>
      </c>
      <c r="P79" t="n">
        <v>0</v>
      </c>
      <c r="Q79" t="n">
        <v>5</v>
      </c>
      <c r="R79" s="2" t="inlineStr">
        <is>
          <t>Lunglav
Bårdlav
Grön sköldmossa
Korallblylav
Vedticka</t>
        </is>
      </c>
      <c r="S79">
        <f>HYPERLINK("https://klasma.github.io/Logging_1784/artfynd/A 17008-2021 artfynd.xlsx", "A 17008-2021")</f>
        <v/>
      </c>
      <c r="T79">
        <f>HYPERLINK("https://klasma.github.io/Logging_1784/kartor/A 17008-2021 karta.png", "A 17008-2021")</f>
        <v/>
      </c>
      <c r="V79">
        <f>HYPERLINK("https://klasma.github.io/Logging_1784/klagomål/A 17008-2021 FSC-klagomål.docx", "A 17008-2021")</f>
        <v/>
      </c>
      <c r="W79">
        <f>HYPERLINK("https://klasma.github.io/Logging_1784/klagomålsmail/A 17008-2021 FSC-klagomål mail.docx", "A 17008-2021")</f>
        <v/>
      </c>
      <c r="X79">
        <f>HYPERLINK("https://klasma.github.io/Logging_1784/tillsyn/A 17008-2021 tillsynsbegäran.docx", "A 17008-2021")</f>
        <v/>
      </c>
      <c r="Y79">
        <f>HYPERLINK("https://klasma.github.io/Logging_1784/tillsynsmail/A 17008-2021 tillsynsbegäran mail.docx", "A 17008-2021")</f>
        <v/>
      </c>
    </row>
    <row r="80" ht="15" customHeight="1">
      <c r="A80" t="inlineStr">
        <is>
          <t>A 7996-2025</t>
        </is>
      </c>
      <c r="B80" s="1" t="n">
        <v>45707.52001157407</v>
      </c>
      <c r="C80" s="1" t="n">
        <v>45932</v>
      </c>
      <c r="D80" t="inlineStr">
        <is>
          <t>VÄRMLANDS LÄN</t>
        </is>
      </c>
      <c r="E80" t="inlineStr">
        <is>
          <t>ÅRJÄNG</t>
        </is>
      </c>
      <c r="G80" t="n">
        <v>7.3</v>
      </c>
      <c r="H80" t="n">
        <v>1</v>
      </c>
      <c r="I80" t="n">
        <v>2</v>
      </c>
      <c r="J80" t="n">
        <v>2</v>
      </c>
      <c r="K80" t="n">
        <v>1</v>
      </c>
      <c r="L80" t="n">
        <v>0</v>
      </c>
      <c r="M80" t="n">
        <v>0</v>
      </c>
      <c r="N80" t="n">
        <v>0</v>
      </c>
      <c r="O80" t="n">
        <v>3</v>
      </c>
      <c r="P80" t="n">
        <v>1</v>
      </c>
      <c r="Q80" t="n">
        <v>5</v>
      </c>
      <c r="R80" s="2" t="inlineStr">
        <is>
          <t>Knärot
Lunglav
Motaggsvamp
Blåmossa
Dropptaggsvamp</t>
        </is>
      </c>
      <c r="S80">
        <f>HYPERLINK("https://klasma.github.io/Logging_1765/artfynd/A 7996-2025 artfynd.xlsx", "A 7996-2025")</f>
        <v/>
      </c>
      <c r="T80">
        <f>HYPERLINK("https://klasma.github.io/Logging_1765/kartor/A 7996-2025 karta.png", "A 7996-2025")</f>
        <v/>
      </c>
      <c r="U80">
        <f>HYPERLINK("https://klasma.github.io/Logging_1765/knärot/A 7996-2025 karta knärot.png", "A 7996-2025")</f>
        <v/>
      </c>
      <c r="V80">
        <f>HYPERLINK("https://klasma.github.io/Logging_1765/klagomål/A 7996-2025 FSC-klagomål.docx", "A 7996-2025")</f>
        <v/>
      </c>
      <c r="W80">
        <f>HYPERLINK("https://klasma.github.io/Logging_1765/klagomålsmail/A 7996-2025 FSC-klagomål mail.docx", "A 7996-2025")</f>
        <v/>
      </c>
      <c r="X80">
        <f>HYPERLINK("https://klasma.github.io/Logging_1765/tillsyn/A 7996-2025 tillsynsbegäran.docx", "A 7996-2025")</f>
        <v/>
      </c>
      <c r="Y80">
        <f>HYPERLINK("https://klasma.github.io/Logging_1765/tillsynsmail/A 7996-2025 tillsynsbegäran mail.docx", "A 7996-2025")</f>
        <v/>
      </c>
    </row>
    <row r="81" ht="15" customHeight="1">
      <c r="A81" t="inlineStr">
        <is>
          <t>A 4555-2021</t>
        </is>
      </c>
      <c r="B81" s="1" t="n">
        <v>44224</v>
      </c>
      <c r="C81" s="1" t="n">
        <v>45932</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20354-2025</t>
        </is>
      </c>
      <c r="B82" s="1" t="n">
        <v>45775</v>
      </c>
      <c r="C82" s="1" t="n">
        <v>45932</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17619-2023</t>
        </is>
      </c>
      <c r="B83" s="1" t="n">
        <v>45036</v>
      </c>
      <c r="C83" s="1" t="n">
        <v>45932</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54844-2024</t>
        </is>
      </c>
      <c r="B84" s="1" t="n">
        <v>45618</v>
      </c>
      <c r="C84" s="1" t="n">
        <v>45932</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9573-2023</t>
        </is>
      </c>
      <c r="B85" s="1" t="n">
        <v>44982</v>
      </c>
      <c r="C85" s="1" t="n">
        <v>45932</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45932</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62275-2023</t>
        </is>
      </c>
      <c r="B87" s="1" t="n">
        <v>45267</v>
      </c>
      <c r="C87" s="1" t="n">
        <v>45932</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7337-2025</t>
        </is>
      </c>
      <c r="B88" s="1" t="n">
        <v>45703</v>
      </c>
      <c r="C88" s="1" t="n">
        <v>45932</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4972-2022</t>
        </is>
      </c>
      <c r="B89" s="1" t="n">
        <v>44593</v>
      </c>
      <c r="C89" s="1" t="n">
        <v>45932</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23085-2024</t>
        </is>
      </c>
      <c r="B90" s="1" t="n">
        <v>45450</v>
      </c>
      <c r="C90" s="1" t="n">
        <v>45932</v>
      </c>
      <c r="D90" t="inlineStr">
        <is>
          <t>VÄRMLANDS LÄN</t>
        </is>
      </c>
      <c r="E90" t="inlineStr">
        <is>
          <t>ARVIKA</t>
        </is>
      </c>
      <c r="F90" t="inlineStr">
        <is>
          <t>Bergvik skog väst AB</t>
        </is>
      </c>
      <c r="G90" t="n">
        <v>0.7</v>
      </c>
      <c r="H90" t="n">
        <v>1</v>
      </c>
      <c r="I90" t="n">
        <v>3</v>
      </c>
      <c r="J90" t="n">
        <v>1</v>
      </c>
      <c r="K90" t="n">
        <v>0</v>
      </c>
      <c r="L90" t="n">
        <v>0</v>
      </c>
      <c r="M90" t="n">
        <v>0</v>
      </c>
      <c r="N90" t="n">
        <v>0</v>
      </c>
      <c r="O90" t="n">
        <v>1</v>
      </c>
      <c r="P90" t="n">
        <v>0</v>
      </c>
      <c r="Q90" t="n">
        <v>5</v>
      </c>
      <c r="R90" s="2" t="inlineStr">
        <is>
          <t>Dofttaggsvamp
Dropptaggsvamp
Svavelriska
Vågbandad barkbock
Revlummer</t>
        </is>
      </c>
      <c r="S90">
        <f>HYPERLINK("https://klasma.github.io/Logging_1784/artfynd/A 23085-2024 artfynd.xlsx", "A 23085-2024")</f>
        <v/>
      </c>
      <c r="T90">
        <f>HYPERLINK("https://klasma.github.io/Logging_1784/kartor/A 23085-2024 karta.png", "A 23085-2024")</f>
        <v/>
      </c>
      <c r="U90">
        <f>HYPERLINK("https://klasma.github.io/Logging_1784/knärot/A 23085-2024 karta knärot.png", "A 23085-2024")</f>
        <v/>
      </c>
      <c r="V90">
        <f>HYPERLINK("https://klasma.github.io/Logging_1784/klagomål/A 23085-2024 FSC-klagomål.docx", "A 23085-2024")</f>
        <v/>
      </c>
      <c r="W90">
        <f>HYPERLINK("https://klasma.github.io/Logging_1784/klagomålsmail/A 23085-2024 FSC-klagomål mail.docx", "A 23085-2024")</f>
        <v/>
      </c>
      <c r="X90">
        <f>HYPERLINK("https://klasma.github.io/Logging_1784/tillsyn/A 23085-2024 tillsynsbegäran.docx", "A 23085-2024")</f>
        <v/>
      </c>
      <c r="Y90">
        <f>HYPERLINK("https://klasma.github.io/Logging_1784/tillsynsmail/A 23085-2024 tillsynsbegäran mail.docx", "A 23085-2024")</f>
        <v/>
      </c>
    </row>
    <row r="91" ht="15" customHeight="1">
      <c r="A91" t="inlineStr">
        <is>
          <t>A 36543-2025</t>
        </is>
      </c>
      <c r="B91" s="1" t="n">
        <v>45869.66658564815</v>
      </c>
      <c r="C91" s="1" t="n">
        <v>45932</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58400-2021</t>
        </is>
      </c>
      <c r="B92" s="1" t="n">
        <v>44488</v>
      </c>
      <c r="C92" s="1" t="n">
        <v>45932</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63807-2021</t>
        </is>
      </c>
      <c r="B93" s="1" t="n">
        <v>44509</v>
      </c>
      <c r="C93" s="1" t="n">
        <v>45932</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69506-2021</t>
        </is>
      </c>
      <c r="B94" s="1" t="n">
        <v>44531</v>
      </c>
      <c r="C94" s="1" t="n">
        <v>45932</v>
      </c>
      <c r="D94" t="inlineStr">
        <is>
          <t>VÄRMLANDS LÄN</t>
        </is>
      </c>
      <c r="E94" t="inlineStr">
        <is>
          <t>KARLSTAD</t>
        </is>
      </c>
      <c r="G94" t="n">
        <v>5.2</v>
      </c>
      <c r="H94" t="n">
        <v>4</v>
      </c>
      <c r="I94" t="n">
        <v>0</v>
      </c>
      <c r="J94" t="n">
        <v>0</v>
      </c>
      <c r="K94" t="n">
        <v>0</v>
      </c>
      <c r="L94" t="n">
        <v>1</v>
      </c>
      <c r="M94" t="n">
        <v>0</v>
      </c>
      <c r="N94" t="n">
        <v>0</v>
      </c>
      <c r="O94" t="n">
        <v>1</v>
      </c>
      <c r="P94" t="n">
        <v>1</v>
      </c>
      <c r="Q94" t="n">
        <v>4</v>
      </c>
      <c r="R94" s="2" t="inlineStr">
        <is>
          <t>Tornseglare
Sparvuggla
Trana
Trädlärka</t>
        </is>
      </c>
      <c r="S94">
        <f>HYPERLINK("https://klasma.github.io/Logging_1780/artfynd/A 69506-2021 artfynd.xlsx", "A 69506-2021")</f>
        <v/>
      </c>
      <c r="T94">
        <f>HYPERLINK("https://klasma.github.io/Logging_1780/kartor/A 69506-2021 karta.png", "A 69506-2021")</f>
        <v/>
      </c>
      <c r="V94">
        <f>HYPERLINK("https://klasma.github.io/Logging_1780/klagomål/A 69506-2021 FSC-klagomål.docx", "A 69506-2021")</f>
        <v/>
      </c>
      <c r="W94">
        <f>HYPERLINK("https://klasma.github.io/Logging_1780/klagomålsmail/A 69506-2021 FSC-klagomål mail.docx", "A 69506-2021")</f>
        <v/>
      </c>
      <c r="X94">
        <f>HYPERLINK("https://klasma.github.io/Logging_1780/tillsyn/A 69506-2021 tillsynsbegäran.docx", "A 69506-2021")</f>
        <v/>
      </c>
      <c r="Y94">
        <f>HYPERLINK("https://klasma.github.io/Logging_1780/tillsynsmail/A 69506-2021 tillsynsbegäran mail.docx", "A 69506-2021")</f>
        <v/>
      </c>
      <c r="Z94">
        <f>HYPERLINK("https://klasma.github.io/Logging_1780/fåglar/A 69506-2021 prioriterade fågelarter.docx", "A 69506-2021")</f>
        <v/>
      </c>
    </row>
    <row r="95" ht="15" customHeight="1">
      <c r="A95" t="inlineStr">
        <is>
          <t>A 20763-2025</t>
        </is>
      </c>
      <c r="B95" s="1" t="n">
        <v>45776.57929398148</v>
      </c>
      <c r="C95" s="1" t="n">
        <v>45932</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33391-2022</t>
        </is>
      </c>
      <c r="B96" s="1" t="n">
        <v>44788</v>
      </c>
      <c r="C96" s="1" t="n">
        <v>45932</v>
      </c>
      <c r="D96" t="inlineStr">
        <is>
          <t>VÄRMLANDS LÄN</t>
        </is>
      </c>
      <c r="E96" t="inlineStr">
        <is>
          <t>GRUMS</t>
        </is>
      </c>
      <c r="G96" t="n">
        <v>25</v>
      </c>
      <c r="H96" t="n">
        <v>1</v>
      </c>
      <c r="I96" t="n">
        <v>3</v>
      </c>
      <c r="J96" t="n">
        <v>0</v>
      </c>
      <c r="K96" t="n">
        <v>0</v>
      </c>
      <c r="L96" t="n">
        <v>0</v>
      </c>
      <c r="M96" t="n">
        <v>0</v>
      </c>
      <c r="N96" t="n">
        <v>0</v>
      </c>
      <c r="O96" t="n">
        <v>0</v>
      </c>
      <c r="P96" t="n">
        <v>0</v>
      </c>
      <c r="Q96" t="n">
        <v>4</v>
      </c>
      <c r="R96" s="2" t="inlineStr">
        <is>
          <t>Björksplintborre
Bronshjon
Vågbandad barkbock
Revlummer</t>
        </is>
      </c>
      <c r="S96">
        <f>HYPERLINK("https://klasma.github.io/Logging_1764/artfynd/A 33391-2022 artfynd.xlsx", "A 33391-2022")</f>
        <v/>
      </c>
      <c r="T96">
        <f>HYPERLINK("https://klasma.github.io/Logging_1764/kartor/A 33391-2022 karta.png", "A 33391-2022")</f>
        <v/>
      </c>
      <c r="V96">
        <f>HYPERLINK("https://klasma.github.io/Logging_1764/klagomål/A 33391-2022 FSC-klagomål.docx", "A 33391-2022")</f>
        <v/>
      </c>
      <c r="W96">
        <f>HYPERLINK("https://klasma.github.io/Logging_1764/klagomålsmail/A 33391-2022 FSC-klagomål mail.docx", "A 33391-2022")</f>
        <v/>
      </c>
      <c r="X96">
        <f>HYPERLINK("https://klasma.github.io/Logging_1764/tillsyn/A 33391-2022 tillsynsbegäran.docx", "A 33391-2022")</f>
        <v/>
      </c>
      <c r="Y96">
        <f>HYPERLINK("https://klasma.github.io/Logging_1764/tillsynsmail/A 33391-2022 tillsynsbegäran mail.docx", "A 33391-2022")</f>
        <v/>
      </c>
    </row>
    <row r="97" ht="15" customHeight="1">
      <c r="A97" t="inlineStr">
        <is>
          <t>A 53242-2024</t>
        </is>
      </c>
      <c r="B97" s="1" t="n">
        <v>45613</v>
      </c>
      <c r="C97" s="1" t="n">
        <v>45932</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42501-2022</t>
        </is>
      </c>
      <c r="B98" s="1" t="n">
        <v>44831</v>
      </c>
      <c r="C98" s="1" t="n">
        <v>45932</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23955-2025</t>
        </is>
      </c>
      <c r="B99" s="1" t="n">
        <v>45796.36407407407</v>
      </c>
      <c r="C99" s="1" t="n">
        <v>45932</v>
      </c>
      <c r="D99" t="inlineStr">
        <is>
          <t>VÄRMLANDS LÄN</t>
        </is>
      </c>
      <c r="E99" t="inlineStr">
        <is>
          <t>HAGFORS</t>
        </is>
      </c>
      <c r="F99" t="inlineStr">
        <is>
          <t>Bergvik skog väst AB</t>
        </is>
      </c>
      <c r="G99" t="n">
        <v>3.7</v>
      </c>
      <c r="H99" t="n">
        <v>2</v>
      </c>
      <c r="I99" t="n">
        <v>1</v>
      </c>
      <c r="J99" t="n">
        <v>2</v>
      </c>
      <c r="K99" t="n">
        <v>1</v>
      </c>
      <c r="L99" t="n">
        <v>0</v>
      </c>
      <c r="M99" t="n">
        <v>0</v>
      </c>
      <c r="N99" t="n">
        <v>0</v>
      </c>
      <c r="O99" t="n">
        <v>3</v>
      </c>
      <c r="P99" t="n">
        <v>1</v>
      </c>
      <c r="Q99" t="n">
        <v>4</v>
      </c>
      <c r="R99" s="2" t="inlineStr">
        <is>
          <t>Knärot
Garnlav
Tretåig hackspett
Dropptaggsvamp</t>
        </is>
      </c>
      <c r="S99">
        <f>HYPERLINK("https://klasma.github.io/Logging_1783/artfynd/A 23955-2025 artfynd.xlsx", "A 23955-2025")</f>
        <v/>
      </c>
      <c r="T99">
        <f>HYPERLINK("https://klasma.github.io/Logging_1783/kartor/A 23955-2025 karta.png", "A 23955-2025")</f>
        <v/>
      </c>
      <c r="U99">
        <f>HYPERLINK("https://klasma.github.io/Logging_1783/knärot/A 23955-2025 karta knärot.png", "A 23955-2025")</f>
        <v/>
      </c>
      <c r="V99">
        <f>HYPERLINK("https://klasma.github.io/Logging_1783/klagomål/A 23955-2025 FSC-klagomål.docx", "A 23955-2025")</f>
        <v/>
      </c>
      <c r="W99">
        <f>HYPERLINK("https://klasma.github.io/Logging_1783/klagomålsmail/A 23955-2025 FSC-klagomål mail.docx", "A 23955-2025")</f>
        <v/>
      </c>
      <c r="X99">
        <f>HYPERLINK("https://klasma.github.io/Logging_1783/tillsyn/A 23955-2025 tillsynsbegäran.docx", "A 23955-2025")</f>
        <v/>
      </c>
      <c r="Y99">
        <f>HYPERLINK("https://klasma.github.io/Logging_1783/tillsynsmail/A 23955-2025 tillsynsbegäran mail.docx", "A 23955-2025")</f>
        <v/>
      </c>
      <c r="Z99">
        <f>HYPERLINK("https://klasma.github.io/Logging_1783/fåglar/A 23955-2025 prioriterade fågelarter.docx", "A 23955-2025")</f>
        <v/>
      </c>
    </row>
    <row r="100" ht="15" customHeight="1">
      <c r="A100" t="inlineStr">
        <is>
          <t>A 61380-2023</t>
        </is>
      </c>
      <c r="B100" s="1" t="n">
        <v>45264</v>
      </c>
      <c r="C100" s="1" t="n">
        <v>45932</v>
      </c>
      <c r="D100" t="inlineStr">
        <is>
          <t>VÄRMLANDS LÄN</t>
        </is>
      </c>
      <c r="E100" t="inlineStr">
        <is>
          <t>HAMMARÖ</t>
        </is>
      </c>
      <c r="G100" t="n">
        <v>3.3</v>
      </c>
      <c r="H100" t="n">
        <v>1</v>
      </c>
      <c r="I100" t="n">
        <v>1</v>
      </c>
      <c r="J100" t="n">
        <v>2</v>
      </c>
      <c r="K100" t="n">
        <v>1</v>
      </c>
      <c r="L100" t="n">
        <v>0</v>
      </c>
      <c r="M100" t="n">
        <v>0</v>
      </c>
      <c r="N100" t="n">
        <v>0</v>
      </c>
      <c r="O100" t="n">
        <v>3</v>
      </c>
      <c r="P100" t="n">
        <v>1</v>
      </c>
      <c r="Q100" t="n">
        <v>4</v>
      </c>
      <c r="R100" s="2" t="inlineStr">
        <is>
          <t>Knärot
Blå taggsvamp
Gropticka
Gullgröppa</t>
        </is>
      </c>
      <c r="S100">
        <f>HYPERLINK("https://klasma.github.io/Logging_1761/artfynd/A 61380-2023 artfynd.xlsx", "A 61380-2023")</f>
        <v/>
      </c>
      <c r="T100">
        <f>HYPERLINK("https://klasma.github.io/Logging_1761/kartor/A 61380-2023 karta.png", "A 61380-2023")</f>
        <v/>
      </c>
      <c r="U100">
        <f>HYPERLINK("https://klasma.github.io/Logging_1761/knärot/A 61380-2023 karta knärot.png", "A 61380-2023")</f>
        <v/>
      </c>
      <c r="V100">
        <f>HYPERLINK("https://klasma.github.io/Logging_1761/klagomål/A 61380-2023 FSC-klagomål.docx", "A 61380-2023")</f>
        <v/>
      </c>
      <c r="W100">
        <f>HYPERLINK("https://klasma.github.io/Logging_1761/klagomålsmail/A 61380-2023 FSC-klagomål mail.docx", "A 61380-2023")</f>
        <v/>
      </c>
      <c r="X100">
        <f>HYPERLINK("https://klasma.github.io/Logging_1761/tillsyn/A 61380-2023 tillsynsbegäran.docx", "A 61380-2023")</f>
        <v/>
      </c>
      <c r="Y100">
        <f>HYPERLINK("https://klasma.github.io/Logging_1761/tillsynsmail/A 61380-2023 tillsynsbegäran mail.docx", "A 61380-2023")</f>
        <v/>
      </c>
    </row>
    <row r="101" ht="15" customHeight="1">
      <c r="A101" t="inlineStr">
        <is>
          <t>A 43385-2024</t>
        </is>
      </c>
      <c r="B101" s="1" t="n">
        <v>45568</v>
      </c>
      <c r="C101" s="1" t="n">
        <v>45932</v>
      </c>
      <c r="D101" t="inlineStr">
        <is>
          <t>VÄRMLANDS LÄN</t>
        </is>
      </c>
      <c r="E101" t="inlineStr">
        <is>
          <t>TORSBY</t>
        </is>
      </c>
      <c r="G101" t="n">
        <v>3.7</v>
      </c>
      <c r="H101" t="n">
        <v>0</v>
      </c>
      <c r="I101" t="n">
        <v>1</v>
      </c>
      <c r="J101" t="n">
        <v>3</v>
      </c>
      <c r="K101" t="n">
        <v>0</v>
      </c>
      <c r="L101" t="n">
        <v>0</v>
      </c>
      <c r="M101" t="n">
        <v>0</v>
      </c>
      <c r="N101" t="n">
        <v>0</v>
      </c>
      <c r="O101" t="n">
        <v>3</v>
      </c>
      <c r="P101" t="n">
        <v>0</v>
      </c>
      <c r="Q101" t="n">
        <v>4</v>
      </c>
      <c r="R101" s="2" t="inlineStr">
        <is>
          <t>Gammelgransskål
Garnlav
Vedskivlav
Dropptaggsvamp</t>
        </is>
      </c>
      <c r="S101">
        <f>HYPERLINK("https://klasma.github.io/Logging_1737/artfynd/A 43385-2024 artfynd.xlsx", "A 43385-2024")</f>
        <v/>
      </c>
      <c r="T101">
        <f>HYPERLINK("https://klasma.github.io/Logging_1737/kartor/A 43385-2024 karta.png", "A 43385-2024")</f>
        <v/>
      </c>
      <c r="V101">
        <f>HYPERLINK("https://klasma.github.io/Logging_1737/klagomål/A 43385-2024 FSC-klagomål.docx", "A 43385-2024")</f>
        <v/>
      </c>
      <c r="W101">
        <f>HYPERLINK("https://klasma.github.io/Logging_1737/klagomålsmail/A 43385-2024 FSC-klagomål mail.docx", "A 43385-2024")</f>
        <v/>
      </c>
      <c r="X101">
        <f>HYPERLINK("https://klasma.github.io/Logging_1737/tillsyn/A 43385-2024 tillsynsbegäran.docx", "A 43385-2024")</f>
        <v/>
      </c>
      <c r="Y101">
        <f>HYPERLINK("https://klasma.github.io/Logging_1737/tillsynsmail/A 43385-2024 tillsynsbegäran mail.docx", "A 43385-2024")</f>
        <v/>
      </c>
    </row>
    <row r="102" ht="15" customHeight="1">
      <c r="A102" t="inlineStr">
        <is>
          <t>A 173-2021</t>
        </is>
      </c>
      <c r="B102" s="1" t="n">
        <v>44200</v>
      </c>
      <c r="C102" s="1" t="n">
        <v>45932</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12633-2025</t>
        </is>
      </c>
      <c r="B103" s="1" t="n">
        <v>45733.37802083333</v>
      </c>
      <c r="C103" s="1" t="n">
        <v>45932</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11156-2024</t>
        </is>
      </c>
      <c r="B104" s="1" t="n">
        <v>45371</v>
      </c>
      <c r="C104" s="1" t="n">
        <v>45932</v>
      </c>
      <c r="D104" t="inlineStr">
        <is>
          <t>VÄRMLANDS LÄN</t>
        </is>
      </c>
      <c r="E104" t="inlineStr">
        <is>
          <t>ÅRJÄNG</t>
        </is>
      </c>
      <c r="G104" t="n">
        <v>7.4</v>
      </c>
      <c r="H104" t="n">
        <v>3</v>
      </c>
      <c r="I104" t="n">
        <v>1</v>
      </c>
      <c r="J104" t="n">
        <v>0</v>
      </c>
      <c r="K104" t="n">
        <v>1</v>
      </c>
      <c r="L104" t="n">
        <v>0</v>
      </c>
      <c r="M104" t="n">
        <v>0</v>
      </c>
      <c r="N104" t="n">
        <v>0</v>
      </c>
      <c r="O104" t="n">
        <v>1</v>
      </c>
      <c r="P104" t="n">
        <v>1</v>
      </c>
      <c r="Q104" t="n">
        <v>4</v>
      </c>
      <c r="R104" s="2" t="inlineStr">
        <is>
          <t>Knärot
Vedticka
Mattlummer
Revlummer</t>
        </is>
      </c>
      <c r="S104">
        <f>HYPERLINK("https://klasma.github.io/Logging_1765/artfynd/A 11156-2024 artfynd.xlsx", "A 11156-2024")</f>
        <v/>
      </c>
      <c r="T104">
        <f>HYPERLINK("https://klasma.github.io/Logging_1765/kartor/A 11156-2024 karta.png", "A 11156-2024")</f>
        <v/>
      </c>
      <c r="U104">
        <f>HYPERLINK("https://klasma.github.io/Logging_1765/knärot/A 11156-2024 karta knärot.png", "A 11156-2024")</f>
        <v/>
      </c>
      <c r="V104">
        <f>HYPERLINK("https://klasma.github.io/Logging_1765/klagomål/A 11156-2024 FSC-klagomål.docx", "A 11156-2024")</f>
        <v/>
      </c>
      <c r="W104">
        <f>HYPERLINK("https://klasma.github.io/Logging_1765/klagomålsmail/A 11156-2024 FSC-klagomål mail.docx", "A 11156-2024")</f>
        <v/>
      </c>
      <c r="X104">
        <f>HYPERLINK("https://klasma.github.io/Logging_1765/tillsyn/A 11156-2024 tillsynsbegäran.docx", "A 11156-2024")</f>
        <v/>
      </c>
      <c r="Y104">
        <f>HYPERLINK("https://klasma.github.io/Logging_1765/tillsynsmail/A 11156-2024 tillsynsbegäran mail.docx", "A 11156-2024")</f>
        <v/>
      </c>
    </row>
    <row r="105" ht="15" customHeight="1">
      <c r="A105" t="inlineStr">
        <is>
          <t>A 62900-2023</t>
        </is>
      </c>
      <c r="B105" s="1" t="n">
        <v>45272</v>
      </c>
      <c r="C105" s="1" t="n">
        <v>45932</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61205-2024</t>
        </is>
      </c>
      <c r="B106" s="1" t="n">
        <v>45645</v>
      </c>
      <c r="C106" s="1" t="n">
        <v>45932</v>
      </c>
      <c r="D106" t="inlineStr">
        <is>
          <t>VÄRMLANDS LÄN</t>
        </is>
      </c>
      <c r="E106" t="inlineStr">
        <is>
          <t>HAGFORS</t>
        </is>
      </c>
      <c r="F106" t="inlineStr">
        <is>
          <t>Bergvik skog väst AB</t>
        </is>
      </c>
      <c r="G106" t="n">
        <v>17.7</v>
      </c>
      <c r="H106" t="n">
        <v>0</v>
      </c>
      <c r="I106" t="n">
        <v>4</v>
      </c>
      <c r="J106" t="n">
        <v>0</v>
      </c>
      <c r="K106" t="n">
        <v>0</v>
      </c>
      <c r="L106" t="n">
        <v>0</v>
      </c>
      <c r="M106" t="n">
        <v>0</v>
      </c>
      <c r="N106" t="n">
        <v>0</v>
      </c>
      <c r="O106" t="n">
        <v>0</v>
      </c>
      <c r="P106" t="n">
        <v>0</v>
      </c>
      <c r="Q106" t="n">
        <v>4</v>
      </c>
      <c r="R106" s="2" t="inlineStr">
        <is>
          <t>Dvärghäxört
Tibast
Underviol
Vårärt</t>
        </is>
      </c>
      <c r="S106">
        <f>HYPERLINK("https://klasma.github.io/Logging_1783/artfynd/A 61205-2024 artfynd.xlsx", "A 61205-2024")</f>
        <v/>
      </c>
      <c r="T106">
        <f>HYPERLINK("https://klasma.github.io/Logging_1783/kartor/A 61205-2024 karta.png", "A 61205-2024")</f>
        <v/>
      </c>
      <c r="V106">
        <f>HYPERLINK("https://klasma.github.io/Logging_1783/klagomål/A 61205-2024 FSC-klagomål.docx", "A 61205-2024")</f>
        <v/>
      </c>
      <c r="W106">
        <f>HYPERLINK("https://klasma.github.io/Logging_1783/klagomålsmail/A 61205-2024 FSC-klagomål mail.docx", "A 61205-2024")</f>
        <v/>
      </c>
      <c r="X106">
        <f>HYPERLINK("https://klasma.github.io/Logging_1783/tillsyn/A 61205-2024 tillsynsbegäran.docx", "A 61205-2024")</f>
        <v/>
      </c>
      <c r="Y106">
        <f>HYPERLINK("https://klasma.github.io/Logging_1783/tillsynsmail/A 61205-2024 tillsynsbegäran mail.docx", "A 61205-2024")</f>
        <v/>
      </c>
    </row>
    <row r="107" ht="15" customHeight="1">
      <c r="A107" t="inlineStr">
        <is>
          <t>A 63807-2021</t>
        </is>
      </c>
      <c r="B107" s="1" t="n">
        <v>44509</v>
      </c>
      <c r="C107" s="1" t="n">
        <v>45932</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32609-2025</t>
        </is>
      </c>
      <c r="B108" s="1" t="n">
        <v>45838.63350694445</v>
      </c>
      <c r="C108" s="1" t="n">
        <v>45932</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50668-2024</t>
        </is>
      </c>
      <c r="B109" s="1" t="n">
        <v>45601</v>
      </c>
      <c r="C109" s="1" t="n">
        <v>45932</v>
      </c>
      <c r="D109" t="inlineStr">
        <is>
          <t>VÄRMLANDS LÄN</t>
        </is>
      </c>
      <c r="E109" t="inlineStr">
        <is>
          <t>ARVIKA</t>
        </is>
      </c>
      <c r="G109" t="n">
        <v>15.7</v>
      </c>
      <c r="H109" t="n">
        <v>2</v>
      </c>
      <c r="I109" t="n">
        <v>2</v>
      </c>
      <c r="J109" t="n">
        <v>2</v>
      </c>
      <c r="K109" t="n">
        <v>0</v>
      </c>
      <c r="L109" t="n">
        <v>0</v>
      </c>
      <c r="M109" t="n">
        <v>0</v>
      </c>
      <c r="N109" t="n">
        <v>0</v>
      </c>
      <c r="O109" t="n">
        <v>2</v>
      </c>
      <c r="P109" t="n">
        <v>0</v>
      </c>
      <c r="Q109" t="n">
        <v>4</v>
      </c>
      <c r="R109" s="2" t="inlineStr">
        <is>
          <t>Motaggsvamp
Spillkråka
Blodticka
Grön sköldmossa</t>
        </is>
      </c>
      <c r="S109">
        <f>HYPERLINK("https://klasma.github.io/Logging_1784/artfynd/A 50668-2024 artfynd.xlsx", "A 50668-2024")</f>
        <v/>
      </c>
      <c r="T109">
        <f>HYPERLINK("https://klasma.github.io/Logging_1784/kartor/A 50668-2024 karta.png", "A 50668-2024")</f>
        <v/>
      </c>
      <c r="V109">
        <f>HYPERLINK("https://klasma.github.io/Logging_1784/klagomål/A 50668-2024 FSC-klagomål.docx", "A 50668-2024")</f>
        <v/>
      </c>
      <c r="W109">
        <f>HYPERLINK("https://klasma.github.io/Logging_1784/klagomålsmail/A 50668-2024 FSC-klagomål mail.docx", "A 50668-2024")</f>
        <v/>
      </c>
      <c r="X109">
        <f>HYPERLINK("https://klasma.github.io/Logging_1784/tillsyn/A 50668-2024 tillsynsbegäran.docx", "A 50668-2024")</f>
        <v/>
      </c>
      <c r="Y109">
        <f>HYPERLINK("https://klasma.github.io/Logging_1784/tillsynsmail/A 50668-2024 tillsynsbegäran mail.docx", "A 50668-2024")</f>
        <v/>
      </c>
      <c r="Z109">
        <f>HYPERLINK("https://klasma.github.io/Logging_1784/fåglar/A 50668-2024 prioriterade fågelarter.docx", "A 50668-2024")</f>
        <v/>
      </c>
    </row>
    <row r="110" ht="15" customHeight="1">
      <c r="A110" t="inlineStr">
        <is>
          <t>A 44837-2023</t>
        </is>
      </c>
      <c r="B110" s="1" t="n">
        <v>45190</v>
      </c>
      <c r="C110" s="1" t="n">
        <v>45932</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34651-2025</t>
        </is>
      </c>
      <c r="B111" s="1" t="n">
        <v>45848.35298611111</v>
      </c>
      <c r="C111" s="1" t="n">
        <v>45932</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1111-2024</t>
        </is>
      </c>
      <c r="B112" s="1" t="n">
        <v>45302</v>
      </c>
      <c r="C112" s="1" t="n">
        <v>45932</v>
      </c>
      <c r="D112" t="inlineStr">
        <is>
          <t>VÄRMLANDS LÄN</t>
        </is>
      </c>
      <c r="E112" t="inlineStr">
        <is>
          <t>ARVIKA</t>
        </is>
      </c>
      <c r="F112" t="inlineStr">
        <is>
          <t>Kyrkan</t>
        </is>
      </c>
      <c r="G112" t="n">
        <v>2.4</v>
      </c>
      <c r="H112" t="n">
        <v>0</v>
      </c>
      <c r="I112" t="n">
        <v>1</v>
      </c>
      <c r="J112" t="n">
        <v>3</v>
      </c>
      <c r="K112" t="n">
        <v>0</v>
      </c>
      <c r="L112" t="n">
        <v>0</v>
      </c>
      <c r="M112" t="n">
        <v>0</v>
      </c>
      <c r="N112" t="n">
        <v>0</v>
      </c>
      <c r="O112" t="n">
        <v>3</v>
      </c>
      <c r="P112" t="n">
        <v>0</v>
      </c>
      <c r="Q112" t="n">
        <v>4</v>
      </c>
      <c r="R112" s="2" t="inlineStr">
        <is>
          <t>Kandelabersvamp
Lunglav
Stjärntagging
Vedticka</t>
        </is>
      </c>
      <c r="S112">
        <f>HYPERLINK("https://klasma.github.io/Logging_1784/artfynd/A 1111-2024 artfynd.xlsx", "A 1111-2024")</f>
        <v/>
      </c>
      <c r="T112">
        <f>HYPERLINK("https://klasma.github.io/Logging_1784/kartor/A 1111-2024 karta.png", "A 1111-2024")</f>
        <v/>
      </c>
      <c r="V112">
        <f>HYPERLINK("https://klasma.github.io/Logging_1784/klagomål/A 1111-2024 FSC-klagomål.docx", "A 1111-2024")</f>
        <v/>
      </c>
      <c r="W112">
        <f>HYPERLINK("https://klasma.github.io/Logging_1784/klagomålsmail/A 1111-2024 FSC-klagomål mail.docx", "A 1111-2024")</f>
        <v/>
      </c>
      <c r="X112">
        <f>HYPERLINK("https://klasma.github.io/Logging_1784/tillsyn/A 1111-2024 tillsynsbegäran.docx", "A 1111-2024")</f>
        <v/>
      </c>
      <c r="Y112">
        <f>HYPERLINK("https://klasma.github.io/Logging_1784/tillsynsmail/A 1111-2024 tillsynsbegäran mail.docx", "A 1111-2024")</f>
        <v/>
      </c>
    </row>
    <row r="113" ht="15" customHeight="1">
      <c r="A113" t="inlineStr">
        <is>
          <t>A 25899-2024</t>
        </is>
      </c>
      <c r="B113" s="1" t="n">
        <v>45467</v>
      </c>
      <c r="C113" s="1" t="n">
        <v>45932</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2938-2025</t>
        </is>
      </c>
      <c r="B114" s="1" t="n">
        <v>45678</v>
      </c>
      <c r="C114" s="1" t="n">
        <v>45932</v>
      </c>
      <c r="D114" t="inlineStr">
        <is>
          <t>VÄRMLANDS LÄN</t>
        </is>
      </c>
      <c r="E114" t="inlineStr">
        <is>
          <t>TORSBY</t>
        </is>
      </c>
      <c r="G114" t="n">
        <v>2</v>
      </c>
      <c r="H114" t="n">
        <v>2</v>
      </c>
      <c r="I114" t="n">
        <v>0</v>
      </c>
      <c r="J114" t="n">
        <v>4</v>
      </c>
      <c r="K114" t="n">
        <v>0</v>
      </c>
      <c r="L114" t="n">
        <v>0</v>
      </c>
      <c r="M114" t="n">
        <v>0</v>
      </c>
      <c r="N114" t="n">
        <v>0</v>
      </c>
      <c r="O114" t="n">
        <v>4</v>
      </c>
      <c r="P114" t="n">
        <v>0</v>
      </c>
      <c r="Q114" t="n">
        <v>4</v>
      </c>
      <c r="R114" s="2" t="inlineStr">
        <is>
          <t>Gammelgransskål
Garnlav
Talltita
Tretåig hackspett</t>
        </is>
      </c>
      <c r="S114">
        <f>HYPERLINK("https://klasma.github.io/Logging_1737/artfynd/A 2938-2025 artfynd.xlsx", "A 2938-2025")</f>
        <v/>
      </c>
      <c r="T114">
        <f>HYPERLINK("https://klasma.github.io/Logging_1737/kartor/A 2938-2025 karta.png", "A 2938-2025")</f>
        <v/>
      </c>
      <c r="V114">
        <f>HYPERLINK("https://klasma.github.io/Logging_1737/klagomål/A 2938-2025 FSC-klagomål.docx", "A 2938-2025")</f>
        <v/>
      </c>
      <c r="W114">
        <f>HYPERLINK("https://klasma.github.io/Logging_1737/klagomålsmail/A 2938-2025 FSC-klagomål mail.docx", "A 2938-2025")</f>
        <v/>
      </c>
      <c r="X114">
        <f>HYPERLINK("https://klasma.github.io/Logging_1737/tillsyn/A 2938-2025 tillsynsbegäran.docx", "A 2938-2025")</f>
        <v/>
      </c>
      <c r="Y114">
        <f>HYPERLINK("https://klasma.github.io/Logging_1737/tillsynsmail/A 2938-2025 tillsynsbegäran mail.docx", "A 2938-2025")</f>
        <v/>
      </c>
      <c r="Z114">
        <f>HYPERLINK("https://klasma.github.io/Logging_1737/fåglar/A 2938-2025 prioriterade fågelarter.docx", "A 2938-2025")</f>
        <v/>
      </c>
    </row>
    <row r="115" ht="15" customHeight="1">
      <c r="A115" t="inlineStr">
        <is>
          <t>A 35299-2025</t>
        </is>
      </c>
      <c r="B115" s="1" t="n">
        <v>45854</v>
      </c>
      <c r="C115" s="1" t="n">
        <v>45932</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32762-2021</t>
        </is>
      </c>
      <c r="B116" s="1" t="n">
        <v>44375</v>
      </c>
      <c r="C116" s="1" t="n">
        <v>45932</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47107-2024</t>
        </is>
      </c>
      <c r="B117" s="1" t="n">
        <v>45586</v>
      </c>
      <c r="C117" s="1" t="n">
        <v>45932</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17268-2022</t>
        </is>
      </c>
      <c r="B118" s="1" t="n">
        <v>44678</v>
      </c>
      <c r="C118" s="1" t="n">
        <v>45932</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44506-2025</t>
        </is>
      </c>
      <c r="B119" s="1" t="n">
        <v>45916.6836574074</v>
      </c>
      <c r="C119" s="1" t="n">
        <v>45932</v>
      </c>
      <c r="D119" t="inlineStr">
        <is>
          <t>VÄRMLANDS LÄN</t>
        </is>
      </c>
      <c r="E119" t="inlineStr">
        <is>
          <t>HAGFORS</t>
        </is>
      </c>
      <c r="F119" t="inlineStr">
        <is>
          <t>Bergvik skog väst AB</t>
        </is>
      </c>
      <c r="G119" t="n">
        <v>4.7</v>
      </c>
      <c r="H119" t="n">
        <v>1</v>
      </c>
      <c r="I119" t="n">
        <v>3</v>
      </c>
      <c r="J119" t="n">
        <v>0</v>
      </c>
      <c r="K119" t="n">
        <v>0</v>
      </c>
      <c r="L119" t="n">
        <v>0</v>
      </c>
      <c r="M119" t="n">
        <v>0</v>
      </c>
      <c r="N119" t="n">
        <v>0</v>
      </c>
      <c r="O119" t="n">
        <v>0</v>
      </c>
      <c r="P119" t="n">
        <v>0</v>
      </c>
      <c r="Q119" t="n">
        <v>4</v>
      </c>
      <c r="R119" s="2" t="inlineStr">
        <is>
          <t>Svart trolldruva
Trådticka
Vedticka
Nattviol</t>
        </is>
      </c>
      <c r="S119">
        <f>HYPERLINK("https://klasma.github.io/Logging_1783/artfynd/A 44506-2025 artfynd.xlsx", "A 44506-2025")</f>
        <v/>
      </c>
      <c r="T119">
        <f>HYPERLINK("https://klasma.github.io/Logging_1783/kartor/A 44506-2025 karta.png", "A 44506-2025")</f>
        <v/>
      </c>
      <c r="V119">
        <f>HYPERLINK("https://klasma.github.io/Logging_1783/klagomål/A 44506-2025 FSC-klagomål.docx", "A 44506-2025")</f>
        <v/>
      </c>
      <c r="W119">
        <f>HYPERLINK("https://klasma.github.io/Logging_1783/klagomålsmail/A 44506-2025 FSC-klagomål mail.docx", "A 44506-2025")</f>
        <v/>
      </c>
      <c r="X119">
        <f>HYPERLINK("https://klasma.github.io/Logging_1783/tillsyn/A 44506-2025 tillsynsbegäran.docx", "A 44506-2025")</f>
        <v/>
      </c>
      <c r="Y119">
        <f>HYPERLINK("https://klasma.github.io/Logging_1783/tillsynsmail/A 44506-2025 tillsynsbegäran mail.docx", "A 44506-2025")</f>
        <v/>
      </c>
    </row>
    <row r="120" ht="15" customHeight="1">
      <c r="A120" t="inlineStr">
        <is>
          <t>A 36422-2021</t>
        </is>
      </c>
      <c r="B120" s="1" t="n">
        <v>44375</v>
      </c>
      <c r="C120" s="1" t="n">
        <v>45932</v>
      </c>
      <c r="D120" t="inlineStr">
        <is>
          <t>VÄRMLANDS LÄN</t>
        </is>
      </c>
      <c r="E120" t="inlineStr">
        <is>
          <t>EDA</t>
        </is>
      </c>
      <c r="G120" t="n">
        <v>1.9</v>
      </c>
      <c r="H120" t="n">
        <v>0</v>
      </c>
      <c r="I120" t="n">
        <v>1</v>
      </c>
      <c r="J120" t="n">
        <v>3</v>
      </c>
      <c r="K120" t="n">
        <v>0</v>
      </c>
      <c r="L120" t="n">
        <v>0</v>
      </c>
      <c r="M120" t="n">
        <v>0</v>
      </c>
      <c r="N120" t="n">
        <v>0</v>
      </c>
      <c r="O120" t="n">
        <v>3</v>
      </c>
      <c r="P120" t="n">
        <v>0</v>
      </c>
      <c r="Q120" t="n">
        <v>4</v>
      </c>
      <c r="R120" s="2" t="inlineStr">
        <is>
          <t>Dofttaggsvamp
Gul taggsvamp
Orange taggsvamp
Fällmossa</t>
        </is>
      </c>
      <c r="S120">
        <f>HYPERLINK("https://klasma.github.io/Logging_1730/artfynd/A 36422-2021 artfynd.xlsx", "A 36422-2021")</f>
        <v/>
      </c>
      <c r="T120">
        <f>HYPERLINK("https://klasma.github.io/Logging_1730/kartor/A 36422-2021 karta.png", "A 36422-2021")</f>
        <v/>
      </c>
      <c r="V120">
        <f>HYPERLINK("https://klasma.github.io/Logging_1730/klagomål/A 36422-2021 FSC-klagomål.docx", "A 36422-2021")</f>
        <v/>
      </c>
      <c r="W120">
        <f>HYPERLINK("https://klasma.github.io/Logging_1730/klagomålsmail/A 36422-2021 FSC-klagomål mail.docx", "A 36422-2021")</f>
        <v/>
      </c>
      <c r="X120">
        <f>HYPERLINK("https://klasma.github.io/Logging_1730/tillsyn/A 36422-2021 tillsynsbegäran.docx", "A 36422-2021")</f>
        <v/>
      </c>
      <c r="Y120">
        <f>HYPERLINK("https://klasma.github.io/Logging_1730/tillsynsmail/A 36422-2021 tillsynsbegäran mail.docx", "A 36422-2021")</f>
        <v/>
      </c>
    </row>
    <row r="121" ht="15" customHeight="1">
      <c r="A121" t="inlineStr">
        <is>
          <t>A 37948-2024</t>
        </is>
      </c>
      <c r="B121" s="1" t="n">
        <v>45544</v>
      </c>
      <c r="C121" s="1" t="n">
        <v>45932</v>
      </c>
      <c r="D121" t="inlineStr">
        <is>
          <t>VÄRMLANDS LÄN</t>
        </is>
      </c>
      <c r="E121" t="inlineStr">
        <is>
          <t>TORSBY</t>
        </is>
      </c>
      <c r="G121" t="n">
        <v>1.6</v>
      </c>
      <c r="H121" t="n">
        <v>0</v>
      </c>
      <c r="I121" t="n">
        <v>1</v>
      </c>
      <c r="J121" t="n">
        <v>3</v>
      </c>
      <c r="K121" t="n">
        <v>0</v>
      </c>
      <c r="L121" t="n">
        <v>0</v>
      </c>
      <c r="M121" t="n">
        <v>0</v>
      </c>
      <c r="N121" t="n">
        <v>0</v>
      </c>
      <c r="O121" t="n">
        <v>3</v>
      </c>
      <c r="P121" t="n">
        <v>0</v>
      </c>
      <c r="Q121" t="n">
        <v>4</v>
      </c>
      <c r="R121" s="2" t="inlineStr">
        <is>
          <t>Gammelgransskål
Garnlav
Violettgrå tagellav
Skuggblåslav</t>
        </is>
      </c>
      <c r="S121">
        <f>HYPERLINK("https://klasma.github.io/Logging_1737/artfynd/A 37948-2024 artfynd.xlsx", "A 37948-2024")</f>
        <v/>
      </c>
      <c r="T121">
        <f>HYPERLINK("https://klasma.github.io/Logging_1737/kartor/A 37948-2024 karta.png", "A 37948-2024")</f>
        <v/>
      </c>
      <c r="V121">
        <f>HYPERLINK("https://klasma.github.io/Logging_1737/klagomål/A 37948-2024 FSC-klagomål.docx", "A 37948-2024")</f>
        <v/>
      </c>
      <c r="W121">
        <f>HYPERLINK("https://klasma.github.io/Logging_1737/klagomålsmail/A 37948-2024 FSC-klagomål mail.docx", "A 37948-2024")</f>
        <v/>
      </c>
      <c r="X121">
        <f>HYPERLINK("https://klasma.github.io/Logging_1737/tillsyn/A 37948-2024 tillsynsbegäran.docx", "A 37948-2024")</f>
        <v/>
      </c>
      <c r="Y121">
        <f>HYPERLINK("https://klasma.github.io/Logging_1737/tillsynsmail/A 37948-2024 tillsynsbegäran mail.docx", "A 37948-2024")</f>
        <v/>
      </c>
    </row>
    <row r="122" ht="15" customHeight="1">
      <c r="A122" t="inlineStr">
        <is>
          <t>A 15086-2025</t>
        </is>
      </c>
      <c r="B122" s="1" t="n">
        <v>45743</v>
      </c>
      <c r="C122" s="1" t="n">
        <v>45932</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54297-2022</t>
        </is>
      </c>
      <c r="B123" s="1" t="n">
        <v>44882</v>
      </c>
      <c r="C123" s="1" t="n">
        <v>45932</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65201-2023</t>
        </is>
      </c>
      <c r="B124" s="1" t="n">
        <v>45289.42722222222</v>
      </c>
      <c r="C124" s="1" t="n">
        <v>45932</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70301-2021</t>
        </is>
      </c>
      <c r="B125" s="1" t="n">
        <v>44536</v>
      </c>
      <c r="C125" s="1" t="n">
        <v>45932</v>
      </c>
      <c r="D125" t="inlineStr">
        <is>
          <t>VÄRMLANDS LÄN</t>
        </is>
      </c>
      <c r="E125" t="inlineStr">
        <is>
          <t>TORSBY</t>
        </is>
      </c>
      <c r="G125" t="n">
        <v>1</v>
      </c>
      <c r="H125" t="n">
        <v>0</v>
      </c>
      <c r="I125" t="n">
        <v>1</v>
      </c>
      <c r="J125" t="n">
        <v>2</v>
      </c>
      <c r="K125" t="n">
        <v>0</v>
      </c>
      <c r="L125" t="n">
        <v>0</v>
      </c>
      <c r="M125" t="n">
        <v>0</v>
      </c>
      <c r="N125" t="n">
        <v>0</v>
      </c>
      <c r="O125" t="n">
        <v>2</v>
      </c>
      <c r="P125" t="n">
        <v>0</v>
      </c>
      <c r="Q125" t="n">
        <v>3</v>
      </c>
      <c r="R125" s="2" t="inlineStr">
        <is>
          <t>Gammelgransskål
Garnlav
Stuplav</t>
        </is>
      </c>
      <c r="S125">
        <f>HYPERLINK("https://klasma.github.io/Logging_1737/artfynd/A 70301-2021 artfynd.xlsx", "A 70301-2021")</f>
        <v/>
      </c>
      <c r="T125">
        <f>HYPERLINK("https://klasma.github.io/Logging_1737/kartor/A 70301-2021 karta.png", "A 70301-2021")</f>
        <v/>
      </c>
      <c r="V125">
        <f>HYPERLINK("https://klasma.github.io/Logging_1737/klagomål/A 70301-2021 FSC-klagomål.docx", "A 70301-2021")</f>
        <v/>
      </c>
      <c r="W125">
        <f>HYPERLINK("https://klasma.github.io/Logging_1737/klagomålsmail/A 70301-2021 FSC-klagomål mail.docx", "A 70301-2021")</f>
        <v/>
      </c>
      <c r="X125">
        <f>HYPERLINK("https://klasma.github.io/Logging_1737/tillsyn/A 70301-2021 tillsynsbegäran.docx", "A 70301-2021")</f>
        <v/>
      </c>
      <c r="Y125">
        <f>HYPERLINK("https://klasma.github.io/Logging_1737/tillsynsmail/A 70301-2021 tillsynsbegäran mail.docx", "A 70301-2021")</f>
        <v/>
      </c>
    </row>
    <row r="126" ht="15" customHeight="1">
      <c r="A126" t="inlineStr">
        <is>
          <t>A 31896-2021</t>
        </is>
      </c>
      <c r="B126" s="1" t="n">
        <v>44370</v>
      </c>
      <c r="C126" s="1" t="n">
        <v>45932</v>
      </c>
      <c r="D126" t="inlineStr">
        <is>
          <t>VÄRMLANDS LÄN</t>
        </is>
      </c>
      <c r="E126" t="inlineStr">
        <is>
          <t>KARLSTAD</t>
        </is>
      </c>
      <c r="F126" t="inlineStr">
        <is>
          <t>Kommuner</t>
        </is>
      </c>
      <c r="G126" t="n">
        <v>3.3</v>
      </c>
      <c r="H126" t="n">
        <v>1</v>
      </c>
      <c r="I126" t="n">
        <v>1</v>
      </c>
      <c r="J126" t="n">
        <v>1</v>
      </c>
      <c r="K126" t="n">
        <v>1</v>
      </c>
      <c r="L126" t="n">
        <v>0</v>
      </c>
      <c r="M126" t="n">
        <v>0</v>
      </c>
      <c r="N126" t="n">
        <v>0</v>
      </c>
      <c r="O126" t="n">
        <v>2</v>
      </c>
      <c r="P126" t="n">
        <v>1</v>
      </c>
      <c r="Q126" t="n">
        <v>3</v>
      </c>
      <c r="R126" s="2" t="inlineStr">
        <is>
          <t>Vågticka
Brun gräsfjäril
Vågbandad barkbock</t>
        </is>
      </c>
      <c r="S126">
        <f>HYPERLINK("https://klasma.github.io/Logging_1780/artfynd/A 31896-2021 artfynd.xlsx", "A 31896-2021")</f>
        <v/>
      </c>
      <c r="T126">
        <f>HYPERLINK("https://klasma.github.io/Logging_1780/kartor/A 31896-2021 karta.png", "A 31896-2021")</f>
        <v/>
      </c>
      <c r="U126">
        <f>HYPERLINK("https://klasma.github.io/Logging_1780/knärot/A 31896-2021 karta knärot.png", "A 31896-2021")</f>
        <v/>
      </c>
      <c r="V126">
        <f>HYPERLINK("https://klasma.github.io/Logging_1780/klagomål/A 31896-2021 FSC-klagomål.docx", "A 31896-2021")</f>
        <v/>
      </c>
      <c r="W126">
        <f>HYPERLINK("https://klasma.github.io/Logging_1780/klagomålsmail/A 31896-2021 FSC-klagomål mail.docx", "A 31896-2021")</f>
        <v/>
      </c>
      <c r="X126">
        <f>HYPERLINK("https://klasma.github.io/Logging_1780/tillsyn/A 31896-2021 tillsynsbegäran.docx", "A 31896-2021")</f>
        <v/>
      </c>
      <c r="Y126">
        <f>HYPERLINK("https://klasma.github.io/Logging_1780/tillsynsmail/A 31896-2021 tillsynsbegäran mail.docx", "A 31896-2021")</f>
        <v/>
      </c>
    </row>
    <row r="127" ht="15" customHeight="1">
      <c r="A127" t="inlineStr">
        <is>
          <t>A 36377-2021</t>
        </is>
      </c>
      <c r="B127" s="1" t="n">
        <v>44375</v>
      </c>
      <c r="C127" s="1" t="n">
        <v>45932</v>
      </c>
      <c r="D127" t="inlineStr">
        <is>
          <t>VÄRMLANDS LÄN</t>
        </is>
      </c>
      <c r="E127" t="inlineStr">
        <is>
          <t>EDA</t>
        </is>
      </c>
      <c r="G127" t="n">
        <v>0.9</v>
      </c>
      <c r="H127" t="n">
        <v>1</v>
      </c>
      <c r="I127" t="n">
        <v>1</v>
      </c>
      <c r="J127" t="n">
        <v>1</v>
      </c>
      <c r="K127" t="n">
        <v>0</v>
      </c>
      <c r="L127" t="n">
        <v>0</v>
      </c>
      <c r="M127" t="n">
        <v>0</v>
      </c>
      <c r="N127" t="n">
        <v>0</v>
      </c>
      <c r="O127" t="n">
        <v>1</v>
      </c>
      <c r="P127" t="n">
        <v>0</v>
      </c>
      <c r="Q127" t="n">
        <v>3</v>
      </c>
      <c r="R127" s="2" t="inlineStr">
        <is>
          <t>Vedtrappmossa
Thomsons trägnagare
Blåsippa</t>
        </is>
      </c>
      <c r="S127">
        <f>HYPERLINK("https://klasma.github.io/Logging_1730/artfynd/A 36377-2021 artfynd.xlsx", "A 36377-2021")</f>
        <v/>
      </c>
      <c r="T127">
        <f>HYPERLINK("https://klasma.github.io/Logging_1730/kartor/A 36377-2021 karta.png", "A 36377-2021")</f>
        <v/>
      </c>
      <c r="V127">
        <f>HYPERLINK("https://klasma.github.io/Logging_1730/klagomål/A 36377-2021 FSC-klagomål.docx", "A 36377-2021")</f>
        <v/>
      </c>
      <c r="W127">
        <f>HYPERLINK("https://klasma.github.io/Logging_1730/klagomålsmail/A 36377-2021 FSC-klagomål mail.docx", "A 36377-2021")</f>
        <v/>
      </c>
      <c r="X127">
        <f>HYPERLINK("https://klasma.github.io/Logging_1730/tillsyn/A 36377-2021 tillsynsbegäran.docx", "A 36377-2021")</f>
        <v/>
      </c>
      <c r="Y127">
        <f>HYPERLINK("https://klasma.github.io/Logging_1730/tillsynsmail/A 36377-2021 tillsynsbegäran mail.docx", "A 36377-2021")</f>
        <v/>
      </c>
    </row>
    <row r="128" ht="15" customHeight="1">
      <c r="A128" t="inlineStr">
        <is>
          <t>A 72989-2021</t>
        </is>
      </c>
      <c r="B128" s="1" t="n">
        <v>44549</v>
      </c>
      <c r="C128" s="1" t="n">
        <v>45932</v>
      </c>
      <c r="D128" t="inlineStr">
        <is>
          <t>VÄRMLANDS LÄN</t>
        </is>
      </c>
      <c r="E128" t="inlineStr">
        <is>
          <t>FORSHAGA</t>
        </is>
      </c>
      <c r="G128" t="n">
        <v>3.3</v>
      </c>
      <c r="H128" t="n">
        <v>3</v>
      </c>
      <c r="I128" t="n">
        <v>0</v>
      </c>
      <c r="J128" t="n">
        <v>1</v>
      </c>
      <c r="K128" t="n">
        <v>1</v>
      </c>
      <c r="L128" t="n">
        <v>0</v>
      </c>
      <c r="M128" t="n">
        <v>0</v>
      </c>
      <c r="N128" t="n">
        <v>0</v>
      </c>
      <c r="O128" t="n">
        <v>2</v>
      </c>
      <c r="P128" t="n">
        <v>1</v>
      </c>
      <c r="Q128" t="n">
        <v>3</v>
      </c>
      <c r="R128" s="2" t="inlineStr">
        <is>
          <t>Kungsfiskare
Mindre hackspett
Skogsduva</t>
        </is>
      </c>
      <c r="S128">
        <f>HYPERLINK("https://klasma.github.io/Logging_1763/artfynd/A 72989-2021 artfynd.xlsx", "A 72989-2021")</f>
        <v/>
      </c>
      <c r="T128">
        <f>HYPERLINK("https://klasma.github.io/Logging_1763/kartor/A 72989-2021 karta.png", "A 72989-2021")</f>
        <v/>
      </c>
      <c r="V128">
        <f>HYPERLINK("https://klasma.github.io/Logging_1763/klagomål/A 72989-2021 FSC-klagomål.docx", "A 72989-2021")</f>
        <v/>
      </c>
      <c r="W128">
        <f>HYPERLINK("https://klasma.github.io/Logging_1763/klagomålsmail/A 72989-2021 FSC-klagomål mail.docx", "A 72989-2021")</f>
        <v/>
      </c>
      <c r="X128">
        <f>HYPERLINK("https://klasma.github.io/Logging_1763/tillsyn/A 72989-2021 tillsynsbegäran.docx", "A 72989-2021")</f>
        <v/>
      </c>
      <c r="Y128">
        <f>HYPERLINK("https://klasma.github.io/Logging_1763/tillsynsmail/A 72989-2021 tillsynsbegäran mail.docx", "A 72989-2021")</f>
        <v/>
      </c>
      <c r="Z128">
        <f>HYPERLINK("https://klasma.github.io/Logging_1763/fåglar/A 72989-2021 prioriterade fågelarter.docx", "A 72989-2021")</f>
        <v/>
      </c>
    </row>
    <row r="129" ht="15" customHeight="1">
      <c r="A129" t="inlineStr">
        <is>
          <t>A 8612-2022</t>
        </is>
      </c>
      <c r="B129" s="1" t="n">
        <v>44613</v>
      </c>
      <c r="C129" s="1" t="n">
        <v>45932</v>
      </c>
      <c r="D129" t="inlineStr">
        <is>
          <t>VÄRMLANDS LÄN</t>
        </is>
      </c>
      <c r="E129" t="inlineStr">
        <is>
          <t>ARVIKA</t>
        </is>
      </c>
      <c r="G129" t="n">
        <v>0.6</v>
      </c>
      <c r="H129" t="n">
        <v>0</v>
      </c>
      <c r="I129" t="n">
        <v>1</v>
      </c>
      <c r="J129" t="n">
        <v>2</v>
      </c>
      <c r="K129" t="n">
        <v>0</v>
      </c>
      <c r="L129" t="n">
        <v>0</v>
      </c>
      <c r="M129" t="n">
        <v>0</v>
      </c>
      <c r="N129" t="n">
        <v>0</v>
      </c>
      <c r="O129" t="n">
        <v>2</v>
      </c>
      <c r="P129" t="n">
        <v>0</v>
      </c>
      <c r="Q129" t="n">
        <v>3</v>
      </c>
      <c r="R129" s="2" t="inlineStr">
        <is>
          <t>Orange taggsvamp
Svart taggsvamp
Dropptaggsvamp</t>
        </is>
      </c>
      <c r="S129">
        <f>HYPERLINK("https://klasma.github.io/Logging_1784/artfynd/A 8612-2022 artfynd.xlsx", "A 8612-2022")</f>
        <v/>
      </c>
      <c r="T129">
        <f>HYPERLINK("https://klasma.github.io/Logging_1784/kartor/A 8612-2022 karta.png", "A 8612-2022")</f>
        <v/>
      </c>
      <c r="V129">
        <f>HYPERLINK("https://klasma.github.io/Logging_1784/klagomål/A 8612-2022 FSC-klagomål.docx", "A 8612-2022")</f>
        <v/>
      </c>
      <c r="W129">
        <f>HYPERLINK("https://klasma.github.io/Logging_1784/klagomålsmail/A 8612-2022 FSC-klagomål mail.docx", "A 8612-2022")</f>
        <v/>
      </c>
      <c r="X129">
        <f>HYPERLINK("https://klasma.github.io/Logging_1784/tillsyn/A 8612-2022 tillsynsbegäran.docx", "A 8612-2022")</f>
        <v/>
      </c>
      <c r="Y129">
        <f>HYPERLINK("https://klasma.github.io/Logging_1784/tillsynsmail/A 8612-2022 tillsynsbegäran mail.docx", "A 8612-2022")</f>
        <v/>
      </c>
    </row>
    <row r="130" ht="15" customHeight="1">
      <c r="A130" t="inlineStr">
        <is>
          <t>A 63491-2020</t>
        </is>
      </c>
      <c r="B130" s="1" t="n">
        <v>44165</v>
      </c>
      <c r="C130" s="1" t="n">
        <v>45932</v>
      </c>
      <c r="D130" t="inlineStr">
        <is>
          <t>VÄRMLANDS LÄN</t>
        </is>
      </c>
      <c r="E130" t="inlineStr">
        <is>
          <t>SUNNE</t>
        </is>
      </c>
      <c r="G130" t="n">
        <v>33.5</v>
      </c>
      <c r="H130" t="n">
        <v>0</v>
      </c>
      <c r="I130" t="n">
        <v>1</v>
      </c>
      <c r="J130" t="n">
        <v>2</v>
      </c>
      <c r="K130" t="n">
        <v>0</v>
      </c>
      <c r="L130" t="n">
        <v>0</v>
      </c>
      <c r="M130" t="n">
        <v>0</v>
      </c>
      <c r="N130" t="n">
        <v>0</v>
      </c>
      <c r="O130" t="n">
        <v>2</v>
      </c>
      <c r="P130" t="n">
        <v>0</v>
      </c>
      <c r="Q130" t="n">
        <v>3</v>
      </c>
      <c r="R130" s="2" t="inlineStr">
        <is>
          <t>Garnlav
Vedtrappmossa
Vedticka</t>
        </is>
      </c>
      <c r="S130">
        <f>HYPERLINK("https://klasma.github.io/Logging_1766/artfynd/A 63491-2020 artfynd.xlsx", "A 63491-2020")</f>
        <v/>
      </c>
      <c r="T130">
        <f>HYPERLINK("https://klasma.github.io/Logging_1766/kartor/A 63491-2020 karta.png", "A 63491-2020")</f>
        <v/>
      </c>
      <c r="V130">
        <f>HYPERLINK("https://klasma.github.io/Logging_1766/klagomål/A 63491-2020 FSC-klagomål.docx", "A 63491-2020")</f>
        <v/>
      </c>
      <c r="W130">
        <f>HYPERLINK("https://klasma.github.io/Logging_1766/klagomålsmail/A 63491-2020 FSC-klagomål mail.docx", "A 63491-2020")</f>
        <v/>
      </c>
      <c r="X130">
        <f>HYPERLINK("https://klasma.github.io/Logging_1766/tillsyn/A 63491-2020 tillsynsbegäran.docx", "A 63491-2020")</f>
        <v/>
      </c>
      <c r="Y130">
        <f>HYPERLINK("https://klasma.github.io/Logging_1766/tillsynsmail/A 63491-2020 tillsynsbegäran mail.docx", "A 63491-2020")</f>
        <v/>
      </c>
    </row>
    <row r="131" ht="15" customHeight="1">
      <c r="A131" t="inlineStr">
        <is>
          <t>A 33327-2021</t>
        </is>
      </c>
      <c r="B131" s="1" t="n">
        <v>44377</v>
      </c>
      <c r="C131" s="1" t="n">
        <v>45932</v>
      </c>
      <c r="D131" t="inlineStr">
        <is>
          <t>VÄRMLANDS LÄN</t>
        </is>
      </c>
      <c r="E131" t="inlineStr">
        <is>
          <t>ÅRJÄNG</t>
        </is>
      </c>
      <c r="G131" t="n">
        <v>14.9</v>
      </c>
      <c r="H131" t="n">
        <v>1</v>
      </c>
      <c r="I131" t="n">
        <v>1</v>
      </c>
      <c r="J131" t="n">
        <v>0</v>
      </c>
      <c r="K131" t="n">
        <v>1</v>
      </c>
      <c r="L131" t="n">
        <v>1</v>
      </c>
      <c r="M131" t="n">
        <v>0</v>
      </c>
      <c r="N131" t="n">
        <v>0</v>
      </c>
      <c r="O131" t="n">
        <v>2</v>
      </c>
      <c r="P131" t="n">
        <v>2</v>
      </c>
      <c r="Q131" t="n">
        <v>3</v>
      </c>
      <c r="R131" s="2" t="inlineStr">
        <is>
          <t>Grynlav
Knärot
Korallblylav</t>
        </is>
      </c>
      <c r="S131">
        <f>HYPERLINK("https://klasma.github.io/Logging_1765/artfynd/A 33327-2021 artfynd.xlsx", "A 33327-2021")</f>
        <v/>
      </c>
      <c r="T131">
        <f>HYPERLINK("https://klasma.github.io/Logging_1765/kartor/A 33327-2021 karta.png", "A 33327-2021")</f>
        <v/>
      </c>
      <c r="U131">
        <f>HYPERLINK("https://klasma.github.io/Logging_1765/knärot/A 33327-2021 karta knärot.png", "A 33327-2021")</f>
        <v/>
      </c>
      <c r="V131">
        <f>HYPERLINK("https://klasma.github.io/Logging_1765/klagomål/A 33327-2021 FSC-klagomål.docx", "A 33327-2021")</f>
        <v/>
      </c>
      <c r="W131">
        <f>HYPERLINK("https://klasma.github.io/Logging_1765/klagomålsmail/A 33327-2021 FSC-klagomål mail.docx", "A 33327-2021")</f>
        <v/>
      </c>
      <c r="X131">
        <f>HYPERLINK("https://klasma.github.io/Logging_1765/tillsyn/A 33327-2021 tillsynsbegäran.docx", "A 33327-2021")</f>
        <v/>
      </c>
      <c r="Y131">
        <f>HYPERLINK("https://klasma.github.io/Logging_1765/tillsynsmail/A 33327-2021 tillsynsbegäran mail.docx", "A 33327-2021")</f>
        <v/>
      </c>
    </row>
    <row r="132" ht="15" customHeight="1">
      <c r="A132" t="inlineStr">
        <is>
          <t>A 31151-2022</t>
        </is>
      </c>
      <c r="B132" s="1" t="n">
        <v>44770</v>
      </c>
      <c r="C132" s="1" t="n">
        <v>45932</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34087-2022</t>
        </is>
      </c>
      <c r="B133" s="1" t="n">
        <v>44791.44280092593</v>
      </c>
      <c r="C133" s="1" t="n">
        <v>45932</v>
      </c>
      <c r="D133" t="inlineStr">
        <is>
          <t>VÄRMLANDS LÄN</t>
        </is>
      </c>
      <c r="E133" t="inlineStr">
        <is>
          <t>EDA</t>
        </is>
      </c>
      <c r="G133" t="n">
        <v>6.7</v>
      </c>
      <c r="H133" t="n">
        <v>0</v>
      </c>
      <c r="I133" t="n">
        <v>2</v>
      </c>
      <c r="J133" t="n">
        <v>1</v>
      </c>
      <c r="K133" t="n">
        <v>0</v>
      </c>
      <c r="L133" t="n">
        <v>0</v>
      </c>
      <c r="M133" t="n">
        <v>0</v>
      </c>
      <c r="N133" t="n">
        <v>0</v>
      </c>
      <c r="O133" t="n">
        <v>1</v>
      </c>
      <c r="P133" t="n">
        <v>0</v>
      </c>
      <c r="Q133" t="n">
        <v>3</v>
      </c>
      <c r="R133" s="2" t="inlineStr">
        <is>
          <t>Garnlav
Bårdlav
Stuplav</t>
        </is>
      </c>
      <c r="S133">
        <f>HYPERLINK("https://klasma.github.io/Logging_1730/artfynd/A 34087-2022 artfynd.xlsx", "A 34087-2022")</f>
        <v/>
      </c>
      <c r="T133">
        <f>HYPERLINK("https://klasma.github.io/Logging_1730/kartor/A 34087-2022 karta.png", "A 34087-2022")</f>
        <v/>
      </c>
      <c r="V133">
        <f>HYPERLINK("https://klasma.github.io/Logging_1730/klagomål/A 34087-2022 FSC-klagomål.docx", "A 34087-2022")</f>
        <v/>
      </c>
      <c r="W133">
        <f>HYPERLINK("https://klasma.github.io/Logging_1730/klagomålsmail/A 34087-2022 FSC-klagomål mail.docx", "A 34087-2022")</f>
        <v/>
      </c>
      <c r="X133">
        <f>HYPERLINK("https://klasma.github.io/Logging_1730/tillsyn/A 34087-2022 tillsynsbegäran.docx", "A 34087-2022")</f>
        <v/>
      </c>
      <c r="Y133">
        <f>HYPERLINK("https://klasma.github.io/Logging_1730/tillsynsmail/A 34087-2022 tillsynsbegäran mail.docx", "A 34087-2022")</f>
        <v/>
      </c>
    </row>
    <row r="134" ht="15" customHeight="1">
      <c r="A134" t="inlineStr">
        <is>
          <t>A 18306-2024</t>
        </is>
      </c>
      <c r="B134" s="1" t="n">
        <v>45422</v>
      </c>
      <c r="C134" s="1" t="n">
        <v>45932</v>
      </c>
      <c r="D134" t="inlineStr">
        <is>
          <t>VÄRMLANDS LÄN</t>
        </is>
      </c>
      <c r="E134" t="inlineStr">
        <is>
          <t>TORSBY</t>
        </is>
      </c>
      <c r="G134" t="n">
        <v>5.5</v>
      </c>
      <c r="H134" t="n">
        <v>0</v>
      </c>
      <c r="I134" t="n">
        <v>0</v>
      </c>
      <c r="J134" t="n">
        <v>3</v>
      </c>
      <c r="K134" t="n">
        <v>0</v>
      </c>
      <c r="L134" t="n">
        <v>0</v>
      </c>
      <c r="M134" t="n">
        <v>0</v>
      </c>
      <c r="N134" t="n">
        <v>0</v>
      </c>
      <c r="O134" t="n">
        <v>3</v>
      </c>
      <c r="P134" t="n">
        <v>0</v>
      </c>
      <c r="Q134" t="n">
        <v>3</v>
      </c>
      <c r="R134" s="2" t="inlineStr">
        <is>
          <t>Garnlav
Lunglav
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48855-2023</t>
        </is>
      </c>
      <c r="B135" s="1" t="n">
        <v>45203</v>
      </c>
      <c r="C135" s="1" t="n">
        <v>45932</v>
      </c>
      <c r="D135" t="inlineStr">
        <is>
          <t>VÄRMLANDS LÄN</t>
        </is>
      </c>
      <c r="E135" t="inlineStr">
        <is>
          <t>SÄFFLE</t>
        </is>
      </c>
      <c r="G135" t="n">
        <v>15.2</v>
      </c>
      <c r="H135" t="n">
        <v>0</v>
      </c>
      <c r="I135" t="n">
        <v>2</v>
      </c>
      <c r="J135" t="n">
        <v>1</v>
      </c>
      <c r="K135" t="n">
        <v>0</v>
      </c>
      <c r="L135" t="n">
        <v>0</v>
      </c>
      <c r="M135" t="n">
        <v>0</v>
      </c>
      <c r="N135" t="n">
        <v>0</v>
      </c>
      <c r="O135" t="n">
        <v>1</v>
      </c>
      <c r="P135" t="n">
        <v>0</v>
      </c>
      <c r="Q135" t="n">
        <v>3</v>
      </c>
      <c r="R135" s="2" t="inlineStr">
        <is>
          <t>Gränsticka
Skarp dropptaggsvamp
Vedticka</t>
        </is>
      </c>
      <c r="S135">
        <f>HYPERLINK("https://klasma.github.io/Logging_1785/artfynd/A 48855-2023 artfynd.xlsx", "A 48855-2023")</f>
        <v/>
      </c>
      <c r="T135">
        <f>HYPERLINK("https://klasma.github.io/Logging_1785/kartor/A 48855-2023 karta.png", "A 48855-2023")</f>
        <v/>
      </c>
      <c r="V135">
        <f>HYPERLINK("https://klasma.github.io/Logging_1785/klagomål/A 48855-2023 FSC-klagomål.docx", "A 48855-2023")</f>
        <v/>
      </c>
      <c r="W135">
        <f>HYPERLINK("https://klasma.github.io/Logging_1785/klagomålsmail/A 48855-2023 FSC-klagomål mail.docx", "A 48855-2023")</f>
        <v/>
      </c>
      <c r="X135">
        <f>HYPERLINK("https://klasma.github.io/Logging_1785/tillsyn/A 48855-2023 tillsynsbegäran.docx", "A 48855-2023")</f>
        <v/>
      </c>
      <c r="Y135">
        <f>HYPERLINK("https://klasma.github.io/Logging_1785/tillsynsmail/A 48855-2023 tillsynsbegäran mail.docx", "A 48855-2023")</f>
        <v/>
      </c>
    </row>
    <row r="136" ht="15" customHeight="1">
      <c r="A136" t="inlineStr">
        <is>
          <t>A 60668-2023</t>
        </is>
      </c>
      <c r="B136" s="1" t="n">
        <v>45260</v>
      </c>
      <c r="C136" s="1" t="n">
        <v>45932</v>
      </c>
      <c r="D136" t="inlineStr">
        <is>
          <t>VÄRMLANDS LÄN</t>
        </is>
      </c>
      <c r="E136" t="inlineStr">
        <is>
          <t>ÅRJÄNG</t>
        </is>
      </c>
      <c r="G136" t="n">
        <v>4.8</v>
      </c>
      <c r="H136" t="n">
        <v>2</v>
      </c>
      <c r="I136" t="n">
        <v>0</v>
      </c>
      <c r="J136" t="n">
        <v>3</v>
      </c>
      <c r="K136" t="n">
        <v>0</v>
      </c>
      <c r="L136" t="n">
        <v>0</v>
      </c>
      <c r="M136" t="n">
        <v>0</v>
      </c>
      <c r="N136" t="n">
        <v>0</v>
      </c>
      <c r="O136" t="n">
        <v>3</v>
      </c>
      <c r="P136" t="n">
        <v>0</v>
      </c>
      <c r="Q136" t="n">
        <v>3</v>
      </c>
      <c r="R136" s="2" t="inlineStr">
        <is>
          <t>Garnlav
Spillkråka
Tretåig hackspett</t>
        </is>
      </c>
      <c r="S136">
        <f>HYPERLINK("https://klasma.github.io/Logging_1765/artfynd/A 60668-2023 artfynd.xlsx", "A 60668-2023")</f>
        <v/>
      </c>
      <c r="T136">
        <f>HYPERLINK("https://klasma.github.io/Logging_1765/kartor/A 60668-2023 karta.png", "A 60668-2023")</f>
        <v/>
      </c>
      <c r="U136">
        <f>HYPERLINK("https://klasma.github.io/Logging_1765/knärot/A 60668-2023 karta knärot.png", "A 60668-2023")</f>
        <v/>
      </c>
      <c r="V136">
        <f>HYPERLINK("https://klasma.github.io/Logging_1765/klagomål/A 60668-2023 FSC-klagomål.docx", "A 60668-2023")</f>
        <v/>
      </c>
      <c r="W136">
        <f>HYPERLINK("https://klasma.github.io/Logging_1765/klagomålsmail/A 60668-2023 FSC-klagomål mail.docx", "A 60668-2023")</f>
        <v/>
      </c>
      <c r="X136">
        <f>HYPERLINK("https://klasma.github.io/Logging_1765/tillsyn/A 60668-2023 tillsynsbegäran.docx", "A 60668-2023")</f>
        <v/>
      </c>
      <c r="Y136">
        <f>HYPERLINK("https://klasma.github.io/Logging_1765/tillsynsmail/A 60668-2023 tillsynsbegäran mail.docx", "A 60668-2023")</f>
        <v/>
      </c>
      <c r="Z136">
        <f>HYPERLINK("https://klasma.github.io/Logging_1765/fåglar/A 60668-2023 prioriterade fågelarter.docx", "A 60668-2023")</f>
        <v/>
      </c>
    </row>
    <row r="137" ht="15" customHeight="1">
      <c r="A137" t="inlineStr">
        <is>
          <t>A 57190-2024</t>
        </is>
      </c>
      <c r="B137" s="1" t="n">
        <v>45629</v>
      </c>
      <c r="C137" s="1" t="n">
        <v>45932</v>
      </c>
      <c r="D137" t="inlineStr">
        <is>
          <t>VÄRMLANDS LÄN</t>
        </is>
      </c>
      <c r="E137" t="inlineStr">
        <is>
          <t>TORSBY</t>
        </is>
      </c>
      <c r="G137" t="n">
        <v>0.8</v>
      </c>
      <c r="H137" t="n">
        <v>0</v>
      </c>
      <c r="I137" t="n">
        <v>0</v>
      </c>
      <c r="J137" t="n">
        <v>3</v>
      </c>
      <c r="K137" t="n">
        <v>0</v>
      </c>
      <c r="L137" t="n">
        <v>0</v>
      </c>
      <c r="M137" t="n">
        <v>0</v>
      </c>
      <c r="N137" t="n">
        <v>0</v>
      </c>
      <c r="O137" t="n">
        <v>3</v>
      </c>
      <c r="P137" t="n">
        <v>0</v>
      </c>
      <c r="Q137" t="n">
        <v>3</v>
      </c>
      <c r="R137" s="2" t="inlineStr">
        <is>
          <t>Garnlav
Skogstrappmossa
Violettgrå tagellav</t>
        </is>
      </c>
      <c r="S137">
        <f>HYPERLINK("https://klasma.github.io/Logging_1737/artfynd/A 57190-2024 artfynd.xlsx", "A 57190-2024")</f>
        <v/>
      </c>
      <c r="T137">
        <f>HYPERLINK("https://klasma.github.io/Logging_1737/kartor/A 57190-2024 karta.png", "A 57190-2024")</f>
        <v/>
      </c>
      <c r="V137">
        <f>HYPERLINK("https://klasma.github.io/Logging_1737/klagomål/A 57190-2024 FSC-klagomål.docx", "A 57190-2024")</f>
        <v/>
      </c>
      <c r="W137">
        <f>HYPERLINK("https://klasma.github.io/Logging_1737/klagomålsmail/A 57190-2024 FSC-klagomål mail.docx", "A 57190-2024")</f>
        <v/>
      </c>
      <c r="X137">
        <f>HYPERLINK("https://klasma.github.io/Logging_1737/tillsyn/A 57190-2024 tillsynsbegäran.docx", "A 57190-2024")</f>
        <v/>
      </c>
      <c r="Y137">
        <f>HYPERLINK("https://klasma.github.io/Logging_1737/tillsynsmail/A 57190-2024 tillsynsbegäran mail.docx", "A 57190-2024")</f>
        <v/>
      </c>
    </row>
    <row r="138" ht="15" customHeight="1">
      <c r="A138" t="inlineStr">
        <is>
          <t>A 7098-2025</t>
        </is>
      </c>
      <c r="B138" s="1" t="n">
        <v>45701</v>
      </c>
      <c r="C138" s="1" t="n">
        <v>45932</v>
      </c>
      <c r="D138" t="inlineStr">
        <is>
          <t>VÄRMLANDS LÄN</t>
        </is>
      </c>
      <c r="E138" t="inlineStr">
        <is>
          <t>SUNNE</t>
        </is>
      </c>
      <c r="G138" t="n">
        <v>7.8</v>
      </c>
      <c r="H138" t="n">
        <v>1</v>
      </c>
      <c r="I138" t="n">
        <v>0</v>
      </c>
      <c r="J138" t="n">
        <v>2</v>
      </c>
      <c r="K138" t="n">
        <v>0</v>
      </c>
      <c r="L138" t="n">
        <v>0</v>
      </c>
      <c r="M138" t="n">
        <v>0</v>
      </c>
      <c r="N138" t="n">
        <v>0</v>
      </c>
      <c r="O138" t="n">
        <v>2</v>
      </c>
      <c r="P138" t="n">
        <v>0</v>
      </c>
      <c r="Q138" t="n">
        <v>3</v>
      </c>
      <c r="R138" s="2" t="inlineStr">
        <is>
          <t>Motaggsvamp
Violettgrå tagellav
Tjäder</t>
        </is>
      </c>
      <c r="S138">
        <f>HYPERLINK("https://klasma.github.io/Logging_1766/artfynd/A 7098-2025 artfynd.xlsx", "A 7098-2025")</f>
        <v/>
      </c>
      <c r="T138">
        <f>HYPERLINK("https://klasma.github.io/Logging_1766/kartor/A 7098-2025 karta.png", "A 7098-2025")</f>
        <v/>
      </c>
      <c r="V138">
        <f>HYPERLINK("https://klasma.github.io/Logging_1766/klagomål/A 7098-2025 FSC-klagomål.docx", "A 7098-2025")</f>
        <v/>
      </c>
      <c r="W138">
        <f>HYPERLINK("https://klasma.github.io/Logging_1766/klagomålsmail/A 7098-2025 FSC-klagomål mail.docx", "A 7098-2025")</f>
        <v/>
      </c>
      <c r="X138">
        <f>HYPERLINK("https://klasma.github.io/Logging_1766/tillsyn/A 7098-2025 tillsynsbegäran.docx", "A 7098-2025")</f>
        <v/>
      </c>
      <c r="Y138">
        <f>HYPERLINK("https://klasma.github.io/Logging_1766/tillsynsmail/A 7098-2025 tillsynsbegäran mail.docx", "A 7098-2025")</f>
        <v/>
      </c>
      <c r="Z138">
        <f>HYPERLINK("https://klasma.github.io/Logging_1766/fåglar/A 7098-2025 prioriterade fågelarter.docx", "A 7098-2025")</f>
        <v/>
      </c>
    </row>
    <row r="139" ht="15" customHeight="1">
      <c r="A139" t="inlineStr">
        <is>
          <t>A 3713-2024</t>
        </is>
      </c>
      <c r="B139" s="1" t="n">
        <v>45321.46277777778</v>
      </c>
      <c r="C139" s="1" t="n">
        <v>45932</v>
      </c>
      <c r="D139" t="inlineStr">
        <is>
          <t>VÄRMLANDS LÄN</t>
        </is>
      </c>
      <c r="E139" t="inlineStr">
        <is>
          <t>FORSHAGA</t>
        </is>
      </c>
      <c r="G139" t="n">
        <v>6.1</v>
      </c>
      <c r="H139" t="n">
        <v>3</v>
      </c>
      <c r="I139" t="n">
        <v>0</v>
      </c>
      <c r="J139" t="n">
        <v>0</v>
      </c>
      <c r="K139" t="n">
        <v>0</v>
      </c>
      <c r="L139" t="n">
        <v>0</v>
      </c>
      <c r="M139" t="n">
        <v>0</v>
      </c>
      <c r="N139" t="n">
        <v>0</v>
      </c>
      <c r="O139" t="n">
        <v>0</v>
      </c>
      <c r="P139" t="n">
        <v>0</v>
      </c>
      <c r="Q139" t="n">
        <v>3</v>
      </c>
      <c r="R139" s="2" t="inlineStr">
        <is>
          <t>Åkergroda
Mindre vattensalamander
Vanlig padda</t>
        </is>
      </c>
      <c r="S139">
        <f>HYPERLINK("https://klasma.github.io/Logging_1763/artfynd/A 3713-2024 artfynd.xlsx", "A 3713-2024")</f>
        <v/>
      </c>
      <c r="T139">
        <f>HYPERLINK("https://klasma.github.io/Logging_1763/kartor/A 3713-2024 karta.png", "A 3713-2024")</f>
        <v/>
      </c>
      <c r="V139">
        <f>HYPERLINK("https://klasma.github.io/Logging_1763/klagomål/A 3713-2024 FSC-klagomål.docx", "A 3713-2024")</f>
        <v/>
      </c>
      <c r="W139">
        <f>HYPERLINK("https://klasma.github.io/Logging_1763/klagomålsmail/A 3713-2024 FSC-klagomål mail.docx", "A 3713-2024")</f>
        <v/>
      </c>
      <c r="X139">
        <f>HYPERLINK("https://klasma.github.io/Logging_1763/tillsyn/A 3713-2024 tillsynsbegäran.docx", "A 3713-2024")</f>
        <v/>
      </c>
      <c r="Y139">
        <f>HYPERLINK("https://klasma.github.io/Logging_1763/tillsynsmail/A 3713-2024 tillsynsbegäran mail.docx", "A 3713-2024")</f>
        <v/>
      </c>
    </row>
    <row r="140" ht="15" customHeight="1">
      <c r="A140" t="inlineStr">
        <is>
          <t>A 14815-2023</t>
        </is>
      </c>
      <c r="B140" s="1" t="n">
        <v>45014</v>
      </c>
      <c r="C140" s="1" t="n">
        <v>45932</v>
      </c>
      <c r="D140" t="inlineStr">
        <is>
          <t>VÄRMLANDS LÄN</t>
        </is>
      </c>
      <c r="E140" t="inlineStr">
        <is>
          <t>KARLSTAD</t>
        </is>
      </c>
      <c r="F140" t="inlineStr">
        <is>
          <t>Kommuner</t>
        </is>
      </c>
      <c r="G140" t="n">
        <v>5.4</v>
      </c>
      <c r="H140" t="n">
        <v>0</v>
      </c>
      <c r="I140" t="n">
        <v>2</v>
      </c>
      <c r="J140" t="n">
        <v>1</v>
      </c>
      <c r="K140" t="n">
        <v>0</v>
      </c>
      <c r="L140" t="n">
        <v>0</v>
      </c>
      <c r="M140" t="n">
        <v>0</v>
      </c>
      <c r="N140" t="n">
        <v>0</v>
      </c>
      <c r="O140" t="n">
        <v>1</v>
      </c>
      <c r="P140" t="n">
        <v>0</v>
      </c>
      <c r="Q140" t="n">
        <v>3</v>
      </c>
      <c r="R140" s="2" t="inlineStr">
        <is>
          <t>Vaddporing
Rödgul trumpetsvamp
Vågbandad barkbock</t>
        </is>
      </c>
      <c r="S140">
        <f>HYPERLINK("https://klasma.github.io/Logging_1780/artfynd/A 14815-2023 artfynd.xlsx", "A 14815-2023")</f>
        <v/>
      </c>
      <c r="T140">
        <f>HYPERLINK("https://klasma.github.io/Logging_1780/kartor/A 14815-2023 karta.png", "A 14815-2023")</f>
        <v/>
      </c>
      <c r="U140">
        <f>HYPERLINK("https://klasma.github.io/Logging_1780/knärot/A 14815-2023 karta knärot.png", "A 14815-2023")</f>
        <v/>
      </c>
      <c r="V140">
        <f>HYPERLINK("https://klasma.github.io/Logging_1780/klagomål/A 14815-2023 FSC-klagomål.docx", "A 14815-2023")</f>
        <v/>
      </c>
      <c r="W140">
        <f>HYPERLINK("https://klasma.github.io/Logging_1780/klagomålsmail/A 14815-2023 FSC-klagomål mail.docx", "A 14815-2023")</f>
        <v/>
      </c>
      <c r="X140">
        <f>HYPERLINK("https://klasma.github.io/Logging_1780/tillsyn/A 14815-2023 tillsynsbegäran.docx", "A 14815-2023")</f>
        <v/>
      </c>
      <c r="Y140">
        <f>HYPERLINK("https://klasma.github.io/Logging_1780/tillsynsmail/A 14815-2023 tillsynsbegäran mail.docx", "A 14815-2023")</f>
        <v/>
      </c>
    </row>
    <row r="141" ht="15" customHeight="1">
      <c r="A141" t="inlineStr">
        <is>
          <t>A 60512-2024</t>
        </is>
      </c>
      <c r="B141" s="1" t="n">
        <v>45643</v>
      </c>
      <c r="C141" s="1" t="n">
        <v>45932</v>
      </c>
      <c r="D141" t="inlineStr">
        <is>
          <t>VÄRMLANDS LÄN</t>
        </is>
      </c>
      <c r="E141" t="inlineStr">
        <is>
          <t>FILIPSTAD</t>
        </is>
      </c>
      <c r="G141" t="n">
        <v>5.6</v>
      </c>
      <c r="H141" t="n">
        <v>0</v>
      </c>
      <c r="I141" t="n">
        <v>2</v>
      </c>
      <c r="J141" t="n">
        <v>1</v>
      </c>
      <c r="K141" t="n">
        <v>0</v>
      </c>
      <c r="L141" t="n">
        <v>0</v>
      </c>
      <c r="M141" t="n">
        <v>0</v>
      </c>
      <c r="N141" t="n">
        <v>0</v>
      </c>
      <c r="O141" t="n">
        <v>1</v>
      </c>
      <c r="P141" t="n">
        <v>0</v>
      </c>
      <c r="Q141" t="n">
        <v>3</v>
      </c>
      <c r="R141" s="2" t="inlineStr">
        <is>
          <t>Brunpudrad nållav
Jättesvampmal
Vedticka</t>
        </is>
      </c>
      <c r="S141">
        <f>HYPERLINK("https://klasma.github.io/Logging_1782/artfynd/A 60512-2024 artfynd.xlsx", "A 60512-2024")</f>
        <v/>
      </c>
      <c r="T141">
        <f>HYPERLINK("https://klasma.github.io/Logging_1782/kartor/A 60512-2024 karta.png", "A 60512-2024")</f>
        <v/>
      </c>
      <c r="V141">
        <f>HYPERLINK("https://klasma.github.io/Logging_1782/klagomål/A 60512-2024 FSC-klagomål.docx", "A 60512-2024")</f>
        <v/>
      </c>
      <c r="W141">
        <f>HYPERLINK("https://klasma.github.io/Logging_1782/klagomålsmail/A 60512-2024 FSC-klagomål mail.docx", "A 60512-2024")</f>
        <v/>
      </c>
      <c r="X141">
        <f>HYPERLINK("https://klasma.github.io/Logging_1782/tillsyn/A 60512-2024 tillsynsbegäran.docx", "A 60512-2024")</f>
        <v/>
      </c>
      <c r="Y141">
        <f>HYPERLINK("https://klasma.github.io/Logging_1782/tillsynsmail/A 60512-2024 tillsynsbegäran mail.docx", "A 60512-2024")</f>
        <v/>
      </c>
    </row>
    <row r="142" ht="15" customHeight="1">
      <c r="A142" t="inlineStr">
        <is>
          <t>A 59789-2024</t>
        </is>
      </c>
      <c r="B142" s="1" t="n">
        <v>45639</v>
      </c>
      <c r="C142" s="1" t="n">
        <v>45932</v>
      </c>
      <c r="D142" t="inlineStr">
        <is>
          <t>VÄRMLANDS LÄN</t>
        </is>
      </c>
      <c r="E142" t="inlineStr">
        <is>
          <t>TORSBY</t>
        </is>
      </c>
      <c r="G142" t="n">
        <v>4.8</v>
      </c>
      <c r="H142" t="n">
        <v>0</v>
      </c>
      <c r="I142" t="n">
        <v>0</v>
      </c>
      <c r="J142" t="n">
        <v>3</v>
      </c>
      <c r="K142" t="n">
        <v>0</v>
      </c>
      <c r="L142" t="n">
        <v>0</v>
      </c>
      <c r="M142" t="n">
        <v>0</v>
      </c>
      <c r="N142" t="n">
        <v>0</v>
      </c>
      <c r="O142" t="n">
        <v>3</v>
      </c>
      <c r="P142" t="n">
        <v>0</v>
      </c>
      <c r="Q142" t="n">
        <v>3</v>
      </c>
      <c r="R142" s="2" t="inlineStr">
        <is>
          <t>Garnlav
Vedskivlav
Violettgrå tagellav</t>
        </is>
      </c>
      <c r="S142">
        <f>HYPERLINK("https://klasma.github.io/Logging_1737/artfynd/A 59789-2024 artfynd.xlsx", "A 59789-2024")</f>
        <v/>
      </c>
      <c r="T142">
        <f>HYPERLINK("https://klasma.github.io/Logging_1737/kartor/A 59789-2024 karta.png", "A 59789-2024")</f>
        <v/>
      </c>
      <c r="V142">
        <f>HYPERLINK("https://klasma.github.io/Logging_1737/klagomål/A 59789-2024 FSC-klagomål.docx", "A 59789-2024")</f>
        <v/>
      </c>
      <c r="W142">
        <f>HYPERLINK("https://klasma.github.io/Logging_1737/klagomålsmail/A 59789-2024 FSC-klagomål mail.docx", "A 59789-2024")</f>
        <v/>
      </c>
      <c r="X142">
        <f>HYPERLINK("https://klasma.github.io/Logging_1737/tillsyn/A 59789-2024 tillsynsbegäran.docx", "A 59789-2024")</f>
        <v/>
      </c>
      <c r="Y142">
        <f>HYPERLINK("https://klasma.github.io/Logging_1737/tillsynsmail/A 59789-2024 tillsynsbegäran mail.docx", "A 59789-2024")</f>
        <v/>
      </c>
    </row>
    <row r="143" ht="15" customHeight="1">
      <c r="A143" t="inlineStr">
        <is>
          <t>A 16545-2021</t>
        </is>
      </c>
      <c r="B143" s="1" t="n">
        <v>44293</v>
      </c>
      <c r="C143" s="1" t="n">
        <v>45932</v>
      </c>
      <c r="D143" t="inlineStr">
        <is>
          <t>VÄRMLANDS LÄN</t>
        </is>
      </c>
      <c r="E143" t="inlineStr">
        <is>
          <t>TORSBY</t>
        </is>
      </c>
      <c r="G143" t="n">
        <v>140.3</v>
      </c>
      <c r="H143" t="n">
        <v>3</v>
      </c>
      <c r="I143" t="n">
        <v>0</v>
      </c>
      <c r="J143" t="n">
        <v>1</v>
      </c>
      <c r="K143" t="n">
        <v>0</v>
      </c>
      <c r="L143" t="n">
        <v>0</v>
      </c>
      <c r="M143" t="n">
        <v>0</v>
      </c>
      <c r="N143" t="n">
        <v>0</v>
      </c>
      <c r="O143" t="n">
        <v>1</v>
      </c>
      <c r="P143" t="n">
        <v>0</v>
      </c>
      <c r="Q143" t="n">
        <v>3</v>
      </c>
      <c r="R143" s="2" t="inlineStr">
        <is>
          <t>Spillkråka
Större vattensalamander
Mindre vattensalamander</t>
        </is>
      </c>
      <c r="S143">
        <f>HYPERLINK("https://klasma.github.io/Logging_1737/artfynd/A 16545-2021 artfynd.xlsx", "A 16545-2021")</f>
        <v/>
      </c>
      <c r="T143">
        <f>HYPERLINK("https://klasma.github.io/Logging_1737/kartor/A 16545-2021 karta.png", "A 16545-2021")</f>
        <v/>
      </c>
      <c r="V143">
        <f>HYPERLINK("https://klasma.github.io/Logging_1737/klagomål/A 16545-2021 FSC-klagomål.docx", "A 16545-2021")</f>
        <v/>
      </c>
      <c r="W143">
        <f>HYPERLINK("https://klasma.github.io/Logging_1737/klagomålsmail/A 16545-2021 FSC-klagomål mail.docx", "A 16545-2021")</f>
        <v/>
      </c>
      <c r="X143">
        <f>HYPERLINK("https://klasma.github.io/Logging_1737/tillsyn/A 16545-2021 tillsynsbegäran.docx", "A 16545-2021")</f>
        <v/>
      </c>
      <c r="Y143">
        <f>HYPERLINK("https://klasma.github.io/Logging_1737/tillsynsmail/A 16545-2021 tillsynsbegäran mail.docx", "A 16545-2021")</f>
        <v/>
      </c>
      <c r="Z143">
        <f>HYPERLINK("https://klasma.github.io/Logging_1737/fåglar/A 16545-2021 prioriterade fågelarter.docx", "A 16545-2021")</f>
        <v/>
      </c>
    </row>
    <row r="144" ht="15" customHeight="1">
      <c r="A144" t="inlineStr">
        <is>
          <t>A 59095-2024</t>
        </is>
      </c>
      <c r="B144" s="1" t="n">
        <v>45637</v>
      </c>
      <c r="C144" s="1" t="n">
        <v>45932</v>
      </c>
      <c r="D144" t="inlineStr">
        <is>
          <t>VÄRMLANDS LÄN</t>
        </is>
      </c>
      <c r="E144" t="inlineStr">
        <is>
          <t>ARVIKA</t>
        </is>
      </c>
      <c r="G144" t="n">
        <v>1.4</v>
      </c>
      <c r="H144" t="n">
        <v>0</v>
      </c>
      <c r="I144" t="n">
        <v>2</v>
      </c>
      <c r="J144" t="n">
        <v>1</v>
      </c>
      <c r="K144" t="n">
        <v>0</v>
      </c>
      <c r="L144" t="n">
        <v>0</v>
      </c>
      <c r="M144" t="n">
        <v>0</v>
      </c>
      <c r="N144" t="n">
        <v>0</v>
      </c>
      <c r="O144" t="n">
        <v>1</v>
      </c>
      <c r="P144" t="n">
        <v>0</v>
      </c>
      <c r="Q144" t="n">
        <v>3</v>
      </c>
      <c r="R144" s="2" t="inlineStr">
        <is>
          <t>Grynig filtlav
Bårdlav
Stuplav</t>
        </is>
      </c>
      <c r="S144">
        <f>HYPERLINK("https://klasma.github.io/Logging_1784/artfynd/A 59095-2024 artfynd.xlsx", "A 59095-2024")</f>
        <v/>
      </c>
      <c r="T144">
        <f>HYPERLINK("https://klasma.github.io/Logging_1784/kartor/A 59095-2024 karta.png", "A 59095-2024")</f>
        <v/>
      </c>
      <c r="U144">
        <f>HYPERLINK("https://klasma.github.io/Logging_1784/knärot/A 59095-2024 karta knärot.png", "A 59095-2024")</f>
        <v/>
      </c>
      <c r="V144">
        <f>HYPERLINK("https://klasma.github.io/Logging_1784/klagomål/A 59095-2024 FSC-klagomål.docx", "A 59095-2024")</f>
        <v/>
      </c>
      <c r="W144">
        <f>HYPERLINK("https://klasma.github.io/Logging_1784/klagomålsmail/A 59095-2024 FSC-klagomål mail.docx", "A 59095-2024")</f>
        <v/>
      </c>
      <c r="X144">
        <f>HYPERLINK("https://klasma.github.io/Logging_1784/tillsyn/A 59095-2024 tillsynsbegäran.docx", "A 59095-2024")</f>
        <v/>
      </c>
      <c r="Y144">
        <f>HYPERLINK("https://klasma.github.io/Logging_1784/tillsynsmail/A 59095-2024 tillsynsbegäran mail.docx", "A 59095-2024")</f>
        <v/>
      </c>
    </row>
    <row r="145" ht="15" customHeight="1">
      <c r="A145" t="inlineStr">
        <is>
          <t>A 46895-2024</t>
        </is>
      </c>
      <c r="B145" s="1" t="n">
        <v>45583</v>
      </c>
      <c r="C145" s="1" t="n">
        <v>45932</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7350-2025</t>
        </is>
      </c>
      <c r="B146" s="1" t="n">
        <v>45703</v>
      </c>
      <c r="C146" s="1" t="n">
        <v>45932</v>
      </c>
      <c r="D146" t="inlineStr">
        <is>
          <t>VÄRMLANDS LÄN</t>
        </is>
      </c>
      <c r="E146" t="inlineStr">
        <is>
          <t>ARVIKA</t>
        </is>
      </c>
      <c r="G146" t="n">
        <v>7.7</v>
      </c>
      <c r="H146" t="n">
        <v>3</v>
      </c>
      <c r="I146" t="n">
        <v>0</v>
      </c>
      <c r="J146" t="n">
        <v>2</v>
      </c>
      <c r="K146" t="n">
        <v>0</v>
      </c>
      <c r="L146" t="n">
        <v>0</v>
      </c>
      <c r="M146" t="n">
        <v>0</v>
      </c>
      <c r="N146" t="n">
        <v>0</v>
      </c>
      <c r="O146" t="n">
        <v>2</v>
      </c>
      <c r="P146" t="n">
        <v>0</v>
      </c>
      <c r="Q146" t="n">
        <v>3</v>
      </c>
      <c r="R146" s="2" t="inlineStr">
        <is>
          <t>Entita
Talltita
Tjäder</t>
        </is>
      </c>
      <c r="S146">
        <f>HYPERLINK("https://klasma.github.io/Logging_1784/artfynd/A 7350-2025 artfynd.xlsx", "A 7350-2025")</f>
        <v/>
      </c>
      <c r="T146">
        <f>HYPERLINK("https://klasma.github.io/Logging_1784/kartor/A 7350-2025 karta.png", "A 7350-2025")</f>
        <v/>
      </c>
      <c r="V146">
        <f>HYPERLINK("https://klasma.github.io/Logging_1784/klagomål/A 7350-2025 FSC-klagomål.docx", "A 7350-2025")</f>
        <v/>
      </c>
      <c r="W146">
        <f>HYPERLINK("https://klasma.github.io/Logging_1784/klagomålsmail/A 7350-2025 FSC-klagomål mail.docx", "A 7350-2025")</f>
        <v/>
      </c>
      <c r="X146">
        <f>HYPERLINK("https://klasma.github.io/Logging_1784/tillsyn/A 7350-2025 tillsynsbegäran.docx", "A 7350-2025")</f>
        <v/>
      </c>
      <c r="Y146">
        <f>HYPERLINK("https://klasma.github.io/Logging_1784/tillsynsmail/A 7350-2025 tillsynsbegäran mail.docx", "A 7350-2025")</f>
        <v/>
      </c>
      <c r="Z146">
        <f>HYPERLINK("https://klasma.github.io/Logging_1784/fåglar/A 7350-2025 prioriterade fågelarter.docx", "A 7350-2025")</f>
        <v/>
      </c>
    </row>
    <row r="147" ht="15" customHeight="1">
      <c r="A147" t="inlineStr">
        <is>
          <t>A 42480-2022</t>
        </is>
      </c>
      <c r="B147" s="1" t="n">
        <v>44831</v>
      </c>
      <c r="C147" s="1" t="n">
        <v>45932</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23576-2022</t>
        </is>
      </c>
      <c r="B148" s="1" t="n">
        <v>44721</v>
      </c>
      <c r="C148" s="1" t="n">
        <v>45932</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24616-2022</t>
        </is>
      </c>
      <c r="B149" s="1" t="n">
        <v>44727</v>
      </c>
      <c r="C149" s="1" t="n">
        <v>45932</v>
      </c>
      <c r="D149" t="inlineStr">
        <is>
          <t>VÄRMLANDS LÄN</t>
        </is>
      </c>
      <c r="E149" t="inlineStr">
        <is>
          <t>HAMMARÖ</t>
        </is>
      </c>
      <c r="F149" t="inlineStr">
        <is>
          <t>Kommuner</t>
        </is>
      </c>
      <c r="G149" t="n">
        <v>4</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HYPERLINK("https://klasma.github.io/Logging_1761/artfynd/A 24616-2022 artfynd.xlsx", "A 24616-2022")</f>
        <v/>
      </c>
      <c r="T149">
        <f>HYPERLINK("https://klasma.github.io/Logging_1761/kartor/A 24616-2022 karta.png", "A 24616-2022")</f>
        <v/>
      </c>
      <c r="U149">
        <f>HYPERLINK("https://klasma.github.io/Logging_1761/knärot/A 24616-2022 karta knärot.png", "A 24616-2022")</f>
        <v/>
      </c>
      <c r="V149">
        <f>HYPERLINK("https://klasma.github.io/Logging_1761/klagomål/A 24616-2022 FSC-klagomål.docx", "A 24616-2022")</f>
        <v/>
      </c>
      <c r="W149">
        <f>HYPERLINK("https://klasma.github.io/Logging_1761/klagomålsmail/A 24616-2022 FSC-klagomål mail.docx", "A 24616-2022")</f>
        <v/>
      </c>
      <c r="X149">
        <f>HYPERLINK("https://klasma.github.io/Logging_1761/tillsyn/A 24616-2022 tillsynsbegäran.docx", "A 24616-2022")</f>
        <v/>
      </c>
      <c r="Y149">
        <f>HYPERLINK("https://klasma.github.io/Logging_1761/tillsynsmail/A 24616-2022 tillsynsbegäran mail.docx", "A 24616-2022")</f>
        <v/>
      </c>
      <c r="Z149">
        <f>HYPERLINK("https://klasma.github.io/Logging_1761/fåglar/A 24616-2022 prioriterade fågelarter.docx", "A 24616-2022")</f>
        <v/>
      </c>
    </row>
    <row r="150" ht="15" customHeight="1">
      <c r="A150" t="inlineStr">
        <is>
          <t>A 3099-2024</t>
        </is>
      </c>
      <c r="B150" s="1" t="n">
        <v>45316</v>
      </c>
      <c r="C150" s="1" t="n">
        <v>45932</v>
      </c>
      <c r="D150" t="inlineStr">
        <is>
          <t>VÄRMLANDS LÄN</t>
        </is>
      </c>
      <c r="E150" t="inlineStr">
        <is>
          <t>TORSBY</t>
        </is>
      </c>
      <c r="G150" t="n">
        <v>6.3</v>
      </c>
      <c r="H150" t="n">
        <v>0</v>
      </c>
      <c r="I150" t="n">
        <v>1</v>
      </c>
      <c r="J150" t="n">
        <v>2</v>
      </c>
      <c r="K150" t="n">
        <v>0</v>
      </c>
      <c r="L150" t="n">
        <v>0</v>
      </c>
      <c r="M150" t="n">
        <v>0</v>
      </c>
      <c r="N150" t="n">
        <v>0</v>
      </c>
      <c r="O150" t="n">
        <v>2</v>
      </c>
      <c r="P150" t="n">
        <v>0</v>
      </c>
      <c r="Q150" t="n">
        <v>3</v>
      </c>
      <c r="R150" s="2" t="inlineStr">
        <is>
          <t>Dvärgbägarlav
Garnlav
Vedticka</t>
        </is>
      </c>
      <c r="S150">
        <f>HYPERLINK("https://klasma.github.io/Logging_1737/artfynd/A 3099-2024 artfynd.xlsx", "A 3099-2024")</f>
        <v/>
      </c>
      <c r="T150">
        <f>HYPERLINK("https://klasma.github.io/Logging_1737/kartor/A 3099-2024 karta.png", "A 3099-2024")</f>
        <v/>
      </c>
      <c r="V150">
        <f>HYPERLINK("https://klasma.github.io/Logging_1737/klagomål/A 3099-2024 FSC-klagomål.docx", "A 3099-2024")</f>
        <v/>
      </c>
      <c r="W150">
        <f>HYPERLINK("https://klasma.github.io/Logging_1737/klagomålsmail/A 3099-2024 FSC-klagomål mail.docx", "A 3099-2024")</f>
        <v/>
      </c>
      <c r="X150">
        <f>HYPERLINK("https://klasma.github.io/Logging_1737/tillsyn/A 3099-2024 tillsynsbegäran.docx", "A 3099-2024")</f>
        <v/>
      </c>
      <c r="Y150">
        <f>HYPERLINK("https://klasma.github.io/Logging_1737/tillsynsmail/A 3099-2024 tillsynsbegäran mail.docx", "A 3099-2024")</f>
        <v/>
      </c>
    </row>
    <row r="151" ht="15" customHeight="1">
      <c r="A151" t="inlineStr">
        <is>
          <t>A 46016-2023</t>
        </is>
      </c>
      <c r="B151" s="1" t="n">
        <v>45196</v>
      </c>
      <c r="C151" s="1" t="n">
        <v>45932</v>
      </c>
      <c r="D151" t="inlineStr">
        <is>
          <t>VÄRMLANDS LÄN</t>
        </is>
      </c>
      <c r="E151" t="inlineStr">
        <is>
          <t>TORSBY</t>
        </is>
      </c>
      <c r="G151" t="n">
        <v>6.3</v>
      </c>
      <c r="H151" t="n">
        <v>0</v>
      </c>
      <c r="I151" t="n">
        <v>0</v>
      </c>
      <c r="J151" t="n">
        <v>3</v>
      </c>
      <c r="K151" t="n">
        <v>0</v>
      </c>
      <c r="L151" t="n">
        <v>0</v>
      </c>
      <c r="M151" t="n">
        <v>0</v>
      </c>
      <c r="N151" t="n">
        <v>0</v>
      </c>
      <c r="O151" t="n">
        <v>3</v>
      </c>
      <c r="P151" t="n">
        <v>0</v>
      </c>
      <c r="Q151" t="n">
        <v>3</v>
      </c>
      <c r="R151" s="2" t="inlineStr">
        <is>
          <t>Dvärgbägarlav
Mörk kolflarnlav
Vedskivlav</t>
        </is>
      </c>
      <c r="S151">
        <f>HYPERLINK("https://klasma.github.io/Logging_1737/artfynd/A 46016-2023 artfynd.xlsx", "A 46016-2023")</f>
        <v/>
      </c>
      <c r="T151">
        <f>HYPERLINK("https://klasma.github.io/Logging_1737/kartor/A 46016-2023 karta.png", "A 46016-2023")</f>
        <v/>
      </c>
      <c r="V151">
        <f>HYPERLINK("https://klasma.github.io/Logging_1737/klagomål/A 46016-2023 FSC-klagomål.docx", "A 46016-2023")</f>
        <v/>
      </c>
      <c r="W151">
        <f>HYPERLINK("https://klasma.github.io/Logging_1737/klagomålsmail/A 46016-2023 FSC-klagomål mail.docx", "A 46016-2023")</f>
        <v/>
      </c>
      <c r="X151">
        <f>HYPERLINK("https://klasma.github.io/Logging_1737/tillsyn/A 46016-2023 tillsynsbegäran.docx", "A 46016-2023")</f>
        <v/>
      </c>
      <c r="Y151">
        <f>HYPERLINK("https://klasma.github.io/Logging_1737/tillsynsmail/A 46016-2023 tillsynsbegäran mail.docx", "A 46016-2023")</f>
        <v/>
      </c>
    </row>
    <row r="152" ht="15" customHeight="1">
      <c r="A152" t="inlineStr">
        <is>
          <t>A 26898-2022</t>
        </is>
      </c>
      <c r="B152" s="1" t="n">
        <v>44740</v>
      </c>
      <c r="C152" s="1" t="n">
        <v>45932</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27397-2025</t>
        </is>
      </c>
      <c r="B153" s="1" t="n">
        <v>45812</v>
      </c>
      <c r="C153" s="1" t="n">
        <v>45932</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63893-2021</t>
        </is>
      </c>
      <c r="B154" s="1" t="n">
        <v>44509.6484837963</v>
      </c>
      <c r="C154" s="1" t="n">
        <v>45932</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31835-2024</t>
        </is>
      </c>
      <c r="B155" s="1" t="n">
        <v>45509</v>
      </c>
      <c r="C155" s="1" t="n">
        <v>45932</v>
      </c>
      <c r="D155" t="inlineStr">
        <is>
          <t>VÄRMLANDS LÄN</t>
        </is>
      </c>
      <c r="E155" t="inlineStr">
        <is>
          <t>TORSBY</t>
        </is>
      </c>
      <c r="G155" t="n">
        <v>27.3</v>
      </c>
      <c r="H155" t="n">
        <v>0</v>
      </c>
      <c r="I155" t="n">
        <v>0</v>
      </c>
      <c r="J155" t="n">
        <v>3</v>
      </c>
      <c r="K155" t="n">
        <v>0</v>
      </c>
      <c r="L155" t="n">
        <v>0</v>
      </c>
      <c r="M155" t="n">
        <v>0</v>
      </c>
      <c r="N155" t="n">
        <v>0</v>
      </c>
      <c r="O155" t="n">
        <v>3</v>
      </c>
      <c r="P155" t="n">
        <v>0</v>
      </c>
      <c r="Q155" t="n">
        <v>3</v>
      </c>
      <c r="R155" s="2" t="inlineStr">
        <is>
          <t>Garnlav
Kolflarnlav
Mörk kolflarnlav</t>
        </is>
      </c>
      <c r="S155">
        <f>HYPERLINK("https://klasma.github.io/Logging_1737/artfynd/A 31835-2024 artfynd.xlsx", "A 31835-2024")</f>
        <v/>
      </c>
      <c r="T155">
        <f>HYPERLINK("https://klasma.github.io/Logging_1737/kartor/A 31835-2024 karta.png", "A 31835-2024")</f>
        <v/>
      </c>
      <c r="V155">
        <f>HYPERLINK("https://klasma.github.io/Logging_1737/klagomål/A 31835-2024 FSC-klagomål.docx", "A 31835-2024")</f>
        <v/>
      </c>
      <c r="W155">
        <f>HYPERLINK("https://klasma.github.io/Logging_1737/klagomålsmail/A 31835-2024 FSC-klagomål mail.docx", "A 31835-2024")</f>
        <v/>
      </c>
      <c r="X155">
        <f>HYPERLINK("https://klasma.github.io/Logging_1737/tillsyn/A 31835-2024 tillsynsbegäran.docx", "A 31835-2024")</f>
        <v/>
      </c>
      <c r="Y155">
        <f>HYPERLINK("https://klasma.github.io/Logging_1737/tillsynsmail/A 31835-2024 tillsynsbegäran mail.docx", "A 31835-2024")</f>
        <v/>
      </c>
    </row>
    <row r="156" ht="15" customHeight="1">
      <c r="A156" t="inlineStr">
        <is>
          <t>A 38134-2024</t>
        </is>
      </c>
      <c r="B156" s="1" t="n">
        <v>45545</v>
      </c>
      <c r="C156" s="1" t="n">
        <v>45932</v>
      </c>
      <c r="D156" t="inlineStr">
        <is>
          <t>VÄRMLANDS LÄN</t>
        </is>
      </c>
      <c r="E156" t="inlineStr">
        <is>
          <t>FILIPSTAD</t>
        </is>
      </c>
      <c r="F156" t="inlineStr">
        <is>
          <t>Bergvik skog väst AB</t>
        </is>
      </c>
      <c r="G156" t="n">
        <v>2.4</v>
      </c>
      <c r="H156" t="n">
        <v>0</v>
      </c>
      <c r="I156" t="n">
        <v>2</v>
      </c>
      <c r="J156" t="n">
        <v>1</v>
      </c>
      <c r="K156" t="n">
        <v>0</v>
      </c>
      <c r="L156" t="n">
        <v>0</v>
      </c>
      <c r="M156" t="n">
        <v>0</v>
      </c>
      <c r="N156" t="n">
        <v>0</v>
      </c>
      <c r="O156" t="n">
        <v>1</v>
      </c>
      <c r="P156" t="n">
        <v>0</v>
      </c>
      <c r="Q156" t="n">
        <v>3</v>
      </c>
      <c r="R156" s="2" t="inlineStr">
        <is>
          <t>Garnlav
Dropptaggsvamp
Skuggblåslav</t>
        </is>
      </c>
      <c r="S156">
        <f>HYPERLINK("https://klasma.github.io/Logging_1782/artfynd/A 38134-2024 artfynd.xlsx", "A 38134-2024")</f>
        <v/>
      </c>
      <c r="T156">
        <f>HYPERLINK("https://klasma.github.io/Logging_1782/kartor/A 38134-2024 karta.png", "A 38134-2024")</f>
        <v/>
      </c>
      <c r="V156">
        <f>HYPERLINK("https://klasma.github.io/Logging_1782/klagomål/A 38134-2024 FSC-klagomål.docx", "A 38134-2024")</f>
        <v/>
      </c>
      <c r="W156">
        <f>HYPERLINK("https://klasma.github.io/Logging_1782/klagomålsmail/A 38134-2024 FSC-klagomål mail.docx", "A 38134-2024")</f>
        <v/>
      </c>
      <c r="X156">
        <f>HYPERLINK("https://klasma.github.io/Logging_1782/tillsyn/A 38134-2024 tillsynsbegäran.docx", "A 38134-2024")</f>
        <v/>
      </c>
      <c r="Y156">
        <f>HYPERLINK("https://klasma.github.io/Logging_1782/tillsynsmail/A 38134-2024 tillsynsbegäran mail.docx", "A 38134-2024")</f>
        <v/>
      </c>
    </row>
    <row r="157" ht="15" customHeight="1">
      <c r="A157" t="inlineStr">
        <is>
          <t>A 61045-2023</t>
        </is>
      </c>
      <c r="B157" s="1" t="n">
        <v>45260</v>
      </c>
      <c r="C157" s="1" t="n">
        <v>45932</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67528-2021</t>
        </is>
      </c>
      <c r="B158" s="1" t="n">
        <v>44524</v>
      </c>
      <c r="C158" s="1" t="n">
        <v>45932</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17740-2025</t>
        </is>
      </c>
      <c r="B159" s="1" t="n">
        <v>45758</v>
      </c>
      <c r="C159" s="1" t="n">
        <v>45932</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41729-2025</t>
        </is>
      </c>
      <c r="B160" s="1" t="n">
        <v>45902.45789351852</v>
      </c>
      <c r="C160" s="1" t="n">
        <v>45932</v>
      </c>
      <c r="D160" t="inlineStr">
        <is>
          <t>VÄRMLANDS LÄN</t>
        </is>
      </c>
      <c r="E160" t="inlineStr">
        <is>
          <t>ÅRJÄNG</t>
        </is>
      </c>
      <c r="G160" t="n">
        <v>5</v>
      </c>
      <c r="H160" t="n">
        <v>3</v>
      </c>
      <c r="I160" t="n">
        <v>0</v>
      </c>
      <c r="J160" t="n">
        <v>2</v>
      </c>
      <c r="K160" t="n">
        <v>0</v>
      </c>
      <c r="L160" t="n">
        <v>0</v>
      </c>
      <c r="M160" t="n">
        <v>0</v>
      </c>
      <c r="N160" t="n">
        <v>0</v>
      </c>
      <c r="O160" t="n">
        <v>2</v>
      </c>
      <c r="P160" t="n">
        <v>0</v>
      </c>
      <c r="Q160" t="n">
        <v>3</v>
      </c>
      <c r="R160" s="2" t="inlineStr">
        <is>
          <t>Björktrast
Rödvingetrast
Gråkråka</t>
        </is>
      </c>
      <c r="S160">
        <f>HYPERLINK("https://klasma.github.io/Logging_1765/artfynd/A 41729-2025 artfynd.xlsx", "A 41729-2025")</f>
        <v/>
      </c>
      <c r="T160">
        <f>HYPERLINK("https://klasma.github.io/Logging_1765/kartor/A 41729-2025 karta.png", "A 41729-2025")</f>
        <v/>
      </c>
      <c r="V160">
        <f>HYPERLINK("https://klasma.github.io/Logging_1765/klagomål/A 41729-2025 FSC-klagomål.docx", "A 41729-2025")</f>
        <v/>
      </c>
      <c r="W160">
        <f>HYPERLINK("https://klasma.github.io/Logging_1765/klagomålsmail/A 41729-2025 FSC-klagomål mail.docx", "A 41729-2025")</f>
        <v/>
      </c>
      <c r="X160">
        <f>HYPERLINK("https://klasma.github.io/Logging_1765/tillsyn/A 41729-2025 tillsynsbegäran.docx", "A 41729-2025")</f>
        <v/>
      </c>
      <c r="Y160">
        <f>HYPERLINK("https://klasma.github.io/Logging_1765/tillsynsmail/A 41729-2025 tillsynsbegäran mail.docx", "A 41729-2025")</f>
        <v/>
      </c>
      <c r="Z160">
        <f>HYPERLINK("https://klasma.github.io/Logging_1765/fåglar/A 41729-2025 prioriterade fågelarter.docx", "A 41729-2025")</f>
        <v/>
      </c>
    </row>
    <row r="161" ht="15" customHeight="1">
      <c r="A161" t="inlineStr">
        <is>
          <t>A 47111-2025</t>
        </is>
      </c>
      <c r="B161" s="1" t="n">
        <v>45929.66947916667</v>
      </c>
      <c r="C161" s="1" t="n">
        <v>45932</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23084-2024</t>
        </is>
      </c>
      <c r="B162" s="1" t="n">
        <v>45450</v>
      </c>
      <c r="C162" s="1" t="n">
        <v>45932</v>
      </c>
      <c r="D162" t="inlineStr">
        <is>
          <t>VÄRMLANDS LÄN</t>
        </is>
      </c>
      <c r="E162" t="inlineStr">
        <is>
          <t>ARVIKA</t>
        </is>
      </c>
      <c r="F162" t="inlineStr">
        <is>
          <t>Bergvik skog väst AB</t>
        </is>
      </c>
      <c r="G162" t="n">
        <v>0.7</v>
      </c>
      <c r="H162" t="n">
        <v>2</v>
      </c>
      <c r="I162" t="n">
        <v>0</v>
      </c>
      <c r="J162" t="n">
        <v>1</v>
      </c>
      <c r="K162" t="n">
        <v>1</v>
      </c>
      <c r="L162" t="n">
        <v>0</v>
      </c>
      <c r="M162" t="n">
        <v>0</v>
      </c>
      <c r="N162" t="n">
        <v>0</v>
      </c>
      <c r="O162" t="n">
        <v>2</v>
      </c>
      <c r="P162" t="n">
        <v>1</v>
      </c>
      <c r="Q162" t="n">
        <v>3</v>
      </c>
      <c r="R162" s="2" t="inlineStr">
        <is>
          <t>Knärot
Vedskivlav
Tjäder</t>
        </is>
      </c>
      <c r="S162">
        <f>HYPERLINK("https://klasma.github.io/Logging_1784/artfynd/A 23084-2024 artfynd.xlsx", "A 23084-2024")</f>
        <v/>
      </c>
      <c r="T162">
        <f>HYPERLINK("https://klasma.github.io/Logging_1784/kartor/A 23084-2024 karta.png", "A 23084-2024")</f>
        <v/>
      </c>
      <c r="U162">
        <f>HYPERLINK("https://klasma.github.io/Logging_1784/knärot/A 23084-2024 karta knärot.png", "A 23084-2024")</f>
        <v/>
      </c>
      <c r="V162">
        <f>HYPERLINK("https://klasma.github.io/Logging_1784/klagomål/A 23084-2024 FSC-klagomål.docx", "A 23084-2024")</f>
        <v/>
      </c>
      <c r="W162">
        <f>HYPERLINK("https://klasma.github.io/Logging_1784/klagomålsmail/A 23084-2024 FSC-klagomål mail.docx", "A 23084-2024")</f>
        <v/>
      </c>
      <c r="X162">
        <f>HYPERLINK("https://klasma.github.io/Logging_1784/tillsyn/A 23084-2024 tillsynsbegäran.docx", "A 23084-2024")</f>
        <v/>
      </c>
      <c r="Y162">
        <f>HYPERLINK("https://klasma.github.io/Logging_1784/tillsynsmail/A 23084-2024 tillsynsbegäran mail.docx", "A 23084-2024")</f>
        <v/>
      </c>
      <c r="Z162">
        <f>HYPERLINK("https://klasma.github.io/Logging_1784/fåglar/A 23084-2024 prioriterade fågelarter.docx", "A 23084-2024")</f>
        <v/>
      </c>
    </row>
    <row r="163" ht="15" customHeight="1">
      <c r="A163" t="inlineStr">
        <is>
          <t>A 21248-2024</t>
        </is>
      </c>
      <c r="B163" s="1" t="n">
        <v>45440</v>
      </c>
      <c r="C163" s="1" t="n">
        <v>45932</v>
      </c>
      <c r="D163" t="inlineStr">
        <is>
          <t>VÄRMLANDS LÄN</t>
        </is>
      </c>
      <c r="E163" t="inlineStr">
        <is>
          <t>ARVIKA</t>
        </is>
      </c>
      <c r="F163" t="inlineStr">
        <is>
          <t>Bergvik skog väst AB</t>
        </is>
      </c>
      <c r="G163" t="n">
        <v>1.1</v>
      </c>
      <c r="H163" t="n">
        <v>2</v>
      </c>
      <c r="I163" t="n">
        <v>1</v>
      </c>
      <c r="J163" t="n">
        <v>1</v>
      </c>
      <c r="K163" t="n">
        <v>1</v>
      </c>
      <c r="L163" t="n">
        <v>0</v>
      </c>
      <c r="M163" t="n">
        <v>0</v>
      </c>
      <c r="N163" t="n">
        <v>0</v>
      </c>
      <c r="O163" t="n">
        <v>2</v>
      </c>
      <c r="P163" t="n">
        <v>1</v>
      </c>
      <c r="Q163" t="n">
        <v>3</v>
      </c>
      <c r="R163" s="2" t="inlineStr">
        <is>
          <t>Knärot
Talltita
Skinnlav</t>
        </is>
      </c>
      <c r="S163">
        <f>HYPERLINK("https://klasma.github.io/Logging_1784/artfynd/A 21248-2024 artfynd.xlsx", "A 21248-2024")</f>
        <v/>
      </c>
      <c r="T163">
        <f>HYPERLINK("https://klasma.github.io/Logging_1784/kartor/A 21248-2024 karta.png", "A 21248-2024")</f>
        <v/>
      </c>
      <c r="U163">
        <f>HYPERLINK("https://klasma.github.io/Logging_1784/knärot/A 21248-2024 karta knärot.png", "A 21248-2024")</f>
        <v/>
      </c>
      <c r="V163">
        <f>HYPERLINK("https://klasma.github.io/Logging_1784/klagomål/A 21248-2024 FSC-klagomål.docx", "A 21248-2024")</f>
        <v/>
      </c>
      <c r="W163">
        <f>HYPERLINK("https://klasma.github.io/Logging_1784/klagomålsmail/A 21248-2024 FSC-klagomål mail.docx", "A 21248-2024")</f>
        <v/>
      </c>
      <c r="X163">
        <f>HYPERLINK("https://klasma.github.io/Logging_1784/tillsyn/A 21248-2024 tillsynsbegäran.docx", "A 21248-2024")</f>
        <v/>
      </c>
      <c r="Y163">
        <f>HYPERLINK("https://klasma.github.io/Logging_1784/tillsynsmail/A 21248-2024 tillsynsbegäran mail.docx", "A 21248-2024")</f>
        <v/>
      </c>
      <c r="Z163">
        <f>HYPERLINK("https://klasma.github.io/Logging_1784/fåglar/A 21248-2024 prioriterade fågelarter.docx", "A 21248-2024")</f>
        <v/>
      </c>
    </row>
    <row r="164" ht="15" customHeight="1">
      <c r="A164" t="inlineStr">
        <is>
          <t>A 5680-2024</t>
        </is>
      </c>
      <c r="B164" s="1" t="n">
        <v>45334</v>
      </c>
      <c r="C164" s="1" t="n">
        <v>45932</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42590-2023</t>
        </is>
      </c>
      <c r="B165" s="1" t="n">
        <v>45181</v>
      </c>
      <c r="C165" s="1" t="n">
        <v>45932</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37401-2025</t>
        </is>
      </c>
      <c r="B166" s="1" t="n">
        <v>45877</v>
      </c>
      <c r="C166" s="1" t="n">
        <v>45932</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60275-2024</t>
        </is>
      </c>
      <c r="B167" s="1" t="n">
        <v>45642</v>
      </c>
      <c r="C167" s="1" t="n">
        <v>45932</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45468-2025</t>
        </is>
      </c>
      <c r="B168" s="1" t="n">
        <v>45922</v>
      </c>
      <c r="C168" s="1" t="n">
        <v>45932</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5936-2025</t>
        </is>
      </c>
      <c r="B169" s="1" t="n">
        <v>45695</v>
      </c>
      <c r="C169" s="1" t="n">
        <v>45932</v>
      </c>
      <c r="D169" t="inlineStr">
        <is>
          <t>VÄRMLANDS LÄN</t>
        </is>
      </c>
      <c r="E169" t="inlineStr">
        <is>
          <t>ARVIKA</t>
        </is>
      </c>
      <c r="G169" t="n">
        <v>8.300000000000001</v>
      </c>
      <c r="H169" t="n">
        <v>3</v>
      </c>
      <c r="I169" t="n">
        <v>0</v>
      </c>
      <c r="J169" t="n">
        <v>2</v>
      </c>
      <c r="K169" t="n">
        <v>1</v>
      </c>
      <c r="L169" t="n">
        <v>0</v>
      </c>
      <c r="M169" t="n">
        <v>0</v>
      </c>
      <c r="N169" t="n">
        <v>0</v>
      </c>
      <c r="O169" t="n">
        <v>3</v>
      </c>
      <c r="P169" t="n">
        <v>1</v>
      </c>
      <c r="Q169" t="n">
        <v>3</v>
      </c>
      <c r="R169" s="2" t="inlineStr">
        <is>
          <t>Knärot
Mindre hackspett
Talltita</t>
        </is>
      </c>
      <c r="S169">
        <f>HYPERLINK("https://klasma.github.io/Logging_1784/artfynd/A 5936-2025 artfynd.xlsx", "A 5936-2025")</f>
        <v/>
      </c>
      <c r="T169">
        <f>HYPERLINK("https://klasma.github.io/Logging_1784/kartor/A 5936-2025 karta.png", "A 5936-2025")</f>
        <v/>
      </c>
      <c r="U169">
        <f>HYPERLINK("https://klasma.github.io/Logging_1784/knärot/A 5936-2025 karta knärot.png", "A 5936-2025")</f>
        <v/>
      </c>
      <c r="V169">
        <f>HYPERLINK("https://klasma.github.io/Logging_1784/klagomål/A 5936-2025 FSC-klagomål.docx", "A 5936-2025")</f>
        <v/>
      </c>
      <c r="W169">
        <f>HYPERLINK("https://klasma.github.io/Logging_1784/klagomålsmail/A 5936-2025 FSC-klagomål mail.docx", "A 5936-2025")</f>
        <v/>
      </c>
      <c r="X169">
        <f>HYPERLINK("https://klasma.github.io/Logging_1784/tillsyn/A 5936-2025 tillsynsbegäran.docx", "A 5936-2025")</f>
        <v/>
      </c>
      <c r="Y169">
        <f>HYPERLINK("https://klasma.github.io/Logging_1784/tillsynsmail/A 5936-2025 tillsynsbegäran mail.docx", "A 5936-2025")</f>
        <v/>
      </c>
      <c r="Z169">
        <f>HYPERLINK("https://klasma.github.io/Logging_1784/fåglar/A 5936-2025 prioriterade fågelarter.docx", "A 5936-2025")</f>
        <v/>
      </c>
    </row>
    <row r="170" ht="15" customHeight="1">
      <c r="A170" t="inlineStr">
        <is>
          <t>A 27272-2024</t>
        </is>
      </c>
      <c r="B170" s="1" t="n">
        <v>45471</v>
      </c>
      <c r="C170" s="1" t="n">
        <v>45932</v>
      </c>
      <c r="D170" t="inlineStr">
        <is>
          <t>VÄRMLANDS LÄN</t>
        </is>
      </c>
      <c r="E170" t="inlineStr">
        <is>
          <t>SUNNE</t>
        </is>
      </c>
      <c r="G170" t="n">
        <v>2.4</v>
      </c>
      <c r="H170" t="n">
        <v>0</v>
      </c>
      <c r="I170" t="n">
        <v>2</v>
      </c>
      <c r="J170" t="n">
        <v>1</v>
      </c>
      <c r="K170" t="n">
        <v>0</v>
      </c>
      <c r="L170" t="n">
        <v>0</v>
      </c>
      <c r="M170" t="n">
        <v>0</v>
      </c>
      <c r="N170" t="n">
        <v>0</v>
      </c>
      <c r="O170" t="n">
        <v>1</v>
      </c>
      <c r="P170" t="n">
        <v>0</v>
      </c>
      <c r="Q170" t="n">
        <v>3</v>
      </c>
      <c r="R170" s="2" t="inlineStr">
        <is>
          <t>Skogshare
Bronshjon
Vågbandad barkbock</t>
        </is>
      </c>
      <c r="S170">
        <f>HYPERLINK("https://klasma.github.io/Logging_1766/artfynd/A 27272-2024 artfynd.xlsx", "A 27272-2024")</f>
        <v/>
      </c>
      <c r="T170">
        <f>HYPERLINK("https://klasma.github.io/Logging_1766/kartor/A 27272-2024 karta.png", "A 27272-2024")</f>
        <v/>
      </c>
      <c r="V170">
        <f>HYPERLINK("https://klasma.github.io/Logging_1766/klagomål/A 27272-2024 FSC-klagomål.docx", "A 27272-2024")</f>
        <v/>
      </c>
      <c r="W170">
        <f>HYPERLINK("https://klasma.github.io/Logging_1766/klagomålsmail/A 27272-2024 FSC-klagomål mail.docx", "A 27272-2024")</f>
        <v/>
      </c>
      <c r="X170">
        <f>HYPERLINK("https://klasma.github.io/Logging_1766/tillsyn/A 27272-2024 tillsynsbegäran.docx", "A 27272-2024")</f>
        <v/>
      </c>
      <c r="Y170">
        <f>HYPERLINK("https://klasma.github.io/Logging_1766/tillsynsmail/A 27272-2024 tillsynsbegäran mail.docx", "A 27272-2024")</f>
        <v/>
      </c>
    </row>
    <row r="171" ht="15" customHeight="1">
      <c r="A171" t="inlineStr">
        <is>
          <t>A 42595-2025</t>
        </is>
      </c>
      <c r="B171" s="1" t="n">
        <v>45905</v>
      </c>
      <c r="C171" s="1" t="n">
        <v>45932</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63880-2021</t>
        </is>
      </c>
      <c r="B172" s="1" t="n">
        <v>44509</v>
      </c>
      <c r="C172" s="1" t="n">
        <v>45932</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50956-2022</t>
        </is>
      </c>
      <c r="B173" s="1" t="n">
        <v>44867</v>
      </c>
      <c r="C173" s="1" t="n">
        <v>45932</v>
      </c>
      <c r="D173" t="inlineStr">
        <is>
          <t>VÄRMLANDS LÄN</t>
        </is>
      </c>
      <c r="E173" t="inlineStr">
        <is>
          <t>SÄFFLE</t>
        </is>
      </c>
      <c r="F173" t="inlineStr">
        <is>
          <t>Kyrkan</t>
        </is>
      </c>
      <c r="G173" t="n">
        <v>49.2</v>
      </c>
      <c r="H173" t="n">
        <v>1</v>
      </c>
      <c r="I173" t="n">
        <v>1</v>
      </c>
      <c r="J173" t="n">
        <v>1</v>
      </c>
      <c r="K173" t="n">
        <v>0</v>
      </c>
      <c r="L173" t="n">
        <v>1</v>
      </c>
      <c r="M173" t="n">
        <v>0</v>
      </c>
      <c r="N173" t="n">
        <v>0</v>
      </c>
      <c r="O173" t="n">
        <v>2</v>
      </c>
      <c r="P173" t="n">
        <v>1</v>
      </c>
      <c r="Q173" t="n">
        <v>3</v>
      </c>
      <c r="R173" s="2" t="inlineStr">
        <is>
          <t>Klockgentiana
Svedjenäva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19030-2025</t>
        </is>
      </c>
      <c r="B174" s="1" t="n">
        <v>45764.65658564815</v>
      </c>
      <c r="C174" s="1" t="n">
        <v>45932</v>
      </c>
      <c r="D174" t="inlineStr">
        <is>
          <t>VÄRMLANDS LÄN</t>
        </is>
      </c>
      <c r="E174" t="inlineStr">
        <is>
          <t>TORSBY</t>
        </is>
      </c>
      <c r="F174" t="inlineStr">
        <is>
          <t>Övriga statliga verk och myndigheter</t>
        </is>
      </c>
      <c r="G174" t="n">
        <v>1.9</v>
      </c>
      <c r="H174" t="n">
        <v>0</v>
      </c>
      <c r="I174" t="n">
        <v>0</v>
      </c>
      <c r="J174" t="n">
        <v>3</v>
      </c>
      <c r="K174" t="n">
        <v>0</v>
      </c>
      <c r="L174" t="n">
        <v>0</v>
      </c>
      <c r="M174" t="n">
        <v>0</v>
      </c>
      <c r="N174" t="n">
        <v>0</v>
      </c>
      <c r="O174" t="n">
        <v>3</v>
      </c>
      <c r="P174" t="n">
        <v>0</v>
      </c>
      <c r="Q174" t="n">
        <v>3</v>
      </c>
      <c r="R174" s="2" t="inlineStr">
        <is>
          <t>Garnlav
Kolflarnlav
Mörk kolflarnlav</t>
        </is>
      </c>
      <c r="S174">
        <f>HYPERLINK("https://klasma.github.io/Logging_1737/artfynd/A 19030-2025 artfynd.xlsx", "A 19030-2025")</f>
        <v/>
      </c>
      <c r="T174">
        <f>HYPERLINK("https://klasma.github.io/Logging_1737/kartor/A 19030-2025 karta.png", "A 19030-2025")</f>
        <v/>
      </c>
      <c r="V174">
        <f>HYPERLINK("https://klasma.github.io/Logging_1737/klagomål/A 19030-2025 FSC-klagomål.docx", "A 19030-2025")</f>
        <v/>
      </c>
      <c r="W174">
        <f>HYPERLINK("https://klasma.github.io/Logging_1737/klagomålsmail/A 19030-2025 FSC-klagomål mail.docx", "A 19030-2025")</f>
        <v/>
      </c>
      <c r="X174">
        <f>HYPERLINK("https://klasma.github.io/Logging_1737/tillsyn/A 19030-2025 tillsynsbegäran.docx", "A 19030-2025")</f>
        <v/>
      </c>
      <c r="Y174">
        <f>HYPERLINK("https://klasma.github.io/Logging_1737/tillsynsmail/A 19030-2025 tillsynsbegäran mail.docx", "A 19030-2025")</f>
        <v/>
      </c>
    </row>
    <row r="175" ht="15" customHeight="1">
      <c r="A175" t="inlineStr">
        <is>
          <t>A 11927-2022</t>
        </is>
      </c>
      <c r="B175" s="1" t="n">
        <v>44635</v>
      </c>
      <c r="C175" s="1" t="n">
        <v>45932</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15044-2025</t>
        </is>
      </c>
      <c r="B176" s="1" t="n">
        <v>45743</v>
      </c>
      <c r="C176" s="1" t="n">
        <v>45932</v>
      </c>
      <c r="D176" t="inlineStr">
        <is>
          <t>VÄRMLANDS LÄN</t>
        </is>
      </c>
      <c r="E176" t="inlineStr">
        <is>
          <t>TORSBY</t>
        </is>
      </c>
      <c r="G176" t="n">
        <v>3.4</v>
      </c>
      <c r="H176" t="n">
        <v>0</v>
      </c>
      <c r="I176" t="n">
        <v>0</v>
      </c>
      <c r="J176" t="n">
        <v>3</v>
      </c>
      <c r="K176" t="n">
        <v>0</v>
      </c>
      <c r="L176" t="n">
        <v>0</v>
      </c>
      <c r="M176" t="n">
        <v>0</v>
      </c>
      <c r="N176" t="n">
        <v>0</v>
      </c>
      <c r="O176" t="n">
        <v>3</v>
      </c>
      <c r="P176" t="n">
        <v>0</v>
      </c>
      <c r="Q176" t="n">
        <v>3</v>
      </c>
      <c r="R176" s="2" t="inlineStr">
        <is>
          <t>Doftskinn
Dvärgbägarlav
Gammelgransskål</t>
        </is>
      </c>
      <c r="S176">
        <f>HYPERLINK("https://klasma.github.io/Logging_1737/artfynd/A 15044-2025 artfynd.xlsx", "A 15044-2025")</f>
        <v/>
      </c>
      <c r="T176">
        <f>HYPERLINK("https://klasma.github.io/Logging_1737/kartor/A 15044-2025 karta.png", "A 15044-2025")</f>
        <v/>
      </c>
      <c r="V176">
        <f>HYPERLINK("https://klasma.github.io/Logging_1737/klagomål/A 15044-2025 FSC-klagomål.docx", "A 15044-2025")</f>
        <v/>
      </c>
      <c r="W176">
        <f>HYPERLINK("https://klasma.github.io/Logging_1737/klagomålsmail/A 15044-2025 FSC-klagomål mail.docx", "A 15044-2025")</f>
        <v/>
      </c>
      <c r="X176">
        <f>HYPERLINK("https://klasma.github.io/Logging_1737/tillsyn/A 15044-2025 tillsynsbegäran.docx", "A 15044-2025")</f>
        <v/>
      </c>
      <c r="Y176">
        <f>HYPERLINK("https://klasma.github.io/Logging_1737/tillsynsmail/A 15044-2025 tillsynsbegäran mail.docx", "A 15044-2025")</f>
        <v/>
      </c>
    </row>
    <row r="177" ht="15" customHeight="1">
      <c r="A177" t="inlineStr">
        <is>
          <t>A 48762-2021</t>
        </is>
      </c>
      <c r="B177" s="1" t="n">
        <v>44452</v>
      </c>
      <c r="C177" s="1" t="n">
        <v>45932</v>
      </c>
      <c r="D177" t="inlineStr">
        <is>
          <t>VÄRMLANDS LÄN</t>
        </is>
      </c>
      <c r="E177" t="inlineStr">
        <is>
          <t>SÄFFLE</t>
        </is>
      </c>
      <c r="F177" t="inlineStr">
        <is>
          <t>Bergvik skog väst AB</t>
        </is>
      </c>
      <c r="G177" t="n">
        <v>40.8</v>
      </c>
      <c r="H177" t="n">
        <v>0</v>
      </c>
      <c r="I177" t="n">
        <v>0</v>
      </c>
      <c r="J177" t="n">
        <v>2</v>
      </c>
      <c r="K177" t="n">
        <v>0</v>
      </c>
      <c r="L177" t="n">
        <v>0</v>
      </c>
      <c r="M177" t="n">
        <v>0</v>
      </c>
      <c r="N177" t="n">
        <v>0</v>
      </c>
      <c r="O177" t="n">
        <v>2</v>
      </c>
      <c r="P177" t="n">
        <v>0</v>
      </c>
      <c r="Q177" t="n">
        <v>2</v>
      </c>
      <c r="R177" s="2" t="inlineStr">
        <is>
          <t>Kandelabersvamp
Veckticka</t>
        </is>
      </c>
      <c r="S177">
        <f>HYPERLINK("https://klasma.github.io/Logging_1785/artfynd/A 48762-2021 artfynd.xlsx", "A 48762-2021")</f>
        <v/>
      </c>
      <c r="T177">
        <f>HYPERLINK("https://klasma.github.io/Logging_1785/kartor/A 48762-2021 karta.png", "A 48762-2021")</f>
        <v/>
      </c>
      <c r="V177">
        <f>HYPERLINK("https://klasma.github.io/Logging_1785/klagomål/A 48762-2021 FSC-klagomål.docx", "A 48762-2021")</f>
        <v/>
      </c>
      <c r="W177">
        <f>HYPERLINK("https://klasma.github.io/Logging_1785/klagomålsmail/A 48762-2021 FSC-klagomål mail.docx", "A 48762-2021")</f>
        <v/>
      </c>
      <c r="X177">
        <f>HYPERLINK("https://klasma.github.io/Logging_1785/tillsyn/A 48762-2021 tillsynsbegäran.docx", "A 48762-2021")</f>
        <v/>
      </c>
      <c r="Y177">
        <f>HYPERLINK("https://klasma.github.io/Logging_1785/tillsynsmail/A 48762-2021 tillsynsbegäran mail.docx", "A 48762-2021")</f>
        <v/>
      </c>
    </row>
    <row r="178" ht="15" customHeight="1">
      <c r="A178" t="inlineStr">
        <is>
          <t>A 50826-2021</t>
        </is>
      </c>
      <c r="B178" s="1" t="n">
        <v>44460.49819444444</v>
      </c>
      <c r="C178" s="1" t="n">
        <v>45932</v>
      </c>
      <c r="D178" t="inlineStr">
        <is>
          <t>VÄRMLANDS LÄN</t>
        </is>
      </c>
      <c r="E178" t="inlineStr">
        <is>
          <t>KARLSTAD</t>
        </is>
      </c>
      <c r="F178" t="inlineStr">
        <is>
          <t>Kommuner</t>
        </is>
      </c>
      <c r="G178" t="n">
        <v>0.9</v>
      </c>
      <c r="H178" t="n">
        <v>1</v>
      </c>
      <c r="I178" t="n">
        <v>1</v>
      </c>
      <c r="J178" t="n">
        <v>1</v>
      </c>
      <c r="K178" t="n">
        <v>0</v>
      </c>
      <c r="L178" t="n">
        <v>0</v>
      </c>
      <c r="M178" t="n">
        <v>0</v>
      </c>
      <c r="N178" t="n">
        <v>0</v>
      </c>
      <c r="O178" t="n">
        <v>1</v>
      </c>
      <c r="P178" t="n">
        <v>0</v>
      </c>
      <c r="Q178" t="n">
        <v>2</v>
      </c>
      <c r="R178" s="2" t="inlineStr">
        <is>
          <t>Spillkråka
Flagellkvastmossa</t>
        </is>
      </c>
      <c r="S178">
        <f>HYPERLINK("https://klasma.github.io/Logging_1780/artfynd/A 50826-2021 artfynd.xlsx", "A 50826-2021")</f>
        <v/>
      </c>
      <c r="T178">
        <f>HYPERLINK("https://klasma.github.io/Logging_1780/kartor/A 50826-2021 karta.png", "A 50826-2021")</f>
        <v/>
      </c>
      <c r="V178">
        <f>HYPERLINK("https://klasma.github.io/Logging_1780/klagomål/A 50826-2021 FSC-klagomål.docx", "A 50826-2021")</f>
        <v/>
      </c>
      <c r="W178">
        <f>HYPERLINK("https://klasma.github.io/Logging_1780/klagomålsmail/A 50826-2021 FSC-klagomål mail.docx", "A 50826-2021")</f>
        <v/>
      </c>
      <c r="X178">
        <f>HYPERLINK("https://klasma.github.io/Logging_1780/tillsyn/A 50826-2021 tillsynsbegäran.docx", "A 50826-2021")</f>
        <v/>
      </c>
      <c r="Y178">
        <f>HYPERLINK("https://klasma.github.io/Logging_1780/tillsynsmail/A 50826-2021 tillsynsbegäran mail.docx", "A 50826-2021")</f>
        <v/>
      </c>
      <c r="Z178">
        <f>HYPERLINK("https://klasma.github.io/Logging_1780/fåglar/A 50826-2021 prioriterade fågelarter.docx", "A 50826-2021")</f>
        <v/>
      </c>
    </row>
    <row r="179" ht="15" customHeight="1">
      <c r="A179" t="inlineStr">
        <is>
          <t>A 51253-2022</t>
        </is>
      </c>
      <c r="B179" s="1" t="n">
        <v>44868.67020833334</v>
      </c>
      <c r="C179" s="1" t="n">
        <v>45932</v>
      </c>
      <c r="D179" t="inlineStr">
        <is>
          <t>VÄRMLANDS LÄN</t>
        </is>
      </c>
      <c r="E179" t="inlineStr">
        <is>
          <t>EDA</t>
        </is>
      </c>
      <c r="G179" t="n">
        <v>8.9</v>
      </c>
      <c r="H179" t="n">
        <v>0</v>
      </c>
      <c r="I179" t="n">
        <v>1</v>
      </c>
      <c r="J179" t="n">
        <v>1</v>
      </c>
      <c r="K179" t="n">
        <v>0</v>
      </c>
      <c r="L179" t="n">
        <v>0</v>
      </c>
      <c r="M179" t="n">
        <v>0</v>
      </c>
      <c r="N179" t="n">
        <v>0</v>
      </c>
      <c r="O179" t="n">
        <v>1</v>
      </c>
      <c r="P179" t="n">
        <v>0</v>
      </c>
      <c r="Q179" t="n">
        <v>2</v>
      </c>
      <c r="R179" s="2" t="inlineStr">
        <is>
          <t>Garnlav
Dropptaggsvamp</t>
        </is>
      </c>
      <c r="S179">
        <f>HYPERLINK("https://klasma.github.io/Logging_1730/artfynd/A 51253-2022 artfynd.xlsx", "A 51253-2022")</f>
        <v/>
      </c>
      <c r="T179">
        <f>HYPERLINK("https://klasma.github.io/Logging_1730/kartor/A 51253-2022 karta.png", "A 51253-2022")</f>
        <v/>
      </c>
      <c r="V179">
        <f>HYPERLINK("https://klasma.github.io/Logging_1730/klagomål/A 51253-2022 FSC-klagomål.docx", "A 51253-2022")</f>
        <v/>
      </c>
      <c r="W179">
        <f>HYPERLINK("https://klasma.github.io/Logging_1730/klagomålsmail/A 51253-2022 FSC-klagomål mail.docx", "A 51253-2022")</f>
        <v/>
      </c>
      <c r="X179">
        <f>HYPERLINK("https://klasma.github.io/Logging_1730/tillsyn/A 51253-2022 tillsynsbegäran.docx", "A 51253-2022")</f>
        <v/>
      </c>
      <c r="Y179">
        <f>HYPERLINK("https://klasma.github.io/Logging_1730/tillsynsmail/A 51253-2022 tillsynsbegäran mail.docx", "A 51253-2022")</f>
        <v/>
      </c>
    </row>
    <row r="180" ht="15" customHeight="1">
      <c r="A180" t="inlineStr">
        <is>
          <t>A 65319-2021</t>
        </is>
      </c>
      <c r="B180" s="1" t="n">
        <v>44515</v>
      </c>
      <c r="C180" s="1" t="n">
        <v>45932</v>
      </c>
      <c r="D180" t="inlineStr">
        <is>
          <t>VÄRMLANDS LÄN</t>
        </is>
      </c>
      <c r="E180" t="inlineStr">
        <is>
          <t>ÅRJÄNG</t>
        </is>
      </c>
      <c r="G180" t="n">
        <v>4.9</v>
      </c>
      <c r="H180" t="n">
        <v>0</v>
      </c>
      <c r="I180" t="n">
        <v>0</v>
      </c>
      <c r="J180" t="n">
        <v>2</v>
      </c>
      <c r="K180" t="n">
        <v>0</v>
      </c>
      <c r="L180" t="n">
        <v>0</v>
      </c>
      <c r="M180" t="n">
        <v>0</v>
      </c>
      <c r="N180" t="n">
        <v>0</v>
      </c>
      <c r="O180" t="n">
        <v>2</v>
      </c>
      <c r="P180" t="n">
        <v>0</v>
      </c>
      <c r="Q180" t="n">
        <v>2</v>
      </c>
      <c r="R180" s="2" t="inlineStr">
        <is>
          <t>Garnlav
Lunglav</t>
        </is>
      </c>
      <c r="S180">
        <f>HYPERLINK("https://klasma.github.io/Logging_1765/artfynd/A 65319-2021 artfynd.xlsx", "A 65319-2021")</f>
        <v/>
      </c>
      <c r="T180">
        <f>HYPERLINK("https://klasma.github.io/Logging_1765/kartor/A 65319-2021 karta.png", "A 65319-2021")</f>
        <v/>
      </c>
      <c r="U180">
        <f>HYPERLINK("https://klasma.github.io/Logging_1765/knärot/A 65319-2021 karta knärot.png", "A 65319-2021")</f>
        <v/>
      </c>
      <c r="V180">
        <f>HYPERLINK("https://klasma.github.io/Logging_1765/klagomål/A 65319-2021 FSC-klagomål.docx", "A 65319-2021")</f>
        <v/>
      </c>
      <c r="W180">
        <f>HYPERLINK("https://klasma.github.io/Logging_1765/klagomålsmail/A 65319-2021 FSC-klagomål mail.docx", "A 65319-2021")</f>
        <v/>
      </c>
      <c r="X180">
        <f>HYPERLINK("https://klasma.github.io/Logging_1765/tillsyn/A 65319-2021 tillsynsbegäran.docx", "A 65319-2021")</f>
        <v/>
      </c>
      <c r="Y180">
        <f>HYPERLINK("https://klasma.github.io/Logging_1765/tillsynsmail/A 65319-2021 tillsynsbegäran mail.docx", "A 65319-2021")</f>
        <v/>
      </c>
    </row>
    <row r="181" ht="15" customHeight="1">
      <c r="A181" t="inlineStr">
        <is>
          <t>A 51666-2020</t>
        </is>
      </c>
      <c r="B181" s="1" t="n">
        <v>44113.67015046296</v>
      </c>
      <c r="C181" s="1" t="n">
        <v>45932</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13548-2022</t>
        </is>
      </c>
      <c r="B182" s="1" t="n">
        <v>44648</v>
      </c>
      <c r="C182" s="1" t="n">
        <v>45932</v>
      </c>
      <c r="D182" t="inlineStr">
        <is>
          <t>VÄRMLANDS LÄN</t>
        </is>
      </c>
      <c r="E182" t="inlineStr">
        <is>
          <t>KARLSTAD</t>
        </is>
      </c>
      <c r="F182" t="inlineStr">
        <is>
          <t>Bergvik skog väst AB</t>
        </is>
      </c>
      <c r="G182" t="n">
        <v>15.9</v>
      </c>
      <c r="H182" t="n">
        <v>1</v>
      </c>
      <c r="I182" t="n">
        <v>0</v>
      </c>
      <c r="J182" t="n">
        <v>1</v>
      </c>
      <c r="K182" t="n">
        <v>0</v>
      </c>
      <c r="L182" t="n">
        <v>0</v>
      </c>
      <c r="M182" t="n">
        <v>0</v>
      </c>
      <c r="N182" t="n">
        <v>0</v>
      </c>
      <c r="O182" t="n">
        <v>1</v>
      </c>
      <c r="P182" t="n">
        <v>0</v>
      </c>
      <c r="Q182" t="n">
        <v>2</v>
      </c>
      <c r="R182" s="2" t="inlineStr">
        <is>
          <t>Motaggsvamp
Tjäder</t>
        </is>
      </c>
      <c r="S182">
        <f>HYPERLINK("https://klasma.github.io/Logging_1780/artfynd/A 13548-2022 artfynd.xlsx", "A 13548-2022")</f>
        <v/>
      </c>
      <c r="T182">
        <f>HYPERLINK("https://klasma.github.io/Logging_1780/kartor/A 13548-2022 karta.png", "A 13548-2022")</f>
        <v/>
      </c>
      <c r="V182">
        <f>HYPERLINK("https://klasma.github.io/Logging_1780/klagomål/A 13548-2022 FSC-klagomål.docx", "A 13548-2022")</f>
        <v/>
      </c>
      <c r="W182">
        <f>HYPERLINK("https://klasma.github.io/Logging_1780/klagomålsmail/A 13548-2022 FSC-klagomål mail.docx", "A 13548-2022")</f>
        <v/>
      </c>
      <c r="X182">
        <f>HYPERLINK("https://klasma.github.io/Logging_1780/tillsyn/A 13548-2022 tillsynsbegäran.docx", "A 13548-2022")</f>
        <v/>
      </c>
      <c r="Y182">
        <f>HYPERLINK("https://klasma.github.io/Logging_1780/tillsynsmail/A 13548-2022 tillsynsbegäran mail.docx", "A 13548-2022")</f>
        <v/>
      </c>
      <c r="Z182">
        <f>HYPERLINK("https://klasma.github.io/Logging_1780/fåglar/A 13548-2022 prioriterade fågelarter.docx", "A 13548-2022")</f>
        <v/>
      </c>
    </row>
    <row r="183" ht="15" customHeight="1">
      <c r="A183" t="inlineStr">
        <is>
          <t>A 573-2022</t>
        </is>
      </c>
      <c r="B183" s="1" t="n">
        <v>44566</v>
      </c>
      <c r="C183" s="1" t="n">
        <v>45932</v>
      </c>
      <c r="D183" t="inlineStr">
        <is>
          <t>VÄRMLANDS LÄN</t>
        </is>
      </c>
      <c r="E183" t="inlineStr">
        <is>
          <t>SUNNE</t>
        </is>
      </c>
      <c r="G183" t="n">
        <v>7.1</v>
      </c>
      <c r="H183" t="n">
        <v>1</v>
      </c>
      <c r="I183" t="n">
        <v>2</v>
      </c>
      <c r="J183" t="n">
        <v>0</v>
      </c>
      <c r="K183" t="n">
        <v>0</v>
      </c>
      <c r="L183" t="n">
        <v>0</v>
      </c>
      <c r="M183" t="n">
        <v>0</v>
      </c>
      <c r="N183" t="n">
        <v>0</v>
      </c>
      <c r="O183" t="n">
        <v>0</v>
      </c>
      <c r="P183" t="n">
        <v>0</v>
      </c>
      <c r="Q183" t="n">
        <v>2</v>
      </c>
      <c r="R183" s="2" t="inlineStr">
        <is>
          <t>Grön sköldmossa
Stubbspretmossa</t>
        </is>
      </c>
      <c r="S183">
        <f>HYPERLINK("https://klasma.github.io/Logging_1766/artfynd/A 573-2022 artfynd.xlsx", "A 573-2022")</f>
        <v/>
      </c>
      <c r="T183">
        <f>HYPERLINK("https://klasma.github.io/Logging_1766/kartor/A 573-2022 karta.png", "A 573-2022")</f>
        <v/>
      </c>
      <c r="V183">
        <f>HYPERLINK("https://klasma.github.io/Logging_1766/klagomål/A 573-2022 FSC-klagomål.docx", "A 573-2022")</f>
        <v/>
      </c>
      <c r="W183">
        <f>HYPERLINK("https://klasma.github.io/Logging_1766/klagomålsmail/A 573-2022 FSC-klagomål mail.docx", "A 573-2022")</f>
        <v/>
      </c>
      <c r="X183">
        <f>HYPERLINK("https://klasma.github.io/Logging_1766/tillsyn/A 573-2022 tillsynsbegäran.docx", "A 573-2022")</f>
        <v/>
      </c>
      <c r="Y183">
        <f>HYPERLINK("https://klasma.github.io/Logging_1766/tillsynsmail/A 573-2022 tillsynsbegäran mail.docx", "A 573-2022")</f>
        <v/>
      </c>
    </row>
    <row r="184" ht="15" customHeight="1">
      <c r="A184" t="inlineStr">
        <is>
          <t>A 11581-2021</t>
        </is>
      </c>
      <c r="B184" s="1" t="n">
        <v>44264</v>
      </c>
      <c r="C184" s="1" t="n">
        <v>45932</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53198-2020</t>
        </is>
      </c>
      <c r="B185" s="1" t="n">
        <v>44122</v>
      </c>
      <c r="C185" s="1" t="n">
        <v>45932</v>
      </c>
      <c r="D185" t="inlineStr">
        <is>
          <t>VÄRMLANDS LÄN</t>
        </is>
      </c>
      <c r="E185" t="inlineStr">
        <is>
          <t>TORSBY</t>
        </is>
      </c>
      <c r="G185" t="n">
        <v>6.5</v>
      </c>
      <c r="H185" t="n">
        <v>0</v>
      </c>
      <c r="I185" t="n">
        <v>0</v>
      </c>
      <c r="J185" t="n">
        <v>2</v>
      </c>
      <c r="K185" t="n">
        <v>0</v>
      </c>
      <c r="L185" t="n">
        <v>0</v>
      </c>
      <c r="M185" t="n">
        <v>0</v>
      </c>
      <c r="N185" t="n">
        <v>0</v>
      </c>
      <c r="O185" t="n">
        <v>2</v>
      </c>
      <c r="P185" t="n">
        <v>0</v>
      </c>
      <c r="Q185" t="n">
        <v>2</v>
      </c>
      <c r="R185" s="2" t="inlineStr">
        <is>
          <t>Garnlav
Kolflarnlav</t>
        </is>
      </c>
      <c r="S185">
        <f>HYPERLINK("https://klasma.github.io/Logging_1737/artfynd/A 53198-2020 artfynd.xlsx", "A 53198-2020")</f>
        <v/>
      </c>
      <c r="T185">
        <f>HYPERLINK("https://klasma.github.io/Logging_1737/kartor/A 53198-2020 karta.png", "A 53198-2020")</f>
        <v/>
      </c>
      <c r="V185">
        <f>HYPERLINK("https://klasma.github.io/Logging_1737/klagomål/A 53198-2020 FSC-klagomål.docx", "A 53198-2020")</f>
        <v/>
      </c>
      <c r="W185">
        <f>HYPERLINK("https://klasma.github.io/Logging_1737/klagomålsmail/A 53198-2020 FSC-klagomål mail.docx", "A 53198-2020")</f>
        <v/>
      </c>
      <c r="X185">
        <f>HYPERLINK("https://klasma.github.io/Logging_1737/tillsyn/A 53198-2020 tillsynsbegäran.docx", "A 53198-2020")</f>
        <v/>
      </c>
      <c r="Y185">
        <f>HYPERLINK("https://klasma.github.io/Logging_1737/tillsynsmail/A 53198-2020 tillsynsbegäran mail.docx", "A 53198-2020")</f>
        <v/>
      </c>
    </row>
    <row r="186" ht="15" customHeight="1">
      <c r="A186" t="inlineStr">
        <is>
          <t>A 69928-2021</t>
        </is>
      </c>
      <c r="B186" s="1" t="n">
        <v>44533</v>
      </c>
      <c r="C186" s="1" t="n">
        <v>45932</v>
      </c>
      <c r="D186" t="inlineStr">
        <is>
          <t>VÄRMLANDS LÄN</t>
        </is>
      </c>
      <c r="E186" t="inlineStr">
        <is>
          <t>ARVIKA</t>
        </is>
      </c>
      <c r="G186" t="n">
        <v>1.9</v>
      </c>
      <c r="H186" t="n">
        <v>0</v>
      </c>
      <c r="I186" t="n">
        <v>1</v>
      </c>
      <c r="J186" t="n">
        <v>1</v>
      </c>
      <c r="K186" t="n">
        <v>0</v>
      </c>
      <c r="L186" t="n">
        <v>0</v>
      </c>
      <c r="M186" t="n">
        <v>0</v>
      </c>
      <c r="N186" t="n">
        <v>0</v>
      </c>
      <c r="O186" t="n">
        <v>1</v>
      </c>
      <c r="P186" t="n">
        <v>0</v>
      </c>
      <c r="Q186" t="n">
        <v>2</v>
      </c>
      <c r="R186" s="2" t="inlineStr">
        <is>
          <t>Orange taggsvamp
Rödgul trumpetsvamp</t>
        </is>
      </c>
      <c r="S186">
        <f>HYPERLINK("https://klasma.github.io/Logging_1784/artfynd/A 69928-2021 artfynd.xlsx", "A 69928-2021")</f>
        <v/>
      </c>
      <c r="T186">
        <f>HYPERLINK("https://klasma.github.io/Logging_1784/kartor/A 69928-2021 karta.png", "A 69928-2021")</f>
        <v/>
      </c>
      <c r="V186">
        <f>HYPERLINK("https://klasma.github.io/Logging_1784/klagomål/A 69928-2021 FSC-klagomål.docx", "A 69928-2021")</f>
        <v/>
      </c>
      <c r="W186">
        <f>HYPERLINK("https://klasma.github.io/Logging_1784/klagomålsmail/A 69928-2021 FSC-klagomål mail.docx", "A 69928-2021")</f>
        <v/>
      </c>
      <c r="X186">
        <f>HYPERLINK("https://klasma.github.io/Logging_1784/tillsyn/A 69928-2021 tillsynsbegäran.docx", "A 69928-2021")</f>
        <v/>
      </c>
      <c r="Y186">
        <f>HYPERLINK("https://klasma.github.io/Logging_1784/tillsynsmail/A 69928-2021 tillsynsbegäran mail.docx", "A 69928-2021")</f>
        <v/>
      </c>
    </row>
    <row r="187" ht="15" customHeight="1">
      <c r="A187" t="inlineStr">
        <is>
          <t>A 53155-2022</t>
        </is>
      </c>
      <c r="B187" s="1" t="n">
        <v>44876</v>
      </c>
      <c r="C187" s="1" t="n">
        <v>45932</v>
      </c>
      <c r="D187" t="inlineStr">
        <is>
          <t>VÄRMLANDS LÄN</t>
        </is>
      </c>
      <c r="E187" t="inlineStr">
        <is>
          <t>KARLSTAD</t>
        </is>
      </c>
      <c r="G187" t="n">
        <v>32.8</v>
      </c>
      <c r="H187" t="n">
        <v>2</v>
      </c>
      <c r="I187" t="n">
        <v>0</v>
      </c>
      <c r="J187" t="n">
        <v>1</v>
      </c>
      <c r="K187" t="n">
        <v>0</v>
      </c>
      <c r="L187" t="n">
        <v>0</v>
      </c>
      <c r="M187" t="n">
        <v>0</v>
      </c>
      <c r="N187" t="n">
        <v>0</v>
      </c>
      <c r="O187" t="n">
        <v>1</v>
      </c>
      <c r="P187" t="n">
        <v>0</v>
      </c>
      <c r="Q187" t="n">
        <v>2</v>
      </c>
      <c r="R187" s="2" t="inlineStr">
        <is>
          <t>Gulsparv
Trana</t>
        </is>
      </c>
      <c r="S187">
        <f>HYPERLINK("https://klasma.github.io/Logging_1780/artfynd/A 53155-2022 artfynd.xlsx", "A 53155-2022")</f>
        <v/>
      </c>
      <c r="T187">
        <f>HYPERLINK("https://klasma.github.io/Logging_1780/kartor/A 53155-2022 karta.png", "A 53155-2022")</f>
        <v/>
      </c>
      <c r="V187">
        <f>HYPERLINK("https://klasma.github.io/Logging_1780/klagomål/A 53155-2022 FSC-klagomål.docx", "A 53155-2022")</f>
        <v/>
      </c>
      <c r="W187">
        <f>HYPERLINK("https://klasma.github.io/Logging_1780/klagomålsmail/A 53155-2022 FSC-klagomål mail.docx", "A 53155-2022")</f>
        <v/>
      </c>
      <c r="X187">
        <f>HYPERLINK("https://klasma.github.io/Logging_1780/tillsyn/A 53155-2022 tillsynsbegäran.docx", "A 53155-2022")</f>
        <v/>
      </c>
      <c r="Y187">
        <f>HYPERLINK("https://klasma.github.io/Logging_1780/tillsynsmail/A 53155-2022 tillsynsbegäran mail.docx", "A 53155-2022")</f>
        <v/>
      </c>
      <c r="Z187">
        <f>HYPERLINK("https://klasma.github.io/Logging_1780/fåglar/A 53155-2022 prioriterade fågelarter.docx", "A 53155-2022")</f>
        <v/>
      </c>
    </row>
    <row r="188" ht="15" customHeight="1">
      <c r="A188" t="inlineStr">
        <is>
          <t>A 51769-2022</t>
        </is>
      </c>
      <c r="B188" s="1" t="n">
        <v>44872</v>
      </c>
      <c r="C188" s="1" t="n">
        <v>45932</v>
      </c>
      <c r="D188" t="inlineStr">
        <is>
          <t>VÄRMLANDS LÄN</t>
        </is>
      </c>
      <c r="E188" t="inlineStr">
        <is>
          <t>ARVIKA</t>
        </is>
      </c>
      <c r="F188" t="inlineStr">
        <is>
          <t>Kyrkan</t>
        </is>
      </c>
      <c r="G188" t="n">
        <v>1.9</v>
      </c>
      <c r="H188" t="n">
        <v>1</v>
      </c>
      <c r="I188" t="n">
        <v>1</v>
      </c>
      <c r="J188" t="n">
        <v>0</v>
      </c>
      <c r="K188" t="n">
        <v>1</v>
      </c>
      <c r="L188" t="n">
        <v>0</v>
      </c>
      <c r="M188" t="n">
        <v>0</v>
      </c>
      <c r="N188" t="n">
        <v>0</v>
      </c>
      <c r="O188" t="n">
        <v>1</v>
      </c>
      <c r="P188" t="n">
        <v>1</v>
      </c>
      <c r="Q188" t="n">
        <v>2</v>
      </c>
      <c r="R188" s="2" t="inlineStr">
        <is>
          <t>Knärot
Grönpyrola</t>
        </is>
      </c>
      <c r="S188">
        <f>HYPERLINK("https://klasma.github.io/Logging_1784/artfynd/A 51769-2022 artfynd.xlsx", "A 51769-2022")</f>
        <v/>
      </c>
      <c r="T188">
        <f>HYPERLINK("https://klasma.github.io/Logging_1784/kartor/A 51769-2022 karta.png", "A 51769-2022")</f>
        <v/>
      </c>
      <c r="U188">
        <f>HYPERLINK("https://klasma.github.io/Logging_1784/knärot/A 51769-2022 karta knärot.png", "A 51769-2022")</f>
        <v/>
      </c>
      <c r="V188">
        <f>HYPERLINK("https://klasma.github.io/Logging_1784/klagomål/A 51769-2022 FSC-klagomål.docx", "A 51769-2022")</f>
        <v/>
      </c>
      <c r="W188">
        <f>HYPERLINK("https://klasma.github.io/Logging_1784/klagomålsmail/A 51769-2022 FSC-klagomål mail.docx", "A 51769-2022")</f>
        <v/>
      </c>
      <c r="X188">
        <f>HYPERLINK("https://klasma.github.io/Logging_1784/tillsyn/A 51769-2022 tillsynsbegäran.docx", "A 51769-2022")</f>
        <v/>
      </c>
      <c r="Y188">
        <f>HYPERLINK("https://klasma.github.io/Logging_1784/tillsynsmail/A 51769-2022 tillsynsbegäran mail.docx", "A 51769-2022")</f>
        <v/>
      </c>
    </row>
    <row r="189" ht="15" customHeight="1">
      <c r="A189" t="inlineStr">
        <is>
          <t>A 54073-2021</t>
        </is>
      </c>
      <c r="B189" s="1" t="n">
        <v>44470</v>
      </c>
      <c r="C189" s="1" t="n">
        <v>45932</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45932</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45932</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67351-2020</t>
        </is>
      </c>
      <c r="B192" s="1" t="n">
        <v>44181.47671296296</v>
      </c>
      <c r="C192" s="1" t="n">
        <v>45932</v>
      </c>
      <c r="D192" t="inlineStr">
        <is>
          <t>VÄRMLANDS LÄN</t>
        </is>
      </c>
      <c r="E192" t="inlineStr">
        <is>
          <t>GRUMS</t>
        </is>
      </c>
      <c r="G192" t="n">
        <v>2.3</v>
      </c>
      <c r="H192" t="n">
        <v>0</v>
      </c>
      <c r="I192" t="n">
        <v>2</v>
      </c>
      <c r="J192" t="n">
        <v>0</v>
      </c>
      <c r="K192" t="n">
        <v>0</v>
      </c>
      <c r="L192" t="n">
        <v>0</v>
      </c>
      <c r="M192" t="n">
        <v>0</v>
      </c>
      <c r="N192" t="n">
        <v>0</v>
      </c>
      <c r="O192" t="n">
        <v>0</v>
      </c>
      <c r="P192" t="n">
        <v>0</v>
      </c>
      <c r="Q192" t="n">
        <v>2</v>
      </c>
      <c r="R192" s="2" t="inlineStr">
        <is>
          <t>Björksplintborre
Bronshjon</t>
        </is>
      </c>
      <c r="S192">
        <f>HYPERLINK("https://klasma.github.io/Logging_1764/artfynd/A 67351-2020 artfynd.xlsx", "A 67351-2020")</f>
        <v/>
      </c>
      <c r="T192">
        <f>HYPERLINK("https://klasma.github.io/Logging_1764/kartor/A 67351-2020 karta.png", "A 67351-2020")</f>
        <v/>
      </c>
      <c r="V192">
        <f>HYPERLINK("https://klasma.github.io/Logging_1764/klagomål/A 67351-2020 FSC-klagomål.docx", "A 67351-2020")</f>
        <v/>
      </c>
      <c r="W192">
        <f>HYPERLINK("https://klasma.github.io/Logging_1764/klagomålsmail/A 67351-2020 FSC-klagomål mail.docx", "A 67351-2020")</f>
        <v/>
      </c>
      <c r="X192">
        <f>HYPERLINK("https://klasma.github.io/Logging_1764/tillsyn/A 67351-2020 tillsynsbegäran.docx", "A 67351-2020")</f>
        <v/>
      </c>
      <c r="Y192">
        <f>HYPERLINK("https://klasma.github.io/Logging_1764/tillsynsmail/A 67351-2020 tillsynsbegäran mail.docx", "A 67351-2020")</f>
        <v/>
      </c>
    </row>
    <row r="193" ht="15" customHeight="1">
      <c r="A193" t="inlineStr">
        <is>
          <t>A 50102-2022</t>
        </is>
      </c>
      <c r="B193" s="1" t="n">
        <v>44865</v>
      </c>
      <c r="C193" s="1" t="n">
        <v>45932</v>
      </c>
      <c r="D193" t="inlineStr">
        <is>
          <t>VÄRMLANDS LÄN</t>
        </is>
      </c>
      <c r="E193" t="inlineStr">
        <is>
          <t>EDA</t>
        </is>
      </c>
      <c r="G193" t="n">
        <v>2.6</v>
      </c>
      <c r="H193" t="n">
        <v>0</v>
      </c>
      <c r="I193" t="n">
        <v>1</v>
      </c>
      <c r="J193" t="n">
        <v>1</v>
      </c>
      <c r="K193" t="n">
        <v>0</v>
      </c>
      <c r="L193" t="n">
        <v>0</v>
      </c>
      <c r="M193" t="n">
        <v>0</v>
      </c>
      <c r="N193" t="n">
        <v>0</v>
      </c>
      <c r="O193" t="n">
        <v>1</v>
      </c>
      <c r="P193" t="n">
        <v>0</v>
      </c>
      <c r="Q193" t="n">
        <v>2</v>
      </c>
      <c r="R193" s="2" t="inlineStr">
        <is>
          <t>Ullticka
Tibast</t>
        </is>
      </c>
      <c r="S193">
        <f>HYPERLINK("https://klasma.github.io/Logging_1730/artfynd/A 50102-2022 artfynd.xlsx", "A 50102-2022")</f>
        <v/>
      </c>
      <c r="T193">
        <f>HYPERLINK("https://klasma.github.io/Logging_1730/kartor/A 50102-2022 karta.png", "A 50102-2022")</f>
        <v/>
      </c>
      <c r="V193">
        <f>HYPERLINK("https://klasma.github.io/Logging_1730/klagomål/A 50102-2022 FSC-klagomål.docx", "A 50102-2022")</f>
        <v/>
      </c>
      <c r="W193">
        <f>HYPERLINK("https://klasma.github.io/Logging_1730/klagomålsmail/A 50102-2022 FSC-klagomål mail.docx", "A 50102-2022")</f>
        <v/>
      </c>
      <c r="X193">
        <f>HYPERLINK("https://klasma.github.io/Logging_1730/tillsyn/A 50102-2022 tillsynsbegäran.docx", "A 50102-2022")</f>
        <v/>
      </c>
      <c r="Y193">
        <f>HYPERLINK("https://klasma.github.io/Logging_1730/tillsynsmail/A 50102-2022 tillsynsbegäran mail.docx", "A 50102-2022")</f>
        <v/>
      </c>
    </row>
    <row r="194" ht="15" customHeight="1">
      <c r="A194" t="inlineStr">
        <is>
          <t>A 1524-2021</t>
        </is>
      </c>
      <c r="B194" s="1" t="n">
        <v>44209</v>
      </c>
      <c r="C194" s="1" t="n">
        <v>45932</v>
      </c>
      <c r="D194" t="inlineStr">
        <is>
          <t>VÄRMLANDS LÄN</t>
        </is>
      </c>
      <c r="E194" t="inlineStr">
        <is>
          <t>TORSBY</t>
        </is>
      </c>
      <c r="G194" t="n">
        <v>1</v>
      </c>
      <c r="H194" t="n">
        <v>0</v>
      </c>
      <c r="I194" t="n">
        <v>2</v>
      </c>
      <c r="J194" t="n">
        <v>0</v>
      </c>
      <c r="K194" t="n">
        <v>0</v>
      </c>
      <c r="L194" t="n">
        <v>0</v>
      </c>
      <c r="M194" t="n">
        <v>0</v>
      </c>
      <c r="N194" t="n">
        <v>0</v>
      </c>
      <c r="O194" t="n">
        <v>0</v>
      </c>
      <c r="P194" t="n">
        <v>0</v>
      </c>
      <c r="Q194" t="n">
        <v>2</v>
      </c>
      <c r="R194" s="2" t="inlineStr">
        <is>
          <t>Dropptaggsvamp
Skarp dropptaggsvamp</t>
        </is>
      </c>
      <c r="S194">
        <f>HYPERLINK("https://klasma.github.io/Logging_1737/artfynd/A 1524-2021 artfynd.xlsx", "A 1524-2021")</f>
        <v/>
      </c>
      <c r="T194">
        <f>HYPERLINK("https://klasma.github.io/Logging_1737/kartor/A 1524-2021 karta.png", "A 1524-2021")</f>
        <v/>
      </c>
      <c r="V194">
        <f>HYPERLINK("https://klasma.github.io/Logging_1737/klagomål/A 1524-2021 FSC-klagomål.docx", "A 1524-2021")</f>
        <v/>
      </c>
      <c r="W194">
        <f>HYPERLINK("https://klasma.github.io/Logging_1737/klagomålsmail/A 1524-2021 FSC-klagomål mail.docx", "A 1524-2021")</f>
        <v/>
      </c>
      <c r="X194">
        <f>HYPERLINK("https://klasma.github.io/Logging_1737/tillsyn/A 1524-2021 tillsynsbegäran.docx", "A 1524-2021")</f>
        <v/>
      </c>
      <c r="Y194">
        <f>HYPERLINK("https://klasma.github.io/Logging_1737/tillsynsmail/A 1524-2021 tillsynsbegäran mail.docx", "A 1524-2021")</f>
        <v/>
      </c>
    </row>
    <row r="195" ht="15" customHeight="1">
      <c r="A195" t="inlineStr">
        <is>
          <t>A 22174-2022</t>
        </is>
      </c>
      <c r="B195" s="1" t="n">
        <v>44712</v>
      </c>
      <c r="C195" s="1" t="n">
        <v>45932</v>
      </c>
      <c r="D195" t="inlineStr">
        <is>
          <t>VÄRMLANDS LÄN</t>
        </is>
      </c>
      <c r="E195" t="inlineStr">
        <is>
          <t>TORSBY</t>
        </is>
      </c>
      <c r="G195" t="n">
        <v>11</v>
      </c>
      <c r="H195" t="n">
        <v>1</v>
      </c>
      <c r="I195" t="n">
        <v>1</v>
      </c>
      <c r="J195" t="n">
        <v>0</v>
      </c>
      <c r="K195" t="n">
        <v>0</v>
      </c>
      <c r="L195" t="n">
        <v>0</v>
      </c>
      <c r="M195" t="n">
        <v>0</v>
      </c>
      <c r="N195" t="n">
        <v>0</v>
      </c>
      <c r="O195" t="n">
        <v>0</v>
      </c>
      <c r="P195" t="n">
        <v>0</v>
      </c>
      <c r="Q195" t="n">
        <v>2</v>
      </c>
      <c r="R195" s="2" t="inlineStr">
        <is>
          <t>Svart trolldruva
Revlummer</t>
        </is>
      </c>
      <c r="S195">
        <f>HYPERLINK("https://klasma.github.io/Logging_1737/artfynd/A 22174-2022 artfynd.xlsx", "A 22174-2022")</f>
        <v/>
      </c>
      <c r="T195">
        <f>HYPERLINK("https://klasma.github.io/Logging_1737/kartor/A 22174-2022 karta.png", "A 22174-2022")</f>
        <v/>
      </c>
      <c r="V195">
        <f>HYPERLINK("https://klasma.github.io/Logging_1737/klagomål/A 22174-2022 FSC-klagomål.docx", "A 22174-2022")</f>
        <v/>
      </c>
      <c r="W195">
        <f>HYPERLINK("https://klasma.github.io/Logging_1737/klagomålsmail/A 22174-2022 FSC-klagomål mail.docx", "A 22174-2022")</f>
        <v/>
      </c>
      <c r="X195">
        <f>HYPERLINK("https://klasma.github.io/Logging_1737/tillsyn/A 22174-2022 tillsynsbegäran.docx", "A 22174-2022")</f>
        <v/>
      </c>
      <c r="Y195">
        <f>HYPERLINK("https://klasma.github.io/Logging_1737/tillsynsmail/A 22174-2022 tillsynsbegäran mail.docx", "A 22174-2022")</f>
        <v/>
      </c>
    </row>
    <row r="196" ht="15" customHeight="1">
      <c r="A196" t="inlineStr">
        <is>
          <t>A 39251-2023</t>
        </is>
      </c>
      <c r="B196" s="1" t="n">
        <v>45166.47168981482</v>
      </c>
      <c r="C196" s="1" t="n">
        <v>45932</v>
      </c>
      <c r="D196" t="inlineStr">
        <is>
          <t>VÄRMLANDS LÄN</t>
        </is>
      </c>
      <c r="E196" t="inlineStr">
        <is>
          <t>ÅRJÄNG</t>
        </is>
      </c>
      <c r="F196" t="inlineStr">
        <is>
          <t>Kyrkan</t>
        </is>
      </c>
      <c r="G196" t="n">
        <v>5.1</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HYPERLINK("https://klasma.github.io/Logging_1765/artfynd/A 39251-2023 artfynd.xlsx", "A 39251-2023")</f>
        <v/>
      </c>
      <c r="T196">
        <f>HYPERLINK("https://klasma.github.io/Logging_1765/kartor/A 39251-2023 karta.png", "A 39251-2023")</f>
        <v/>
      </c>
      <c r="V196">
        <f>HYPERLINK("https://klasma.github.io/Logging_1765/klagomål/A 39251-2023 FSC-klagomål.docx", "A 39251-2023")</f>
        <v/>
      </c>
      <c r="W196">
        <f>HYPERLINK("https://klasma.github.io/Logging_1765/klagomålsmail/A 39251-2023 FSC-klagomål mail.docx", "A 39251-2023")</f>
        <v/>
      </c>
      <c r="X196">
        <f>HYPERLINK("https://klasma.github.io/Logging_1765/tillsyn/A 39251-2023 tillsynsbegäran.docx", "A 39251-2023")</f>
        <v/>
      </c>
      <c r="Y196">
        <f>HYPERLINK("https://klasma.github.io/Logging_1765/tillsynsmail/A 39251-2023 tillsynsbegäran mail.docx", "A 39251-2023")</f>
        <v/>
      </c>
    </row>
    <row r="197" ht="15" customHeight="1">
      <c r="A197" t="inlineStr">
        <is>
          <t>A 51072-2021</t>
        </is>
      </c>
      <c r="B197" s="1" t="n">
        <v>44461</v>
      </c>
      <c r="C197" s="1" t="n">
        <v>45932</v>
      </c>
      <c r="D197" t="inlineStr">
        <is>
          <t>VÄRMLANDS LÄN</t>
        </is>
      </c>
      <c r="E197" t="inlineStr">
        <is>
          <t>FORSHAGA</t>
        </is>
      </c>
      <c r="G197" t="n">
        <v>19.6</v>
      </c>
      <c r="H197" t="n">
        <v>1</v>
      </c>
      <c r="I197" t="n">
        <v>0</v>
      </c>
      <c r="J197" t="n">
        <v>2</v>
      </c>
      <c r="K197" t="n">
        <v>0</v>
      </c>
      <c r="L197" t="n">
        <v>0</v>
      </c>
      <c r="M197" t="n">
        <v>0</v>
      </c>
      <c r="N197" t="n">
        <v>0</v>
      </c>
      <c r="O197" t="n">
        <v>2</v>
      </c>
      <c r="P197" t="n">
        <v>0</v>
      </c>
      <c r="Q197" t="n">
        <v>2</v>
      </c>
      <c r="R197" s="2" t="inlineStr">
        <is>
          <t>Brun gräsfjäril
Violettkantad guldvinge</t>
        </is>
      </c>
      <c r="S197">
        <f>HYPERLINK("https://klasma.github.io/Logging_1763/artfynd/A 51072-2021 artfynd.xlsx", "A 51072-2021")</f>
        <v/>
      </c>
      <c r="T197">
        <f>HYPERLINK("https://klasma.github.io/Logging_1763/kartor/A 51072-2021 karta.png", "A 51072-2021")</f>
        <v/>
      </c>
      <c r="V197">
        <f>HYPERLINK("https://klasma.github.io/Logging_1763/klagomål/A 51072-2021 FSC-klagomål.docx", "A 51072-2021")</f>
        <v/>
      </c>
      <c r="W197">
        <f>HYPERLINK("https://klasma.github.io/Logging_1763/klagomålsmail/A 51072-2021 FSC-klagomål mail.docx", "A 51072-2021")</f>
        <v/>
      </c>
      <c r="X197">
        <f>HYPERLINK("https://klasma.github.io/Logging_1763/tillsyn/A 51072-2021 tillsynsbegäran.docx", "A 51072-2021")</f>
        <v/>
      </c>
      <c r="Y197">
        <f>HYPERLINK("https://klasma.github.io/Logging_1763/tillsynsmail/A 51072-2021 tillsynsbegäran mail.docx", "A 51072-2021")</f>
        <v/>
      </c>
    </row>
    <row r="198" ht="15" customHeight="1">
      <c r="A198" t="inlineStr">
        <is>
          <t>A 63625-2023</t>
        </is>
      </c>
      <c r="B198" s="1" t="n">
        <v>45275</v>
      </c>
      <c r="C198" s="1" t="n">
        <v>45932</v>
      </c>
      <c r="D198" t="inlineStr">
        <is>
          <t>VÄRMLANDS LÄN</t>
        </is>
      </c>
      <c r="E198" t="inlineStr">
        <is>
          <t>FILIPSTAD</t>
        </is>
      </c>
      <c r="G198" t="n">
        <v>1.9</v>
      </c>
      <c r="H198" t="n">
        <v>0</v>
      </c>
      <c r="I198" t="n">
        <v>0</v>
      </c>
      <c r="J198" t="n">
        <v>1</v>
      </c>
      <c r="K198" t="n">
        <v>1</v>
      </c>
      <c r="L198" t="n">
        <v>0</v>
      </c>
      <c r="M198" t="n">
        <v>0</v>
      </c>
      <c r="N198" t="n">
        <v>0</v>
      </c>
      <c r="O198" t="n">
        <v>2</v>
      </c>
      <c r="P198" t="n">
        <v>1</v>
      </c>
      <c r="Q198" t="n">
        <v>2</v>
      </c>
      <c r="R198" s="2" t="inlineStr">
        <is>
          <t>Smalfotad taggsvamp
Vaddporing</t>
        </is>
      </c>
      <c r="S198">
        <f>HYPERLINK("https://klasma.github.io/Logging_1782/artfynd/A 63625-2023 artfynd.xlsx", "A 63625-2023")</f>
        <v/>
      </c>
      <c r="T198">
        <f>HYPERLINK("https://klasma.github.io/Logging_1782/kartor/A 63625-2023 karta.png", "A 63625-2023")</f>
        <v/>
      </c>
      <c r="V198">
        <f>HYPERLINK("https://klasma.github.io/Logging_1782/klagomål/A 63625-2023 FSC-klagomål.docx", "A 63625-2023")</f>
        <v/>
      </c>
      <c r="W198">
        <f>HYPERLINK("https://klasma.github.io/Logging_1782/klagomålsmail/A 63625-2023 FSC-klagomål mail.docx", "A 63625-2023")</f>
        <v/>
      </c>
      <c r="X198">
        <f>HYPERLINK("https://klasma.github.io/Logging_1782/tillsyn/A 63625-2023 tillsynsbegäran.docx", "A 63625-2023")</f>
        <v/>
      </c>
      <c r="Y198">
        <f>HYPERLINK("https://klasma.github.io/Logging_1782/tillsynsmail/A 63625-2023 tillsynsbegäran mail.docx", "A 63625-2023")</f>
        <v/>
      </c>
    </row>
    <row r="199" ht="15" customHeight="1">
      <c r="A199" t="inlineStr">
        <is>
          <t>A 19719-2025</t>
        </is>
      </c>
      <c r="B199" s="1" t="n">
        <v>45771</v>
      </c>
      <c r="C199" s="1" t="n">
        <v>45932</v>
      </c>
      <c r="D199" t="inlineStr">
        <is>
          <t>VÄRMLANDS LÄN</t>
        </is>
      </c>
      <c r="E199" t="inlineStr">
        <is>
          <t>FILIPSTAD</t>
        </is>
      </c>
      <c r="F199" t="inlineStr">
        <is>
          <t>Bergvik skog väst AB</t>
        </is>
      </c>
      <c r="G199" t="n">
        <v>9.9</v>
      </c>
      <c r="H199" t="n">
        <v>0</v>
      </c>
      <c r="I199" t="n">
        <v>1</v>
      </c>
      <c r="J199" t="n">
        <v>1</v>
      </c>
      <c r="K199" t="n">
        <v>0</v>
      </c>
      <c r="L199" t="n">
        <v>0</v>
      </c>
      <c r="M199" t="n">
        <v>0</v>
      </c>
      <c r="N199" t="n">
        <v>0</v>
      </c>
      <c r="O199" t="n">
        <v>1</v>
      </c>
      <c r="P199" t="n">
        <v>0</v>
      </c>
      <c r="Q199" t="n">
        <v>2</v>
      </c>
      <c r="R199" s="2" t="inlineStr">
        <is>
          <t>Garnlav
Dropptaggsvamp</t>
        </is>
      </c>
      <c r="S199">
        <f>HYPERLINK("https://klasma.github.io/Logging_1782/artfynd/A 19719-2025 artfynd.xlsx", "A 19719-2025")</f>
        <v/>
      </c>
      <c r="T199">
        <f>HYPERLINK("https://klasma.github.io/Logging_1782/kartor/A 19719-2025 karta.png", "A 19719-2025")</f>
        <v/>
      </c>
      <c r="V199">
        <f>HYPERLINK("https://klasma.github.io/Logging_1782/klagomål/A 19719-2025 FSC-klagomål.docx", "A 19719-2025")</f>
        <v/>
      </c>
      <c r="W199">
        <f>HYPERLINK("https://klasma.github.io/Logging_1782/klagomålsmail/A 19719-2025 FSC-klagomål mail.docx", "A 19719-2025")</f>
        <v/>
      </c>
      <c r="X199">
        <f>HYPERLINK("https://klasma.github.io/Logging_1782/tillsyn/A 19719-2025 tillsynsbegäran.docx", "A 19719-2025")</f>
        <v/>
      </c>
      <c r="Y199">
        <f>HYPERLINK("https://klasma.github.io/Logging_1782/tillsynsmail/A 19719-2025 tillsynsbegäran mail.docx", "A 19719-2025")</f>
        <v/>
      </c>
    </row>
    <row r="200" ht="15" customHeight="1">
      <c r="A200" t="inlineStr">
        <is>
          <t>A 2000-2023</t>
        </is>
      </c>
      <c r="B200" s="1" t="n">
        <v>44939</v>
      </c>
      <c r="C200" s="1" t="n">
        <v>45932</v>
      </c>
      <c r="D200" t="inlineStr">
        <is>
          <t>VÄRMLANDS LÄN</t>
        </is>
      </c>
      <c r="E200" t="inlineStr">
        <is>
          <t>TORSBY</t>
        </is>
      </c>
      <c r="G200" t="n">
        <v>3.2</v>
      </c>
      <c r="H200" t="n">
        <v>2</v>
      </c>
      <c r="I200" t="n">
        <v>1</v>
      </c>
      <c r="J200" t="n">
        <v>0</v>
      </c>
      <c r="K200" t="n">
        <v>0</v>
      </c>
      <c r="L200" t="n">
        <v>0</v>
      </c>
      <c r="M200" t="n">
        <v>0</v>
      </c>
      <c r="N200" t="n">
        <v>0</v>
      </c>
      <c r="O200" t="n">
        <v>0</v>
      </c>
      <c r="P200" t="n">
        <v>0</v>
      </c>
      <c r="Q200" t="n">
        <v>2</v>
      </c>
      <c r="R200" s="2" t="inlineStr">
        <is>
          <t>Spindelblomster
Mattlummer</t>
        </is>
      </c>
      <c r="S200">
        <f>HYPERLINK("https://klasma.github.io/Logging_1737/artfynd/A 2000-2023 artfynd.xlsx", "A 2000-2023")</f>
        <v/>
      </c>
      <c r="T200">
        <f>HYPERLINK("https://klasma.github.io/Logging_1737/kartor/A 2000-2023 karta.png", "A 2000-2023")</f>
        <v/>
      </c>
      <c r="V200">
        <f>HYPERLINK("https://klasma.github.io/Logging_1737/klagomål/A 2000-2023 FSC-klagomål.docx", "A 2000-2023")</f>
        <v/>
      </c>
      <c r="W200">
        <f>HYPERLINK("https://klasma.github.io/Logging_1737/klagomålsmail/A 2000-2023 FSC-klagomål mail.docx", "A 2000-2023")</f>
        <v/>
      </c>
      <c r="X200">
        <f>HYPERLINK("https://klasma.github.io/Logging_1737/tillsyn/A 2000-2023 tillsynsbegäran.docx", "A 2000-2023")</f>
        <v/>
      </c>
      <c r="Y200">
        <f>HYPERLINK("https://klasma.github.io/Logging_1737/tillsynsmail/A 2000-2023 tillsynsbegäran mail.docx", "A 2000-2023")</f>
        <v/>
      </c>
    </row>
    <row r="201" ht="15" customHeight="1">
      <c r="A201" t="inlineStr">
        <is>
          <t>A 62955-2023</t>
        </is>
      </c>
      <c r="B201" s="1" t="n">
        <v>45271</v>
      </c>
      <c r="C201" s="1" t="n">
        <v>45932</v>
      </c>
      <c r="D201" t="inlineStr">
        <is>
          <t>VÄRMLANDS LÄN</t>
        </is>
      </c>
      <c r="E201" t="inlineStr">
        <is>
          <t>TORSBY</t>
        </is>
      </c>
      <c r="F201" t="inlineStr">
        <is>
          <t>Övriga statliga verk och myndigheter</t>
        </is>
      </c>
      <c r="G201" t="n">
        <v>4.2</v>
      </c>
      <c r="H201" t="n">
        <v>0</v>
      </c>
      <c r="I201" t="n">
        <v>0</v>
      </c>
      <c r="J201" t="n">
        <v>2</v>
      </c>
      <c r="K201" t="n">
        <v>0</v>
      </c>
      <c r="L201" t="n">
        <v>0</v>
      </c>
      <c r="M201" t="n">
        <v>0</v>
      </c>
      <c r="N201" t="n">
        <v>0</v>
      </c>
      <c r="O201" t="n">
        <v>2</v>
      </c>
      <c r="P201" t="n">
        <v>0</v>
      </c>
      <c r="Q201" t="n">
        <v>2</v>
      </c>
      <c r="R201" s="2" t="inlineStr">
        <is>
          <t>Garnlav
Vedtrappmossa</t>
        </is>
      </c>
      <c r="S201">
        <f>HYPERLINK("https://klasma.github.io/Logging_1737/artfynd/A 62955-2023 artfynd.xlsx", "A 62955-2023")</f>
        <v/>
      </c>
      <c r="T201">
        <f>HYPERLINK("https://klasma.github.io/Logging_1737/kartor/A 62955-2023 karta.png", "A 62955-2023")</f>
        <v/>
      </c>
      <c r="V201">
        <f>HYPERLINK("https://klasma.github.io/Logging_1737/klagomål/A 62955-2023 FSC-klagomål.docx", "A 62955-2023")</f>
        <v/>
      </c>
      <c r="W201">
        <f>HYPERLINK("https://klasma.github.io/Logging_1737/klagomålsmail/A 62955-2023 FSC-klagomål mail.docx", "A 62955-2023")</f>
        <v/>
      </c>
      <c r="X201">
        <f>HYPERLINK("https://klasma.github.io/Logging_1737/tillsyn/A 62955-2023 tillsynsbegäran.docx", "A 62955-2023")</f>
        <v/>
      </c>
      <c r="Y201">
        <f>HYPERLINK("https://klasma.github.io/Logging_1737/tillsynsmail/A 62955-2023 tillsynsbegäran mail.docx", "A 62955-2023")</f>
        <v/>
      </c>
    </row>
    <row r="202" ht="15" customHeight="1">
      <c r="A202" t="inlineStr">
        <is>
          <t>A 45094-2024</t>
        </is>
      </c>
      <c r="B202" s="1" t="n">
        <v>45575</v>
      </c>
      <c r="C202" s="1" t="n">
        <v>45932</v>
      </c>
      <c r="D202" t="inlineStr">
        <is>
          <t>VÄRMLANDS LÄN</t>
        </is>
      </c>
      <c r="E202" t="inlineStr">
        <is>
          <t>ÅRJÄNG</t>
        </is>
      </c>
      <c r="F202" t="inlineStr">
        <is>
          <t>Bergvik skog väst AB</t>
        </is>
      </c>
      <c r="G202" t="n">
        <v>1.5</v>
      </c>
      <c r="H202" t="n">
        <v>1</v>
      </c>
      <c r="I202" t="n">
        <v>0</v>
      </c>
      <c r="J202" t="n">
        <v>0</v>
      </c>
      <c r="K202" t="n">
        <v>1</v>
      </c>
      <c r="L202" t="n">
        <v>0</v>
      </c>
      <c r="M202" t="n">
        <v>0</v>
      </c>
      <c r="N202" t="n">
        <v>0</v>
      </c>
      <c r="O202" t="n">
        <v>1</v>
      </c>
      <c r="P202" t="n">
        <v>1</v>
      </c>
      <c r="Q202" t="n">
        <v>2</v>
      </c>
      <c r="R202" s="2" t="inlineStr">
        <is>
          <t>Slåttergubbe
Fläcknycklar</t>
        </is>
      </c>
      <c r="S202">
        <f>HYPERLINK("https://klasma.github.io/Logging_1765/artfynd/A 45094-2024 artfynd.xlsx", "A 45094-2024")</f>
        <v/>
      </c>
      <c r="T202">
        <f>HYPERLINK("https://klasma.github.io/Logging_1765/kartor/A 45094-2024 karta.png", "A 45094-2024")</f>
        <v/>
      </c>
      <c r="V202">
        <f>HYPERLINK("https://klasma.github.io/Logging_1765/klagomål/A 45094-2024 FSC-klagomål.docx", "A 45094-2024")</f>
        <v/>
      </c>
      <c r="W202">
        <f>HYPERLINK("https://klasma.github.io/Logging_1765/klagomålsmail/A 45094-2024 FSC-klagomål mail.docx", "A 45094-2024")</f>
        <v/>
      </c>
      <c r="X202">
        <f>HYPERLINK("https://klasma.github.io/Logging_1765/tillsyn/A 45094-2024 tillsynsbegäran.docx", "A 45094-2024")</f>
        <v/>
      </c>
      <c r="Y202">
        <f>HYPERLINK("https://klasma.github.io/Logging_1765/tillsynsmail/A 45094-2024 tillsynsbegäran mail.docx", "A 45094-2024")</f>
        <v/>
      </c>
    </row>
    <row r="203" ht="15" customHeight="1">
      <c r="A203" t="inlineStr">
        <is>
          <t>A 23091-2024</t>
        </is>
      </c>
      <c r="B203" s="1" t="n">
        <v>45450</v>
      </c>
      <c r="C203" s="1" t="n">
        <v>45932</v>
      </c>
      <c r="D203" t="inlineStr">
        <is>
          <t>VÄRMLANDS LÄN</t>
        </is>
      </c>
      <c r="E203" t="inlineStr">
        <is>
          <t>TORSBY</t>
        </is>
      </c>
      <c r="F203" t="inlineStr">
        <is>
          <t>Bergvik skog väst AB</t>
        </is>
      </c>
      <c r="G203" t="n">
        <v>14.3</v>
      </c>
      <c r="H203" t="n">
        <v>0</v>
      </c>
      <c r="I203" t="n">
        <v>1</v>
      </c>
      <c r="J203" t="n">
        <v>1</v>
      </c>
      <c r="K203" t="n">
        <v>0</v>
      </c>
      <c r="L203" t="n">
        <v>0</v>
      </c>
      <c r="M203" t="n">
        <v>0</v>
      </c>
      <c r="N203" t="n">
        <v>0</v>
      </c>
      <c r="O203" t="n">
        <v>1</v>
      </c>
      <c r="P203" t="n">
        <v>0</v>
      </c>
      <c r="Q203" t="n">
        <v>2</v>
      </c>
      <c r="R203" s="2" t="inlineStr">
        <is>
          <t>Vedskivlav
Kambräken</t>
        </is>
      </c>
      <c r="S203">
        <f>HYPERLINK("https://klasma.github.io/Logging_1737/artfynd/A 23091-2024 artfynd.xlsx", "A 23091-2024")</f>
        <v/>
      </c>
      <c r="T203">
        <f>HYPERLINK("https://klasma.github.io/Logging_1737/kartor/A 23091-2024 karta.png", "A 23091-2024")</f>
        <v/>
      </c>
      <c r="V203">
        <f>HYPERLINK("https://klasma.github.io/Logging_1737/klagomål/A 23091-2024 FSC-klagomål.docx", "A 23091-2024")</f>
        <v/>
      </c>
      <c r="W203">
        <f>HYPERLINK("https://klasma.github.io/Logging_1737/klagomålsmail/A 23091-2024 FSC-klagomål mail.docx", "A 23091-2024")</f>
        <v/>
      </c>
      <c r="X203">
        <f>HYPERLINK("https://klasma.github.io/Logging_1737/tillsyn/A 23091-2024 tillsynsbegäran.docx", "A 23091-2024")</f>
        <v/>
      </c>
      <c r="Y203">
        <f>HYPERLINK("https://klasma.github.io/Logging_1737/tillsynsmail/A 23091-2024 tillsynsbegäran mail.docx", "A 23091-2024")</f>
        <v/>
      </c>
    </row>
    <row r="204" ht="15" customHeight="1">
      <c r="A204" t="inlineStr">
        <is>
          <t>A 12372-2022</t>
        </is>
      </c>
      <c r="B204" s="1" t="n">
        <v>44637</v>
      </c>
      <c r="C204" s="1" t="n">
        <v>45932</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17274-2024</t>
        </is>
      </c>
      <c r="B205" s="1" t="n">
        <v>45414</v>
      </c>
      <c r="C205" s="1" t="n">
        <v>45932</v>
      </c>
      <c r="D205" t="inlineStr">
        <is>
          <t>VÄRMLANDS LÄN</t>
        </is>
      </c>
      <c r="E205" t="inlineStr">
        <is>
          <t>FILIPSTAD</t>
        </is>
      </c>
      <c r="F205" t="inlineStr">
        <is>
          <t>Kommuner</t>
        </is>
      </c>
      <c r="G205" t="n">
        <v>5.8</v>
      </c>
      <c r="H205" t="n">
        <v>1</v>
      </c>
      <c r="I205" t="n">
        <v>1</v>
      </c>
      <c r="J205" t="n">
        <v>1</v>
      </c>
      <c r="K205" t="n">
        <v>0</v>
      </c>
      <c r="L205" t="n">
        <v>0</v>
      </c>
      <c r="M205" t="n">
        <v>0</v>
      </c>
      <c r="N205" t="n">
        <v>0</v>
      </c>
      <c r="O205" t="n">
        <v>1</v>
      </c>
      <c r="P205" t="n">
        <v>0</v>
      </c>
      <c r="Q205" t="n">
        <v>2</v>
      </c>
      <c r="R205" s="2" t="inlineStr">
        <is>
          <t>Talltita
Dropptaggsvamp</t>
        </is>
      </c>
      <c r="S205">
        <f>HYPERLINK("https://klasma.github.io/Logging_1782/artfynd/A 17274-2024 artfynd.xlsx", "A 17274-2024")</f>
        <v/>
      </c>
      <c r="T205">
        <f>HYPERLINK("https://klasma.github.io/Logging_1782/kartor/A 17274-2024 karta.png", "A 17274-2024")</f>
        <v/>
      </c>
      <c r="V205">
        <f>HYPERLINK("https://klasma.github.io/Logging_1782/klagomål/A 17274-2024 FSC-klagomål.docx", "A 17274-2024")</f>
        <v/>
      </c>
      <c r="W205">
        <f>HYPERLINK("https://klasma.github.io/Logging_1782/klagomålsmail/A 17274-2024 FSC-klagomål mail.docx", "A 17274-2024")</f>
        <v/>
      </c>
      <c r="X205">
        <f>HYPERLINK("https://klasma.github.io/Logging_1782/tillsyn/A 17274-2024 tillsynsbegäran.docx", "A 17274-2024")</f>
        <v/>
      </c>
      <c r="Y205">
        <f>HYPERLINK("https://klasma.github.io/Logging_1782/tillsynsmail/A 17274-2024 tillsynsbegäran mail.docx", "A 17274-2024")</f>
        <v/>
      </c>
      <c r="Z205">
        <f>HYPERLINK("https://klasma.github.io/Logging_1782/fåglar/A 17274-2024 prioriterade fågelarter.docx", "A 17274-2024")</f>
        <v/>
      </c>
    </row>
    <row r="206" ht="15" customHeight="1">
      <c r="A206" t="inlineStr">
        <is>
          <t>A 19945-2023</t>
        </is>
      </c>
      <c r="B206" s="1" t="n">
        <v>45054</v>
      </c>
      <c r="C206" s="1" t="n">
        <v>45932</v>
      </c>
      <c r="D206" t="inlineStr">
        <is>
          <t>VÄRMLANDS LÄN</t>
        </is>
      </c>
      <c r="E206" t="inlineStr">
        <is>
          <t>FILIPSTAD</t>
        </is>
      </c>
      <c r="G206" t="n">
        <v>3.3</v>
      </c>
      <c r="H206" t="n">
        <v>1</v>
      </c>
      <c r="I206" t="n">
        <v>2</v>
      </c>
      <c r="J206" t="n">
        <v>0</v>
      </c>
      <c r="K206" t="n">
        <v>0</v>
      </c>
      <c r="L206" t="n">
        <v>0</v>
      </c>
      <c r="M206" t="n">
        <v>0</v>
      </c>
      <c r="N206" t="n">
        <v>0</v>
      </c>
      <c r="O206" t="n">
        <v>0</v>
      </c>
      <c r="P206" t="n">
        <v>0</v>
      </c>
      <c r="Q206" t="n">
        <v>2</v>
      </c>
      <c r="R206" s="2" t="inlineStr">
        <is>
          <t>Guckusko
Kransrams</t>
        </is>
      </c>
      <c r="S206">
        <f>HYPERLINK("https://klasma.github.io/Logging_1782/artfynd/A 19945-2023 artfynd.xlsx", "A 19945-2023")</f>
        <v/>
      </c>
      <c r="T206">
        <f>HYPERLINK("https://klasma.github.io/Logging_1782/kartor/A 19945-2023 karta.png", "A 19945-2023")</f>
        <v/>
      </c>
      <c r="V206">
        <f>HYPERLINK("https://klasma.github.io/Logging_1782/klagomål/A 19945-2023 FSC-klagomål.docx", "A 19945-2023")</f>
        <v/>
      </c>
      <c r="W206">
        <f>HYPERLINK("https://klasma.github.io/Logging_1782/klagomålsmail/A 19945-2023 FSC-klagomål mail.docx", "A 19945-2023")</f>
        <v/>
      </c>
      <c r="X206">
        <f>HYPERLINK("https://klasma.github.io/Logging_1782/tillsyn/A 19945-2023 tillsynsbegäran.docx", "A 19945-2023")</f>
        <v/>
      </c>
      <c r="Y206">
        <f>HYPERLINK("https://klasma.github.io/Logging_1782/tillsynsmail/A 19945-2023 tillsynsbegäran mail.docx", "A 19945-2023")</f>
        <v/>
      </c>
    </row>
    <row r="207" ht="15" customHeight="1">
      <c r="A207" t="inlineStr">
        <is>
          <t>A 33866-2021</t>
        </is>
      </c>
      <c r="B207" s="1" t="n">
        <v>44378</v>
      </c>
      <c r="C207" s="1" t="n">
        <v>45932</v>
      </c>
      <c r="D207" t="inlineStr">
        <is>
          <t>VÄRMLANDS LÄN</t>
        </is>
      </c>
      <c r="E207" t="inlineStr">
        <is>
          <t>KARLSTAD</t>
        </is>
      </c>
      <c r="F207" t="inlineStr">
        <is>
          <t>Kyrkan</t>
        </is>
      </c>
      <c r="G207" t="n">
        <v>5.8</v>
      </c>
      <c r="H207" t="n">
        <v>2</v>
      </c>
      <c r="I207" t="n">
        <v>1</v>
      </c>
      <c r="J207" t="n">
        <v>0</v>
      </c>
      <c r="K207" t="n">
        <v>0</v>
      </c>
      <c r="L207" t="n">
        <v>0</v>
      </c>
      <c r="M207" t="n">
        <v>0</v>
      </c>
      <c r="N207" t="n">
        <v>0</v>
      </c>
      <c r="O207" t="n">
        <v>0</v>
      </c>
      <c r="P207" t="n">
        <v>0</v>
      </c>
      <c r="Q207" t="n">
        <v>2</v>
      </c>
      <c r="R207" s="2" t="inlineStr">
        <is>
          <t>Plattlummer
Mattlummer</t>
        </is>
      </c>
      <c r="S207">
        <f>HYPERLINK("https://klasma.github.io/Logging_1780/artfynd/A 33866-2021 artfynd.xlsx", "A 33866-2021")</f>
        <v/>
      </c>
      <c r="T207">
        <f>HYPERLINK("https://klasma.github.io/Logging_1780/kartor/A 33866-2021 karta.png", "A 33866-2021")</f>
        <v/>
      </c>
      <c r="V207">
        <f>HYPERLINK("https://klasma.github.io/Logging_1780/klagomål/A 33866-2021 FSC-klagomål.docx", "A 33866-2021")</f>
        <v/>
      </c>
      <c r="W207">
        <f>HYPERLINK("https://klasma.github.io/Logging_1780/klagomålsmail/A 33866-2021 FSC-klagomål mail.docx", "A 33866-2021")</f>
        <v/>
      </c>
      <c r="X207">
        <f>HYPERLINK("https://klasma.github.io/Logging_1780/tillsyn/A 33866-2021 tillsynsbegäran.docx", "A 33866-2021")</f>
        <v/>
      </c>
      <c r="Y207">
        <f>HYPERLINK("https://klasma.github.io/Logging_1780/tillsynsmail/A 33866-2021 tillsynsbegäran mail.docx", "A 33866-2021")</f>
        <v/>
      </c>
    </row>
    <row r="208" ht="15" customHeight="1">
      <c r="A208" t="inlineStr">
        <is>
          <t>A 28156-2022</t>
        </is>
      </c>
      <c r="B208" s="1" t="n">
        <v>44746</v>
      </c>
      <c r="C208" s="1" t="n">
        <v>45932</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1036-2025</t>
        </is>
      </c>
      <c r="B209" s="1" t="n">
        <v>45665</v>
      </c>
      <c r="C209" s="1" t="n">
        <v>45932</v>
      </c>
      <c r="D209" t="inlineStr">
        <is>
          <t>VÄRMLANDS LÄN</t>
        </is>
      </c>
      <c r="E209" t="inlineStr">
        <is>
          <t>SÄFFLE</t>
        </is>
      </c>
      <c r="G209" t="n">
        <v>10.4</v>
      </c>
      <c r="H209" t="n">
        <v>0</v>
      </c>
      <c r="I209" t="n">
        <v>1</v>
      </c>
      <c r="J209" t="n">
        <v>1</v>
      </c>
      <c r="K209" t="n">
        <v>0</v>
      </c>
      <c r="L209" t="n">
        <v>0</v>
      </c>
      <c r="M209" t="n">
        <v>0</v>
      </c>
      <c r="N209" t="n">
        <v>0</v>
      </c>
      <c r="O209" t="n">
        <v>1</v>
      </c>
      <c r="P209" t="n">
        <v>0</v>
      </c>
      <c r="Q209" t="n">
        <v>2</v>
      </c>
      <c r="R209" s="2" t="inlineStr">
        <is>
          <t>Vedskivlav
Vedticka</t>
        </is>
      </c>
      <c r="S209">
        <f>HYPERLINK("https://klasma.github.io/Logging_1785/artfynd/A 1036-2025 artfynd.xlsx", "A 1036-2025")</f>
        <v/>
      </c>
      <c r="T209">
        <f>HYPERLINK("https://klasma.github.io/Logging_1785/kartor/A 1036-2025 karta.png", "A 1036-2025")</f>
        <v/>
      </c>
      <c r="V209">
        <f>HYPERLINK("https://klasma.github.io/Logging_1785/klagomål/A 1036-2025 FSC-klagomål.docx", "A 1036-2025")</f>
        <v/>
      </c>
      <c r="W209">
        <f>HYPERLINK("https://klasma.github.io/Logging_1785/klagomålsmail/A 1036-2025 FSC-klagomål mail.docx", "A 1036-2025")</f>
        <v/>
      </c>
      <c r="X209">
        <f>HYPERLINK("https://klasma.github.io/Logging_1785/tillsyn/A 1036-2025 tillsynsbegäran.docx", "A 1036-2025")</f>
        <v/>
      </c>
      <c r="Y209">
        <f>HYPERLINK("https://klasma.github.io/Logging_1785/tillsynsmail/A 1036-2025 tillsynsbegäran mail.docx", "A 1036-2025")</f>
        <v/>
      </c>
    </row>
    <row r="210" ht="15" customHeight="1">
      <c r="A210" t="inlineStr">
        <is>
          <t>A 56624-2022</t>
        </is>
      </c>
      <c r="B210" s="1" t="n">
        <v>44893</v>
      </c>
      <c r="C210" s="1" t="n">
        <v>45932</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16011-2025</t>
        </is>
      </c>
      <c r="B211" s="1" t="n">
        <v>45749</v>
      </c>
      <c r="C211" s="1" t="n">
        <v>45932</v>
      </c>
      <c r="D211" t="inlineStr">
        <is>
          <t>VÄRMLANDS LÄN</t>
        </is>
      </c>
      <c r="E211" t="inlineStr">
        <is>
          <t>TORSBY</t>
        </is>
      </c>
      <c r="G211" t="n">
        <v>3.8</v>
      </c>
      <c r="H211" t="n">
        <v>0</v>
      </c>
      <c r="I211" t="n">
        <v>1</v>
      </c>
      <c r="J211" t="n">
        <v>1</v>
      </c>
      <c r="K211" t="n">
        <v>0</v>
      </c>
      <c r="L211" t="n">
        <v>0</v>
      </c>
      <c r="M211" t="n">
        <v>0</v>
      </c>
      <c r="N211" t="n">
        <v>0</v>
      </c>
      <c r="O211" t="n">
        <v>1</v>
      </c>
      <c r="P211" t="n">
        <v>0</v>
      </c>
      <c r="Q211" t="n">
        <v>2</v>
      </c>
      <c r="R211" s="2" t="inlineStr">
        <is>
          <t>Lunglav
Korallblylav</t>
        </is>
      </c>
      <c r="S211">
        <f>HYPERLINK("https://klasma.github.io/Logging_1737/artfynd/A 16011-2025 artfynd.xlsx", "A 16011-2025")</f>
        <v/>
      </c>
      <c r="T211">
        <f>HYPERLINK("https://klasma.github.io/Logging_1737/kartor/A 16011-2025 karta.png", "A 16011-2025")</f>
        <v/>
      </c>
      <c r="V211">
        <f>HYPERLINK("https://klasma.github.io/Logging_1737/klagomål/A 16011-2025 FSC-klagomål.docx", "A 16011-2025")</f>
        <v/>
      </c>
      <c r="W211">
        <f>HYPERLINK("https://klasma.github.io/Logging_1737/klagomålsmail/A 16011-2025 FSC-klagomål mail.docx", "A 16011-2025")</f>
        <v/>
      </c>
      <c r="X211">
        <f>HYPERLINK("https://klasma.github.io/Logging_1737/tillsyn/A 16011-2025 tillsynsbegäran.docx", "A 16011-2025")</f>
        <v/>
      </c>
      <c r="Y211">
        <f>HYPERLINK("https://klasma.github.io/Logging_1737/tillsynsmail/A 16011-2025 tillsynsbegäran mail.docx", "A 16011-2025")</f>
        <v/>
      </c>
    </row>
    <row r="212" ht="15" customHeight="1">
      <c r="A212" t="inlineStr">
        <is>
          <t>A 40235-2022</t>
        </is>
      </c>
      <c r="B212" s="1" t="n">
        <v>44820.66109953704</v>
      </c>
      <c r="C212" s="1" t="n">
        <v>45932</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656-2022</t>
        </is>
      </c>
      <c r="B213" s="1" t="n">
        <v>44566</v>
      </c>
      <c r="C213" s="1" t="n">
        <v>45932</v>
      </c>
      <c r="D213" t="inlineStr">
        <is>
          <t>VÄRMLANDS LÄN</t>
        </is>
      </c>
      <c r="E213" t="inlineStr">
        <is>
          <t>HAGFORS</t>
        </is>
      </c>
      <c r="G213" t="n">
        <v>35.1</v>
      </c>
      <c r="H213" t="n">
        <v>0</v>
      </c>
      <c r="I213" t="n">
        <v>0</v>
      </c>
      <c r="J213" t="n">
        <v>2</v>
      </c>
      <c r="K213" t="n">
        <v>0</v>
      </c>
      <c r="L213" t="n">
        <v>0</v>
      </c>
      <c r="M213" t="n">
        <v>0</v>
      </c>
      <c r="N213" t="n">
        <v>0</v>
      </c>
      <c r="O213" t="n">
        <v>2</v>
      </c>
      <c r="P213" t="n">
        <v>0</v>
      </c>
      <c r="Q213" t="n">
        <v>2</v>
      </c>
      <c r="R213" s="2" t="inlineStr">
        <is>
          <t>Dvärgbägarlav
Vedskivlav</t>
        </is>
      </c>
      <c r="S213">
        <f>HYPERLINK("https://klasma.github.io/Logging_1783/artfynd/A 656-2022 artfynd.xlsx", "A 656-2022")</f>
        <v/>
      </c>
      <c r="T213">
        <f>HYPERLINK("https://klasma.github.io/Logging_1783/kartor/A 656-2022 karta.png", "A 656-2022")</f>
        <v/>
      </c>
      <c r="V213">
        <f>HYPERLINK("https://klasma.github.io/Logging_1783/klagomål/A 656-2022 FSC-klagomål.docx", "A 656-2022")</f>
        <v/>
      </c>
      <c r="W213">
        <f>HYPERLINK("https://klasma.github.io/Logging_1783/klagomålsmail/A 656-2022 FSC-klagomål mail.docx", "A 656-2022")</f>
        <v/>
      </c>
      <c r="X213">
        <f>HYPERLINK("https://klasma.github.io/Logging_1783/tillsyn/A 656-2022 tillsynsbegäran.docx", "A 656-2022")</f>
        <v/>
      </c>
      <c r="Y213">
        <f>HYPERLINK("https://klasma.github.io/Logging_1783/tillsynsmail/A 656-2022 tillsynsbegäran mail.docx", "A 656-2022")</f>
        <v/>
      </c>
    </row>
    <row r="214" ht="15" customHeight="1">
      <c r="A214" t="inlineStr">
        <is>
          <t>A 45093-2024</t>
        </is>
      </c>
      <c r="B214" s="1" t="n">
        <v>45575</v>
      </c>
      <c r="C214" s="1" t="n">
        <v>45932</v>
      </c>
      <c r="D214" t="inlineStr">
        <is>
          <t>VÄRMLANDS LÄN</t>
        </is>
      </c>
      <c r="E214" t="inlineStr">
        <is>
          <t>EDA</t>
        </is>
      </c>
      <c r="G214" t="n">
        <v>3.6</v>
      </c>
      <c r="H214" t="n">
        <v>1</v>
      </c>
      <c r="I214" t="n">
        <v>0</v>
      </c>
      <c r="J214" t="n">
        <v>2</v>
      </c>
      <c r="K214" t="n">
        <v>0</v>
      </c>
      <c r="L214" t="n">
        <v>0</v>
      </c>
      <c r="M214" t="n">
        <v>0</v>
      </c>
      <c r="N214" t="n">
        <v>0</v>
      </c>
      <c r="O214" t="n">
        <v>2</v>
      </c>
      <c r="P214" t="n">
        <v>0</v>
      </c>
      <c r="Q214" t="n">
        <v>2</v>
      </c>
      <c r="R214" s="2" t="inlineStr">
        <is>
          <t>Garnlav
Svartvit flugsnappare</t>
        </is>
      </c>
      <c r="S214">
        <f>HYPERLINK("https://klasma.github.io/Logging_1730/artfynd/A 45093-2024 artfynd.xlsx", "A 45093-2024")</f>
        <v/>
      </c>
      <c r="T214">
        <f>HYPERLINK("https://klasma.github.io/Logging_1730/kartor/A 45093-2024 karta.png", "A 45093-2024")</f>
        <v/>
      </c>
      <c r="V214">
        <f>HYPERLINK("https://klasma.github.io/Logging_1730/klagomål/A 45093-2024 FSC-klagomål.docx", "A 45093-2024")</f>
        <v/>
      </c>
      <c r="W214">
        <f>HYPERLINK("https://klasma.github.io/Logging_1730/klagomålsmail/A 45093-2024 FSC-klagomål mail.docx", "A 45093-2024")</f>
        <v/>
      </c>
      <c r="X214">
        <f>HYPERLINK("https://klasma.github.io/Logging_1730/tillsyn/A 45093-2024 tillsynsbegäran.docx", "A 45093-2024")</f>
        <v/>
      </c>
      <c r="Y214">
        <f>HYPERLINK("https://klasma.github.io/Logging_1730/tillsynsmail/A 45093-2024 tillsynsbegäran mail.docx", "A 45093-2024")</f>
        <v/>
      </c>
      <c r="Z214">
        <f>HYPERLINK("https://klasma.github.io/Logging_1730/fåglar/A 45093-2024 prioriterade fågelarter.docx", "A 45093-2024")</f>
        <v/>
      </c>
    </row>
    <row r="215" ht="15" customHeight="1">
      <c r="A215" t="inlineStr">
        <is>
          <t>A 9032-2025</t>
        </is>
      </c>
      <c r="B215" s="1" t="n">
        <v>45713</v>
      </c>
      <c r="C215" s="1" t="n">
        <v>45932</v>
      </c>
      <c r="D215" t="inlineStr">
        <is>
          <t>VÄRMLANDS LÄN</t>
        </is>
      </c>
      <c r="E215" t="inlineStr">
        <is>
          <t>ARVIKA</t>
        </is>
      </c>
      <c r="G215" t="n">
        <v>3.2</v>
      </c>
      <c r="H215" t="n">
        <v>2</v>
      </c>
      <c r="I215" t="n">
        <v>0</v>
      </c>
      <c r="J215" t="n">
        <v>2</v>
      </c>
      <c r="K215" t="n">
        <v>0</v>
      </c>
      <c r="L215" t="n">
        <v>0</v>
      </c>
      <c r="M215" t="n">
        <v>0</v>
      </c>
      <c r="N215" t="n">
        <v>0</v>
      </c>
      <c r="O215" t="n">
        <v>2</v>
      </c>
      <c r="P215" t="n">
        <v>0</v>
      </c>
      <c r="Q215" t="n">
        <v>2</v>
      </c>
      <c r="R215" s="2" t="inlineStr">
        <is>
          <t>Spillkråka
Talltita</t>
        </is>
      </c>
      <c r="S215">
        <f>HYPERLINK("https://klasma.github.io/Logging_1784/artfynd/A 9032-2025 artfynd.xlsx", "A 9032-2025")</f>
        <v/>
      </c>
      <c r="T215">
        <f>HYPERLINK("https://klasma.github.io/Logging_1784/kartor/A 9032-2025 karta.png", "A 9032-2025")</f>
        <v/>
      </c>
      <c r="V215">
        <f>HYPERLINK("https://klasma.github.io/Logging_1784/klagomål/A 9032-2025 FSC-klagomål.docx", "A 9032-2025")</f>
        <v/>
      </c>
      <c r="W215">
        <f>HYPERLINK("https://klasma.github.io/Logging_1784/klagomålsmail/A 9032-2025 FSC-klagomål mail.docx", "A 9032-2025")</f>
        <v/>
      </c>
      <c r="X215">
        <f>HYPERLINK("https://klasma.github.io/Logging_1784/tillsyn/A 9032-2025 tillsynsbegäran.docx", "A 9032-2025")</f>
        <v/>
      </c>
      <c r="Y215">
        <f>HYPERLINK("https://klasma.github.io/Logging_1784/tillsynsmail/A 9032-2025 tillsynsbegäran mail.docx", "A 9032-2025")</f>
        <v/>
      </c>
      <c r="Z215">
        <f>HYPERLINK("https://klasma.github.io/Logging_1784/fåglar/A 9032-2025 prioriterade fågelarter.docx", "A 9032-2025")</f>
        <v/>
      </c>
    </row>
    <row r="216" ht="15" customHeight="1">
      <c r="A216" t="inlineStr">
        <is>
          <t>A 4718-2023</t>
        </is>
      </c>
      <c r="B216" s="1" t="n">
        <v>44957</v>
      </c>
      <c r="C216" s="1" t="n">
        <v>45932</v>
      </c>
      <c r="D216" t="inlineStr">
        <is>
          <t>VÄRMLANDS LÄN</t>
        </is>
      </c>
      <c r="E216" t="inlineStr">
        <is>
          <t>TORSBY</t>
        </is>
      </c>
      <c r="G216" t="n">
        <v>8.5</v>
      </c>
      <c r="H216" t="n">
        <v>0</v>
      </c>
      <c r="I216" t="n">
        <v>0</v>
      </c>
      <c r="J216" t="n">
        <v>2</v>
      </c>
      <c r="K216" t="n">
        <v>0</v>
      </c>
      <c r="L216" t="n">
        <v>0</v>
      </c>
      <c r="M216" t="n">
        <v>0</v>
      </c>
      <c r="N216" t="n">
        <v>0</v>
      </c>
      <c r="O216" t="n">
        <v>2</v>
      </c>
      <c r="P216" t="n">
        <v>0</v>
      </c>
      <c r="Q216" t="n">
        <v>2</v>
      </c>
      <c r="R216" s="2" t="inlineStr">
        <is>
          <t>Garnlav
Violettgrå tagellav</t>
        </is>
      </c>
      <c r="S216">
        <f>HYPERLINK("https://klasma.github.io/Logging_1737/artfynd/A 4718-2023 artfynd.xlsx", "A 4718-2023")</f>
        <v/>
      </c>
      <c r="T216">
        <f>HYPERLINK("https://klasma.github.io/Logging_1737/kartor/A 4718-2023 karta.png", "A 4718-2023")</f>
        <v/>
      </c>
      <c r="V216">
        <f>HYPERLINK("https://klasma.github.io/Logging_1737/klagomål/A 4718-2023 FSC-klagomål.docx", "A 4718-2023")</f>
        <v/>
      </c>
      <c r="W216">
        <f>HYPERLINK("https://klasma.github.io/Logging_1737/klagomålsmail/A 4718-2023 FSC-klagomål mail.docx", "A 4718-2023")</f>
        <v/>
      </c>
      <c r="X216">
        <f>HYPERLINK("https://klasma.github.io/Logging_1737/tillsyn/A 4718-2023 tillsynsbegäran.docx", "A 4718-2023")</f>
        <v/>
      </c>
      <c r="Y216">
        <f>HYPERLINK("https://klasma.github.io/Logging_1737/tillsynsmail/A 4718-2023 tillsynsbegäran mail.docx", "A 4718-2023")</f>
        <v/>
      </c>
    </row>
    <row r="217" ht="15" customHeight="1">
      <c r="A217" t="inlineStr">
        <is>
          <t>A 6542-2025</t>
        </is>
      </c>
      <c r="B217" s="1" t="n">
        <v>45699</v>
      </c>
      <c r="C217" s="1" t="n">
        <v>45932</v>
      </c>
      <c r="D217" t="inlineStr">
        <is>
          <t>VÄRMLANDS LÄN</t>
        </is>
      </c>
      <c r="E217" t="inlineStr">
        <is>
          <t>KARLSTAD</t>
        </is>
      </c>
      <c r="G217" t="n">
        <v>13</v>
      </c>
      <c r="H217" t="n">
        <v>0</v>
      </c>
      <c r="I217" t="n">
        <v>1</v>
      </c>
      <c r="J217" t="n">
        <v>1</v>
      </c>
      <c r="K217" t="n">
        <v>0</v>
      </c>
      <c r="L217" t="n">
        <v>0</v>
      </c>
      <c r="M217" t="n">
        <v>0</v>
      </c>
      <c r="N217" t="n">
        <v>0</v>
      </c>
      <c r="O217" t="n">
        <v>1</v>
      </c>
      <c r="P217" t="n">
        <v>0</v>
      </c>
      <c r="Q217" t="n">
        <v>2</v>
      </c>
      <c r="R217" s="2" t="inlineStr">
        <is>
          <t>Gropig brunbagge
Mindre märgborre</t>
        </is>
      </c>
      <c r="S217">
        <f>HYPERLINK("https://klasma.github.io/Logging_1780/artfynd/A 6542-2025 artfynd.xlsx", "A 6542-2025")</f>
        <v/>
      </c>
      <c r="T217">
        <f>HYPERLINK("https://klasma.github.io/Logging_1780/kartor/A 6542-2025 karta.png", "A 6542-2025")</f>
        <v/>
      </c>
      <c r="V217">
        <f>HYPERLINK("https://klasma.github.io/Logging_1780/klagomål/A 6542-2025 FSC-klagomål.docx", "A 6542-2025")</f>
        <v/>
      </c>
      <c r="W217">
        <f>HYPERLINK("https://klasma.github.io/Logging_1780/klagomålsmail/A 6542-2025 FSC-klagomål mail.docx", "A 6542-2025")</f>
        <v/>
      </c>
      <c r="X217">
        <f>HYPERLINK("https://klasma.github.io/Logging_1780/tillsyn/A 6542-2025 tillsynsbegäran.docx", "A 6542-2025")</f>
        <v/>
      </c>
      <c r="Y217">
        <f>HYPERLINK("https://klasma.github.io/Logging_1780/tillsynsmail/A 6542-2025 tillsynsbegäran mail.docx", "A 6542-2025")</f>
        <v/>
      </c>
    </row>
    <row r="218" ht="15" customHeight="1">
      <c r="A218" t="inlineStr">
        <is>
          <t>A 47561-2023</t>
        </is>
      </c>
      <c r="B218" s="1" t="n">
        <v>45197</v>
      </c>
      <c r="C218" s="1" t="n">
        <v>45932</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12375-2022</t>
        </is>
      </c>
      <c r="B219" s="1" t="n">
        <v>44637</v>
      </c>
      <c r="C219" s="1" t="n">
        <v>45932</v>
      </c>
      <c r="D219" t="inlineStr">
        <is>
          <t>VÄRMLANDS LÄN</t>
        </is>
      </c>
      <c r="E219" t="inlineStr">
        <is>
          <t>TORSBY</t>
        </is>
      </c>
      <c r="G219" t="n">
        <v>5.8</v>
      </c>
      <c r="H219" t="n">
        <v>0</v>
      </c>
      <c r="I219" t="n">
        <v>1</v>
      </c>
      <c r="J219" t="n">
        <v>1</v>
      </c>
      <c r="K219" t="n">
        <v>0</v>
      </c>
      <c r="L219" t="n">
        <v>0</v>
      </c>
      <c r="M219" t="n">
        <v>0</v>
      </c>
      <c r="N219" t="n">
        <v>0</v>
      </c>
      <c r="O219" t="n">
        <v>1</v>
      </c>
      <c r="P219" t="n">
        <v>0</v>
      </c>
      <c r="Q219" t="n">
        <v>2</v>
      </c>
      <c r="R219" s="2" t="inlineStr">
        <is>
          <t>Garnlav
Nästlav</t>
        </is>
      </c>
      <c r="S219">
        <f>HYPERLINK("https://klasma.github.io/Logging_1737/artfynd/A 12375-2022 artfynd.xlsx", "A 12375-2022")</f>
        <v/>
      </c>
      <c r="T219">
        <f>HYPERLINK("https://klasma.github.io/Logging_1737/kartor/A 12375-2022 karta.png", "A 12375-2022")</f>
        <v/>
      </c>
      <c r="V219">
        <f>HYPERLINK("https://klasma.github.io/Logging_1737/klagomål/A 12375-2022 FSC-klagomål.docx", "A 12375-2022")</f>
        <v/>
      </c>
      <c r="W219">
        <f>HYPERLINK("https://klasma.github.io/Logging_1737/klagomålsmail/A 12375-2022 FSC-klagomål mail.docx", "A 12375-2022")</f>
        <v/>
      </c>
      <c r="X219">
        <f>HYPERLINK("https://klasma.github.io/Logging_1737/tillsyn/A 12375-2022 tillsynsbegäran.docx", "A 12375-2022")</f>
        <v/>
      </c>
      <c r="Y219">
        <f>HYPERLINK("https://klasma.github.io/Logging_1737/tillsynsmail/A 12375-2022 tillsynsbegäran mail.docx", "A 12375-2022")</f>
        <v/>
      </c>
    </row>
    <row r="220" ht="15" customHeight="1">
      <c r="A220" t="inlineStr">
        <is>
          <t>A 18763-2024</t>
        </is>
      </c>
      <c r="B220" s="1" t="n">
        <v>45426.55398148148</v>
      </c>
      <c r="C220" s="1" t="n">
        <v>45932</v>
      </c>
      <c r="D220" t="inlineStr">
        <is>
          <t>VÄRMLANDS LÄN</t>
        </is>
      </c>
      <c r="E220" t="inlineStr">
        <is>
          <t>EDA</t>
        </is>
      </c>
      <c r="G220" t="n">
        <v>2.4</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18763-2024 artfynd.xlsx", "A 18763-2024")</f>
        <v/>
      </c>
      <c r="T220">
        <f>HYPERLINK("https://klasma.github.io/Logging_1730/kartor/A 18763-2024 karta.png", "A 18763-2024")</f>
        <v/>
      </c>
      <c r="V220">
        <f>HYPERLINK("https://klasma.github.io/Logging_1730/klagomål/A 18763-2024 FSC-klagomål.docx", "A 18763-2024")</f>
        <v/>
      </c>
      <c r="W220">
        <f>HYPERLINK("https://klasma.github.io/Logging_1730/klagomålsmail/A 18763-2024 FSC-klagomål mail.docx", "A 18763-2024")</f>
        <v/>
      </c>
      <c r="X220">
        <f>HYPERLINK("https://klasma.github.io/Logging_1730/tillsyn/A 18763-2024 tillsynsbegäran.docx", "A 18763-2024")</f>
        <v/>
      </c>
      <c r="Y220">
        <f>HYPERLINK("https://klasma.github.io/Logging_1730/tillsynsmail/A 18763-2024 tillsynsbegäran mail.docx", "A 18763-2024")</f>
        <v/>
      </c>
    </row>
    <row r="221" ht="15" customHeight="1">
      <c r="A221" t="inlineStr">
        <is>
          <t>A 48292-2023</t>
        </is>
      </c>
      <c r="B221" s="1" t="n">
        <v>45205</v>
      </c>
      <c r="C221" s="1" t="n">
        <v>45932</v>
      </c>
      <c r="D221" t="inlineStr">
        <is>
          <t>VÄRMLANDS LÄN</t>
        </is>
      </c>
      <c r="E221" t="inlineStr">
        <is>
          <t>TORSBY</t>
        </is>
      </c>
      <c r="G221" t="n">
        <v>2.3</v>
      </c>
      <c r="H221" t="n">
        <v>0</v>
      </c>
      <c r="I221" t="n">
        <v>1</v>
      </c>
      <c r="J221" t="n">
        <v>1</v>
      </c>
      <c r="K221" t="n">
        <v>0</v>
      </c>
      <c r="L221" t="n">
        <v>0</v>
      </c>
      <c r="M221" t="n">
        <v>0</v>
      </c>
      <c r="N221" t="n">
        <v>0</v>
      </c>
      <c r="O221" t="n">
        <v>1</v>
      </c>
      <c r="P221" t="n">
        <v>0</v>
      </c>
      <c r="Q221" t="n">
        <v>2</v>
      </c>
      <c r="R221" s="2" t="inlineStr">
        <is>
          <t>Vedtrappmossa
Vedticka</t>
        </is>
      </c>
      <c r="S221">
        <f>HYPERLINK("https://klasma.github.io/Logging_1737/artfynd/A 48292-2023 artfynd.xlsx", "A 48292-2023")</f>
        <v/>
      </c>
      <c r="T221">
        <f>HYPERLINK("https://klasma.github.io/Logging_1737/kartor/A 48292-2023 karta.png", "A 48292-2023")</f>
        <v/>
      </c>
      <c r="V221">
        <f>HYPERLINK("https://klasma.github.io/Logging_1737/klagomål/A 48292-2023 FSC-klagomål.docx", "A 48292-2023")</f>
        <v/>
      </c>
      <c r="W221">
        <f>HYPERLINK("https://klasma.github.io/Logging_1737/klagomålsmail/A 48292-2023 FSC-klagomål mail.docx", "A 48292-2023")</f>
        <v/>
      </c>
      <c r="X221">
        <f>HYPERLINK("https://klasma.github.io/Logging_1737/tillsyn/A 48292-2023 tillsynsbegäran.docx", "A 48292-2023")</f>
        <v/>
      </c>
      <c r="Y221">
        <f>HYPERLINK("https://klasma.github.io/Logging_1737/tillsynsmail/A 48292-2023 tillsynsbegäran mail.docx", "A 48292-2023")</f>
        <v/>
      </c>
    </row>
    <row r="222" ht="15" customHeight="1">
      <c r="A222" t="inlineStr">
        <is>
          <t>A 26757-2025</t>
        </is>
      </c>
      <c r="B222" s="1" t="n">
        <v>45810.56206018518</v>
      </c>
      <c r="C222" s="1" t="n">
        <v>45932</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42446-2024</t>
        </is>
      </c>
      <c r="B223" s="1" t="n">
        <v>45565</v>
      </c>
      <c r="C223" s="1" t="n">
        <v>45932</v>
      </c>
      <c r="D223" t="inlineStr">
        <is>
          <t>VÄRMLANDS LÄN</t>
        </is>
      </c>
      <c r="E223" t="inlineStr">
        <is>
          <t>HAGFORS</t>
        </is>
      </c>
      <c r="G223" t="n">
        <v>2.4</v>
      </c>
      <c r="H223" t="n">
        <v>0</v>
      </c>
      <c r="I223" t="n">
        <v>2</v>
      </c>
      <c r="J223" t="n">
        <v>0</v>
      </c>
      <c r="K223" t="n">
        <v>0</v>
      </c>
      <c r="L223" t="n">
        <v>0</v>
      </c>
      <c r="M223" t="n">
        <v>0</v>
      </c>
      <c r="N223" t="n">
        <v>0</v>
      </c>
      <c r="O223" t="n">
        <v>0</v>
      </c>
      <c r="P223" t="n">
        <v>0</v>
      </c>
      <c r="Q223" t="n">
        <v>2</v>
      </c>
      <c r="R223" s="2" t="inlineStr">
        <is>
          <t>Dvärghäxört
Strutbräken</t>
        </is>
      </c>
      <c r="S223">
        <f>HYPERLINK("https://klasma.github.io/Logging_1783/artfynd/A 42446-2024 artfynd.xlsx", "A 42446-2024")</f>
        <v/>
      </c>
      <c r="T223">
        <f>HYPERLINK("https://klasma.github.io/Logging_1783/kartor/A 42446-2024 karta.png", "A 42446-2024")</f>
        <v/>
      </c>
      <c r="V223">
        <f>HYPERLINK("https://klasma.github.io/Logging_1783/klagomål/A 42446-2024 FSC-klagomål.docx", "A 42446-2024")</f>
        <v/>
      </c>
      <c r="W223">
        <f>HYPERLINK("https://klasma.github.io/Logging_1783/klagomålsmail/A 42446-2024 FSC-klagomål mail.docx", "A 42446-2024")</f>
        <v/>
      </c>
      <c r="X223">
        <f>HYPERLINK("https://klasma.github.io/Logging_1783/tillsyn/A 42446-2024 tillsynsbegäran.docx", "A 42446-2024")</f>
        <v/>
      </c>
      <c r="Y223">
        <f>HYPERLINK("https://klasma.github.io/Logging_1783/tillsynsmail/A 42446-2024 tillsynsbegäran mail.docx", "A 42446-2024")</f>
        <v/>
      </c>
    </row>
    <row r="224" ht="15" customHeight="1">
      <c r="A224" t="inlineStr">
        <is>
          <t>A 40437-2025</t>
        </is>
      </c>
      <c r="B224" s="1" t="n">
        <v>45895</v>
      </c>
      <c r="C224" s="1" t="n">
        <v>45932</v>
      </c>
      <c r="D224" t="inlineStr">
        <is>
          <t>VÄRMLANDS LÄN</t>
        </is>
      </c>
      <c r="E224" t="inlineStr">
        <is>
          <t>ÅRJÄNG</t>
        </is>
      </c>
      <c r="G224" t="n">
        <v>8.1</v>
      </c>
      <c r="H224" t="n">
        <v>2</v>
      </c>
      <c r="I224" t="n">
        <v>0</v>
      </c>
      <c r="J224" t="n">
        <v>1</v>
      </c>
      <c r="K224" t="n">
        <v>0</v>
      </c>
      <c r="L224" t="n">
        <v>0</v>
      </c>
      <c r="M224" t="n">
        <v>0</v>
      </c>
      <c r="N224" t="n">
        <v>0</v>
      </c>
      <c r="O224" t="n">
        <v>1</v>
      </c>
      <c r="P224" t="n">
        <v>0</v>
      </c>
      <c r="Q224" t="n">
        <v>2</v>
      </c>
      <c r="R224" s="2" t="inlineStr">
        <is>
          <t>Spillkråka
Revlummer</t>
        </is>
      </c>
      <c r="S224">
        <f>HYPERLINK("https://klasma.github.io/Logging_1765/artfynd/A 40437-2025 artfynd.xlsx", "A 40437-2025")</f>
        <v/>
      </c>
      <c r="T224">
        <f>HYPERLINK("https://klasma.github.io/Logging_1765/kartor/A 40437-2025 karta.png", "A 40437-2025")</f>
        <v/>
      </c>
      <c r="V224">
        <f>HYPERLINK("https://klasma.github.io/Logging_1765/klagomål/A 40437-2025 FSC-klagomål.docx", "A 40437-2025")</f>
        <v/>
      </c>
      <c r="W224">
        <f>HYPERLINK("https://klasma.github.io/Logging_1765/klagomålsmail/A 40437-2025 FSC-klagomål mail.docx", "A 40437-2025")</f>
        <v/>
      </c>
      <c r="X224">
        <f>HYPERLINK("https://klasma.github.io/Logging_1765/tillsyn/A 40437-2025 tillsynsbegäran.docx", "A 40437-2025")</f>
        <v/>
      </c>
      <c r="Y224">
        <f>HYPERLINK("https://klasma.github.io/Logging_1765/tillsynsmail/A 40437-2025 tillsynsbegäran mail.docx", "A 40437-2025")</f>
        <v/>
      </c>
      <c r="Z224">
        <f>HYPERLINK("https://klasma.github.io/Logging_1765/fåglar/A 40437-2025 prioriterade fågelarter.docx", "A 40437-2025")</f>
        <v/>
      </c>
    </row>
    <row r="225" ht="15" customHeight="1">
      <c r="A225" t="inlineStr">
        <is>
          <t>A 60741-2023</t>
        </is>
      </c>
      <c r="B225" s="1" t="n">
        <v>45260</v>
      </c>
      <c r="C225" s="1" t="n">
        <v>45932</v>
      </c>
      <c r="D225" t="inlineStr">
        <is>
          <t>VÄRMLANDS LÄN</t>
        </is>
      </c>
      <c r="E225" t="inlineStr">
        <is>
          <t>ÅRJÄNG</t>
        </is>
      </c>
      <c r="G225" t="n">
        <v>2.7</v>
      </c>
      <c r="H225" t="n">
        <v>0</v>
      </c>
      <c r="I225" t="n">
        <v>0</v>
      </c>
      <c r="J225" t="n">
        <v>2</v>
      </c>
      <c r="K225" t="n">
        <v>0</v>
      </c>
      <c r="L225" t="n">
        <v>0</v>
      </c>
      <c r="M225" t="n">
        <v>0</v>
      </c>
      <c r="N225" t="n">
        <v>0</v>
      </c>
      <c r="O225" t="n">
        <v>2</v>
      </c>
      <c r="P225" t="n">
        <v>0</v>
      </c>
      <c r="Q225" t="n">
        <v>2</v>
      </c>
      <c r="R225" s="2" t="inlineStr">
        <is>
          <t>Garnlav
Vedskivlav</t>
        </is>
      </c>
      <c r="S225">
        <f>HYPERLINK("https://klasma.github.io/Logging_1765/artfynd/A 60741-2023 artfynd.xlsx", "A 60741-2023")</f>
        <v/>
      </c>
      <c r="T225">
        <f>HYPERLINK("https://klasma.github.io/Logging_1765/kartor/A 60741-2023 karta.png", "A 60741-2023")</f>
        <v/>
      </c>
      <c r="V225">
        <f>HYPERLINK("https://klasma.github.io/Logging_1765/klagomål/A 60741-2023 FSC-klagomål.docx", "A 60741-2023")</f>
        <v/>
      </c>
      <c r="W225">
        <f>HYPERLINK("https://klasma.github.io/Logging_1765/klagomålsmail/A 60741-2023 FSC-klagomål mail.docx", "A 60741-2023")</f>
        <v/>
      </c>
      <c r="X225">
        <f>HYPERLINK("https://klasma.github.io/Logging_1765/tillsyn/A 60741-2023 tillsynsbegäran.docx", "A 60741-2023")</f>
        <v/>
      </c>
      <c r="Y225">
        <f>HYPERLINK("https://klasma.github.io/Logging_1765/tillsynsmail/A 60741-2023 tillsynsbegäran mail.docx", "A 60741-2023")</f>
        <v/>
      </c>
    </row>
    <row r="226" ht="15" customHeight="1">
      <c r="A226" t="inlineStr">
        <is>
          <t>A 15826-2025</t>
        </is>
      </c>
      <c r="B226" s="1" t="n">
        <v>45748</v>
      </c>
      <c r="C226" s="1" t="n">
        <v>45932</v>
      </c>
      <c r="D226" t="inlineStr">
        <is>
          <t>VÄRMLANDS LÄN</t>
        </is>
      </c>
      <c r="E226" t="inlineStr">
        <is>
          <t>HAGFORS</t>
        </is>
      </c>
      <c r="F226" t="inlineStr">
        <is>
          <t>Bergvik skog väst AB</t>
        </is>
      </c>
      <c r="G226" t="n">
        <v>8</v>
      </c>
      <c r="H226" t="n">
        <v>0</v>
      </c>
      <c r="I226" t="n">
        <v>0</v>
      </c>
      <c r="J226" t="n">
        <v>1</v>
      </c>
      <c r="K226" t="n">
        <v>1</v>
      </c>
      <c r="L226" t="n">
        <v>0</v>
      </c>
      <c r="M226" t="n">
        <v>0</v>
      </c>
      <c r="N226" t="n">
        <v>0</v>
      </c>
      <c r="O226" t="n">
        <v>2</v>
      </c>
      <c r="P226" t="n">
        <v>1</v>
      </c>
      <c r="Q226" t="n">
        <v>2</v>
      </c>
      <c r="R226" s="2" t="inlineStr">
        <is>
          <t>Rynkskinn
Stjärntagging</t>
        </is>
      </c>
      <c r="S226">
        <f>HYPERLINK("https://klasma.github.io/Logging_1783/artfynd/A 15826-2025 artfynd.xlsx", "A 15826-2025")</f>
        <v/>
      </c>
      <c r="T226">
        <f>HYPERLINK("https://klasma.github.io/Logging_1783/kartor/A 15826-2025 karta.png", "A 15826-2025")</f>
        <v/>
      </c>
      <c r="V226">
        <f>HYPERLINK("https://klasma.github.io/Logging_1783/klagomål/A 15826-2025 FSC-klagomål.docx", "A 15826-2025")</f>
        <v/>
      </c>
      <c r="W226">
        <f>HYPERLINK("https://klasma.github.io/Logging_1783/klagomålsmail/A 15826-2025 FSC-klagomål mail.docx", "A 15826-2025")</f>
        <v/>
      </c>
      <c r="X226">
        <f>HYPERLINK("https://klasma.github.io/Logging_1783/tillsyn/A 15826-2025 tillsynsbegäran.docx", "A 15826-2025")</f>
        <v/>
      </c>
      <c r="Y226">
        <f>HYPERLINK("https://klasma.github.io/Logging_1783/tillsynsmail/A 15826-2025 tillsynsbegäran mail.docx", "A 15826-2025")</f>
        <v/>
      </c>
    </row>
    <row r="227" ht="15" customHeight="1">
      <c r="A227" t="inlineStr">
        <is>
          <t>A 24697-2024</t>
        </is>
      </c>
      <c r="B227" s="1" t="n">
        <v>45460</v>
      </c>
      <c r="C227" s="1" t="n">
        <v>45932</v>
      </c>
      <c r="D227" t="inlineStr">
        <is>
          <t>VÄRMLANDS LÄN</t>
        </is>
      </c>
      <c r="E227" t="inlineStr">
        <is>
          <t>SÄFFLE</t>
        </is>
      </c>
      <c r="G227" t="n">
        <v>16.9</v>
      </c>
      <c r="H227" t="n">
        <v>0</v>
      </c>
      <c r="I227" t="n">
        <v>2</v>
      </c>
      <c r="J227" t="n">
        <v>0</v>
      </c>
      <c r="K227" t="n">
        <v>0</v>
      </c>
      <c r="L227" t="n">
        <v>0</v>
      </c>
      <c r="M227" t="n">
        <v>0</v>
      </c>
      <c r="N227" t="n">
        <v>0</v>
      </c>
      <c r="O227" t="n">
        <v>0</v>
      </c>
      <c r="P227" t="n">
        <v>0</v>
      </c>
      <c r="Q227" t="n">
        <v>2</v>
      </c>
      <c r="R227" s="2" t="inlineStr">
        <is>
          <t>Blåmossa
Dropptaggsvamp</t>
        </is>
      </c>
      <c r="S227">
        <f>HYPERLINK("https://klasma.github.io/Logging_1785/artfynd/A 24697-2024 artfynd.xlsx", "A 24697-2024")</f>
        <v/>
      </c>
      <c r="T227">
        <f>HYPERLINK("https://klasma.github.io/Logging_1785/kartor/A 24697-2024 karta.png", "A 24697-2024")</f>
        <v/>
      </c>
      <c r="V227">
        <f>HYPERLINK("https://klasma.github.io/Logging_1785/klagomål/A 24697-2024 FSC-klagomål.docx", "A 24697-2024")</f>
        <v/>
      </c>
      <c r="W227">
        <f>HYPERLINK("https://klasma.github.io/Logging_1785/klagomålsmail/A 24697-2024 FSC-klagomål mail.docx", "A 24697-2024")</f>
        <v/>
      </c>
      <c r="X227">
        <f>HYPERLINK("https://klasma.github.io/Logging_1785/tillsyn/A 24697-2024 tillsynsbegäran.docx", "A 24697-2024")</f>
        <v/>
      </c>
      <c r="Y227">
        <f>HYPERLINK("https://klasma.github.io/Logging_1785/tillsynsmail/A 24697-2024 tillsynsbegäran mail.docx", "A 24697-2024")</f>
        <v/>
      </c>
    </row>
    <row r="228" ht="15" customHeight="1">
      <c r="A228" t="inlineStr">
        <is>
          <t>A 38138-2024</t>
        </is>
      </c>
      <c r="B228" s="1" t="n">
        <v>45545</v>
      </c>
      <c r="C228" s="1" t="n">
        <v>45932</v>
      </c>
      <c r="D228" t="inlineStr">
        <is>
          <t>VÄRMLANDS LÄN</t>
        </is>
      </c>
      <c r="E228" t="inlineStr">
        <is>
          <t>FILIPSTAD</t>
        </is>
      </c>
      <c r="F228" t="inlineStr">
        <is>
          <t>Bergvik skog väst AB</t>
        </is>
      </c>
      <c r="G228" t="n">
        <v>1.6</v>
      </c>
      <c r="H228" t="n">
        <v>1</v>
      </c>
      <c r="I228" t="n">
        <v>0</v>
      </c>
      <c r="J228" t="n">
        <v>1</v>
      </c>
      <c r="K228" t="n">
        <v>0</v>
      </c>
      <c r="L228" t="n">
        <v>0</v>
      </c>
      <c r="M228" t="n">
        <v>0</v>
      </c>
      <c r="N228" t="n">
        <v>0</v>
      </c>
      <c r="O228" t="n">
        <v>1</v>
      </c>
      <c r="P228" t="n">
        <v>0</v>
      </c>
      <c r="Q228" t="n">
        <v>2</v>
      </c>
      <c r="R228" s="2" t="inlineStr">
        <is>
          <t>Garnlav
Fläcknycklar</t>
        </is>
      </c>
      <c r="S228">
        <f>HYPERLINK("https://klasma.github.io/Logging_1782/artfynd/A 38138-2024 artfynd.xlsx", "A 38138-2024")</f>
        <v/>
      </c>
      <c r="T228">
        <f>HYPERLINK("https://klasma.github.io/Logging_1782/kartor/A 38138-2024 karta.png", "A 38138-2024")</f>
        <v/>
      </c>
      <c r="V228">
        <f>HYPERLINK("https://klasma.github.io/Logging_1782/klagomål/A 38138-2024 FSC-klagomål.docx", "A 38138-2024")</f>
        <v/>
      </c>
      <c r="W228">
        <f>HYPERLINK("https://klasma.github.io/Logging_1782/klagomålsmail/A 38138-2024 FSC-klagomål mail.docx", "A 38138-2024")</f>
        <v/>
      </c>
      <c r="X228">
        <f>HYPERLINK("https://klasma.github.io/Logging_1782/tillsyn/A 38138-2024 tillsynsbegäran.docx", "A 38138-2024")</f>
        <v/>
      </c>
      <c r="Y228">
        <f>HYPERLINK("https://klasma.github.io/Logging_1782/tillsynsmail/A 38138-2024 tillsynsbegäran mail.docx", "A 38138-2024")</f>
        <v/>
      </c>
    </row>
    <row r="229" ht="15" customHeight="1">
      <c r="A229" t="inlineStr">
        <is>
          <t>A 58238-2024</t>
        </is>
      </c>
      <c r="B229" s="1" t="n">
        <v>45632</v>
      </c>
      <c r="C229" s="1" t="n">
        <v>45932</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45523-2022</t>
        </is>
      </c>
      <c r="B230" s="1" t="n">
        <v>44845</v>
      </c>
      <c r="C230" s="1" t="n">
        <v>45932</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38132-2024</t>
        </is>
      </c>
      <c r="B231" s="1" t="n">
        <v>45545</v>
      </c>
      <c r="C231" s="1" t="n">
        <v>45932</v>
      </c>
      <c r="D231" t="inlineStr">
        <is>
          <t>VÄRMLANDS LÄN</t>
        </is>
      </c>
      <c r="E231" t="inlineStr">
        <is>
          <t>FILIPSTAD</t>
        </is>
      </c>
      <c r="F231" t="inlineStr">
        <is>
          <t>Bergvik skog väst AB</t>
        </is>
      </c>
      <c r="G231" t="n">
        <v>2</v>
      </c>
      <c r="H231" t="n">
        <v>1</v>
      </c>
      <c r="I231" t="n">
        <v>1</v>
      </c>
      <c r="J231" t="n">
        <v>0</v>
      </c>
      <c r="K231" t="n">
        <v>0</v>
      </c>
      <c r="L231" t="n">
        <v>0</v>
      </c>
      <c r="M231" t="n">
        <v>0</v>
      </c>
      <c r="N231" t="n">
        <v>0</v>
      </c>
      <c r="O231" t="n">
        <v>0</v>
      </c>
      <c r="P231" t="n">
        <v>0</v>
      </c>
      <c r="Q231" t="n">
        <v>2</v>
      </c>
      <c r="R231" s="2" t="inlineStr">
        <is>
          <t>Bronshjon
Fläcknycklar</t>
        </is>
      </c>
      <c r="S231">
        <f>HYPERLINK("https://klasma.github.io/Logging_1782/artfynd/A 38132-2024 artfynd.xlsx", "A 38132-2024")</f>
        <v/>
      </c>
      <c r="T231">
        <f>HYPERLINK("https://klasma.github.io/Logging_1782/kartor/A 38132-2024 karta.png", "A 38132-2024")</f>
        <v/>
      </c>
      <c r="V231">
        <f>HYPERLINK("https://klasma.github.io/Logging_1782/klagomål/A 38132-2024 FSC-klagomål.docx", "A 38132-2024")</f>
        <v/>
      </c>
      <c r="W231">
        <f>HYPERLINK("https://klasma.github.io/Logging_1782/klagomålsmail/A 38132-2024 FSC-klagomål mail.docx", "A 38132-2024")</f>
        <v/>
      </c>
      <c r="X231">
        <f>HYPERLINK("https://klasma.github.io/Logging_1782/tillsyn/A 38132-2024 tillsynsbegäran.docx", "A 38132-2024")</f>
        <v/>
      </c>
      <c r="Y231">
        <f>HYPERLINK("https://klasma.github.io/Logging_1782/tillsynsmail/A 38132-2024 tillsynsbegäran mail.docx", "A 38132-2024")</f>
        <v/>
      </c>
    </row>
    <row r="232" ht="15" customHeight="1">
      <c r="A232" t="inlineStr">
        <is>
          <t>A 26039-2023</t>
        </is>
      </c>
      <c r="B232" s="1" t="n">
        <v>45091.33247685185</v>
      </c>
      <c r="C232" s="1" t="n">
        <v>45932</v>
      </c>
      <c r="D232" t="inlineStr">
        <is>
          <t>VÄRMLANDS LÄN</t>
        </is>
      </c>
      <c r="E232" t="inlineStr">
        <is>
          <t>EDA</t>
        </is>
      </c>
      <c r="G232" t="n">
        <v>1.6</v>
      </c>
      <c r="H232" t="n">
        <v>2</v>
      </c>
      <c r="I232" t="n">
        <v>0</v>
      </c>
      <c r="J232" t="n">
        <v>2</v>
      </c>
      <c r="K232" t="n">
        <v>0</v>
      </c>
      <c r="L232" t="n">
        <v>0</v>
      </c>
      <c r="M232" t="n">
        <v>0</v>
      </c>
      <c r="N232" t="n">
        <v>0</v>
      </c>
      <c r="O232" t="n">
        <v>2</v>
      </c>
      <c r="P232" t="n">
        <v>0</v>
      </c>
      <c r="Q232" t="n">
        <v>2</v>
      </c>
      <c r="R232" s="2" t="inlineStr">
        <is>
          <t>Buskskvätta
Gulsparv</t>
        </is>
      </c>
      <c r="S232">
        <f>HYPERLINK("https://klasma.github.io/Logging_1730/artfynd/A 26039-2023 artfynd.xlsx", "A 26039-2023")</f>
        <v/>
      </c>
      <c r="T232">
        <f>HYPERLINK("https://klasma.github.io/Logging_1730/kartor/A 26039-2023 karta.png", "A 26039-2023")</f>
        <v/>
      </c>
      <c r="V232">
        <f>HYPERLINK("https://klasma.github.io/Logging_1730/klagomål/A 26039-2023 FSC-klagomål.docx", "A 26039-2023")</f>
        <v/>
      </c>
      <c r="W232">
        <f>HYPERLINK("https://klasma.github.io/Logging_1730/klagomålsmail/A 26039-2023 FSC-klagomål mail.docx", "A 26039-2023")</f>
        <v/>
      </c>
      <c r="X232">
        <f>HYPERLINK("https://klasma.github.io/Logging_1730/tillsyn/A 26039-2023 tillsynsbegäran.docx", "A 26039-2023")</f>
        <v/>
      </c>
      <c r="Y232">
        <f>HYPERLINK("https://klasma.github.io/Logging_1730/tillsynsmail/A 26039-2023 tillsynsbegäran mail.docx", "A 26039-2023")</f>
        <v/>
      </c>
      <c r="Z232">
        <f>HYPERLINK("https://klasma.github.io/Logging_1730/fåglar/A 26039-2023 prioriterade fågelarter.docx", "A 26039-2023")</f>
        <v/>
      </c>
    </row>
    <row r="233" ht="15" customHeight="1">
      <c r="A233" t="inlineStr">
        <is>
          <t>A 10795-2025</t>
        </is>
      </c>
      <c r="B233" s="1" t="n">
        <v>45722</v>
      </c>
      <c r="C233" s="1" t="n">
        <v>45932</v>
      </c>
      <c r="D233" t="inlineStr">
        <is>
          <t>VÄRMLANDS LÄN</t>
        </is>
      </c>
      <c r="E233" t="inlineStr">
        <is>
          <t>HAMMARÖ</t>
        </is>
      </c>
      <c r="G233" t="n">
        <v>0.7</v>
      </c>
      <c r="H233" t="n">
        <v>1</v>
      </c>
      <c r="I233" t="n">
        <v>1</v>
      </c>
      <c r="J233" t="n">
        <v>1</v>
      </c>
      <c r="K233" t="n">
        <v>0</v>
      </c>
      <c r="L233" t="n">
        <v>0</v>
      </c>
      <c r="M233" t="n">
        <v>0</v>
      </c>
      <c r="N233" t="n">
        <v>0</v>
      </c>
      <c r="O233" t="n">
        <v>1</v>
      </c>
      <c r="P233" t="n">
        <v>0</v>
      </c>
      <c r="Q233" t="n">
        <v>2</v>
      </c>
      <c r="R233" s="2" t="inlineStr">
        <is>
          <t>Nordfladdermus
Guldkremla</t>
        </is>
      </c>
      <c r="S233">
        <f>HYPERLINK("https://klasma.github.io/Logging_1761/artfynd/A 10795-2025 artfynd.xlsx", "A 10795-2025")</f>
        <v/>
      </c>
      <c r="T233">
        <f>HYPERLINK("https://klasma.github.io/Logging_1761/kartor/A 10795-2025 karta.png", "A 10795-2025")</f>
        <v/>
      </c>
      <c r="V233">
        <f>HYPERLINK("https://klasma.github.io/Logging_1761/klagomål/A 10795-2025 FSC-klagomål.docx", "A 10795-2025")</f>
        <v/>
      </c>
      <c r="W233">
        <f>HYPERLINK("https://klasma.github.io/Logging_1761/klagomålsmail/A 10795-2025 FSC-klagomål mail.docx", "A 10795-2025")</f>
        <v/>
      </c>
      <c r="X233">
        <f>HYPERLINK("https://klasma.github.io/Logging_1761/tillsyn/A 10795-2025 tillsynsbegäran.docx", "A 10795-2025")</f>
        <v/>
      </c>
      <c r="Y233">
        <f>HYPERLINK("https://klasma.github.io/Logging_1761/tillsynsmail/A 10795-2025 tillsynsbegäran mail.docx", "A 10795-2025")</f>
        <v/>
      </c>
    </row>
    <row r="234" ht="15" customHeight="1">
      <c r="A234" t="inlineStr">
        <is>
          <t>A 3340-2022</t>
        </is>
      </c>
      <c r="B234" s="1" t="n">
        <v>44585</v>
      </c>
      <c r="C234" s="1" t="n">
        <v>45932</v>
      </c>
      <c r="D234" t="inlineStr">
        <is>
          <t>VÄRMLANDS LÄN</t>
        </is>
      </c>
      <c r="E234" t="inlineStr">
        <is>
          <t>ARVIKA</t>
        </is>
      </c>
      <c r="G234" t="n">
        <v>5</v>
      </c>
      <c r="H234" t="n">
        <v>0</v>
      </c>
      <c r="I234" t="n">
        <v>2</v>
      </c>
      <c r="J234" t="n">
        <v>0</v>
      </c>
      <c r="K234" t="n">
        <v>0</v>
      </c>
      <c r="L234" t="n">
        <v>0</v>
      </c>
      <c r="M234" t="n">
        <v>0</v>
      </c>
      <c r="N234" t="n">
        <v>0</v>
      </c>
      <c r="O234" t="n">
        <v>0</v>
      </c>
      <c r="P234" t="n">
        <v>0</v>
      </c>
      <c r="Q234" t="n">
        <v>2</v>
      </c>
      <c r="R234" s="2" t="inlineStr">
        <is>
          <t>Skinnlav
Stor aspticka</t>
        </is>
      </c>
      <c r="S234">
        <f>HYPERLINK("https://klasma.github.io/Logging_1784/artfynd/A 3340-2022 artfynd.xlsx", "A 3340-2022")</f>
        <v/>
      </c>
      <c r="T234">
        <f>HYPERLINK("https://klasma.github.io/Logging_1784/kartor/A 3340-2022 karta.png", "A 3340-2022")</f>
        <v/>
      </c>
      <c r="V234">
        <f>HYPERLINK("https://klasma.github.io/Logging_1784/klagomål/A 3340-2022 FSC-klagomål.docx", "A 3340-2022")</f>
        <v/>
      </c>
      <c r="W234">
        <f>HYPERLINK("https://klasma.github.io/Logging_1784/klagomålsmail/A 3340-2022 FSC-klagomål mail.docx", "A 3340-2022")</f>
        <v/>
      </c>
      <c r="X234">
        <f>HYPERLINK("https://klasma.github.io/Logging_1784/tillsyn/A 3340-2022 tillsynsbegäran.docx", "A 3340-2022")</f>
        <v/>
      </c>
      <c r="Y234">
        <f>HYPERLINK("https://klasma.github.io/Logging_1784/tillsynsmail/A 3340-2022 tillsynsbegäran mail.docx", "A 3340-2022")</f>
        <v/>
      </c>
    </row>
    <row r="235" ht="15" customHeight="1">
      <c r="A235" t="inlineStr">
        <is>
          <t>A 8591-2023</t>
        </is>
      </c>
      <c r="B235" s="1" t="n">
        <v>44977</v>
      </c>
      <c r="C235" s="1" t="n">
        <v>45932</v>
      </c>
      <c r="D235" t="inlineStr">
        <is>
          <t>VÄRMLANDS LÄN</t>
        </is>
      </c>
      <c r="E235" t="inlineStr">
        <is>
          <t>ARVIKA</t>
        </is>
      </c>
      <c r="G235" t="n">
        <v>6</v>
      </c>
      <c r="H235" t="n">
        <v>1</v>
      </c>
      <c r="I235" t="n">
        <v>1</v>
      </c>
      <c r="J235" t="n">
        <v>0</v>
      </c>
      <c r="K235" t="n">
        <v>1</v>
      </c>
      <c r="L235" t="n">
        <v>0</v>
      </c>
      <c r="M235" t="n">
        <v>0</v>
      </c>
      <c r="N235" t="n">
        <v>0</v>
      </c>
      <c r="O235" t="n">
        <v>1</v>
      </c>
      <c r="P235" t="n">
        <v>1</v>
      </c>
      <c r="Q235" t="n">
        <v>2</v>
      </c>
      <c r="R235" s="2" t="inlineStr">
        <is>
          <t>Knärot
Fjällig taggsvamp s.str.</t>
        </is>
      </c>
      <c r="S235">
        <f>HYPERLINK("https://klasma.github.io/Logging_1784/artfynd/A 8591-2023 artfynd.xlsx", "A 8591-2023")</f>
        <v/>
      </c>
      <c r="T235">
        <f>HYPERLINK("https://klasma.github.io/Logging_1784/kartor/A 8591-2023 karta.png", "A 8591-2023")</f>
        <v/>
      </c>
      <c r="U235">
        <f>HYPERLINK("https://klasma.github.io/Logging_1784/knärot/A 8591-2023 karta knärot.png", "A 8591-2023")</f>
        <v/>
      </c>
      <c r="V235">
        <f>HYPERLINK("https://klasma.github.io/Logging_1784/klagomål/A 8591-2023 FSC-klagomål.docx", "A 8591-2023")</f>
        <v/>
      </c>
      <c r="W235">
        <f>HYPERLINK("https://klasma.github.io/Logging_1784/klagomålsmail/A 8591-2023 FSC-klagomål mail.docx", "A 8591-2023")</f>
        <v/>
      </c>
      <c r="X235">
        <f>HYPERLINK("https://klasma.github.io/Logging_1784/tillsyn/A 8591-2023 tillsynsbegäran.docx", "A 8591-2023")</f>
        <v/>
      </c>
      <c r="Y235">
        <f>HYPERLINK("https://klasma.github.io/Logging_1784/tillsynsmail/A 8591-2023 tillsynsbegäran mail.docx", "A 8591-2023")</f>
        <v/>
      </c>
    </row>
    <row r="236" ht="15" customHeight="1">
      <c r="A236" t="inlineStr">
        <is>
          <t>A 25212-2025</t>
        </is>
      </c>
      <c r="B236" s="1" t="n">
        <v>45800</v>
      </c>
      <c r="C236" s="1" t="n">
        <v>45932</v>
      </c>
      <c r="D236" t="inlineStr">
        <is>
          <t>VÄRMLANDS LÄN</t>
        </is>
      </c>
      <c r="E236" t="inlineStr">
        <is>
          <t>TORSBY</t>
        </is>
      </c>
      <c r="F236" t="inlineStr">
        <is>
          <t>Bergvik skog väst AB</t>
        </is>
      </c>
      <c r="G236" t="n">
        <v>6.4</v>
      </c>
      <c r="H236" t="n">
        <v>1</v>
      </c>
      <c r="I236" t="n">
        <v>1</v>
      </c>
      <c r="J236" t="n">
        <v>0</v>
      </c>
      <c r="K236" t="n">
        <v>1</v>
      </c>
      <c r="L236" t="n">
        <v>0</v>
      </c>
      <c r="M236" t="n">
        <v>0</v>
      </c>
      <c r="N236" t="n">
        <v>0</v>
      </c>
      <c r="O236" t="n">
        <v>1</v>
      </c>
      <c r="P236" t="n">
        <v>1</v>
      </c>
      <c r="Q236" t="n">
        <v>2</v>
      </c>
      <c r="R236" s="2" t="inlineStr">
        <is>
          <t>Bombmurkla
Vedticka</t>
        </is>
      </c>
      <c r="S236">
        <f>HYPERLINK("https://klasma.github.io/Logging_1737/artfynd/A 25212-2025 artfynd.xlsx", "A 25212-2025")</f>
        <v/>
      </c>
      <c r="T236">
        <f>HYPERLINK("https://klasma.github.io/Logging_1737/kartor/A 25212-2025 karta.png", "A 25212-2025")</f>
        <v/>
      </c>
      <c r="V236">
        <f>HYPERLINK("https://klasma.github.io/Logging_1737/klagomål/A 25212-2025 FSC-klagomål.docx", "A 25212-2025")</f>
        <v/>
      </c>
      <c r="W236">
        <f>HYPERLINK("https://klasma.github.io/Logging_1737/klagomålsmail/A 25212-2025 FSC-klagomål mail.docx", "A 25212-2025")</f>
        <v/>
      </c>
      <c r="X236">
        <f>HYPERLINK("https://klasma.github.io/Logging_1737/tillsyn/A 25212-2025 tillsynsbegäran.docx", "A 25212-2025")</f>
        <v/>
      </c>
      <c r="Y236">
        <f>HYPERLINK("https://klasma.github.io/Logging_1737/tillsynsmail/A 25212-2025 tillsynsbegäran mail.docx", "A 25212-2025")</f>
        <v/>
      </c>
    </row>
    <row r="237" ht="15" customHeight="1">
      <c r="A237" t="inlineStr">
        <is>
          <t>A 16742-2025</t>
        </is>
      </c>
      <c r="B237" s="1" t="n">
        <v>45754</v>
      </c>
      <c r="C237" s="1" t="n">
        <v>45932</v>
      </c>
      <c r="D237" t="inlineStr">
        <is>
          <t>VÄRMLANDS LÄN</t>
        </is>
      </c>
      <c r="E237" t="inlineStr">
        <is>
          <t>EDA</t>
        </is>
      </c>
      <c r="G237" t="n">
        <v>8.9</v>
      </c>
      <c r="H237" t="n">
        <v>2</v>
      </c>
      <c r="I237" t="n">
        <v>0</v>
      </c>
      <c r="J237" t="n">
        <v>2</v>
      </c>
      <c r="K237" t="n">
        <v>0</v>
      </c>
      <c r="L237" t="n">
        <v>0</v>
      </c>
      <c r="M237" t="n">
        <v>0</v>
      </c>
      <c r="N237" t="n">
        <v>0</v>
      </c>
      <c r="O237" t="n">
        <v>2</v>
      </c>
      <c r="P237" t="n">
        <v>0</v>
      </c>
      <c r="Q237" t="n">
        <v>2</v>
      </c>
      <c r="R237" s="2" t="inlineStr">
        <is>
          <t>Talltita
Tretåig hackspett</t>
        </is>
      </c>
      <c r="S237">
        <f>HYPERLINK("https://klasma.github.io/Logging_1730/artfynd/A 16742-2025 artfynd.xlsx", "A 16742-2025")</f>
        <v/>
      </c>
      <c r="T237">
        <f>HYPERLINK("https://klasma.github.io/Logging_1730/kartor/A 16742-2025 karta.png", "A 16742-2025")</f>
        <v/>
      </c>
      <c r="V237">
        <f>HYPERLINK("https://klasma.github.io/Logging_1730/klagomål/A 16742-2025 FSC-klagomål.docx", "A 16742-2025")</f>
        <v/>
      </c>
      <c r="W237">
        <f>HYPERLINK("https://klasma.github.io/Logging_1730/klagomålsmail/A 16742-2025 FSC-klagomål mail.docx", "A 16742-2025")</f>
        <v/>
      </c>
      <c r="X237">
        <f>HYPERLINK("https://klasma.github.io/Logging_1730/tillsyn/A 16742-2025 tillsynsbegäran.docx", "A 16742-2025")</f>
        <v/>
      </c>
      <c r="Y237">
        <f>HYPERLINK("https://klasma.github.io/Logging_1730/tillsynsmail/A 16742-2025 tillsynsbegäran mail.docx", "A 16742-2025")</f>
        <v/>
      </c>
      <c r="Z237">
        <f>HYPERLINK("https://klasma.github.io/Logging_1730/fåglar/A 16742-2025 prioriterade fågelarter.docx", "A 16742-2025")</f>
        <v/>
      </c>
    </row>
    <row r="238" ht="15" customHeight="1">
      <c r="A238" t="inlineStr">
        <is>
          <t>A 19133-2024</t>
        </is>
      </c>
      <c r="B238" s="1" t="n">
        <v>45428</v>
      </c>
      <c r="C238" s="1" t="n">
        <v>45932</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45401-2023</t>
        </is>
      </c>
      <c r="B239" s="1" t="n">
        <v>45194</v>
      </c>
      <c r="C239" s="1" t="n">
        <v>45932</v>
      </c>
      <c r="D239" t="inlineStr">
        <is>
          <t>VÄRMLANDS LÄN</t>
        </is>
      </c>
      <c r="E239" t="inlineStr">
        <is>
          <t>ARVIKA</t>
        </is>
      </c>
      <c r="G239" t="n">
        <v>2.4</v>
      </c>
      <c r="H239" t="n">
        <v>1</v>
      </c>
      <c r="I239" t="n">
        <v>0</v>
      </c>
      <c r="J239" t="n">
        <v>1</v>
      </c>
      <c r="K239" t="n">
        <v>1</v>
      </c>
      <c r="L239" t="n">
        <v>0</v>
      </c>
      <c r="M239" t="n">
        <v>0</v>
      </c>
      <c r="N239" t="n">
        <v>0</v>
      </c>
      <c r="O239" t="n">
        <v>2</v>
      </c>
      <c r="P239" t="n">
        <v>1</v>
      </c>
      <c r="Q239" t="n">
        <v>2</v>
      </c>
      <c r="R239" s="2" t="inlineStr">
        <is>
          <t>Knärot
Skogsklocka</t>
        </is>
      </c>
      <c r="S239">
        <f>HYPERLINK("https://klasma.github.io/Logging_1784/artfynd/A 45401-2023 artfynd.xlsx", "A 45401-2023")</f>
        <v/>
      </c>
      <c r="T239">
        <f>HYPERLINK("https://klasma.github.io/Logging_1784/kartor/A 45401-2023 karta.png", "A 45401-2023")</f>
        <v/>
      </c>
      <c r="U239">
        <f>HYPERLINK("https://klasma.github.io/Logging_1784/knärot/A 45401-2023 karta knärot.png", "A 45401-2023")</f>
        <v/>
      </c>
      <c r="V239">
        <f>HYPERLINK("https://klasma.github.io/Logging_1784/klagomål/A 45401-2023 FSC-klagomål.docx", "A 45401-2023")</f>
        <v/>
      </c>
      <c r="W239">
        <f>HYPERLINK("https://klasma.github.io/Logging_1784/klagomålsmail/A 45401-2023 FSC-klagomål mail.docx", "A 45401-2023")</f>
        <v/>
      </c>
      <c r="X239">
        <f>HYPERLINK("https://klasma.github.io/Logging_1784/tillsyn/A 45401-2023 tillsynsbegäran.docx", "A 45401-2023")</f>
        <v/>
      </c>
      <c r="Y239">
        <f>HYPERLINK("https://klasma.github.io/Logging_1784/tillsynsmail/A 45401-2023 tillsynsbegäran mail.docx", "A 45401-2023")</f>
        <v/>
      </c>
    </row>
    <row r="240" ht="15" customHeight="1">
      <c r="A240" t="inlineStr">
        <is>
          <t>A 16442-2023</t>
        </is>
      </c>
      <c r="B240" s="1" t="n">
        <v>45026</v>
      </c>
      <c r="C240" s="1" t="n">
        <v>45932</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16766-2022</t>
        </is>
      </c>
      <c r="B241" s="1" t="n">
        <v>44673</v>
      </c>
      <c r="C241" s="1" t="n">
        <v>45932</v>
      </c>
      <c r="D241" t="inlineStr">
        <is>
          <t>VÄRMLANDS LÄN</t>
        </is>
      </c>
      <c r="E241" t="inlineStr">
        <is>
          <t>SÄFFLE</t>
        </is>
      </c>
      <c r="F241" t="inlineStr">
        <is>
          <t>Kyrkan</t>
        </is>
      </c>
      <c r="G241" t="n">
        <v>5.5</v>
      </c>
      <c r="H241" t="n">
        <v>1</v>
      </c>
      <c r="I241" t="n">
        <v>1</v>
      </c>
      <c r="J241" t="n">
        <v>0</v>
      </c>
      <c r="K241" t="n">
        <v>1</v>
      </c>
      <c r="L241" t="n">
        <v>0</v>
      </c>
      <c r="M241" t="n">
        <v>0</v>
      </c>
      <c r="N241" t="n">
        <v>0</v>
      </c>
      <c r="O241" t="n">
        <v>1</v>
      </c>
      <c r="P241" t="n">
        <v>1</v>
      </c>
      <c r="Q241" t="n">
        <v>2</v>
      </c>
      <c r="R241" s="2" t="inlineStr">
        <is>
          <t>Slåttergubbe
Korallrot</t>
        </is>
      </c>
      <c r="S241">
        <f>HYPERLINK("https://klasma.github.io/Logging_1785/artfynd/A 16766-2022 artfynd.xlsx", "A 16766-2022")</f>
        <v/>
      </c>
      <c r="T241">
        <f>HYPERLINK("https://klasma.github.io/Logging_1785/kartor/A 16766-2022 karta.png", "A 16766-2022")</f>
        <v/>
      </c>
      <c r="V241">
        <f>HYPERLINK("https://klasma.github.io/Logging_1785/klagomål/A 16766-2022 FSC-klagomål.docx", "A 16766-2022")</f>
        <v/>
      </c>
      <c r="W241">
        <f>HYPERLINK("https://klasma.github.io/Logging_1785/klagomålsmail/A 16766-2022 FSC-klagomål mail.docx", "A 16766-2022")</f>
        <v/>
      </c>
      <c r="X241">
        <f>HYPERLINK("https://klasma.github.io/Logging_1785/tillsyn/A 16766-2022 tillsynsbegäran.docx", "A 16766-2022")</f>
        <v/>
      </c>
      <c r="Y241">
        <f>HYPERLINK("https://klasma.github.io/Logging_1785/tillsynsmail/A 16766-2022 tillsynsbegäran mail.docx", "A 16766-2022")</f>
        <v/>
      </c>
    </row>
    <row r="242" ht="15" customHeight="1">
      <c r="A242" t="inlineStr">
        <is>
          <t>A 14594-2022</t>
        </is>
      </c>
      <c r="B242" s="1" t="n">
        <v>44655</v>
      </c>
      <c r="C242" s="1" t="n">
        <v>45932</v>
      </c>
      <c r="D242" t="inlineStr">
        <is>
          <t>VÄRMLANDS LÄN</t>
        </is>
      </c>
      <c r="E242" t="inlineStr">
        <is>
          <t>KARLSTAD</t>
        </is>
      </c>
      <c r="F242" t="inlineStr">
        <is>
          <t>Kommuner</t>
        </is>
      </c>
      <c r="G242" t="n">
        <v>11.2</v>
      </c>
      <c r="H242" t="n">
        <v>1</v>
      </c>
      <c r="I242" t="n">
        <v>0</v>
      </c>
      <c r="J242" t="n">
        <v>2</v>
      </c>
      <c r="K242" t="n">
        <v>0</v>
      </c>
      <c r="L242" t="n">
        <v>0</v>
      </c>
      <c r="M242" t="n">
        <v>0</v>
      </c>
      <c r="N242" t="n">
        <v>0</v>
      </c>
      <c r="O242" t="n">
        <v>2</v>
      </c>
      <c r="P242" t="n">
        <v>0</v>
      </c>
      <c r="Q242" t="n">
        <v>2</v>
      </c>
      <c r="R242" s="2" t="inlineStr">
        <is>
          <t>Igelkott
Mindre hackspett</t>
        </is>
      </c>
      <c r="S242">
        <f>HYPERLINK("https://klasma.github.io/Logging_1780/artfynd/A 14594-2022 artfynd.xlsx", "A 14594-2022")</f>
        <v/>
      </c>
      <c r="T242">
        <f>HYPERLINK("https://klasma.github.io/Logging_1780/kartor/A 14594-2022 karta.png", "A 14594-2022")</f>
        <v/>
      </c>
      <c r="V242">
        <f>HYPERLINK("https://klasma.github.io/Logging_1780/klagomål/A 14594-2022 FSC-klagomål.docx", "A 14594-2022")</f>
        <v/>
      </c>
      <c r="W242">
        <f>HYPERLINK("https://klasma.github.io/Logging_1780/klagomålsmail/A 14594-2022 FSC-klagomål mail.docx", "A 14594-2022")</f>
        <v/>
      </c>
      <c r="X242">
        <f>HYPERLINK("https://klasma.github.io/Logging_1780/tillsyn/A 14594-2022 tillsynsbegäran.docx", "A 14594-2022")</f>
        <v/>
      </c>
      <c r="Y242">
        <f>HYPERLINK("https://klasma.github.io/Logging_1780/tillsynsmail/A 14594-2022 tillsynsbegäran mail.docx", "A 14594-2022")</f>
        <v/>
      </c>
      <c r="Z242">
        <f>HYPERLINK("https://klasma.github.io/Logging_1780/fåglar/A 14594-2022 prioriterade fågelarter.docx", "A 14594-2022")</f>
        <v/>
      </c>
    </row>
    <row r="243" ht="15" customHeight="1">
      <c r="A243" t="inlineStr">
        <is>
          <t>A 66652-2021</t>
        </is>
      </c>
      <c r="B243" s="1" t="n">
        <v>44519</v>
      </c>
      <c r="C243" s="1" t="n">
        <v>45932</v>
      </c>
      <c r="D243" t="inlineStr">
        <is>
          <t>VÄRMLANDS LÄN</t>
        </is>
      </c>
      <c r="E243" t="inlineStr">
        <is>
          <t>ARVIKA</t>
        </is>
      </c>
      <c r="G243" t="n">
        <v>12.3</v>
      </c>
      <c r="H243" t="n">
        <v>0</v>
      </c>
      <c r="I243" t="n">
        <v>1</v>
      </c>
      <c r="J243" t="n">
        <v>1</v>
      </c>
      <c r="K243" t="n">
        <v>0</v>
      </c>
      <c r="L243" t="n">
        <v>0</v>
      </c>
      <c r="M243" t="n">
        <v>0</v>
      </c>
      <c r="N243" t="n">
        <v>0</v>
      </c>
      <c r="O243" t="n">
        <v>1</v>
      </c>
      <c r="P243" t="n">
        <v>0</v>
      </c>
      <c r="Q243" t="n">
        <v>2</v>
      </c>
      <c r="R243" s="2" t="inlineStr">
        <is>
          <t>Garnlav
Korallblylav</t>
        </is>
      </c>
      <c r="S243">
        <f>HYPERLINK("https://klasma.github.io/Logging_1784/artfynd/A 66652-2021 artfynd.xlsx", "A 66652-2021")</f>
        <v/>
      </c>
      <c r="T243">
        <f>HYPERLINK("https://klasma.github.io/Logging_1784/kartor/A 66652-2021 karta.png", "A 66652-2021")</f>
        <v/>
      </c>
      <c r="V243">
        <f>HYPERLINK("https://klasma.github.io/Logging_1784/klagomål/A 66652-2021 FSC-klagomål.docx", "A 66652-2021")</f>
        <v/>
      </c>
      <c r="W243">
        <f>HYPERLINK("https://klasma.github.io/Logging_1784/klagomålsmail/A 66652-2021 FSC-klagomål mail.docx", "A 66652-2021")</f>
        <v/>
      </c>
      <c r="X243">
        <f>HYPERLINK("https://klasma.github.io/Logging_1784/tillsyn/A 66652-2021 tillsynsbegäran.docx", "A 66652-2021")</f>
        <v/>
      </c>
      <c r="Y243">
        <f>HYPERLINK("https://klasma.github.io/Logging_1784/tillsynsmail/A 66652-2021 tillsynsbegäran mail.docx", "A 66652-2021")</f>
        <v/>
      </c>
    </row>
    <row r="244" ht="15" customHeight="1">
      <c r="A244" t="inlineStr">
        <is>
          <t>A 34930-2022</t>
        </is>
      </c>
      <c r="B244" s="1" t="n">
        <v>44796</v>
      </c>
      <c r="C244" s="1" t="n">
        <v>45932</v>
      </c>
      <c r="D244" t="inlineStr">
        <is>
          <t>VÄRMLANDS LÄN</t>
        </is>
      </c>
      <c r="E244" t="inlineStr">
        <is>
          <t>TORSBY</t>
        </is>
      </c>
      <c r="G244" t="n">
        <v>3.3</v>
      </c>
      <c r="H244" t="n">
        <v>0</v>
      </c>
      <c r="I244" t="n">
        <v>2</v>
      </c>
      <c r="J244" t="n">
        <v>0</v>
      </c>
      <c r="K244" t="n">
        <v>0</v>
      </c>
      <c r="L244" t="n">
        <v>0</v>
      </c>
      <c r="M244" t="n">
        <v>0</v>
      </c>
      <c r="N244" t="n">
        <v>0</v>
      </c>
      <c r="O244" t="n">
        <v>0</v>
      </c>
      <c r="P244" t="n">
        <v>0</v>
      </c>
      <c r="Q244" t="n">
        <v>2</v>
      </c>
      <c r="R244" s="2" t="inlineStr">
        <is>
          <t>Mörk husmossa
Terpentinmossa</t>
        </is>
      </c>
      <c r="S244">
        <f>HYPERLINK("https://klasma.github.io/Logging_1737/artfynd/A 34930-2022 artfynd.xlsx", "A 34930-2022")</f>
        <v/>
      </c>
      <c r="T244">
        <f>HYPERLINK("https://klasma.github.io/Logging_1737/kartor/A 34930-2022 karta.png", "A 34930-2022")</f>
        <v/>
      </c>
      <c r="V244">
        <f>HYPERLINK("https://klasma.github.io/Logging_1737/klagomål/A 34930-2022 FSC-klagomål.docx", "A 34930-2022")</f>
        <v/>
      </c>
      <c r="W244">
        <f>HYPERLINK("https://klasma.github.io/Logging_1737/klagomålsmail/A 34930-2022 FSC-klagomål mail.docx", "A 34930-2022")</f>
        <v/>
      </c>
      <c r="X244">
        <f>HYPERLINK("https://klasma.github.io/Logging_1737/tillsyn/A 34930-2022 tillsynsbegäran.docx", "A 34930-2022")</f>
        <v/>
      </c>
      <c r="Y244">
        <f>HYPERLINK("https://klasma.github.io/Logging_1737/tillsynsmail/A 34930-2022 tillsynsbegäran mail.docx", "A 34930-2022")</f>
        <v/>
      </c>
    </row>
    <row r="245" ht="15" customHeight="1">
      <c r="A245" t="inlineStr">
        <is>
          <t>A 8038-2025</t>
        </is>
      </c>
      <c r="B245" s="1" t="n">
        <v>45707</v>
      </c>
      <c r="C245" s="1" t="n">
        <v>45932</v>
      </c>
      <c r="D245" t="inlineStr">
        <is>
          <t>VÄRMLANDS LÄN</t>
        </is>
      </c>
      <c r="E245" t="inlineStr">
        <is>
          <t>ARVIKA</t>
        </is>
      </c>
      <c r="F245" t="inlineStr">
        <is>
          <t>Övriga Aktiebolag</t>
        </is>
      </c>
      <c r="G245" t="n">
        <v>12.9</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8038-2025 artfynd.xlsx", "A 8038-2025")</f>
        <v/>
      </c>
      <c r="T245">
        <f>HYPERLINK("https://klasma.github.io/Logging_1784/kartor/A 8038-2025 karta.png", "A 8038-2025")</f>
        <v/>
      </c>
      <c r="V245">
        <f>HYPERLINK("https://klasma.github.io/Logging_1784/klagomål/A 8038-2025 FSC-klagomål.docx", "A 8038-2025")</f>
        <v/>
      </c>
      <c r="W245">
        <f>HYPERLINK("https://klasma.github.io/Logging_1784/klagomålsmail/A 8038-2025 FSC-klagomål mail.docx", "A 8038-2025")</f>
        <v/>
      </c>
      <c r="X245">
        <f>HYPERLINK("https://klasma.github.io/Logging_1784/tillsyn/A 8038-2025 tillsynsbegäran.docx", "A 8038-2025")</f>
        <v/>
      </c>
      <c r="Y245">
        <f>HYPERLINK("https://klasma.github.io/Logging_1784/tillsynsmail/A 8038-2025 tillsynsbegäran mail.docx", "A 8038-2025")</f>
        <v/>
      </c>
      <c r="Z245">
        <f>HYPERLINK("https://klasma.github.io/Logging_1784/fåglar/A 8038-2025 prioriterade fågelarter.docx", "A 8038-2025")</f>
        <v/>
      </c>
    </row>
    <row r="246" ht="15" customHeight="1">
      <c r="A246" t="inlineStr">
        <is>
          <t>A 7998-2025</t>
        </is>
      </c>
      <c r="B246" s="1" t="n">
        <v>45707.52335648148</v>
      </c>
      <c r="C246" s="1" t="n">
        <v>45932</v>
      </c>
      <c r="D246" t="inlineStr">
        <is>
          <t>VÄRMLANDS LÄN</t>
        </is>
      </c>
      <c r="E246" t="inlineStr">
        <is>
          <t>ÅRJÄNG</t>
        </is>
      </c>
      <c r="G246" t="n">
        <v>1</v>
      </c>
      <c r="H246" t="n">
        <v>2</v>
      </c>
      <c r="I246" t="n">
        <v>0</v>
      </c>
      <c r="J246" t="n">
        <v>1</v>
      </c>
      <c r="K246" t="n">
        <v>0</v>
      </c>
      <c r="L246" t="n">
        <v>0</v>
      </c>
      <c r="M246" t="n">
        <v>0</v>
      </c>
      <c r="N246" t="n">
        <v>0</v>
      </c>
      <c r="O246" t="n">
        <v>1</v>
      </c>
      <c r="P246" t="n">
        <v>0</v>
      </c>
      <c r="Q246" t="n">
        <v>2</v>
      </c>
      <c r="R246" s="2" t="inlineStr">
        <is>
          <t>Spillkråka
Revlummer</t>
        </is>
      </c>
      <c r="S246">
        <f>HYPERLINK("https://klasma.github.io/Logging_1765/artfynd/A 7998-2025 artfynd.xlsx", "A 7998-2025")</f>
        <v/>
      </c>
      <c r="T246">
        <f>HYPERLINK("https://klasma.github.io/Logging_1765/kartor/A 7998-2025 karta.png", "A 7998-2025")</f>
        <v/>
      </c>
      <c r="V246">
        <f>HYPERLINK("https://klasma.github.io/Logging_1765/klagomål/A 7998-2025 FSC-klagomål.docx", "A 7998-2025")</f>
        <v/>
      </c>
      <c r="W246">
        <f>HYPERLINK("https://klasma.github.io/Logging_1765/klagomålsmail/A 7998-2025 FSC-klagomål mail.docx", "A 7998-2025")</f>
        <v/>
      </c>
      <c r="X246">
        <f>HYPERLINK("https://klasma.github.io/Logging_1765/tillsyn/A 7998-2025 tillsynsbegäran.docx", "A 7998-2025")</f>
        <v/>
      </c>
      <c r="Y246">
        <f>HYPERLINK("https://klasma.github.io/Logging_1765/tillsynsmail/A 7998-2025 tillsynsbegäran mail.docx", "A 7998-2025")</f>
        <v/>
      </c>
      <c r="Z246">
        <f>HYPERLINK("https://klasma.github.io/Logging_1765/fåglar/A 7998-2025 prioriterade fågelarter.docx", "A 7998-2025")</f>
        <v/>
      </c>
    </row>
    <row r="247" ht="15" customHeight="1">
      <c r="A247" t="inlineStr">
        <is>
          <t>A 60688-2023</t>
        </is>
      </c>
      <c r="B247" s="1" t="n">
        <v>45260</v>
      </c>
      <c r="C247" s="1" t="n">
        <v>45932</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23083-2024</t>
        </is>
      </c>
      <c r="B248" s="1" t="n">
        <v>45450</v>
      </c>
      <c r="C248" s="1" t="n">
        <v>45932</v>
      </c>
      <c r="D248" t="inlineStr">
        <is>
          <t>VÄRMLANDS LÄN</t>
        </is>
      </c>
      <c r="E248" t="inlineStr">
        <is>
          <t>ARVIKA</t>
        </is>
      </c>
      <c r="F248" t="inlineStr">
        <is>
          <t>Bergvik skog väst AB</t>
        </is>
      </c>
      <c r="G248" t="n">
        <v>1.2</v>
      </c>
      <c r="H248" t="n">
        <v>1</v>
      </c>
      <c r="I248" t="n">
        <v>0</v>
      </c>
      <c r="J248" t="n">
        <v>1</v>
      </c>
      <c r="K248" t="n">
        <v>1</v>
      </c>
      <c r="L248" t="n">
        <v>0</v>
      </c>
      <c r="M248" t="n">
        <v>0</v>
      </c>
      <c r="N248" t="n">
        <v>0</v>
      </c>
      <c r="O248" t="n">
        <v>2</v>
      </c>
      <c r="P248" t="n">
        <v>1</v>
      </c>
      <c r="Q248" t="n">
        <v>2</v>
      </c>
      <c r="R248" s="2" t="inlineStr">
        <is>
          <t>Knärot
Gultoppig fingersvamp</t>
        </is>
      </c>
      <c r="S248">
        <f>HYPERLINK("https://klasma.github.io/Logging_1784/artfynd/A 23083-2024 artfynd.xlsx", "A 23083-2024")</f>
        <v/>
      </c>
      <c r="T248">
        <f>HYPERLINK("https://klasma.github.io/Logging_1784/kartor/A 23083-2024 karta.png", "A 23083-2024")</f>
        <v/>
      </c>
      <c r="U248">
        <f>HYPERLINK("https://klasma.github.io/Logging_1784/knärot/A 23083-2024 karta knärot.png", "A 23083-2024")</f>
        <v/>
      </c>
      <c r="V248">
        <f>HYPERLINK("https://klasma.github.io/Logging_1784/klagomål/A 23083-2024 FSC-klagomål.docx", "A 23083-2024")</f>
        <v/>
      </c>
      <c r="W248">
        <f>HYPERLINK("https://klasma.github.io/Logging_1784/klagomålsmail/A 23083-2024 FSC-klagomål mail.docx", "A 23083-2024")</f>
        <v/>
      </c>
      <c r="X248">
        <f>HYPERLINK("https://klasma.github.io/Logging_1784/tillsyn/A 23083-2024 tillsynsbegäran.docx", "A 23083-2024")</f>
        <v/>
      </c>
      <c r="Y248">
        <f>HYPERLINK("https://klasma.github.io/Logging_1784/tillsynsmail/A 23083-2024 tillsynsbegäran mail.docx", "A 23083-2024")</f>
        <v/>
      </c>
    </row>
    <row r="249" ht="15" customHeight="1">
      <c r="A249" t="inlineStr">
        <is>
          <t>A 9157-2024</t>
        </is>
      </c>
      <c r="B249" s="1" t="n">
        <v>45358.39175925926</v>
      </c>
      <c r="C249" s="1" t="n">
        <v>45932</v>
      </c>
      <c r="D249" t="inlineStr">
        <is>
          <t>VÄRMLANDS LÄN</t>
        </is>
      </c>
      <c r="E249" t="inlineStr">
        <is>
          <t>EDA</t>
        </is>
      </c>
      <c r="G249" t="n">
        <v>1.3</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9157-2024 artfynd.xlsx", "A 9157-2024")</f>
        <v/>
      </c>
      <c r="T249">
        <f>HYPERLINK("https://klasma.github.io/Logging_1730/kartor/A 9157-2024 karta.png", "A 9157-2024")</f>
        <v/>
      </c>
      <c r="V249">
        <f>HYPERLINK("https://klasma.github.io/Logging_1730/klagomål/A 9157-2024 FSC-klagomål.docx", "A 9157-2024")</f>
        <v/>
      </c>
      <c r="W249">
        <f>HYPERLINK("https://klasma.github.io/Logging_1730/klagomålsmail/A 9157-2024 FSC-klagomål mail.docx", "A 9157-2024")</f>
        <v/>
      </c>
      <c r="X249">
        <f>HYPERLINK("https://klasma.github.io/Logging_1730/tillsyn/A 9157-2024 tillsynsbegäran.docx", "A 9157-2024")</f>
        <v/>
      </c>
      <c r="Y249">
        <f>HYPERLINK("https://klasma.github.io/Logging_1730/tillsynsmail/A 9157-2024 tillsynsbegäran mail.docx", "A 9157-2024")</f>
        <v/>
      </c>
    </row>
    <row r="250" ht="15" customHeight="1">
      <c r="A250" t="inlineStr">
        <is>
          <t>A 17747-2025</t>
        </is>
      </c>
      <c r="B250" s="1" t="n">
        <v>45758</v>
      </c>
      <c r="C250" s="1" t="n">
        <v>45932</v>
      </c>
      <c r="D250" t="inlineStr">
        <is>
          <t>VÄRMLANDS LÄN</t>
        </is>
      </c>
      <c r="E250" t="inlineStr">
        <is>
          <t>TORSBY</t>
        </is>
      </c>
      <c r="G250" t="n">
        <v>14.1</v>
      </c>
      <c r="H250" t="n">
        <v>0</v>
      </c>
      <c r="I250" t="n">
        <v>0</v>
      </c>
      <c r="J250" t="n">
        <v>2</v>
      </c>
      <c r="K250" t="n">
        <v>0</v>
      </c>
      <c r="L250" t="n">
        <v>0</v>
      </c>
      <c r="M250" t="n">
        <v>0</v>
      </c>
      <c r="N250" t="n">
        <v>0</v>
      </c>
      <c r="O250" t="n">
        <v>2</v>
      </c>
      <c r="P250" t="n">
        <v>0</v>
      </c>
      <c r="Q250" t="n">
        <v>2</v>
      </c>
      <c r="R250" s="2" t="inlineStr">
        <is>
          <t>Garnlav
Vedtrappmossa</t>
        </is>
      </c>
      <c r="S250">
        <f>HYPERLINK("https://klasma.github.io/Logging_1737/artfynd/A 17747-2025 artfynd.xlsx", "A 17747-2025")</f>
        <v/>
      </c>
      <c r="T250">
        <f>HYPERLINK("https://klasma.github.io/Logging_1737/kartor/A 17747-2025 karta.png", "A 17747-2025")</f>
        <v/>
      </c>
      <c r="V250">
        <f>HYPERLINK("https://klasma.github.io/Logging_1737/klagomål/A 17747-2025 FSC-klagomål.docx", "A 17747-2025")</f>
        <v/>
      </c>
      <c r="W250">
        <f>HYPERLINK("https://klasma.github.io/Logging_1737/klagomålsmail/A 17747-2025 FSC-klagomål mail.docx", "A 17747-2025")</f>
        <v/>
      </c>
      <c r="X250">
        <f>HYPERLINK("https://klasma.github.io/Logging_1737/tillsyn/A 17747-2025 tillsynsbegäran.docx", "A 17747-2025")</f>
        <v/>
      </c>
      <c r="Y250">
        <f>HYPERLINK("https://klasma.github.io/Logging_1737/tillsynsmail/A 17747-2025 tillsynsbegäran mail.docx", "A 17747-2025")</f>
        <v/>
      </c>
    </row>
    <row r="251" ht="15" customHeight="1">
      <c r="A251" t="inlineStr">
        <is>
          <t>A 7097-2025</t>
        </is>
      </c>
      <c r="B251" s="1" t="n">
        <v>45701</v>
      </c>
      <c r="C251" s="1" t="n">
        <v>45932</v>
      </c>
      <c r="D251" t="inlineStr">
        <is>
          <t>VÄRMLANDS LÄN</t>
        </is>
      </c>
      <c r="E251" t="inlineStr">
        <is>
          <t>SUNNE</t>
        </is>
      </c>
      <c r="G251" t="n">
        <v>3.9</v>
      </c>
      <c r="H251" t="n">
        <v>1</v>
      </c>
      <c r="I251" t="n">
        <v>0</v>
      </c>
      <c r="J251" t="n">
        <v>1</v>
      </c>
      <c r="K251" t="n">
        <v>0</v>
      </c>
      <c r="L251" t="n">
        <v>0</v>
      </c>
      <c r="M251" t="n">
        <v>0</v>
      </c>
      <c r="N251" t="n">
        <v>0</v>
      </c>
      <c r="O251" t="n">
        <v>1</v>
      </c>
      <c r="P251" t="n">
        <v>0</v>
      </c>
      <c r="Q251" t="n">
        <v>2</v>
      </c>
      <c r="R251" s="2" t="inlineStr">
        <is>
          <t>Tallticka
Tjäder</t>
        </is>
      </c>
      <c r="S251">
        <f>HYPERLINK("https://klasma.github.io/Logging_1766/artfynd/A 7097-2025 artfynd.xlsx", "A 7097-2025")</f>
        <v/>
      </c>
      <c r="T251">
        <f>HYPERLINK("https://klasma.github.io/Logging_1766/kartor/A 7097-2025 karta.png", "A 7097-2025")</f>
        <v/>
      </c>
      <c r="V251">
        <f>HYPERLINK("https://klasma.github.io/Logging_1766/klagomål/A 7097-2025 FSC-klagomål.docx", "A 7097-2025")</f>
        <v/>
      </c>
      <c r="W251">
        <f>HYPERLINK("https://klasma.github.io/Logging_1766/klagomålsmail/A 7097-2025 FSC-klagomål mail.docx", "A 7097-2025")</f>
        <v/>
      </c>
      <c r="X251">
        <f>HYPERLINK("https://klasma.github.io/Logging_1766/tillsyn/A 7097-2025 tillsynsbegäran.docx", "A 7097-2025")</f>
        <v/>
      </c>
      <c r="Y251">
        <f>HYPERLINK("https://klasma.github.io/Logging_1766/tillsynsmail/A 7097-2025 tillsynsbegäran mail.docx", "A 7097-2025")</f>
        <v/>
      </c>
      <c r="Z251">
        <f>HYPERLINK("https://klasma.github.io/Logging_1766/fåglar/A 7097-2025 prioriterade fågelarter.docx", "A 7097-2025")</f>
        <v/>
      </c>
    </row>
    <row r="252" ht="15" customHeight="1">
      <c r="A252" t="inlineStr">
        <is>
          <t>A 5978-2024</t>
        </is>
      </c>
      <c r="B252" s="1" t="n">
        <v>45336</v>
      </c>
      <c r="C252" s="1" t="n">
        <v>45932</v>
      </c>
      <c r="D252" t="inlineStr">
        <is>
          <t>VÄRMLANDS LÄN</t>
        </is>
      </c>
      <c r="E252" t="inlineStr">
        <is>
          <t>SUNNE</t>
        </is>
      </c>
      <c r="G252" t="n">
        <v>1.2</v>
      </c>
      <c r="H252" t="n">
        <v>0</v>
      </c>
      <c r="I252" t="n">
        <v>1</v>
      </c>
      <c r="J252" t="n">
        <v>1</v>
      </c>
      <c r="K252" t="n">
        <v>0</v>
      </c>
      <c r="L252" t="n">
        <v>0</v>
      </c>
      <c r="M252" t="n">
        <v>0</v>
      </c>
      <c r="N252" t="n">
        <v>0</v>
      </c>
      <c r="O252" t="n">
        <v>1</v>
      </c>
      <c r="P252" t="n">
        <v>0</v>
      </c>
      <c r="Q252" t="n">
        <v>2</v>
      </c>
      <c r="R252" s="2" t="inlineStr">
        <is>
          <t>Violettgrå tagellav
Skuggblåslav</t>
        </is>
      </c>
      <c r="S252">
        <f>HYPERLINK("https://klasma.github.io/Logging_1766/artfynd/A 5978-2024 artfynd.xlsx", "A 5978-2024")</f>
        <v/>
      </c>
      <c r="T252">
        <f>HYPERLINK("https://klasma.github.io/Logging_1766/kartor/A 5978-2024 karta.png", "A 5978-2024")</f>
        <v/>
      </c>
      <c r="V252">
        <f>HYPERLINK("https://klasma.github.io/Logging_1766/klagomål/A 5978-2024 FSC-klagomål.docx", "A 5978-2024")</f>
        <v/>
      </c>
      <c r="W252">
        <f>HYPERLINK("https://klasma.github.io/Logging_1766/klagomålsmail/A 5978-2024 FSC-klagomål mail.docx", "A 5978-2024")</f>
        <v/>
      </c>
      <c r="X252">
        <f>HYPERLINK("https://klasma.github.io/Logging_1766/tillsyn/A 5978-2024 tillsynsbegäran.docx", "A 5978-2024")</f>
        <v/>
      </c>
      <c r="Y252">
        <f>HYPERLINK("https://klasma.github.io/Logging_1766/tillsynsmail/A 5978-2024 tillsynsbegäran mail.docx", "A 5978-2024")</f>
        <v/>
      </c>
    </row>
    <row r="253" ht="15" customHeight="1">
      <c r="A253" t="inlineStr">
        <is>
          <t>A 43389-2023</t>
        </is>
      </c>
      <c r="B253" s="1" t="n">
        <v>45183</v>
      </c>
      <c r="C253" s="1" t="n">
        <v>45932</v>
      </c>
      <c r="D253" t="inlineStr">
        <is>
          <t>VÄRMLANDS LÄN</t>
        </is>
      </c>
      <c r="E253" t="inlineStr">
        <is>
          <t>ARVIKA</t>
        </is>
      </c>
      <c r="G253" t="n">
        <v>0.9</v>
      </c>
      <c r="H253" t="n">
        <v>1</v>
      </c>
      <c r="I253" t="n">
        <v>0</v>
      </c>
      <c r="J253" t="n">
        <v>0</v>
      </c>
      <c r="K253" t="n">
        <v>1</v>
      </c>
      <c r="L253" t="n">
        <v>1</v>
      </c>
      <c r="M253" t="n">
        <v>0</v>
      </c>
      <c r="N253" t="n">
        <v>0</v>
      </c>
      <c r="O253" t="n">
        <v>2</v>
      </c>
      <c r="P253" t="n">
        <v>2</v>
      </c>
      <c r="Q253" t="n">
        <v>2</v>
      </c>
      <c r="R253" s="2" t="inlineStr">
        <is>
          <t>Raggtaggsvamp
Knärot</t>
        </is>
      </c>
      <c r="S253">
        <f>HYPERLINK("https://klasma.github.io/Logging_1784/artfynd/A 43389-2023 artfynd.xlsx", "A 43389-2023")</f>
        <v/>
      </c>
      <c r="T253">
        <f>HYPERLINK("https://klasma.github.io/Logging_1784/kartor/A 43389-2023 karta.png", "A 43389-2023")</f>
        <v/>
      </c>
      <c r="U253">
        <f>HYPERLINK("https://klasma.github.io/Logging_1784/knärot/A 43389-2023 karta knärot.png", "A 43389-2023")</f>
        <v/>
      </c>
      <c r="V253">
        <f>HYPERLINK("https://klasma.github.io/Logging_1784/klagomål/A 43389-2023 FSC-klagomål.docx", "A 43389-2023")</f>
        <v/>
      </c>
      <c r="W253">
        <f>HYPERLINK("https://klasma.github.io/Logging_1784/klagomålsmail/A 43389-2023 FSC-klagomål mail.docx", "A 43389-2023")</f>
        <v/>
      </c>
      <c r="X253">
        <f>HYPERLINK("https://klasma.github.io/Logging_1784/tillsyn/A 43389-2023 tillsynsbegäran.docx", "A 43389-2023")</f>
        <v/>
      </c>
      <c r="Y253">
        <f>HYPERLINK("https://klasma.github.io/Logging_1784/tillsynsmail/A 43389-2023 tillsynsbegäran mail.docx", "A 43389-2023")</f>
        <v/>
      </c>
    </row>
    <row r="254" ht="15" customHeight="1">
      <c r="A254" t="inlineStr">
        <is>
          <t>A 6134-2023</t>
        </is>
      </c>
      <c r="B254" s="1" t="n">
        <v>44964.62440972222</v>
      </c>
      <c r="C254" s="1" t="n">
        <v>45932</v>
      </c>
      <c r="D254" t="inlineStr">
        <is>
          <t>VÄRMLANDS LÄN</t>
        </is>
      </c>
      <c r="E254" t="inlineStr">
        <is>
          <t>ÅRJÄNG</t>
        </is>
      </c>
      <c r="G254" t="n">
        <v>5.4</v>
      </c>
      <c r="H254" t="n">
        <v>0</v>
      </c>
      <c r="I254" t="n">
        <v>1</v>
      </c>
      <c r="J254" t="n">
        <v>1</v>
      </c>
      <c r="K254" t="n">
        <v>0</v>
      </c>
      <c r="L254" t="n">
        <v>0</v>
      </c>
      <c r="M254" t="n">
        <v>0</v>
      </c>
      <c r="N254" t="n">
        <v>0</v>
      </c>
      <c r="O254" t="n">
        <v>1</v>
      </c>
      <c r="P254" t="n">
        <v>0</v>
      </c>
      <c r="Q254" t="n">
        <v>2</v>
      </c>
      <c r="R254" s="2" t="inlineStr">
        <is>
          <t>Garnlav
Korallblylav</t>
        </is>
      </c>
      <c r="S254">
        <f>HYPERLINK("https://klasma.github.io/Logging_1765/artfynd/A 6134-2023 artfynd.xlsx", "A 6134-2023")</f>
        <v/>
      </c>
      <c r="T254">
        <f>HYPERLINK("https://klasma.github.io/Logging_1765/kartor/A 6134-2023 karta.png", "A 6134-2023")</f>
        <v/>
      </c>
      <c r="V254">
        <f>HYPERLINK("https://klasma.github.io/Logging_1765/klagomål/A 6134-2023 FSC-klagomål.docx", "A 6134-2023")</f>
        <v/>
      </c>
      <c r="W254">
        <f>HYPERLINK("https://klasma.github.io/Logging_1765/klagomålsmail/A 6134-2023 FSC-klagomål mail.docx", "A 6134-2023")</f>
        <v/>
      </c>
      <c r="X254">
        <f>HYPERLINK("https://klasma.github.io/Logging_1765/tillsyn/A 6134-2023 tillsynsbegäran.docx", "A 6134-2023")</f>
        <v/>
      </c>
      <c r="Y254">
        <f>HYPERLINK("https://klasma.github.io/Logging_1765/tillsynsmail/A 6134-2023 tillsynsbegäran mail.docx", "A 6134-2023")</f>
        <v/>
      </c>
    </row>
    <row r="255" ht="15" customHeight="1">
      <c r="A255" t="inlineStr">
        <is>
          <t>A 37388-2025</t>
        </is>
      </c>
      <c r="B255" s="1" t="n">
        <v>45877</v>
      </c>
      <c r="C255" s="1" t="n">
        <v>45932</v>
      </c>
      <c r="D255" t="inlineStr">
        <is>
          <t>VÄRMLANDS LÄN</t>
        </is>
      </c>
      <c r="E255" t="inlineStr">
        <is>
          <t>TORSBY</t>
        </is>
      </c>
      <c r="G255" t="n">
        <v>14.1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37388-2025 artfynd.xlsx", "A 37388-2025")</f>
        <v/>
      </c>
      <c r="T255">
        <f>HYPERLINK("https://klasma.github.io/Logging_1737/kartor/A 37388-2025 karta.png", "A 37388-2025")</f>
        <v/>
      </c>
      <c r="V255">
        <f>HYPERLINK("https://klasma.github.io/Logging_1737/klagomål/A 37388-2025 FSC-klagomål.docx", "A 37388-2025")</f>
        <v/>
      </c>
      <c r="W255">
        <f>HYPERLINK("https://klasma.github.io/Logging_1737/klagomålsmail/A 37388-2025 FSC-klagomål mail.docx", "A 37388-2025")</f>
        <v/>
      </c>
      <c r="X255">
        <f>HYPERLINK("https://klasma.github.io/Logging_1737/tillsyn/A 37388-2025 tillsynsbegäran.docx", "A 37388-2025")</f>
        <v/>
      </c>
      <c r="Y255">
        <f>HYPERLINK("https://klasma.github.io/Logging_1737/tillsynsmail/A 37388-2025 tillsynsbegäran mail.docx", "A 37388-2025")</f>
        <v/>
      </c>
    </row>
    <row r="256" ht="15" customHeight="1">
      <c r="A256" t="inlineStr">
        <is>
          <t>A 18748-2024</t>
        </is>
      </c>
      <c r="B256" s="1" t="n">
        <v>45426</v>
      </c>
      <c r="C256" s="1" t="n">
        <v>45932</v>
      </c>
      <c r="D256" t="inlineStr">
        <is>
          <t>VÄRMLANDS LÄN</t>
        </is>
      </c>
      <c r="E256" t="inlineStr">
        <is>
          <t>EDA</t>
        </is>
      </c>
      <c r="G256" t="n">
        <v>16.7</v>
      </c>
      <c r="H256" t="n">
        <v>2</v>
      </c>
      <c r="I256" t="n">
        <v>0</v>
      </c>
      <c r="J256" t="n">
        <v>1</v>
      </c>
      <c r="K256" t="n">
        <v>0</v>
      </c>
      <c r="L256" t="n">
        <v>0</v>
      </c>
      <c r="M256" t="n">
        <v>0</v>
      </c>
      <c r="N256" t="n">
        <v>0</v>
      </c>
      <c r="O256" t="n">
        <v>1</v>
      </c>
      <c r="P256" t="n">
        <v>0</v>
      </c>
      <c r="Q256" t="n">
        <v>2</v>
      </c>
      <c r="R256" s="2" t="inlineStr">
        <is>
          <t>Spillkråka
Tjäder</t>
        </is>
      </c>
      <c r="S256">
        <f>HYPERLINK("https://klasma.github.io/Logging_1730/artfynd/A 18748-2024 artfynd.xlsx", "A 18748-2024")</f>
        <v/>
      </c>
      <c r="T256">
        <f>HYPERLINK("https://klasma.github.io/Logging_1730/kartor/A 18748-2024 karta.png", "A 18748-2024")</f>
        <v/>
      </c>
      <c r="V256">
        <f>HYPERLINK("https://klasma.github.io/Logging_1730/klagomål/A 18748-2024 FSC-klagomål.docx", "A 18748-2024")</f>
        <v/>
      </c>
      <c r="W256">
        <f>HYPERLINK("https://klasma.github.io/Logging_1730/klagomålsmail/A 18748-2024 FSC-klagomål mail.docx", "A 18748-2024")</f>
        <v/>
      </c>
      <c r="X256">
        <f>HYPERLINK("https://klasma.github.io/Logging_1730/tillsyn/A 18748-2024 tillsynsbegäran.docx", "A 18748-2024")</f>
        <v/>
      </c>
      <c r="Y256">
        <f>HYPERLINK("https://klasma.github.io/Logging_1730/tillsynsmail/A 18748-2024 tillsynsbegäran mail.docx", "A 18748-2024")</f>
        <v/>
      </c>
      <c r="Z256">
        <f>HYPERLINK("https://klasma.github.io/Logging_1730/fåglar/A 18748-2024 prioriterade fågelarter.docx", "A 18748-2024")</f>
        <v/>
      </c>
    </row>
    <row r="257" ht="15" customHeight="1">
      <c r="A257" t="inlineStr">
        <is>
          <t>A 45602-2025</t>
        </is>
      </c>
      <c r="B257" s="1" t="n">
        <v>45922.68905092592</v>
      </c>
      <c r="C257" s="1" t="n">
        <v>45932</v>
      </c>
      <c r="D257" t="inlineStr">
        <is>
          <t>VÄRMLANDS LÄN</t>
        </is>
      </c>
      <c r="E257" t="inlineStr">
        <is>
          <t>FILIPSTAD</t>
        </is>
      </c>
      <c r="G257" t="n">
        <v>6.2</v>
      </c>
      <c r="H257" t="n">
        <v>0</v>
      </c>
      <c r="I257" t="n">
        <v>2</v>
      </c>
      <c r="J257" t="n">
        <v>0</v>
      </c>
      <c r="K257" t="n">
        <v>0</v>
      </c>
      <c r="L257" t="n">
        <v>0</v>
      </c>
      <c r="M257" t="n">
        <v>0</v>
      </c>
      <c r="N257" t="n">
        <v>0</v>
      </c>
      <c r="O257" t="n">
        <v>0</v>
      </c>
      <c r="P257" t="n">
        <v>0</v>
      </c>
      <c r="Q257" t="n">
        <v>2</v>
      </c>
      <c r="R257" s="2" t="inlineStr">
        <is>
          <t>Blåsfliksmossa
Tibast</t>
        </is>
      </c>
      <c r="S257">
        <f>HYPERLINK("https://klasma.github.io/Logging_1782/artfynd/A 45602-2025 artfynd.xlsx", "A 45602-2025")</f>
        <v/>
      </c>
      <c r="T257">
        <f>HYPERLINK("https://klasma.github.io/Logging_1782/kartor/A 45602-2025 karta.png", "A 45602-2025")</f>
        <v/>
      </c>
      <c r="V257">
        <f>HYPERLINK("https://klasma.github.io/Logging_1782/klagomål/A 45602-2025 FSC-klagomål.docx", "A 45602-2025")</f>
        <v/>
      </c>
      <c r="W257">
        <f>HYPERLINK("https://klasma.github.io/Logging_1782/klagomålsmail/A 45602-2025 FSC-klagomål mail.docx", "A 45602-2025")</f>
        <v/>
      </c>
      <c r="X257">
        <f>HYPERLINK("https://klasma.github.io/Logging_1782/tillsyn/A 45602-2025 tillsynsbegäran.docx", "A 45602-2025")</f>
        <v/>
      </c>
      <c r="Y257">
        <f>HYPERLINK("https://klasma.github.io/Logging_1782/tillsynsmail/A 45602-2025 tillsynsbegäran mail.docx", "A 45602-2025")</f>
        <v/>
      </c>
    </row>
    <row r="258" ht="15" customHeight="1">
      <c r="A258" t="inlineStr">
        <is>
          <t>A 31603-2022</t>
        </is>
      </c>
      <c r="B258" s="1" t="n">
        <v>44775</v>
      </c>
      <c r="C258" s="1" t="n">
        <v>45932</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51928-2022</t>
        </is>
      </c>
      <c r="B259" s="1" t="n">
        <v>44872</v>
      </c>
      <c r="C259" s="1" t="n">
        <v>45932</v>
      </c>
      <c r="D259" t="inlineStr">
        <is>
          <t>VÄRMLANDS LÄN</t>
        </is>
      </c>
      <c r="E259" t="inlineStr">
        <is>
          <t>ÅRJÄNG</t>
        </is>
      </c>
      <c r="G259" t="n">
        <v>14.1</v>
      </c>
      <c r="H259" t="n">
        <v>1</v>
      </c>
      <c r="I259" t="n">
        <v>1</v>
      </c>
      <c r="J259" t="n">
        <v>0</v>
      </c>
      <c r="K259" t="n">
        <v>1</v>
      </c>
      <c r="L259" t="n">
        <v>0</v>
      </c>
      <c r="M259" t="n">
        <v>0</v>
      </c>
      <c r="N259" t="n">
        <v>0</v>
      </c>
      <c r="O259" t="n">
        <v>1</v>
      </c>
      <c r="P259" t="n">
        <v>1</v>
      </c>
      <c r="Q259" t="n">
        <v>2</v>
      </c>
      <c r="R259" s="2" t="inlineStr">
        <is>
          <t>Knärot
Dropptaggsvamp</t>
        </is>
      </c>
      <c r="S259">
        <f>HYPERLINK("https://klasma.github.io/Logging_1765/artfynd/A 51928-2022 artfynd.xlsx", "A 51928-2022")</f>
        <v/>
      </c>
      <c r="T259">
        <f>HYPERLINK("https://klasma.github.io/Logging_1765/kartor/A 51928-2022 karta.png", "A 51928-2022")</f>
        <v/>
      </c>
      <c r="U259">
        <f>HYPERLINK("https://klasma.github.io/Logging_1765/knärot/A 51928-2022 karta knärot.png", "A 51928-2022")</f>
        <v/>
      </c>
      <c r="V259">
        <f>HYPERLINK("https://klasma.github.io/Logging_1765/klagomål/A 51928-2022 FSC-klagomål.docx", "A 51928-2022")</f>
        <v/>
      </c>
      <c r="W259">
        <f>HYPERLINK("https://klasma.github.io/Logging_1765/klagomålsmail/A 51928-2022 FSC-klagomål mail.docx", "A 51928-2022")</f>
        <v/>
      </c>
      <c r="X259">
        <f>HYPERLINK("https://klasma.github.io/Logging_1765/tillsyn/A 51928-2022 tillsynsbegäran.docx", "A 51928-2022")</f>
        <v/>
      </c>
      <c r="Y259">
        <f>HYPERLINK("https://klasma.github.io/Logging_1765/tillsynsmail/A 51928-2022 tillsynsbegäran mail.docx", "A 51928-2022")</f>
        <v/>
      </c>
    </row>
    <row r="260" ht="15" customHeight="1">
      <c r="A260" t="inlineStr">
        <is>
          <t>A 53276-2023</t>
        </is>
      </c>
      <c r="B260" s="1" t="n">
        <v>45229</v>
      </c>
      <c r="C260" s="1" t="n">
        <v>45932</v>
      </c>
      <c r="D260" t="inlineStr">
        <is>
          <t>VÄRMLANDS LÄN</t>
        </is>
      </c>
      <c r="E260" t="inlineStr">
        <is>
          <t>HAMMARÖ</t>
        </is>
      </c>
      <c r="F260" t="inlineStr">
        <is>
          <t>Övriga Aktiebolag</t>
        </is>
      </c>
      <c r="G260" t="n">
        <v>0.3</v>
      </c>
      <c r="H260" t="n">
        <v>2</v>
      </c>
      <c r="I260" t="n">
        <v>0</v>
      </c>
      <c r="J260" t="n">
        <v>0</v>
      </c>
      <c r="K260" t="n">
        <v>0</v>
      </c>
      <c r="L260" t="n">
        <v>0</v>
      </c>
      <c r="M260" t="n">
        <v>0</v>
      </c>
      <c r="N260" t="n">
        <v>0</v>
      </c>
      <c r="O260" t="n">
        <v>0</v>
      </c>
      <c r="P260" t="n">
        <v>0</v>
      </c>
      <c r="Q260" t="n">
        <v>2</v>
      </c>
      <c r="R260" s="2" t="inlineStr">
        <is>
          <t>Mindre flugsnappare
Vanlig groda</t>
        </is>
      </c>
      <c r="S260">
        <f>HYPERLINK("https://klasma.github.io/Logging_1761/artfynd/A 53276-2023 artfynd.xlsx", "A 53276-2023")</f>
        <v/>
      </c>
      <c r="T260">
        <f>HYPERLINK("https://klasma.github.io/Logging_1761/kartor/A 53276-2023 karta.png", "A 53276-2023")</f>
        <v/>
      </c>
      <c r="V260">
        <f>HYPERLINK("https://klasma.github.io/Logging_1761/klagomål/A 53276-2023 FSC-klagomål.docx", "A 53276-2023")</f>
        <v/>
      </c>
      <c r="W260">
        <f>HYPERLINK("https://klasma.github.io/Logging_1761/klagomålsmail/A 53276-2023 FSC-klagomål mail.docx", "A 53276-2023")</f>
        <v/>
      </c>
      <c r="X260">
        <f>HYPERLINK("https://klasma.github.io/Logging_1761/tillsyn/A 53276-2023 tillsynsbegäran.docx", "A 53276-2023")</f>
        <v/>
      </c>
      <c r="Y260">
        <f>HYPERLINK("https://klasma.github.io/Logging_1761/tillsynsmail/A 53276-2023 tillsynsbegäran mail.docx", "A 53276-2023")</f>
        <v/>
      </c>
      <c r="Z260">
        <f>HYPERLINK("https://klasma.github.io/Logging_1761/fåglar/A 53276-2023 prioriterade fågelarter.docx", "A 53276-2023")</f>
        <v/>
      </c>
    </row>
    <row r="261" ht="15" customHeight="1">
      <c r="A261" t="inlineStr">
        <is>
          <t>A 45750-2021</t>
        </is>
      </c>
      <c r="B261" s="1" t="n">
        <v>44435</v>
      </c>
      <c r="C261" s="1" t="n">
        <v>45932</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42488-2025</t>
        </is>
      </c>
      <c r="B262" s="1" t="n">
        <v>45905</v>
      </c>
      <c r="C262" s="1" t="n">
        <v>45932</v>
      </c>
      <c r="D262" t="inlineStr">
        <is>
          <t>VÄRMLANDS LÄN</t>
        </is>
      </c>
      <c r="E262" t="inlineStr">
        <is>
          <t>TORSBY</t>
        </is>
      </c>
      <c r="G262" t="n">
        <v>4.1</v>
      </c>
      <c r="H262" t="n">
        <v>0</v>
      </c>
      <c r="I262" t="n">
        <v>2</v>
      </c>
      <c r="J262" t="n">
        <v>0</v>
      </c>
      <c r="K262" t="n">
        <v>0</v>
      </c>
      <c r="L262" t="n">
        <v>0</v>
      </c>
      <c r="M262" t="n">
        <v>0</v>
      </c>
      <c r="N262" t="n">
        <v>0</v>
      </c>
      <c r="O262" t="n">
        <v>0</v>
      </c>
      <c r="P262" t="n">
        <v>0</v>
      </c>
      <c r="Q262" t="n">
        <v>2</v>
      </c>
      <c r="R262" s="2" t="inlineStr">
        <is>
          <t>Skuggblåslav
Vedticka</t>
        </is>
      </c>
      <c r="S262">
        <f>HYPERLINK("https://klasma.github.io/Logging_1737/artfynd/A 42488-2025 artfynd.xlsx", "A 42488-2025")</f>
        <v/>
      </c>
      <c r="T262">
        <f>HYPERLINK("https://klasma.github.io/Logging_1737/kartor/A 42488-2025 karta.png", "A 42488-2025")</f>
        <v/>
      </c>
      <c r="V262">
        <f>HYPERLINK("https://klasma.github.io/Logging_1737/klagomål/A 42488-2025 FSC-klagomål.docx", "A 42488-2025")</f>
        <v/>
      </c>
      <c r="W262">
        <f>HYPERLINK("https://klasma.github.io/Logging_1737/klagomålsmail/A 42488-2025 FSC-klagomål mail.docx", "A 42488-2025")</f>
        <v/>
      </c>
      <c r="X262">
        <f>HYPERLINK("https://klasma.github.io/Logging_1737/tillsyn/A 42488-2025 tillsynsbegäran.docx", "A 42488-2025")</f>
        <v/>
      </c>
      <c r="Y262">
        <f>HYPERLINK("https://klasma.github.io/Logging_1737/tillsynsmail/A 42488-2025 tillsynsbegäran mail.docx", "A 42488-2025")</f>
        <v/>
      </c>
    </row>
    <row r="263" ht="15" customHeight="1">
      <c r="A263" t="inlineStr">
        <is>
          <t>A 33906-2025</t>
        </is>
      </c>
      <c r="B263" s="1" t="n">
        <v>45842.59878472222</v>
      </c>
      <c r="C263" s="1" t="n">
        <v>45932</v>
      </c>
      <c r="D263" t="inlineStr">
        <is>
          <t>VÄRMLANDS LÄN</t>
        </is>
      </c>
      <c r="E263" t="inlineStr">
        <is>
          <t>TORSBY</t>
        </is>
      </c>
      <c r="G263" t="n">
        <v>11.5</v>
      </c>
      <c r="H263" t="n">
        <v>0</v>
      </c>
      <c r="I263" t="n">
        <v>1</v>
      </c>
      <c r="J263" t="n">
        <v>1</v>
      </c>
      <c r="K263" t="n">
        <v>0</v>
      </c>
      <c r="L263" t="n">
        <v>0</v>
      </c>
      <c r="M263" t="n">
        <v>0</v>
      </c>
      <c r="N263" t="n">
        <v>0</v>
      </c>
      <c r="O263" t="n">
        <v>1</v>
      </c>
      <c r="P263" t="n">
        <v>0</v>
      </c>
      <c r="Q263" t="n">
        <v>2</v>
      </c>
      <c r="R263" s="2" t="inlineStr">
        <is>
          <t>Garnlav
Korallblylav</t>
        </is>
      </c>
      <c r="S263">
        <f>HYPERLINK("https://klasma.github.io/Logging_1737/artfynd/A 33906-2025 artfynd.xlsx", "A 33906-2025")</f>
        <v/>
      </c>
      <c r="T263">
        <f>HYPERLINK("https://klasma.github.io/Logging_1737/kartor/A 33906-2025 karta.png", "A 33906-2025")</f>
        <v/>
      </c>
      <c r="V263">
        <f>HYPERLINK("https://klasma.github.io/Logging_1737/klagomål/A 33906-2025 FSC-klagomål.docx", "A 33906-2025")</f>
        <v/>
      </c>
      <c r="W263">
        <f>HYPERLINK("https://klasma.github.io/Logging_1737/klagomålsmail/A 33906-2025 FSC-klagomål mail.docx", "A 33906-2025")</f>
        <v/>
      </c>
      <c r="X263">
        <f>HYPERLINK("https://klasma.github.io/Logging_1737/tillsyn/A 33906-2025 tillsynsbegäran.docx", "A 33906-2025")</f>
        <v/>
      </c>
      <c r="Y263">
        <f>HYPERLINK("https://klasma.github.io/Logging_1737/tillsynsmail/A 33906-2025 tillsynsbegäran mail.docx", "A 33906-2025")</f>
        <v/>
      </c>
    </row>
    <row r="264" ht="15" customHeight="1">
      <c r="A264" t="inlineStr">
        <is>
          <t>A 46580-2025</t>
        </is>
      </c>
      <c r="B264" s="1" t="n">
        <v>45926.37824074074</v>
      </c>
      <c r="C264" s="1" t="n">
        <v>45932</v>
      </c>
      <c r="D264" t="inlineStr">
        <is>
          <t>VÄRMLANDS LÄN</t>
        </is>
      </c>
      <c r="E264" t="inlineStr">
        <is>
          <t>TORSBY</t>
        </is>
      </c>
      <c r="G264" t="n">
        <v>1.4</v>
      </c>
      <c r="H264" t="n">
        <v>0</v>
      </c>
      <c r="I264" t="n">
        <v>0</v>
      </c>
      <c r="J264" t="n">
        <v>2</v>
      </c>
      <c r="K264" t="n">
        <v>0</v>
      </c>
      <c r="L264" t="n">
        <v>0</v>
      </c>
      <c r="M264" t="n">
        <v>0</v>
      </c>
      <c r="N264" t="n">
        <v>0</v>
      </c>
      <c r="O264" t="n">
        <v>2</v>
      </c>
      <c r="P264" t="n">
        <v>0</v>
      </c>
      <c r="Q264" t="n">
        <v>2</v>
      </c>
      <c r="R264" s="2" t="inlineStr">
        <is>
          <t>Garnlav
Vedskivlav</t>
        </is>
      </c>
      <c r="S264">
        <f>HYPERLINK("https://klasma.github.io/Logging_1737/artfynd/A 46580-2025 artfynd.xlsx", "A 46580-2025")</f>
        <v/>
      </c>
      <c r="T264">
        <f>HYPERLINK("https://klasma.github.io/Logging_1737/kartor/A 46580-2025 karta.png", "A 46580-2025")</f>
        <v/>
      </c>
      <c r="V264">
        <f>HYPERLINK("https://klasma.github.io/Logging_1737/klagomål/A 46580-2025 FSC-klagomål.docx", "A 46580-2025")</f>
        <v/>
      </c>
      <c r="W264">
        <f>HYPERLINK("https://klasma.github.io/Logging_1737/klagomålsmail/A 46580-2025 FSC-klagomål mail.docx", "A 46580-2025")</f>
        <v/>
      </c>
      <c r="X264">
        <f>HYPERLINK("https://klasma.github.io/Logging_1737/tillsyn/A 46580-2025 tillsynsbegäran.docx", "A 46580-2025")</f>
        <v/>
      </c>
      <c r="Y264">
        <f>HYPERLINK("https://klasma.github.io/Logging_1737/tillsynsmail/A 46580-2025 tillsynsbegäran mail.docx", "A 46580-2025")</f>
        <v/>
      </c>
    </row>
    <row r="265" ht="15" customHeight="1">
      <c r="A265" t="inlineStr">
        <is>
          <t>A 54323-2021</t>
        </is>
      </c>
      <c r="B265" s="1" t="n">
        <v>44472</v>
      </c>
      <c r="C265" s="1" t="n">
        <v>45932</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61950-2024</t>
        </is>
      </c>
      <c r="B266" s="1" t="n">
        <v>45653</v>
      </c>
      <c r="C266" s="1" t="n">
        <v>45932</v>
      </c>
      <c r="D266" t="inlineStr">
        <is>
          <t>VÄRMLANDS LÄN</t>
        </is>
      </c>
      <c r="E266" t="inlineStr">
        <is>
          <t>TORSBY</t>
        </is>
      </c>
      <c r="G266" t="n">
        <v>2.1</v>
      </c>
      <c r="H266" t="n">
        <v>2</v>
      </c>
      <c r="I266" t="n">
        <v>0</v>
      </c>
      <c r="J266" t="n">
        <v>2</v>
      </c>
      <c r="K266" t="n">
        <v>0</v>
      </c>
      <c r="L266" t="n">
        <v>0</v>
      </c>
      <c r="M266" t="n">
        <v>0</v>
      </c>
      <c r="N266" t="n">
        <v>0</v>
      </c>
      <c r="O266" t="n">
        <v>2</v>
      </c>
      <c r="P266" t="n">
        <v>0</v>
      </c>
      <c r="Q266" t="n">
        <v>2</v>
      </c>
      <c r="R266" s="2" t="inlineStr">
        <is>
          <t>Björktrast
Rödvingetrast</t>
        </is>
      </c>
      <c r="S266">
        <f>HYPERLINK("https://klasma.github.io/Logging_1737/artfynd/A 61950-2024 artfynd.xlsx", "A 61950-2024")</f>
        <v/>
      </c>
      <c r="T266">
        <f>HYPERLINK("https://klasma.github.io/Logging_1737/kartor/A 61950-2024 karta.png", "A 61950-2024")</f>
        <v/>
      </c>
      <c r="V266">
        <f>HYPERLINK("https://klasma.github.io/Logging_1737/klagomål/A 61950-2024 FSC-klagomål.docx", "A 61950-2024")</f>
        <v/>
      </c>
      <c r="W266">
        <f>HYPERLINK("https://klasma.github.io/Logging_1737/klagomålsmail/A 61950-2024 FSC-klagomål mail.docx", "A 61950-2024")</f>
        <v/>
      </c>
      <c r="X266">
        <f>HYPERLINK("https://klasma.github.io/Logging_1737/tillsyn/A 61950-2024 tillsynsbegäran.docx", "A 61950-2024")</f>
        <v/>
      </c>
      <c r="Y266">
        <f>HYPERLINK("https://klasma.github.io/Logging_1737/tillsynsmail/A 61950-2024 tillsynsbegäran mail.docx", "A 61950-2024")</f>
        <v/>
      </c>
      <c r="Z266">
        <f>HYPERLINK("https://klasma.github.io/Logging_1737/fåglar/A 61950-2024 prioriterade fågelarter.docx", "A 61950-2024")</f>
        <v/>
      </c>
    </row>
    <row r="267" ht="15" customHeight="1">
      <c r="A267" t="inlineStr">
        <is>
          <t>A 16414-2023</t>
        </is>
      </c>
      <c r="B267" s="1" t="n">
        <v>45022</v>
      </c>
      <c r="C267" s="1" t="n">
        <v>45932</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42610-2023</t>
        </is>
      </c>
      <c r="B268" s="1" t="n">
        <v>45181</v>
      </c>
      <c r="C268" s="1" t="n">
        <v>45932</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16139-2025</t>
        </is>
      </c>
      <c r="B269" s="1" t="n">
        <v>45750</v>
      </c>
      <c r="C269" s="1" t="n">
        <v>45932</v>
      </c>
      <c r="D269" t="inlineStr">
        <is>
          <t>VÄRMLANDS LÄN</t>
        </is>
      </c>
      <c r="E269" t="inlineStr">
        <is>
          <t>FILIPSTAD</t>
        </is>
      </c>
      <c r="G269" t="n">
        <v>18.2</v>
      </c>
      <c r="H269" t="n">
        <v>0</v>
      </c>
      <c r="I269" t="n">
        <v>1</v>
      </c>
      <c r="J269" t="n">
        <v>1</v>
      </c>
      <c r="K269" t="n">
        <v>0</v>
      </c>
      <c r="L269" t="n">
        <v>0</v>
      </c>
      <c r="M269" t="n">
        <v>0</v>
      </c>
      <c r="N269" t="n">
        <v>0</v>
      </c>
      <c r="O269" t="n">
        <v>1</v>
      </c>
      <c r="P269" t="n">
        <v>0</v>
      </c>
      <c r="Q269" t="n">
        <v>2</v>
      </c>
      <c r="R269" s="2" t="inlineStr">
        <is>
          <t>Garnlav
Bronshjon</t>
        </is>
      </c>
      <c r="S269">
        <f>HYPERLINK("https://klasma.github.io/Logging_1782/artfynd/A 16139-2025 artfynd.xlsx", "A 16139-2025")</f>
        <v/>
      </c>
      <c r="T269">
        <f>HYPERLINK("https://klasma.github.io/Logging_1782/kartor/A 16139-2025 karta.png", "A 16139-2025")</f>
        <v/>
      </c>
      <c r="V269">
        <f>HYPERLINK("https://klasma.github.io/Logging_1782/klagomål/A 16139-2025 FSC-klagomål.docx", "A 16139-2025")</f>
        <v/>
      </c>
      <c r="W269">
        <f>HYPERLINK("https://klasma.github.io/Logging_1782/klagomålsmail/A 16139-2025 FSC-klagomål mail.docx", "A 16139-2025")</f>
        <v/>
      </c>
      <c r="X269">
        <f>HYPERLINK("https://klasma.github.io/Logging_1782/tillsyn/A 16139-2025 tillsynsbegäran.docx", "A 16139-2025")</f>
        <v/>
      </c>
      <c r="Y269">
        <f>HYPERLINK("https://klasma.github.io/Logging_1782/tillsynsmail/A 16139-2025 tillsynsbegäran mail.docx", "A 16139-2025")</f>
        <v/>
      </c>
    </row>
    <row r="270" ht="15" customHeight="1">
      <c r="A270" t="inlineStr">
        <is>
          <t>A 66072-2021</t>
        </is>
      </c>
      <c r="B270" s="1" t="n">
        <v>44517</v>
      </c>
      <c r="C270" s="1" t="n">
        <v>45932</v>
      </c>
      <c r="D270" t="inlineStr">
        <is>
          <t>VÄRMLANDS LÄN</t>
        </is>
      </c>
      <c r="E270" t="inlineStr">
        <is>
          <t>FORSHAGA</t>
        </is>
      </c>
      <c r="F270" t="inlineStr">
        <is>
          <t>Bergvik skog väst AB</t>
        </is>
      </c>
      <c r="G270" t="n">
        <v>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66072-2021 artfynd.xlsx", "A 66072-2021")</f>
        <v/>
      </c>
      <c r="T270">
        <f>HYPERLINK("https://klasma.github.io/Logging_1763/kartor/A 66072-2021 karta.png", "A 66072-2021")</f>
        <v/>
      </c>
      <c r="V270">
        <f>HYPERLINK("https://klasma.github.io/Logging_1763/klagomål/A 66072-2021 FSC-klagomål.docx", "A 66072-2021")</f>
        <v/>
      </c>
      <c r="W270">
        <f>HYPERLINK("https://klasma.github.io/Logging_1763/klagomålsmail/A 66072-2021 FSC-klagomål mail.docx", "A 66072-2021")</f>
        <v/>
      </c>
      <c r="X270">
        <f>HYPERLINK("https://klasma.github.io/Logging_1763/tillsyn/A 66072-2021 tillsynsbegäran.docx", "A 66072-2021")</f>
        <v/>
      </c>
      <c r="Y270">
        <f>HYPERLINK("https://klasma.github.io/Logging_1763/tillsynsmail/A 66072-2021 tillsynsbegäran mail.docx", "A 66072-2021")</f>
        <v/>
      </c>
    </row>
    <row r="271" ht="15" customHeight="1">
      <c r="A271" t="inlineStr">
        <is>
          <t>A 54195-2022</t>
        </is>
      </c>
      <c r="B271" s="1" t="n">
        <v>44881</v>
      </c>
      <c r="C271" s="1" t="n">
        <v>45932</v>
      </c>
      <c r="D271" t="inlineStr">
        <is>
          <t>VÄRMLANDS LÄN</t>
        </is>
      </c>
      <c r="E271" t="inlineStr">
        <is>
          <t>EDA</t>
        </is>
      </c>
      <c r="G271" t="n">
        <v>11</v>
      </c>
      <c r="H271" t="n">
        <v>0</v>
      </c>
      <c r="I271" t="n">
        <v>2</v>
      </c>
      <c r="J271" t="n">
        <v>0</v>
      </c>
      <c r="K271" t="n">
        <v>0</v>
      </c>
      <c r="L271" t="n">
        <v>0</v>
      </c>
      <c r="M271" t="n">
        <v>0</v>
      </c>
      <c r="N271" t="n">
        <v>0</v>
      </c>
      <c r="O271" t="n">
        <v>0</v>
      </c>
      <c r="P271" t="n">
        <v>0</v>
      </c>
      <c r="Q271" t="n">
        <v>2</v>
      </c>
      <c r="R271" s="2" t="inlineStr">
        <is>
          <t>Dvärghäxört
Springkorn</t>
        </is>
      </c>
      <c r="S271">
        <f>HYPERLINK("https://klasma.github.io/Logging_1730/artfynd/A 54195-2022 artfynd.xlsx", "A 54195-2022")</f>
        <v/>
      </c>
      <c r="T271">
        <f>HYPERLINK("https://klasma.github.io/Logging_1730/kartor/A 54195-2022 karta.png", "A 54195-2022")</f>
        <v/>
      </c>
      <c r="V271">
        <f>HYPERLINK("https://klasma.github.io/Logging_1730/klagomål/A 54195-2022 FSC-klagomål.docx", "A 54195-2022")</f>
        <v/>
      </c>
      <c r="W271">
        <f>HYPERLINK("https://klasma.github.io/Logging_1730/klagomålsmail/A 54195-2022 FSC-klagomål mail.docx", "A 54195-2022")</f>
        <v/>
      </c>
      <c r="X271">
        <f>HYPERLINK("https://klasma.github.io/Logging_1730/tillsyn/A 54195-2022 tillsynsbegäran.docx", "A 54195-2022")</f>
        <v/>
      </c>
      <c r="Y271">
        <f>HYPERLINK("https://klasma.github.io/Logging_1730/tillsynsmail/A 54195-2022 tillsynsbegäran mail.docx", "A 54195-2022")</f>
        <v/>
      </c>
    </row>
    <row r="272" ht="15" customHeight="1">
      <c r="A272" t="inlineStr">
        <is>
          <t>A 48327-2021</t>
        </is>
      </c>
      <c r="B272" s="1" t="n">
        <v>44450</v>
      </c>
      <c r="C272" s="1" t="n">
        <v>45932</v>
      </c>
      <c r="D272" t="inlineStr">
        <is>
          <t>VÄRMLANDS LÄN</t>
        </is>
      </c>
      <c r="E272" t="inlineStr">
        <is>
          <t>SÄFFLE</t>
        </is>
      </c>
      <c r="G272" t="n">
        <v>2.2</v>
      </c>
      <c r="H272" t="n">
        <v>0</v>
      </c>
      <c r="I272" t="n">
        <v>0</v>
      </c>
      <c r="J272" t="n">
        <v>1</v>
      </c>
      <c r="K272" t="n">
        <v>0</v>
      </c>
      <c r="L272" t="n">
        <v>0</v>
      </c>
      <c r="M272" t="n">
        <v>0</v>
      </c>
      <c r="N272" t="n">
        <v>0</v>
      </c>
      <c r="O272" t="n">
        <v>1</v>
      </c>
      <c r="P272" t="n">
        <v>0</v>
      </c>
      <c r="Q272" t="n">
        <v>1</v>
      </c>
      <c r="R272" s="2" t="inlineStr">
        <is>
          <t>Skogsklocka</t>
        </is>
      </c>
      <c r="S272">
        <f>HYPERLINK("https://klasma.github.io/Logging_1785/artfynd/A 48327-2021 artfynd.xlsx", "A 48327-2021")</f>
        <v/>
      </c>
      <c r="T272">
        <f>HYPERLINK("https://klasma.github.io/Logging_1785/kartor/A 48327-2021 karta.png", "A 48327-2021")</f>
        <v/>
      </c>
      <c r="V272">
        <f>HYPERLINK("https://klasma.github.io/Logging_1785/klagomål/A 48327-2021 FSC-klagomål.docx", "A 48327-2021")</f>
        <v/>
      </c>
      <c r="W272">
        <f>HYPERLINK("https://klasma.github.io/Logging_1785/klagomålsmail/A 48327-2021 FSC-klagomål mail.docx", "A 48327-2021")</f>
        <v/>
      </c>
      <c r="X272">
        <f>HYPERLINK("https://klasma.github.io/Logging_1785/tillsyn/A 48327-2021 tillsynsbegäran.docx", "A 48327-2021")</f>
        <v/>
      </c>
      <c r="Y272">
        <f>HYPERLINK("https://klasma.github.io/Logging_1785/tillsynsmail/A 48327-2021 tillsynsbegäran mail.docx", "A 48327-2021")</f>
        <v/>
      </c>
    </row>
    <row r="273" ht="15" customHeight="1">
      <c r="A273" t="inlineStr">
        <is>
          <t>A 28418-2021</t>
        </is>
      </c>
      <c r="B273" s="1" t="n">
        <v>44356</v>
      </c>
      <c r="C273" s="1" t="n">
        <v>45932</v>
      </c>
      <c r="D273" t="inlineStr">
        <is>
          <t>VÄRMLANDS LÄN</t>
        </is>
      </c>
      <c r="E273" t="inlineStr">
        <is>
          <t>ÅRJÄNG</t>
        </is>
      </c>
      <c r="G273" t="n">
        <v>1.6</v>
      </c>
      <c r="H273" t="n">
        <v>0</v>
      </c>
      <c r="I273" t="n">
        <v>1</v>
      </c>
      <c r="J273" t="n">
        <v>0</v>
      </c>
      <c r="K273" t="n">
        <v>0</v>
      </c>
      <c r="L273" t="n">
        <v>0</v>
      </c>
      <c r="M273" t="n">
        <v>0</v>
      </c>
      <c r="N273" t="n">
        <v>0</v>
      </c>
      <c r="O273" t="n">
        <v>0</v>
      </c>
      <c r="P273" t="n">
        <v>0</v>
      </c>
      <c r="Q273" t="n">
        <v>1</v>
      </c>
      <c r="R273" s="2" t="inlineStr">
        <is>
          <t>Stubbspretmossa</t>
        </is>
      </c>
      <c r="S273">
        <f>HYPERLINK("https://klasma.github.io/Logging_1765/artfynd/A 28418-2021 artfynd.xlsx", "A 28418-2021")</f>
        <v/>
      </c>
      <c r="T273">
        <f>HYPERLINK("https://klasma.github.io/Logging_1765/kartor/A 28418-2021 karta.png", "A 28418-2021")</f>
        <v/>
      </c>
      <c r="V273">
        <f>HYPERLINK("https://klasma.github.io/Logging_1765/klagomål/A 28418-2021 FSC-klagomål.docx", "A 28418-2021")</f>
        <v/>
      </c>
      <c r="W273">
        <f>HYPERLINK("https://klasma.github.io/Logging_1765/klagomålsmail/A 28418-2021 FSC-klagomål mail.docx", "A 28418-2021")</f>
        <v/>
      </c>
      <c r="X273">
        <f>HYPERLINK("https://klasma.github.io/Logging_1765/tillsyn/A 28418-2021 tillsynsbegäran.docx", "A 28418-2021")</f>
        <v/>
      </c>
      <c r="Y273">
        <f>HYPERLINK("https://klasma.github.io/Logging_1765/tillsynsmail/A 28418-2021 tillsynsbegäran mail.docx", "A 28418-2021")</f>
        <v/>
      </c>
    </row>
    <row r="274" ht="15" customHeight="1">
      <c r="A274" t="inlineStr">
        <is>
          <t>A 34853-2021</t>
        </is>
      </c>
      <c r="B274" s="1" t="n">
        <v>44383</v>
      </c>
      <c r="C274" s="1" t="n">
        <v>45932</v>
      </c>
      <c r="D274" t="inlineStr">
        <is>
          <t>VÄRMLANDS LÄN</t>
        </is>
      </c>
      <c r="E274" t="inlineStr">
        <is>
          <t>TORSBY</t>
        </is>
      </c>
      <c r="G274" t="n">
        <v>14.8</v>
      </c>
      <c r="H274" t="n">
        <v>1</v>
      </c>
      <c r="I274" t="n">
        <v>0</v>
      </c>
      <c r="J274" t="n">
        <v>1</v>
      </c>
      <c r="K274" t="n">
        <v>0</v>
      </c>
      <c r="L274" t="n">
        <v>0</v>
      </c>
      <c r="M274" t="n">
        <v>0</v>
      </c>
      <c r="N274" t="n">
        <v>0</v>
      </c>
      <c r="O274" t="n">
        <v>1</v>
      </c>
      <c r="P274" t="n">
        <v>0</v>
      </c>
      <c r="Q274" t="n">
        <v>1</v>
      </c>
      <c r="R274" s="2" t="inlineStr">
        <is>
          <t>Talltita</t>
        </is>
      </c>
      <c r="S274">
        <f>HYPERLINK("https://klasma.github.io/Logging_1737/artfynd/A 34853-2021 artfynd.xlsx", "A 34853-2021")</f>
        <v/>
      </c>
      <c r="T274">
        <f>HYPERLINK("https://klasma.github.io/Logging_1737/kartor/A 34853-2021 karta.png", "A 34853-2021")</f>
        <v/>
      </c>
      <c r="V274">
        <f>HYPERLINK("https://klasma.github.io/Logging_1737/klagomål/A 34853-2021 FSC-klagomål.docx", "A 34853-2021")</f>
        <v/>
      </c>
      <c r="W274">
        <f>HYPERLINK("https://klasma.github.io/Logging_1737/klagomålsmail/A 34853-2021 FSC-klagomål mail.docx", "A 34853-2021")</f>
        <v/>
      </c>
      <c r="X274">
        <f>HYPERLINK("https://klasma.github.io/Logging_1737/tillsyn/A 34853-2021 tillsynsbegäran.docx", "A 34853-2021")</f>
        <v/>
      </c>
      <c r="Y274">
        <f>HYPERLINK("https://klasma.github.io/Logging_1737/tillsynsmail/A 34853-2021 tillsynsbegäran mail.docx", "A 34853-2021")</f>
        <v/>
      </c>
      <c r="Z274">
        <f>HYPERLINK("https://klasma.github.io/Logging_1737/fåglar/A 34853-2021 prioriterade fågelarter.docx", "A 34853-2021")</f>
        <v/>
      </c>
    </row>
    <row r="275" ht="15" customHeight="1">
      <c r="A275" t="inlineStr">
        <is>
          <t>A 4799-2021</t>
        </is>
      </c>
      <c r="B275" s="1" t="n">
        <v>44225</v>
      </c>
      <c r="C275" s="1" t="n">
        <v>45932</v>
      </c>
      <c r="D275" t="inlineStr">
        <is>
          <t>VÄRMLANDS LÄN</t>
        </is>
      </c>
      <c r="E275" t="inlineStr">
        <is>
          <t>KARLSTAD</t>
        </is>
      </c>
      <c r="G275" t="n">
        <v>2.8</v>
      </c>
      <c r="H275" t="n">
        <v>0</v>
      </c>
      <c r="I275" t="n">
        <v>1</v>
      </c>
      <c r="J275" t="n">
        <v>0</v>
      </c>
      <c r="K275" t="n">
        <v>0</v>
      </c>
      <c r="L275" t="n">
        <v>0</v>
      </c>
      <c r="M275" t="n">
        <v>0</v>
      </c>
      <c r="N275" t="n">
        <v>0</v>
      </c>
      <c r="O275" t="n">
        <v>0</v>
      </c>
      <c r="P275" t="n">
        <v>0</v>
      </c>
      <c r="Q275" t="n">
        <v>1</v>
      </c>
      <c r="R275" s="2" t="inlineStr">
        <is>
          <t>Svart trolldruva</t>
        </is>
      </c>
      <c r="S275">
        <f>HYPERLINK("https://klasma.github.io/Logging_1780/artfynd/A 4799-2021 artfynd.xlsx", "A 4799-2021")</f>
        <v/>
      </c>
      <c r="T275">
        <f>HYPERLINK("https://klasma.github.io/Logging_1780/kartor/A 4799-2021 karta.png", "A 4799-2021")</f>
        <v/>
      </c>
      <c r="V275">
        <f>HYPERLINK("https://klasma.github.io/Logging_1780/klagomål/A 4799-2021 FSC-klagomål.docx", "A 4799-2021")</f>
        <v/>
      </c>
      <c r="W275">
        <f>HYPERLINK("https://klasma.github.io/Logging_1780/klagomålsmail/A 4799-2021 FSC-klagomål mail.docx", "A 4799-2021")</f>
        <v/>
      </c>
      <c r="X275">
        <f>HYPERLINK("https://klasma.github.io/Logging_1780/tillsyn/A 4799-2021 tillsynsbegäran.docx", "A 4799-2021")</f>
        <v/>
      </c>
      <c r="Y275">
        <f>HYPERLINK("https://klasma.github.io/Logging_1780/tillsynsmail/A 4799-2021 tillsynsbegäran mail.docx", "A 4799-2021")</f>
        <v/>
      </c>
    </row>
    <row r="276" ht="15" customHeight="1">
      <c r="A276" t="inlineStr">
        <is>
          <t>A 4335-2021</t>
        </is>
      </c>
      <c r="B276" s="1" t="n">
        <v>44221</v>
      </c>
      <c r="C276" s="1" t="n">
        <v>45932</v>
      </c>
      <c r="D276" t="inlineStr">
        <is>
          <t>VÄRMLANDS LÄN</t>
        </is>
      </c>
      <c r="E276" t="inlineStr">
        <is>
          <t>SÄFFLE</t>
        </is>
      </c>
      <c r="G276" t="n">
        <v>21.3</v>
      </c>
      <c r="H276" t="n">
        <v>0</v>
      </c>
      <c r="I276" t="n">
        <v>0</v>
      </c>
      <c r="J276" t="n">
        <v>1</v>
      </c>
      <c r="K276" t="n">
        <v>0</v>
      </c>
      <c r="L276" t="n">
        <v>0</v>
      </c>
      <c r="M276" t="n">
        <v>0</v>
      </c>
      <c r="N276" t="n">
        <v>0</v>
      </c>
      <c r="O276" t="n">
        <v>1</v>
      </c>
      <c r="P276" t="n">
        <v>0</v>
      </c>
      <c r="Q276" t="n">
        <v>1</v>
      </c>
      <c r="R276" s="2" t="inlineStr">
        <is>
          <t>Skogsklocka</t>
        </is>
      </c>
      <c r="S276">
        <f>HYPERLINK("https://klasma.github.io/Logging_1785/artfynd/A 4335-2021 artfynd.xlsx", "A 4335-2021")</f>
        <v/>
      </c>
      <c r="T276">
        <f>HYPERLINK("https://klasma.github.io/Logging_1785/kartor/A 4335-2021 karta.png", "A 4335-2021")</f>
        <v/>
      </c>
      <c r="V276">
        <f>HYPERLINK("https://klasma.github.io/Logging_1785/klagomål/A 4335-2021 FSC-klagomål.docx", "A 4335-2021")</f>
        <v/>
      </c>
      <c r="W276">
        <f>HYPERLINK("https://klasma.github.io/Logging_1785/klagomålsmail/A 4335-2021 FSC-klagomål mail.docx", "A 4335-2021")</f>
        <v/>
      </c>
      <c r="X276">
        <f>HYPERLINK("https://klasma.github.io/Logging_1785/tillsyn/A 4335-2021 tillsynsbegäran.docx", "A 4335-2021")</f>
        <v/>
      </c>
      <c r="Y276">
        <f>HYPERLINK("https://klasma.github.io/Logging_1785/tillsynsmail/A 4335-2021 tillsynsbegäran mail.docx", "A 4335-2021")</f>
        <v/>
      </c>
    </row>
    <row r="277" ht="15" customHeight="1">
      <c r="A277" t="inlineStr">
        <is>
          <t>A 21073-2021</t>
        </is>
      </c>
      <c r="B277" s="1" t="n">
        <v>44319</v>
      </c>
      <c r="C277" s="1" t="n">
        <v>45932</v>
      </c>
      <c r="D277" t="inlineStr">
        <is>
          <t>VÄRMLANDS LÄN</t>
        </is>
      </c>
      <c r="E277" t="inlineStr">
        <is>
          <t>STORFORS</t>
        </is>
      </c>
      <c r="G277" t="n">
        <v>6.1</v>
      </c>
      <c r="H277" t="n">
        <v>0</v>
      </c>
      <c r="I277" t="n">
        <v>1</v>
      </c>
      <c r="J277" t="n">
        <v>0</v>
      </c>
      <c r="K277" t="n">
        <v>0</v>
      </c>
      <c r="L277" t="n">
        <v>0</v>
      </c>
      <c r="M277" t="n">
        <v>0</v>
      </c>
      <c r="N277" t="n">
        <v>0</v>
      </c>
      <c r="O277" t="n">
        <v>0</v>
      </c>
      <c r="P277" t="n">
        <v>0</v>
      </c>
      <c r="Q277" t="n">
        <v>1</v>
      </c>
      <c r="R277" s="2" t="inlineStr">
        <is>
          <t>Korallblylav</t>
        </is>
      </c>
      <c r="S277">
        <f>HYPERLINK("https://klasma.github.io/Logging_1760/artfynd/A 21073-2021 artfynd.xlsx", "A 21073-2021")</f>
        <v/>
      </c>
      <c r="T277">
        <f>HYPERLINK("https://klasma.github.io/Logging_1760/kartor/A 21073-2021 karta.png", "A 21073-2021")</f>
        <v/>
      </c>
      <c r="V277">
        <f>HYPERLINK("https://klasma.github.io/Logging_1760/klagomål/A 21073-2021 FSC-klagomål.docx", "A 21073-2021")</f>
        <v/>
      </c>
      <c r="W277">
        <f>HYPERLINK("https://klasma.github.io/Logging_1760/klagomålsmail/A 21073-2021 FSC-klagomål mail.docx", "A 21073-2021")</f>
        <v/>
      </c>
      <c r="X277">
        <f>HYPERLINK("https://klasma.github.io/Logging_1760/tillsyn/A 21073-2021 tillsynsbegäran.docx", "A 21073-2021")</f>
        <v/>
      </c>
      <c r="Y277">
        <f>HYPERLINK("https://klasma.github.io/Logging_1760/tillsynsmail/A 21073-2021 tillsynsbegäran mail.docx", "A 21073-2021")</f>
        <v/>
      </c>
    </row>
    <row r="278" ht="15" customHeight="1">
      <c r="A278" t="inlineStr">
        <is>
          <t>A 33243-2021</t>
        </is>
      </c>
      <c r="B278" s="1" t="n">
        <v>44377.32239583333</v>
      </c>
      <c r="C278" s="1" t="n">
        <v>45932</v>
      </c>
      <c r="D278" t="inlineStr">
        <is>
          <t>VÄRMLANDS LÄN</t>
        </is>
      </c>
      <c r="E278" t="inlineStr">
        <is>
          <t>EDA</t>
        </is>
      </c>
      <c r="G278" t="n">
        <v>7.1</v>
      </c>
      <c r="H278" t="n">
        <v>0</v>
      </c>
      <c r="I278" t="n">
        <v>0</v>
      </c>
      <c r="J278" t="n">
        <v>1</v>
      </c>
      <c r="K278" t="n">
        <v>0</v>
      </c>
      <c r="L278" t="n">
        <v>0</v>
      </c>
      <c r="M278" t="n">
        <v>0</v>
      </c>
      <c r="N278" t="n">
        <v>0</v>
      </c>
      <c r="O278" t="n">
        <v>1</v>
      </c>
      <c r="P278" t="n">
        <v>0</v>
      </c>
      <c r="Q278" t="n">
        <v>1</v>
      </c>
      <c r="R278" s="2" t="inlineStr">
        <is>
          <t>Garnlav</t>
        </is>
      </c>
      <c r="S278">
        <f>HYPERLINK("https://klasma.github.io/Logging_1730/artfynd/A 33243-2021 artfynd.xlsx", "A 33243-2021")</f>
        <v/>
      </c>
      <c r="T278">
        <f>HYPERLINK("https://klasma.github.io/Logging_1730/kartor/A 33243-2021 karta.png", "A 33243-2021")</f>
        <v/>
      </c>
      <c r="V278">
        <f>HYPERLINK("https://klasma.github.io/Logging_1730/klagomål/A 33243-2021 FSC-klagomål.docx", "A 33243-2021")</f>
        <v/>
      </c>
      <c r="W278">
        <f>HYPERLINK("https://klasma.github.io/Logging_1730/klagomålsmail/A 33243-2021 FSC-klagomål mail.docx", "A 33243-2021")</f>
        <v/>
      </c>
      <c r="X278">
        <f>HYPERLINK("https://klasma.github.io/Logging_1730/tillsyn/A 33243-2021 tillsynsbegäran.docx", "A 33243-2021")</f>
        <v/>
      </c>
      <c r="Y278">
        <f>HYPERLINK("https://klasma.github.io/Logging_1730/tillsynsmail/A 33243-2021 tillsynsbegäran mail.docx", "A 33243-2021")</f>
        <v/>
      </c>
    </row>
    <row r="279" ht="15" customHeight="1">
      <c r="A279" t="inlineStr">
        <is>
          <t>A 3404-2022</t>
        </is>
      </c>
      <c r="B279" s="1" t="n">
        <v>44585</v>
      </c>
      <c r="C279" s="1" t="n">
        <v>45932</v>
      </c>
      <c r="D279" t="inlineStr">
        <is>
          <t>VÄRMLANDS LÄN</t>
        </is>
      </c>
      <c r="E279" t="inlineStr">
        <is>
          <t>TORSBY</t>
        </is>
      </c>
      <c r="G279" t="n">
        <v>1</v>
      </c>
      <c r="H279" t="n">
        <v>0</v>
      </c>
      <c r="I279" t="n">
        <v>0</v>
      </c>
      <c r="J279" t="n">
        <v>1</v>
      </c>
      <c r="K279" t="n">
        <v>0</v>
      </c>
      <c r="L279" t="n">
        <v>0</v>
      </c>
      <c r="M279" t="n">
        <v>0</v>
      </c>
      <c r="N279" t="n">
        <v>0</v>
      </c>
      <c r="O279" t="n">
        <v>1</v>
      </c>
      <c r="P279" t="n">
        <v>0</v>
      </c>
      <c r="Q279" t="n">
        <v>1</v>
      </c>
      <c r="R279" s="2" t="inlineStr">
        <is>
          <t>Vedtrappmossa</t>
        </is>
      </c>
      <c r="S279">
        <f>HYPERLINK("https://klasma.github.io/Logging_1737/artfynd/A 3404-2022 artfynd.xlsx", "A 3404-2022")</f>
        <v/>
      </c>
      <c r="T279">
        <f>HYPERLINK("https://klasma.github.io/Logging_1737/kartor/A 3404-2022 karta.png", "A 3404-2022")</f>
        <v/>
      </c>
      <c r="V279">
        <f>HYPERLINK("https://klasma.github.io/Logging_1737/klagomål/A 3404-2022 FSC-klagomål.docx", "A 3404-2022")</f>
        <v/>
      </c>
      <c r="W279">
        <f>HYPERLINK("https://klasma.github.io/Logging_1737/klagomålsmail/A 3404-2022 FSC-klagomål mail.docx", "A 3404-2022")</f>
        <v/>
      </c>
      <c r="X279">
        <f>HYPERLINK("https://klasma.github.io/Logging_1737/tillsyn/A 3404-2022 tillsynsbegäran.docx", "A 3404-2022")</f>
        <v/>
      </c>
      <c r="Y279">
        <f>HYPERLINK("https://klasma.github.io/Logging_1737/tillsynsmail/A 3404-2022 tillsynsbegäran mail.docx", "A 3404-2022")</f>
        <v/>
      </c>
    </row>
    <row r="280" ht="15" customHeight="1">
      <c r="A280" t="inlineStr">
        <is>
          <t>A 15189-2022</t>
        </is>
      </c>
      <c r="B280" s="1" t="n">
        <v>44658.61030092592</v>
      </c>
      <c r="C280" s="1" t="n">
        <v>45932</v>
      </c>
      <c r="D280" t="inlineStr">
        <is>
          <t>VÄRMLANDS LÄN</t>
        </is>
      </c>
      <c r="E280" t="inlineStr">
        <is>
          <t>SÄFFLE</t>
        </is>
      </c>
      <c r="F280" t="inlineStr">
        <is>
          <t>Bergvik skog väst AB</t>
        </is>
      </c>
      <c r="G280" t="n">
        <v>5.2</v>
      </c>
      <c r="H280" t="n">
        <v>1</v>
      </c>
      <c r="I280" t="n">
        <v>0</v>
      </c>
      <c r="J280" t="n">
        <v>0</v>
      </c>
      <c r="K280" t="n">
        <v>0</v>
      </c>
      <c r="L280" t="n">
        <v>0</v>
      </c>
      <c r="M280" t="n">
        <v>0</v>
      </c>
      <c r="N280" t="n">
        <v>0</v>
      </c>
      <c r="O280" t="n">
        <v>0</v>
      </c>
      <c r="P280" t="n">
        <v>0</v>
      </c>
      <c r="Q280" t="n">
        <v>1</v>
      </c>
      <c r="R280" s="2" t="inlineStr">
        <is>
          <t>Blåsippa</t>
        </is>
      </c>
      <c r="S280">
        <f>HYPERLINK("https://klasma.github.io/Logging_1785/artfynd/A 15189-2022 artfynd.xlsx", "A 15189-2022")</f>
        <v/>
      </c>
      <c r="T280">
        <f>HYPERLINK("https://klasma.github.io/Logging_1785/kartor/A 15189-2022 karta.png", "A 15189-2022")</f>
        <v/>
      </c>
      <c r="V280">
        <f>HYPERLINK("https://klasma.github.io/Logging_1785/klagomål/A 15189-2022 FSC-klagomål.docx", "A 15189-2022")</f>
        <v/>
      </c>
      <c r="W280">
        <f>HYPERLINK("https://klasma.github.io/Logging_1785/klagomålsmail/A 15189-2022 FSC-klagomål mail.docx", "A 15189-2022")</f>
        <v/>
      </c>
      <c r="X280">
        <f>HYPERLINK("https://klasma.github.io/Logging_1785/tillsyn/A 15189-2022 tillsynsbegäran.docx", "A 15189-2022")</f>
        <v/>
      </c>
      <c r="Y280">
        <f>HYPERLINK("https://klasma.github.io/Logging_1785/tillsynsmail/A 15189-2022 tillsynsbegäran mail.docx", "A 15189-2022")</f>
        <v/>
      </c>
    </row>
    <row r="281" ht="15" customHeight="1">
      <c r="A281" t="inlineStr">
        <is>
          <t>A 19831-2022</t>
        </is>
      </c>
      <c r="B281" s="1" t="n">
        <v>44695</v>
      </c>
      <c r="C281" s="1" t="n">
        <v>45932</v>
      </c>
      <c r="D281" t="inlineStr">
        <is>
          <t>VÄRMLANDS LÄN</t>
        </is>
      </c>
      <c r="E281" t="inlineStr">
        <is>
          <t>SUNNE</t>
        </is>
      </c>
      <c r="G281" t="n">
        <v>0.7</v>
      </c>
      <c r="H281" t="n">
        <v>0</v>
      </c>
      <c r="I281" t="n">
        <v>1</v>
      </c>
      <c r="J281" t="n">
        <v>0</v>
      </c>
      <c r="K281" t="n">
        <v>0</v>
      </c>
      <c r="L281" t="n">
        <v>0</v>
      </c>
      <c r="M281" t="n">
        <v>0</v>
      </c>
      <c r="N281" t="n">
        <v>0</v>
      </c>
      <c r="O281" t="n">
        <v>0</v>
      </c>
      <c r="P281" t="n">
        <v>0</v>
      </c>
      <c r="Q281" t="n">
        <v>1</v>
      </c>
      <c r="R281" s="2" t="inlineStr">
        <is>
          <t>Vågbandad barkbock</t>
        </is>
      </c>
      <c r="S281">
        <f>HYPERLINK("https://klasma.github.io/Logging_1766/artfynd/A 19831-2022 artfynd.xlsx", "A 19831-2022")</f>
        <v/>
      </c>
      <c r="T281">
        <f>HYPERLINK("https://klasma.github.io/Logging_1766/kartor/A 19831-2022 karta.png", "A 19831-2022")</f>
        <v/>
      </c>
      <c r="V281">
        <f>HYPERLINK("https://klasma.github.io/Logging_1766/klagomål/A 19831-2022 FSC-klagomål.docx", "A 19831-2022")</f>
        <v/>
      </c>
      <c r="W281">
        <f>HYPERLINK("https://klasma.github.io/Logging_1766/klagomålsmail/A 19831-2022 FSC-klagomål mail.docx", "A 19831-2022")</f>
        <v/>
      </c>
      <c r="X281">
        <f>HYPERLINK("https://klasma.github.io/Logging_1766/tillsyn/A 19831-2022 tillsynsbegäran.docx", "A 19831-2022")</f>
        <v/>
      </c>
      <c r="Y281">
        <f>HYPERLINK("https://klasma.github.io/Logging_1766/tillsynsmail/A 19831-2022 tillsynsbegäran mail.docx", "A 19831-2022")</f>
        <v/>
      </c>
    </row>
    <row r="282" ht="15" customHeight="1">
      <c r="A282" t="inlineStr">
        <is>
          <t>A 28445-2021</t>
        </is>
      </c>
      <c r="B282" s="1" t="n">
        <v>44356</v>
      </c>
      <c r="C282" s="1" t="n">
        <v>45932</v>
      </c>
      <c r="D282" t="inlineStr">
        <is>
          <t>VÄRMLANDS LÄN</t>
        </is>
      </c>
      <c r="E282" t="inlineStr">
        <is>
          <t>SUNNE</t>
        </is>
      </c>
      <c r="G282" t="n">
        <v>10.1</v>
      </c>
      <c r="H282" t="n">
        <v>1</v>
      </c>
      <c r="I282" t="n">
        <v>0</v>
      </c>
      <c r="J282" t="n">
        <v>0</v>
      </c>
      <c r="K282" t="n">
        <v>0</v>
      </c>
      <c r="L282" t="n">
        <v>0</v>
      </c>
      <c r="M282" t="n">
        <v>0</v>
      </c>
      <c r="N282" t="n">
        <v>0</v>
      </c>
      <c r="O282" t="n">
        <v>0</v>
      </c>
      <c r="P282" t="n">
        <v>0</v>
      </c>
      <c r="Q282" t="n">
        <v>1</v>
      </c>
      <c r="R282" s="2" t="inlineStr">
        <is>
          <t>Blåsippa</t>
        </is>
      </c>
      <c r="S282">
        <f>HYPERLINK("https://klasma.github.io/Logging_1766/artfynd/A 28445-2021 artfynd.xlsx", "A 28445-2021")</f>
        <v/>
      </c>
      <c r="T282">
        <f>HYPERLINK("https://klasma.github.io/Logging_1766/kartor/A 28445-2021 karta.png", "A 28445-2021")</f>
        <v/>
      </c>
      <c r="V282">
        <f>HYPERLINK("https://klasma.github.io/Logging_1766/klagomål/A 28445-2021 FSC-klagomål.docx", "A 28445-2021")</f>
        <v/>
      </c>
      <c r="W282">
        <f>HYPERLINK("https://klasma.github.io/Logging_1766/klagomålsmail/A 28445-2021 FSC-klagomål mail.docx", "A 28445-2021")</f>
        <v/>
      </c>
      <c r="X282">
        <f>HYPERLINK("https://klasma.github.io/Logging_1766/tillsyn/A 28445-2021 tillsynsbegäran.docx", "A 28445-2021")</f>
        <v/>
      </c>
      <c r="Y282">
        <f>HYPERLINK("https://klasma.github.io/Logging_1766/tillsynsmail/A 28445-2021 tillsynsbegäran mail.docx", "A 28445-2021")</f>
        <v/>
      </c>
    </row>
    <row r="283" ht="15" customHeight="1">
      <c r="A283" t="inlineStr">
        <is>
          <t>A 37408-2022</t>
        </is>
      </c>
      <c r="B283" s="1" t="n">
        <v>44809</v>
      </c>
      <c r="C283" s="1" t="n">
        <v>45932</v>
      </c>
      <c r="D283" t="inlineStr">
        <is>
          <t>VÄRMLANDS LÄN</t>
        </is>
      </c>
      <c r="E283" t="inlineStr">
        <is>
          <t>KIL</t>
        </is>
      </c>
      <c r="G283" t="n">
        <v>2.6</v>
      </c>
      <c r="H283" t="n">
        <v>0</v>
      </c>
      <c r="I283" t="n">
        <v>1</v>
      </c>
      <c r="J283" t="n">
        <v>0</v>
      </c>
      <c r="K283" t="n">
        <v>0</v>
      </c>
      <c r="L283" t="n">
        <v>0</v>
      </c>
      <c r="M283" t="n">
        <v>0</v>
      </c>
      <c r="N283" t="n">
        <v>0</v>
      </c>
      <c r="O283" t="n">
        <v>0</v>
      </c>
      <c r="P283" t="n">
        <v>0</v>
      </c>
      <c r="Q283" t="n">
        <v>1</v>
      </c>
      <c r="R283" s="2" t="inlineStr">
        <is>
          <t>Dropptaggsvamp</t>
        </is>
      </c>
      <c r="S283">
        <f>HYPERLINK("https://klasma.github.io/Logging_1715/artfynd/A 37408-2022 artfynd.xlsx", "A 37408-2022")</f>
        <v/>
      </c>
      <c r="T283">
        <f>HYPERLINK("https://klasma.github.io/Logging_1715/kartor/A 37408-2022 karta.png", "A 37408-2022")</f>
        <v/>
      </c>
      <c r="V283">
        <f>HYPERLINK("https://klasma.github.io/Logging_1715/klagomål/A 37408-2022 FSC-klagomål.docx", "A 37408-2022")</f>
        <v/>
      </c>
      <c r="W283">
        <f>HYPERLINK("https://klasma.github.io/Logging_1715/klagomålsmail/A 37408-2022 FSC-klagomål mail.docx", "A 37408-2022")</f>
        <v/>
      </c>
      <c r="X283">
        <f>HYPERLINK("https://klasma.github.io/Logging_1715/tillsyn/A 37408-2022 tillsynsbegäran.docx", "A 37408-2022")</f>
        <v/>
      </c>
      <c r="Y283">
        <f>HYPERLINK("https://klasma.github.io/Logging_1715/tillsynsmail/A 37408-2022 tillsynsbegäran mail.docx", "A 37408-2022")</f>
        <v/>
      </c>
    </row>
    <row r="284" ht="15" customHeight="1">
      <c r="A284" t="inlineStr">
        <is>
          <t>A 50089-2020</t>
        </is>
      </c>
      <c r="B284" s="1" t="n">
        <v>44109</v>
      </c>
      <c r="C284" s="1" t="n">
        <v>45932</v>
      </c>
      <c r="D284" t="inlineStr">
        <is>
          <t>VÄRMLANDS LÄN</t>
        </is>
      </c>
      <c r="E284" t="inlineStr">
        <is>
          <t>TORSBY</t>
        </is>
      </c>
      <c r="G284" t="n">
        <v>0.9</v>
      </c>
      <c r="H284" t="n">
        <v>1</v>
      </c>
      <c r="I284" t="n">
        <v>0</v>
      </c>
      <c r="J284" t="n">
        <v>1</v>
      </c>
      <c r="K284" t="n">
        <v>0</v>
      </c>
      <c r="L284" t="n">
        <v>0</v>
      </c>
      <c r="M284" t="n">
        <v>0</v>
      </c>
      <c r="N284" t="n">
        <v>0</v>
      </c>
      <c r="O284" t="n">
        <v>1</v>
      </c>
      <c r="P284" t="n">
        <v>0</v>
      </c>
      <c r="Q284" t="n">
        <v>1</v>
      </c>
      <c r="R284" s="2" t="inlineStr">
        <is>
          <t>Spillkråka</t>
        </is>
      </c>
      <c r="S284">
        <f>HYPERLINK("https://klasma.github.io/Logging_1737/artfynd/A 50089-2020 artfynd.xlsx", "A 50089-2020")</f>
        <v/>
      </c>
      <c r="T284">
        <f>HYPERLINK("https://klasma.github.io/Logging_1737/kartor/A 50089-2020 karta.png", "A 50089-2020")</f>
        <v/>
      </c>
      <c r="V284">
        <f>HYPERLINK("https://klasma.github.io/Logging_1737/klagomål/A 50089-2020 FSC-klagomål.docx", "A 50089-2020")</f>
        <v/>
      </c>
      <c r="W284">
        <f>HYPERLINK("https://klasma.github.io/Logging_1737/klagomålsmail/A 50089-2020 FSC-klagomål mail.docx", "A 50089-2020")</f>
        <v/>
      </c>
      <c r="X284">
        <f>HYPERLINK("https://klasma.github.io/Logging_1737/tillsyn/A 50089-2020 tillsynsbegäran.docx", "A 50089-2020")</f>
        <v/>
      </c>
      <c r="Y284">
        <f>HYPERLINK("https://klasma.github.io/Logging_1737/tillsynsmail/A 50089-2020 tillsynsbegäran mail.docx", "A 50089-2020")</f>
        <v/>
      </c>
      <c r="Z284">
        <f>HYPERLINK("https://klasma.github.io/Logging_1737/fåglar/A 50089-2020 prioriterade fågelarter.docx", "A 50089-2020")</f>
        <v/>
      </c>
    </row>
    <row r="285" ht="15" customHeight="1">
      <c r="A285" t="inlineStr">
        <is>
          <t>A 55264-2021</t>
        </is>
      </c>
      <c r="B285" s="1" t="n">
        <v>44475</v>
      </c>
      <c r="C285" s="1" t="n">
        <v>45932</v>
      </c>
      <c r="D285" t="inlineStr">
        <is>
          <t>VÄRMLANDS LÄN</t>
        </is>
      </c>
      <c r="E285" t="inlineStr">
        <is>
          <t>KARLSTAD</t>
        </is>
      </c>
      <c r="F285" t="inlineStr">
        <is>
          <t>Kommuner</t>
        </is>
      </c>
      <c r="G285" t="n">
        <v>4</v>
      </c>
      <c r="H285" t="n">
        <v>0</v>
      </c>
      <c r="I285" t="n">
        <v>1</v>
      </c>
      <c r="J285" t="n">
        <v>0</v>
      </c>
      <c r="K285" t="n">
        <v>0</v>
      </c>
      <c r="L285" t="n">
        <v>0</v>
      </c>
      <c r="M285" t="n">
        <v>0</v>
      </c>
      <c r="N285" t="n">
        <v>0</v>
      </c>
      <c r="O285" t="n">
        <v>0</v>
      </c>
      <c r="P285" t="n">
        <v>0</v>
      </c>
      <c r="Q285" t="n">
        <v>1</v>
      </c>
      <c r="R285" s="2" t="inlineStr">
        <is>
          <t>Vedticka</t>
        </is>
      </c>
      <c r="S285">
        <f>HYPERLINK("https://klasma.github.io/Logging_1780/artfynd/A 55264-2021 artfynd.xlsx", "A 55264-2021")</f>
        <v/>
      </c>
      <c r="T285">
        <f>HYPERLINK("https://klasma.github.io/Logging_1780/kartor/A 55264-2021 karta.png", "A 55264-2021")</f>
        <v/>
      </c>
      <c r="V285">
        <f>HYPERLINK("https://klasma.github.io/Logging_1780/klagomål/A 55264-2021 FSC-klagomål.docx", "A 55264-2021")</f>
        <v/>
      </c>
      <c r="W285">
        <f>HYPERLINK("https://klasma.github.io/Logging_1780/klagomålsmail/A 55264-2021 FSC-klagomål mail.docx", "A 55264-2021")</f>
        <v/>
      </c>
      <c r="X285">
        <f>HYPERLINK("https://klasma.github.io/Logging_1780/tillsyn/A 55264-2021 tillsynsbegäran.docx", "A 55264-2021")</f>
        <v/>
      </c>
      <c r="Y285">
        <f>HYPERLINK("https://klasma.github.io/Logging_1780/tillsynsmail/A 55264-2021 tillsynsbegäran mail.docx", "A 55264-2021")</f>
        <v/>
      </c>
    </row>
    <row r="286" ht="15" customHeight="1">
      <c r="A286" t="inlineStr">
        <is>
          <t>A 54326-2020</t>
        </is>
      </c>
      <c r="B286" s="1" t="n">
        <v>44126</v>
      </c>
      <c r="C286" s="1" t="n">
        <v>45932</v>
      </c>
      <c r="D286" t="inlineStr">
        <is>
          <t>VÄRMLANDS LÄN</t>
        </is>
      </c>
      <c r="E286" t="inlineStr">
        <is>
          <t>HAMMARÖ</t>
        </is>
      </c>
      <c r="G286" t="n">
        <v>0.7</v>
      </c>
      <c r="H286" t="n">
        <v>1</v>
      </c>
      <c r="I286" t="n">
        <v>0</v>
      </c>
      <c r="J286" t="n">
        <v>0</v>
      </c>
      <c r="K286" t="n">
        <v>0</v>
      </c>
      <c r="L286" t="n">
        <v>0</v>
      </c>
      <c r="M286" t="n">
        <v>0</v>
      </c>
      <c r="N286" t="n">
        <v>0</v>
      </c>
      <c r="O286" t="n">
        <v>0</v>
      </c>
      <c r="P286" t="n">
        <v>0</v>
      </c>
      <c r="Q286" t="n">
        <v>1</v>
      </c>
      <c r="R286" s="2" t="inlineStr">
        <is>
          <t>Törnskata</t>
        </is>
      </c>
      <c r="S286">
        <f>HYPERLINK("https://klasma.github.io/Logging_1761/artfynd/A 54326-2020 artfynd.xlsx", "A 54326-2020")</f>
        <v/>
      </c>
      <c r="T286">
        <f>HYPERLINK("https://klasma.github.io/Logging_1761/kartor/A 54326-2020 karta.png", "A 54326-2020")</f>
        <v/>
      </c>
      <c r="V286">
        <f>HYPERLINK("https://klasma.github.io/Logging_1761/klagomål/A 54326-2020 FSC-klagomål.docx", "A 54326-2020")</f>
        <v/>
      </c>
      <c r="W286">
        <f>HYPERLINK("https://klasma.github.io/Logging_1761/klagomålsmail/A 54326-2020 FSC-klagomål mail.docx", "A 54326-2020")</f>
        <v/>
      </c>
      <c r="X286">
        <f>HYPERLINK("https://klasma.github.io/Logging_1761/tillsyn/A 54326-2020 tillsynsbegäran.docx", "A 54326-2020")</f>
        <v/>
      </c>
      <c r="Y286">
        <f>HYPERLINK("https://klasma.github.io/Logging_1761/tillsynsmail/A 54326-2020 tillsynsbegäran mail.docx", "A 54326-2020")</f>
        <v/>
      </c>
      <c r="Z286">
        <f>HYPERLINK("https://klasma.github.io/Logging_1761/fåglar/A 54326-2020 prioriterade fågelarter.docx", "A 54326-2020")</f>
        <v/>
      </c>
    </row>
    <row r="287" ht="15" customHeight="1">
      <c r="A287" t="inlineStr">
        <is>
          <t>A 3974-2021</t>
        </is>
      </c>
      <c r="B287" s="1" t="n">
        <v>44217</v>
      </c>
      <c r="C287" s="1" t="n">
        <v>45932</v>
      </c>
      <c r="D287" t="inlineStr">
        <is>
          <t>VÄRMLANDS LÄN</t>
        </is>
      </c>
      <c r="E287" t="inlineStr">
        <is>
          <t>ÅRJÄNG</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HYPERLINK("https://klasma.github.io/Logging_1765/artfynd/A 3974-2021 artfynd.xlsx", "A 3974-2021")</f>
        <v/>
      </c>
      <c r="T287">
        <f>HYPERLINK("https://klasma.github.io/Logging_1765/kartor/A 3974-2021 karta.png", "A 3974-2021")</f>
        <v/>
      </c>
      <c r="V287">
        <f>HYPERLINK("https://klasma.github.io/Logging_1765/klagomål/A 3974-2021 FSC-klagomål.docx", "A 3974-2021")</f>
        <v/>
      </c>
      <c r="W287">
        <f>HYPERLINK("https://klasma.github.io/Logging_1765/klagomålsmail/A 3974-2021 FSC-klagomål mail.docx", "A 3974-2021")</f>
        <v/>
      </c>
      <c r="X287">
        <f>HYPERLINK("https://klasma.github.io/Logging_1765/tillsyn/A 3974-2021 tillsynsbegäran.docx", "A 3974-2021")</f>
        <v/>
      </c>
      <c r="Y287">
        <f>HYPERLINK("https://klasma.github.io/Logging_1765/tillsynsmail/A 3974-2021 tillsynsbegäran mail.docx", "A 3974-2021")</f>
        <v/>
      </c>
      <c r="Z287">
        <f>HYPERLINK("https://klasma.github.io/Logging_1765/fåglar/A 3974-2021 prioriterade fågelarter.docx", "A 3974-2021")</f>
        <v/>
      </c>
    </row>
    <row r="288" ht="15" customHeight="1">
      <c r="A288" t="inlineStr">
        <is>
          <t>A 36792-2021</t>
        </is>
      </c>
      <c r="B288" s="1" t="n">
        <v>44392.70586805556</v>
      </c>
      <c r="C288" s="1" t="n">
        <v>45932</v>
      </c>
      <c r="D288" t="inlineStr">
        <is>
          <t>VÄRMLANDS LÄN</t>
        </is>
      </c>
      <c r="E288" t="inlineStr">
        <is>
          <t>SÄFFLE</t>
        </is>
      </c>
      <c r="G288" t="n">
        <v>4.5</v>
      </c>
      <c r="H288" t="n">
        <v>1</v>
      </c>
      <c r="I288" t="n">
        <v>0</v>
      </c>
      <c r="J288" t="n">
        <v>0</v>
      </c>
      <c r="K288" t="n">
        <v>0</v>
      </c>
      <c r="L288" t="n">
        <v>0</v>
      </c>
      <c r="M288" t="n">
        <v>0</v>
      </c>
      <c r="N288" t="n">
        <v>0</v>
      </c>
      <c r="O288" t="n">
        <v>0</v>
      </c>
      <c r="P288" t="n">
        <v>0</v>
      </c>
      <c r="Q288" t="n">
        <v>1</v>
      </c>
      <c r="R288" s="2" t="inlineStr">
        <is>
          <t>Grönvit nattviol</t>
        </is>
      </c>
      <c r="S288">
        <f>HYPERLINK("https://klasma.github.io/Logging_1785/artfynd/A 36792-2021 artfynd.xlsx", "A 36792-2021")</f>
        <v/>
      </c>
      <c r="T288">
        <f>HYPERLINK("https://klasma.github.io/Logging_1785/kartor/A 36792-2021 karta.png", "A 36792-2021")</f>
        <v/>
      </c>
      <c r="V288">
        <f>HYPERLINK("https://klasma.github.io/Logging_1785/klagomål/A 36792-2021 FSC-klagomål.docx", "A 36792-2021")</f>
        <v/>
      </c>
      <c r="W288">
        <f>HYPERLINK("https://klasma.github.io/Logging_1785/klagomålsmail/A 36792-2021 FSC-klagomål mail.docx", "A 36792-2021")</f>
        <v/>
      </c>
      <c r="X288">
        <f>HYPERLINK("https://klasma.github.io/Logging_1785/tillsyn/A 36792-2021 tillsynsbegäran.docx", "A 36792-2021")</f>
        <v/>
      </c>
      <c r="Y288">
        <f>HYPERLINK("https://klasma.github.io/Logging_1785/tillsynsmail/A 36792-2021 tillsynsbegäran mail.docx", "A 36792-2021")</f>
        <v/>
      </c>
    </row>
    <row r="289" ht="15" customHeight="1">
      <c r="A289" t="inlineStr">
        <is>
          <t>A 71594-2021</t>
        </is>
      </c>
      <c r="B289" s="1" t="n">
        <v>44541</v>
      </c>
      <c r="C289" s="1" t="n">
        <v>45932</v>
      </c>
      <c r="D289" t="inlineStr">
        <is>
          <t>VÄRMLANDS LÄN</t>
        </is>
      </c>
      <c r="E289" t="inlineStr">
        <is>
          <t>TORSBY</t>
        </is>
      </c>
      <c r="G289" t="n">
        <v>13.1</v>
      </c>
      <c r="H289" t="n">
        <v>0</v>
      </c>
      <c r="I289" t="n">
        <v>0</v>
      </c>
      <c r="J289" t="n">
        <v>1</v>
      </c>
      <c r="K289" t="n">
        <v>0</v>
      </c>
      <c r="L289" t="n">
        <v>0</v>
      </c>
      <c r="M289" t="n">
        <v>0</v>
      </c>
      <c r="N289" t="n">
        <v>0</v>
      </c>
      <c r="O289" t="n">
        <v>1</v>
      </c>
      <c r="P289" t="n">
        <v>0</v>
      </c>
      <c r="Q289" t="n">
        <v>1</v>
      </c>
      <c r="R289" s="2" t="inlineStr">
        <is>
          <t>Garnlav</t>
        </is>
      </c>
      <c r="S289">
        <f>HYPERLINK("https://klasma.github.io/Logging_1737/artfynd/A 71594-2021 artfynd.xlsx", "A 71594-2021")</f>
        <v/>
      </c>
      <c r="T289">
        <f>HYPERLINK("https://klasma.github.io/Logging_1737/kartor/A 71594-2021 karta.png", "A 71594-2021")</f>
        <v/>
      </c>
      <c r="V289">
        <f>HYPERLINK("https://klasma.github.io/Logging_1737/klagomål/A 71594-2021 FSC-klagomål.docx", "A 71594-2021")</f>
        <v/>
      </c>
      <c r="W289">
        <f>HYPERLINK("https://klasma.github.io/Logging_1737/klagomålsmail/A 71594-2021 FSC-klagomål mail.docx", "A 71594-2021")</f>
        <v/>
      </c>
      <c r="X289">
        <f>HYPERLINK("https://klasma.github.io/Logging_1737/tillsyn/A 71594-2021 tillsynsbegäran.docx", "A 71594-2021")</f>
        <v/>
      </c>
      <c r="Y289">
        <f>HYPERLINK("https://klasma.github.io/Logging_1737/tillsynsmail/A 71594-2021 tillsynsbegäran mail.docx", "A 71594-2021")</f>
        <v/>
      </c>
    </row>
    <row r="290" ht="15" customHeight="1">
      <c r="A290" t="inlineStr">
        <is>
          <t>A 48449-2021</t>
        </is>
      </c>
      <c r="B290" s="1" t="n">
        <v>44452</v>
      </c>
      <c r="C290" s="1" t="n">
        <v>45932</v>
      </c>
      <c r="D290" t="inlineStr">
        <is>
          <t>VÄRMLANDS LÄN</t>
        </is>
      </c>
      <c r="E290" t="inlineStr">
        <is>
          <t>ÅRJÄNG</t>
        </is>
      </c>
      <c r="G290" t="n">
        <v>0.9</v>
      </c>
      <c r="H290" t="n">
        <v>1</v>
      </c>
      <c r="I290" t="n">
        <v>0</v>
      </c>
      <c r="J290" t="n">
        <v>0</v>
      </c>
      <c r="K290" t="n">
        <v>1</v>
      </c>
      <c r="L290" t="n">
        <v>0</v>
      </c>
      <c r="M290" t="n">
        <v>0</v>
      </c>
      <c r="N290" t="n">
        <v>0</v>
      </c>
      <c r="O290" t="n">
        <v>1</v>
      </c>
      <c r="P290" t="n">
        <v>1</v>
      </c>
      <c r="Q290" t="n">
        <v>1</v>
      </c>
      <c r="R290" s="2" t="inlineStr">
        <is>
          <t>Knärot</t>
        </is>
      </c>
      <c r="S290">
        <f>HYPERLINK("https://klasma.github.io/Logging_1765/artfynd/A 48449-2021 artfynd.xlsx", "A 48449-2021")</f>
        <v/>
      </c>
      <c r="T290">
        <f>HYPERLINK("https://klasma.github.io/Logging_1765/kartor/A 48449-2021 karta.png", "A 48449-2021")</f>
        <v/>
      </c>
      <c r="U290">
        <f>HYPERLINK("https://klasma.github.io/Logging_1765/knärot/A 48449-2021 karta knärot.png", "A 48449-2021")</f>
        <v/>
      </c>
      <c r="V290">
        <f>HYPERLINK("https://klasma.github.io/Logging_1765/klagomål/A 48449-2021 FSC-klagomål.docx", "A 48449-2021")</f>
        <v/>
      </c>
      <c r="W290">
        <f>HYPERLINK("https://klasma.github.io/Logging_1765/klagomålsmail/A 48449-2021 FSC-klagomål mail.docx", "A 48449-2021")</f>
        <v/>
      </c>
      <c r="X290">
        <f>HYPERLINK("https://klasma.github.io/Logging_1765/tillsyn/A 48449-2021 tillsynsbegäran.docx", "A 48449-2021")</f>
        <v/>
      </c>
      <c r="Y290">
        <f>HYPERLINK("https://klasma.github.io/Logging_1765/tillsynsmail/A 48449-2021 tillsynsbegäran mail.docx", "A 48449-2021")</f>
        <v/>
      </c>
    </row>
    <row r="291" ht="15" customHeight="1">
      <c r="A291" t="inlineStr">
        <is>
          <t>A 1734-2022</t>
        </is>
      </c>
      <c r="B291" s="1" t="n">
        <v>44574</v>
      </c>
      <c r="C291" s="1" t="n">
        <v>45932</v>
      </c>
      <c r="D291" t="inlineStr">
        <is>
          <t>VÄRMLANDS LÄN</t>
        </is>
      </c>
      <c r="E291" t="inlineStr">
        <is>
          <t>KRISTINEHAMN</t>
        </is>
      </c>
      <c r="G291" t="n">
        <v>4</v>
      </c>
      <c r="H291" t="n">
        <v>1</v>
      </c>
      <c r="I291" t="n">
        <v>0</v>
      </c>
      <c r="J291" t="n">
        <v>0</v>
      </c>
      <c r="K291" t="n">
        <v>0</v>
      </c>
      <c r="L291" t="n">
        <v>0</v>
      </c>
      <c r="M291" t="n">
        <v>0</v>
      </c>
      <c r="N291" t="n">
        <v>0</v>
      </c>
      <c r="O291" t="n">
        <v>0</v>
      </c>
      <c r="P291" t="n">
        <v>0</v>
      </c>
      <c r="Q291" t="n">
        <v>1</v>
      </c>
      <c r="R291" s="2" t="inlineStr">
        <is>
          <t>Hasselmus</t>
        </is>
      </c>
      <c r="S291">
        <f>HYPERLINK("https://klasma.github.io/Logging_1781/artfynd/A 1734-2022 artfynd.xlsx", "A 1734-2022")</f>
        <v/>
      </c>
      <c r="T291">
        <f>HYPERLINK("https://klasma.github.io/Logging_1781/kartor/A 1734-2022 karta.png", "A 1734-2022")</f>
        <v/>
      </c>
      <c r="V291">
        <f>HYPERLINK("https://klasma.github.io/Logging_1781/klagomål/A 1734-2022 FSC-klagomål.docx", "A 1734-2022")</f>
        <v/>
      </c>
      <c r="W291">
        <f>HYPERLINK("https://klasma.github.io/Logging_1781/klagomålsmail/A 1734-2022 FSC-klagomål mail.docx", "A 1734-2022")</f>
        <v/>
      </c>
      <c r="X291">
        <f>HYPERLINK("https://klasma.github.io/Logging_1781/tillsyn/A 1734-2022 tillsynsbegäran.docx", "A 1734-2022")</f>
        <v/>
      </c>
      <c r="Y291">
        <f>HYPERLINK("https://klasma.github.io/Logging_1781/tillsynsmail/A 1734-2022 tillsynsbegäran mail.docx", "A 1734-2022")</f>
        <v/>
      </c>
    </row>
    <row r="292" ht="15" customHeight="1">
      <c r="A292" t="inlineStr">
        <is>
          <t>A 34876-2021</t>
        </is>
      </c>
      <c r="B292" s="1" t="n">
        <v>44383</v>
      </c>
      <c r="C292" s="1" t="n">
        <v>45932</v>
      </c>
      <c r="D292" t="inlineStr">
        <is>
          <t>VÄRMLANDS LÄN</t>
        </is>
      </c>
      <c r="E292" t="inlineStr">
        <is>
          <t>TORSBY</t>
        </is>
      </c>
      <c r="G292" t="n">
        <v>4.7</v>
      </c>
      <c r="H292" t="n">
        <v>0</v>
      </c>
      <c r="I292" t="n">
        <v>0</v>
      </c>
      <c r="J292" t="n">
        <v>1</v>
      </c>
      <c r="K292" t="n">
        <v>0</v>
      </c>
      <c r="L292" t="n">
        <v>0</v>
      </c>
      <c r="M292" t="n">
        <v>0</v>
      </c>
      <c r="N292" t="n">
        <v>0</v>
      </c>
      <c r="O292" t="n">
        <v>1</v>
      </c>
      <c r="P292" t="n">
        <v>0</v>
      </c>
      <c r="Q292" t="n">
        <v>1</v>
      </c>
      <c r="R292" s="2" t="inlineStr">
        <is>
          <t>Doftskinn</t>
        </is>
      </c>
      <c r="S292">
        <f>HYPERLINK("https://klasma.github.io/Logging_1737/artfynd/A 34876-2021 artfynd.xlsx", "A 34876-2021")</f>
        <v/>
      </c>
      <c r="T292">
        <f>HYPERLINK("https://klasma.github.io/Logging_1737/kartor/A 34876-2021 karta.png", "A 34876-2021")</f>
        <v/>
      </c>
      <c r="V292">
        <f>HYPERLINK("https://klasma.github.io/Logging_1737/klagomål/A 34876-2021 FSC-klagomål.docx", "A 34876-2021")</f>
        <v/>
      </c>
      <c r="W292">
        <f>HYPERLINK("https://klasma.github.io/Logging_1737/klagomålsmail/A 34876-2021 FSC-klagomål mail.docx", "A 34876-2021")</f>
        <v/>
      </c>
      <c r="X292">
        <f>HYPERLINK("https://klasma.github.io/Logging_1737/tillsyn/A 34876-2021 tillsynsbegäran.docx", "A 34876-2021")</f>
        <v/>
      </c>
      <c r="Y292">
        <f>HYPERLINK("https://klasma.github.io/Logging_1737/tillsynsmail/A 34876-2021 tillsynsbegäran mail.docx", "A 34876-2021")</f>
        <v/>
      </c>
    </row>
    <row r="293" ht="15" customHeight="1">
      <c r="A293" t="inlineStr">
        <is>
          <t>A 64590-2021</t>
        </is>
      </c>
      <c r="B293" s="1" t="n">
        <v>44511</v>
      </c>
      <c r="C293" s="1" t="n">
        <v>45932</v>
      </c>
      <c r="D293" t="inlineStr">
        <is>
          <t>VÄRMLANDS LÄN</t>
        </is>
      </c>
      <c r="E293" t="inlineStr">
        <is>
          <t>ARVIKA</t>
        </is>
      </c>
      <c r="G293" t="n">
        <v>4.1</v>
      </c>
      <c r="H293" t="n">
        <v>1</v>
      </c>
      <c r="I293" t="n">
        <v>0</v>
      </c>
      <c r="J293" t="n">
        <v>1</v>
      </c>
      <c r="K293" t="n">
        <v>0</v>
      </c>
      <c r="L293" t="n">
        <v>0</v>
      </c>
      <c r="M293" t="n">
        <v>0</v>
      </c>
      <c r="N293" t="n">
        <v>0</v>
      </c>
      <c r="O293" t="n">
        <v>1</v>
      </c>
      <c r="P293" t="n">
        <v>0</v>
      </c>
      <c r="Q293" t="n">
        <v>1</v>
      </c>
      <c r="R293" s="2" t="inlineStr">
        <is>
          <t>Tretåig hackspett</t>
        </is>
      </c>
      <c r="S293">
        <f>HYPERLINK("https://klasma.github.io/Logging_1784/artfynd/A 64590-2021 artfynd.xlsx", "A 64590-2021")</f>
        <v/>
      </c>
      <c r="T293">
        <f>HYPERLINK("https://klasma.github.io/Logging_1784/kartor/A 64590-2021 karta.png", "A 64590-2021")</f>
        <v/>
      </c>
      <c r="V293">
        <f>HYPERLINK("https://klasma.github.io/Logging_1784/klagomål/A 64590-2021 FSC-klagomål.docx", "A 64590-2021")</f>
        <v/>
      </c>
      <c r="W293">
        <f>HYPERLINK("https://klasma.github.io/Logging_1784/klagomålsmail/A 64590-2021 FSC-klagomål mail.docx", "A 64590-2021")</f>
        <v/>
      </c>
      <c r="X293">
        <f>HYPERLINK("https://klasma.github.io/Logging_1784/tillsyn/A 64590-2021 tillsynsbegäran.docx", "A 64590-2021")</f>
        <v/>
      </c>
      <c r="Y293">
        <f>HYPERLINK("https://klasma.github.io/Logging_1784/tillsynsmail/A 64590-2021 tillsynsbegäran mail.docx", "A 64590-2021")</f>
        <v/>
      </c>
      <c r="Z293">
        <f>HYPERLINK("https://klasma.github.io/Logging_1784/fåglar/A 64590-2021 prioriterade fågelarter.docx", "A 64590-2021")</f>
        <v/>
      </c>
    </row>
    <row r="294" ht="15" customHeight="1">
      <c r="A294" t="inlineStr">
        <is>
          <t>A 37342-2021</t>
        </is>
      </c>
      <c r="B294" s="1" t="n">
        <v>44397</v>
      </c>
      <c r="C294" s="1" t="n">
        <v>45932</v>
      </c>
      <c r="D294" t="inlineStr">
        <is>
          <t>VÄRMLANDS LÄN</t>
        </is>
      </c>
      <c r="E294" t="inlineStr">
        <is>
          <t>ARVIKA</t>
        </is>
      </c>
      <c r="G294" t="n">
        <v>3.5</v>
      </c>
      <c r="H294" t="n">
        <v>1</v>
      </c>
      <c r="I294" t="n">
        <v>0</v>
      </c>
      <c r="J294" t="n">
        <v>0</v>
      </c>
      <c r="K294" t="n">
        <v>1</v>
      </c>
      <c r="L294" t="n">
        <v>0</v>
      </c>
      <c r="M294" t="n">
        <v>0</v>
      </c>
      <c r="N294" t="n">
        <v>0</v>
      </c>
      <c r="O294" t="n">
        <v>1</v>
      </c>
      <c r="P294" t="n">
        <v>1</v>
      </c>
      <c r="Q294" t="n">
        <v>1</v>
      </c>
      <c r="R294" s="2" t="inlineStr">
        <is>
          <t>Knärot</t>
        </is>
      </c>
      <c r="S294">
        <f>HYPERLINK("https://klasma.github.io/Logging_1784/artfynd/A 37342-2021 artfynd.xlsx", "A 37342-2021")</f>
        <v/>
      </c>
      <c r="T294">
        <f>HYPERLINK("https://klasma.github.io/Logging_1784/kartor/A 37342-2021 karta.png", "A 37342-2021")</f>
        <v/>
      </c>
      <c r="U294">
        <f>HYPERLINK("https://klasma.github.io/Logging_1784/knärot/A 37342-2021 karta knärot.png", "A 37342-2021")</f>
        <v/>
      </c>
      <c r="V294">
        <f>HYPERLINK("https://klasma.github.io/Logging_1784/klagomål/A 37342-2021 FSC-klagomål.docx", "A 37342-2021")</f>
        <v/>
      </c>
      <c r="W294">
        <f>HYPERLINK("https://klasma.github.io/Logging_1784/klagomålsmail/A 37342-2021 FSC-klagomål mail.docx", "A 37342-2021")</f>
        <v/>
      </c>
      <c r="X294">
        <f>HYPERLINK("https://klasma.github.io/Logging_1784/tillsyn/A 37342-2021 tillsynsbegäran.docx", "A 37342-2021")</f>
        <v/>
      </c>
      <c r="Y294">
        <f>HYPERLINK("https://klasma.github.io/Logging_1784/tillsynsmail/A 37342-2021 tillsynsbegäran mail.docx", "A 37342-2021")</f>
        <v/>
      </c>
    </row>
    <row r="295" ht="15" customHeight="1">
      <c r="A295" t="inlineStr">
        <is>
          <t>A 50825-2021</t>
        </is>
      </c>
      <c r="B295" s="1" t="n">
        <v>44460.4965625</v>
      </c>
      <c r="C295" s="1" t="n">
        <v>45932</v>
      </c>
      <c r="D295" t="inlineStr">
        <is>
          <t>VÄRMLANDS LÄN</t>
        </is>
      </c>
      <c r="E295" t="inlineStr">
        <is>
          <t>KARLSTAD</t>
        </is>
      </c>
      <c r="F295" t="inlineStr">
        <is>
          <t>Kommuner</t>
        </is>
      </c>
      <c r="G295" t="n">
        <v>0.7</v>
      </c>
      <c r="H295" t="n">
        <v>0</v>
      </c>
      <c r="I295" t="n">
        <v>0</v>
      </c>
      <c r="J295" t="n">
        <v>1</v>
      </c>
      <c r="K295" t="n">
        <v>0</v>
      </c>
      <c r="L295" t="n">
        <v>0</v>
      </c>
      <c r="M295" t="n">
        <v>0</v>
      </c>
      <c r="N295" t="n">
        <v>0</v>
      </c>
      <c r="O295" t="n">
        <v>1</v>
      </c>
      <c r="P295" t="n">
        <v>0</v>
      </c>
      <c r="Q295" t="n">
        <v>1</v>
      </c>
      <c r="R295" s="2" t="inlineStr">
        <is>
          <t>Garnlav</t>
        </is>
      </c>
      <c r="S295">
        <f>HYPERLINK("https://klasma.github.io/Logging_1780/artfynd/A 50825-2021 artfynd.xlsx", "A 50825-2021")</f>
        <v/>
      </c>
      <c r="T295">
        <f>HYPERLINK("https://klasma.github.io/Logging_1780/kartor/A 50825-2021 karta.png", "A 50825-2021")</f>
        <v/>
      </c>
      <c r="V295">
        <f>HYPERLINK("https://klasma.github.io/Logging_1780/klagomål/A 50825-2021 FSC-klagomål.docx", "A 50825-2021")</f>
        <v/>
      </c>
      <c r="W295">
        <f>HYPERLINK("https://klasma.github.io/Logging_1780/klagomålsmail/A 50825-2021 FSC-klagomål mail.docx", "A 50825-2021")</f>
        <v/>
      </c>
      <c r="X295">
        <f>HYPERLINK("https://klasma.github.io/Logging_1780/tillsyn/A 50825-2021 tillsynsbegäran.docx", "A 50825-2021")</f>
        <v/>
      </c>
      <c r="Y295">
        <f>HYPERLINK("https://klasma.github.io/Logging_1780/tillsynsmail/A 50825-2021 tillsynsbegäran mail.docx", "A 50825-2021")</f>
        <v/>
      </c>
    </row>
    <row r="296" ht="15" customHeight="1">
      <c r="A296" t="inlineStr">
        <is>
          <t>A 66274-2021</t>
        </is>
      </c>
      <c r="B296" s="1" t="n">
        <v>44518</v>
      </c>
      <c r="C296" s="1" t="n">
        <v>45932</v>
      </c>
      <c r="D296" t="inlineStr">
        <is>
          <t>VÄRMLANDS LÄN</t>
        </is>
      </c>
      <c r="E296" t="inlineStr">
        <is>
          <t>KARLSTAD</t>
        </is>
      </c>
      <c r="G296" t="n">
        <v>2.5</v>
      </c>
      <c r="H296" t="n">
        <v>1</v>
      </c>
      <c r="I296" t="n">
        <v>0</v>
      </c>
      <c r="J296" t="n">
        <v>0</v>
      </c>
      <c r="K296" t="n">
        <v>0</v>
      </c>
      <c r="L296" t="n">
        <v>0</v>
      </c>
      <c r="M296" t="n">
        <v>0</v>
      </c>
      <c r="N296" t="n">
        <v>0</v>
      </c>
      <c r="O296" t="n">
        <v>0</v>
      </c>
      <c r="P296" t="n">
        <v>0</v>
      </c>
      <c r="Q296" t="n">
        <v>1</v>
      </c>
      <c r="R296" s="2" t="inlineStr">
        <is>
          <t>Nattviol</t>
        </is>
      </c>
      <c r="S296">
        <f>HYPERLINK("https://klasma.github.io/Logging_1780/artfynd/A 66274-2021 artfynd.xlsx", "A 66274-2021")</f>
        <v/>
      </c>
      <c r="T296">
        <f>HYPERLINK("https://klasma.github.io/Logging_1780/kartor/A 66274-2021 karta.png", "A 66274-2021")</f>
        <v/>
      </c>
      <c r="V296">
        <f>HYPERLINK("https://klasma.github.io/Logging_1780/klagomål/A 66274-2021 FSC-klagomål.docx", "A 66274-2021")</f>
        <v/>
      </c>
      <c r="W296">
        <f>HYPERLINK("https://klasma.github.io/Logging_1780/klagomålsmail/A 66274-2021 FSC-klagomål mail.docx", "A 66274-2021")</f>
        <v/>
      </c>
      <c r="X296">
        <f>HYPERLINK("https://klasma.github.io/Logging_1780/tillsyn/A 66274-2021 tillsynsbegäran.docx", "A 66274-2021")</f>
        <v/>
      </c>
      <c r="Y296">
        <f>HYPERLINK("https://klasma.github.io/Logging_1780/tillsynsmail/A 66274-2021 tillsynsbegäran mail.docx", "A 66274-2021")</f>
        <v/>
      </c>
    </row>
    <row r="297" ht="15" customHeight="1">
      <c r="A297" t="inlineStr">
        <is>
          <t>A 34357-2022</t>
        </is>
      </c>
      <c r="B297" s="1" t="n">
        <v>44792</v>
      </c>
      <c r="C297" s="1" t="n">
        <v>45932</v>
      </c>
      <c r="D297" t="inlineStr">
        <is>
          <t>VÄRMLANDS LÄN</t>
        </is>
      </c>
      <c r="E297" t="inlineStr">
        <is>
          <t>GRUMS</t>
        </is>
      </c>
      <c r="G297" t="n">
        <v>15.3</v>
      </c>
      <c r="H297" t="n">
        <v>0</v>
      </c>
      <c r="I297" t="n">
        <v>0</v>
      </c>
      <c r="J297" t="n">
        <v>1</v>
      </c>
      <c r="K297" t="n">
        <v>0</v>
      </c>
      <c r="L297" t="n">
        <v>0</v>
      </c>
      <c r="M297" t="n">
        <v>0</v>
      </c>
      <c r="N297" t="n">
        <v>0</v>
      </c>
      <c r="O297" t="n">
        <v>1</v>
      </c>
      <c r="P297" t="n">
        <v>0</v>
      </c>
      <c r="Q297" t="n">
        <v>1</v>
      </c>
      <c r="R297" s="2" t="inlineStr">
        <is>
          <t>Skogsklocka</t>
        </is>
      </c>
      <c r="S297">
        <f>HYPERLINK("https://klasma.github.io/Logging_1764/artfynd/A 34357-2022 artfynd.xlsx", "A 34357-2022")</f>
        <v/>
      </c>
      <c r="T297">
        <f>HYPERLINK("https://klasma.github.io/Logging_1764/kartor/A 34357-2022 karta.png", "A 34357-2022")</f>
        <v/>
      </c>
      <c r="V297">
        <f>HYPERLINK("https://klasma.github.io/Logging_1764/klagomål/A 34357-2022 FSC-klagomål.docx", "A 34357-2022")</f>
        <v/>
      </c>
      <c r="W297">
        <f>HYPERLINK("https://klasma.github.io/Logging_1764/klagomålsmail/A 34357-2022 FSC-klagomål mail.docx", "A 34357-2022")</f>
        <v/>
      </c>
      <c r="X297">
        <f>HYPERLINK("https://klasma.github.io/Logging_1764/tillsyn/A 34357-2022 tillsynsbegäran.docx", "A 34357-2022")</f>
        <v/>
      </c>
      <c r="Y297">
        <f>HYPERLINK("https://klasma.github.io/Logging_1764/tillsynsmail/A 34357-2022 tillsynsbegäran mail.docx", "A 34357-2022")</f>
        <v/>
      </c>
    </row>
    <row r="298" ht="15" customHeight="1">
      <c r="A298" t="inlineStr">
        <is>
          <t>A 56253-2020</t>
        </is>
      </c>
      <c r="B298" s="1" t="n">
        <v>44134</v>
      </c>
      <c r="C298" s="1" t="n">
        <v>45932</v>
      </c>
      <c r="D298" t="inlineStr">
        <is>
          <t>VÄRMLANDS LÄN</t>
        </is>
      </c>
      <c r="E298" t="inlineStr">
        <is>
          <t>ARVIKA</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HYPERLINK("https://klasma.github.io/Logging_1784/artfynd/A 56253-2020 artfynd.xlsx", "A 56253-2020")</f>
        <v/>
      </c>
      <c r="T298">
        <f>HYPERLINK("https://klasma.github.io/Logging_1784/kartor/A 56253-2020 karta.png", "A 56253-2020")</f>
        <v/>
      </c>
      <c r="V298">
        <f>HYPERLINK("https://klasma.github.io/Logging_1784/klagomål/A 56253-2020 FSC-klagomål.docx", "A 56253-2020")</f>
        <v/>
      </c>
      <c r="W298">
        <f>HYPERLINK("https://klasma.github.io/Logging_1784/klagomålsmail/A 56253-2020 FSC-klagomål mail.docx", "A 56253-2020")</f>
        <v/>
      </c>
      <c r="X298">
        <f>HYPERLINK("https://klasma.github.io/Logging_1784/tillsyn/A 56253-2020 tillsynsbegäran.docx", "A 56253-2020")</f>
        <v/>
      </c>
      <c r="Y298">
        <f>HYPERLINK("https://klasma.github.io/Logging_1784/tillsynsmail/A 56253-2020 tillsynsbegäran mail.docx", "A 56253-2020")</f>
        <v/>
      </c>
      <c r="Z298">
        <f>HYPERLINK("https://klasma.github.io/Logging_1784/fåglar/A 56253-2020 prioriterade fågelarter.docx", "A 56253-2020")</f>
        <v/>
      </c>
    </row>
    <row r="299" ht="15" customHeight="1">
      <c r="A299" t="inlineStr">
        <is>
          <t>A 68490-2021</t>
        </is>
      </c>
      <c r="B299" s="1" t="n">
        <v>44525</v>
      </c>
      <c r="C299" s="1" t="n">
        <v>45932</v>
      </c>
      <c r="D299" t="inlineStr">
        <is>
          <t>VÄRMLANDS LÄN</t>
        </is>
      </c>
      <c r="E299" t="inlineStr">
        <is>
          <t>KRISTINEHAMN</t>
        </is>
      </c>
      <c r="G299" t="n">
        <v>1.8</v>
      </c>
      <c r="H299" t="n">
        <v>0</v>
      </c>
      <c r="I299" t="n">
        <v>0</v>
      </c>
      <c r="J299" t="n">
        <v>1</v>
      </c>
      <c r="K299" t="n">
        <v>0</v>
      </c>
      <c r="L299" t="n">
        <v>0</v>
      </c>
      <c r="M299" t="n">
        <v>0</v>
      </c>
      <c r="N299" t="n">
        <v>0</v>
      </c>
      <c r="O299" t="n">
        <v>1</v>
      </c>
      <c r="P299" t="n">
        <v>0</v>
      </c>
      <c r="Q299" t="n">
        <v>1</v>
      </c>
      <c r="R299" s="2" t="inlineStr">
        <is>
          <t>Igelkott</t>
        </is>
      </c>
      <c r="S299">
        <f>HYPERLINK("https://klasma.github.io/Logging_1781/artfynd/A 68490-2021 artfynd.xlsx", "A 68490-2021")</f>
        <v/>
      </c>
      <c r="T299">
        <f>HYPERLINK("https://klasma.github.io/Logging_1781/kartor/A 68490-2021 karta.png", "A 68490-2021")</f>
        <v/>
      </c>
      <c r="V299">
        <f>HYPERLINK("https://klasma.github.io/Logging_1781/klagomål/A 68490-2021 FSC-klagomål.docx", "A 68490-2021")</f>
        <v/>
      </c>
      <c r="W299">
        <f>HYPERLINK("https://klasma.github.io/Logging_1781/klagomålsmail/A 68490-2021 FSC-klagomål mail.docx", "A 68490-2021")</f>
        <v/>
      </c>
      <c r="X299">
        <f>HYPERLINK("https://klasma.github.io/Logging_1781/tillsyn/A 68490-2021 tillsynsbegäran.docx", "A 68490-2021")</f>
        <v/>
      </c>
      <c r="Y299">
        <f>HYPERLINK("https://klasma.github.io/Logging_1781/tillsynsmail/A 68490-2021 tillsynsbegäran mail.docx", "A 68490-2021")</f>
        <v/>
      </c>
    </row>
    <row r="300" ht="15" customHeight="1">
      <c r="A300" t="inlineStr">
        <is>
          <t>A 61846-2020</t>
        </is>
      </c>
      <c r="B300" s="1" t="n">
        <v>44159</v>
      </c>
      <c r="C300" s="1" t="n">
        <v>45932</v>
      </c>
      <c r="D300" t="inlineStr">
        <is>
          <t>VÄRMLANDS LÄN</t>
        </is>
      </c>
      <c r="E300" t="inlineStr">
        <is>
          <t>ÅRJÄNG</t>
        </is>
      </c>
      <c r="G300" t="n">
        <v>2</v>
      </c>
      <c r="H300" t="n">
        <v>0</v>
      </c>
      <c r="I300" t="n">
        <v>1</v>
      </c>
      <c r="J300" t="n">
        <v>0</v>
      </c>
      <c r="K300" t="n">
        <v>0</v>
      </c>
      <c r="L300" t="n">
        <v>0</v>
      </c>
      <c r="M300" t="n">
        <v>0</v>
      </c>
      <c r="N300" t="n">
        <v>0</v>
      </c>
      <c r="O300" t="n">
        <v>0</v>
      </c>
      <c r="P300" t="n">
        <v>0</v>
      </c>
      <c r="Q300" t="n">
        <v>1</v>
      </c>
      <c r="R300" s="2" t="inlineStr">
        <is>
          <t>Korallblylav</t>
        </is>
      </c>
      <c r="S300">
        <f>HYPERLINK("https://klasma.github.io/Logging_1765/artfynd/A 61846-2020 artfynd.xlsx", "A 61846-2020")</f>
        <v/>
      </c>
      <c r="T300">
        <f>HYPERLINK("https://klasma.github.io/Logging_1765/kartor/A 61846-2020 karta.png", "A 61846-2020")</f>
        <v/>
      </c>
      <c r="V300">
        <f>HYPERLINK("https://klasma.github.io/Logging_1765/klagomål/A 61846-2020 FSC-klagomål.docx", "A 61846-2020")</f>
        <v/>
      </c>
      <c r="W300">
        <f>HYPERLINK("https://klasma.github.io/Logging_1765/klagomålsmail/A 61846-2020 FSC-klagomål mail.docx", "A 61846-2020")</f>
        <v/>
      </c>
      <c r="X300">
        <f>HYPERLINK("https://klasma.github.io/Logging_1765/tillsyn/A 61846-2020 tillsynsbegäran.docx", "A 61846-2020")</f>
        <v/>
      </c>
      <c r="Y300">
        <f>HYPERLINK("https://klasma.github.io/Logging_1765/tillsynsmail/A 61846-2020 tillsynsbegäran mail.docx", "A 61846-2020")</f>
        <v/>
      </c>
    </row>
    <row r="301" ht="15" customHeight="1">
      <c r="A301" t="inlineStr">
        <is>
          <t>A 2194-2021</t>
        </is>
      </c>
      <c r="B301" s="1" t="n">
        <v>44211</v>
      </c>
      <c r="C301" s="1" t="n">
        <v>45932</v>
      </c>
      <c r="D301" t="inlineStr">
        <is>
          <t>VÄRMLANDS LÄN</t>
        </is>
      </c>
      <c r="E301" t="inlineStr">
        <is>
          <t>KARLSTAD</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HYPERLINK("https://klasma.github.io/Logging_1780/artfynd/A 2194-2021 artfynd.xlsx", "A 2194-2021")</f>
        <v/>
      </c>
      <c r="T301">
        <f>HYPERLINK("https://klasma.github.io/Logging_1780/kartor/A 2194-2021 karta.png", "A 2194-2021")</f>
        <v/>
      </c>
      <c r="U301">
        <f>HYPERLINK("https://klasma.github.io/Logging_1780/knärot/A 2194-2021 karta knärot.png", "A 2194-2021")</f>
        <v/>
      </c>
      <c r="V301">
        <f>HYPERLINK("https://klasma.github.io/Logging_1780/klagomål/A 2194-2021 FSC-klagomål.docx", "A 2194-2021")</f>
        <v/>
      </c>
      <c r="W301">
        <f>HYPERLINK("https://klasma.github.io/Logging_1780/klagomålsmail/A 2194-2021 FSC-klagomål mail.docx", "A 2194-2021")</f>
        <v/>
      </c>
      <c r="X301">
        <f>HYPERLINK("https://klasma.github.io/Logging_1780/tillsyn/A 2194-2021 tillsynsbegäran.docx", "A 2194-2021")</f>
        <v/>
      </c>
      <c r="Y301">
        <f>HYPERLINK("https://klasma.github.io/Logging_1780/tillsynsmail/A 2194-2021 tillsynsbegäran mail.docx", "A 2194-2021")</f>
        <v/>
      </c>
    </row>
    <row r="302" ht="15" customHeight="1">
      <c r="A302" t="inlineStr">
        <is>
          <t>A 67928-2020</t>
        </is>
      </c>
      <c r="B302" s="1" t="n">
        <v>44182</v>
      </c>
      <c r="C302" s="1" t="n">
        <v>45932</v>
      </c>
      <c r="D302" t="inlineStr">
        <is>
          <t>VÄRMLANDS LÄN</t>
        </is>
      </c>
      <c r="E302" t="inlineStr">
        <is>
          <t>KARLSTAD</t>
        </is>
      </c>
      <c r="G302" t="n">
        <v>5</v>
      </c>
      <c r="H302" t="n">
        <v>0</v>
      </c>
      <c r="I302" t="n">
        <v>1</v>
      </c>
      <c r="J302" t="n">
        <v>0</v>
      </c>
      <c r="K302" t="n">
        <v>0</v>
      </c>
      <c r="L302" t="n">
        <v>0</v>
      </c>
      <c r="M302" t="n">
        <v>0</v>
      </c>
      <c r="N302" t="n">
        <v>0</v>
      </c>
      <c r="O302" t="n">
        <v>0</v>
      </c>
      <c r="P302" t="n">
        <v>0</v>
      </c>
      <c r="Q302" t="n">
        <v>1</v>
      </c>
      <c r="R302" s="2" t="inlineStr">
        <is>
          <t>Fjällig taggsvamp s.str.</t>
        </is>
      </c>
      <c r="S302">
        <f>HYPERLINK("https://klasma.github.io/Logging_1780/artfynd/A 67928-2020 artfynd.xlsx", "A 67928-2020")</f>
        <v/>
      </c>
      <c r="T302">
        <f>HYPERLINK("https://klasma.github.io/Logging_1780/kartor/A 67928-2020 karta.png", "A 67928-2020")</f>
        <v/>
      </c>
      <c r="V302">
        <f>HYPERLINK("https://klasma.github.io/Logging_1780/klagomål/A 67928-2020 FSC-klagomål.docx", "A 67928-2020")</f>
        <v/>
      </c>
      <c r="W302">
        <f>HYPERLINK("https://klasma.github.io/Logging_1780/klagomålsmail/A 67928-2020 FSC-klagomål mail.docx", "A 67928-2020")</f>
        <v/>
      </c>
      <c r="X302">
        <f>HYPERLINK("https://klasma.github.io/Logging_1780/tillsyn/A 67928-2020 tillsynsbegäran.docx", "A 67928-2020")</f>
        <v/>
      </c>
      <c r="Y302">
        <f>HYPERLINK("https://klasma.github.io/Logging_1780/tillsynsmail/A 67928-2020 tillsynsbegäran mail.docx", "A 67928-2020")</f>
        <v/>
      </c>
    </row>
    <row r="303" ht="15" customHeight="1">
      <c r="A303" t="inlineStr">
        <is>
          <t>A 6294-2022</t>
        </is>
      </c>
      <c r="B303" s="1" t="n">
        <v>44601</v>
      </c>
      <c r="C303" s="1" t="n">
        <v>45932</v>
      </c>
      <c r="D303" t="inlineStr">
        <is>
          <t>VÄRMLANDS LÄN</t>
        </is>
      </c>
      <c r="E303" t="inlineStr">
        <is>
          <t>FORSHAGA</t>
        </is>
      </c>
      <c r="G303" t="n">
        <v>3.2</v>
      </c>
      <c r="H303" t="n">
        <v>1</v>
      </c>
      <c r="I303" t="n">
        <v>0</v>
      </c>
      <c r="J303" t="n">
        <v>1</v>
      </c>
      <c r="K303" t="n">
        <v>0</v>
      </c>
      <c r="L303" t="n">
        <v>0</v>
      </c>
      <c r="M303" t="n">
        <v>0</v>
      </c>
      <c r="N303" t="n">
        <v>0</v>
      </c>
      <c r="O303" t="n">
        <v>1</v>
      </c>
      <c r="P303" t="n">
        <v>0</v>
      </c>
      <c r="Q303" t="n">
        <v>1</v>
      </c>
      <c r="R303" s="2" t="inlineStr">
        <is>
          <t>Spillkråka</t>
        </is>
      </c>
      <c r="S303">
        <f>HYPERLINK("https://klasma.github.io/Logging_1763/artfynd/A 6294-2022 artfynd.xlsx", "A 6294-2022")</f>
        <v/>
      </c>
      <c r="T303">
        <f>HYPERLINK("https://klasma.github.io/Logging_1763/kartor/A 6294-2022 karta.png", "A 6294-2022")</f>
        <v/>
      </c>
      <c r="V303">
        <f>HYPERLINK("https://klasma.github.io/Logging_1763/klagomål/A 6294-2022 FSC-klagomål.docx", "A 6294-2022")</f>
        <v/>
      </c>
      <c r="W303">
        <f>HYPERLINK("https://klasma.github.io/Logging_1763/klagomålsmail/A 6294-2022 FSC-klagomål mail.docx", "A 6294-2022")</f>
        <v/>
      </c>
      <c r="X303">
        <f>HYPERLINK("https://klasma.github.io/Logging_1763/tillsyn/A 6294-2022 tillsynsbegäran.docx", "A 6294-2022")</f>
        <v/>
      </c>
      <c r="Y303">
        <f>HYPERLINK("https://klasma.github.io/Logging_1763/tillsynsmail/A 6294-2022 tillsynsbegäran mail.docx", "A 6294-2022")</f>
        <v/>
      </c>
      <c r="Z303">
        <f>HYPERLINK("https://klasma.github.io/Logging_1763/fåglar/A 6294-2022 prioriterade fågelarter.docx", "A 6294-2022")</f>
        <v/>
      </c>
    </row>
    <row r="304" ht="15" customHeight="1">
      <c r="A304" t="inlineStr">
        <is>
          <t>A 62572-2021</t>
        </is>
      </c>
      <c r="B304" s="1" t="n">
        <v>44503</v>
      </c>
      <c r="C304" s="1" t="n">
        <v>45932</v>
      </c>
      <c r="D304" t="inlineStr">
        <is>
          <t>VÄRMLANDS LÄN</t>
        </is>
      </c>
      <c r="E304" t="inlineStr">
        <is>
          <t>FILIPSTAD</t>
        </is>
      </c>
      <c r="F304" t="inlineStr">
        <is>
          <t>Bergvik skog väst AB</t>
        </is>
      </c>
      <c r="G304" t="n">
        <v>46.9</v>
      </c>
      <c r="H304" t="n">
        <v>0</v>
      </c>
      <c r="I304" t="n">
        <v>0</v>
      </c>
      <c r="J304" t="n">
        <v>1</v>
      </c>
      <c r="K304" t="n">
        <v>0</v>
      </c>
      <c r="L304" t="n">
        <v>0</v>
      </c>
      <c r="M304" t="n">
        <v>0</v>
      </c>
      <c r="N304" t="n">
        <v>0</v>
      </c>
      <c r="O304" t="n">
        <v>1</v>
      </c>
      <c r="P304" t="n">
        <v>0</v>
      </c>
      <c r="Q304" t="n">
        <v>1</v>
      </c>
      <c r="R304" s="2" t="inlineStr">
        <is>
          <t>Garnlav</t>
        </is>
      </c>
      <c r="S304">
        <f>HYPERLINK("https://klasma.github.io/Logging_1782/artfynd/A 62572-2021 artfynd.xlsx", "A 62572-2021")</f>
        <v/>
      </c>
      <c r="T304">
        <f>HYPERLINK("https://klasma.github.io/Logging_1782/kartor/A 62572-2021 karta.png", "A 62572-2021")</f>
        <v/>
      </c>
      <c r="V304">
        <f>HYPERLINK("https://klasma.github.io/Logging_1782/klagomål/A 62572-2021 FSC-klagomål.docx", "A 62572-2021")</f>
        <v/>
      </c>
      <c r="W304">
        <f>HYPERLINK("https://klasma.github.io/Logging_1782/klagomålsmail/A 62572-2021 FSC-klagomål mail.docx", "A 62572-2021")</f>
        <v/>
      </c>
      <c r="X304">
        <f>HYPERLINK("https://klasma.github.io/Logging_1782/tillsyn/A 62572-2021 tillsynsbegäran.docx", "A 62572-2021")</f>
        <v/>
      </c>
      <c r="Y304">
        <f>HYPERLINK("https://klasma.github.io/Logging_1782/tillsynsmail/A 62572-2021 tillsynsbegäran mail.docx", "A 62572-2021")</f>
        <v/>
      </c>
    </row>
    <row r="305" ht="15" customHeight="1">
      <c r="A305" t="inlineStr">
        <is>
          <t>A 37299-2022</t>
        </is>
      </c>
      <c r="B305" s="1" t="n">
        <v>44808.83962962963</v>
      </c>
      <c r="C305" s="1" t="n">
        <v>45932</v>
      </c>
      <c r="D305" t="inlineStr">
        <is>
          <t>VÄRMLANDS LÄN</t>
        </is>
      </c>
      <c r="E305" t="inlineStr">
        <is>
          <t>KARLSTAD</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HYPERLINK("https://klasma.github.io/Logging_1780/artfynd/A 37299-2022 artfynd.xlsx", "A 37299-2022")</f>
        <v/>
      </c>
      <c r="T305">
        <f>HYPERLINK("https://klasma.github.io/Logging_1780/kartor/A 37299-2022 karta.png", "A 37299-2022")</f>
        <v/>
      </c>
      <c r="V305">
        <f>HYPERLINK("https://klasma.github.io/Logging_1780/klagomål/A 37299-2022 FSC-klagomål.docx", "A 37299-2022")</f>
        <v/>
      </c>
      <c r="W305">
        <f>HYPERLINK("https://klasma.github.io/Logging_1780/klagomålsmail/A 37299-2022 FSC-klagomål mail.docx", "A 37299-2022")</f>
        <v/>
      </c>
      <c r="X305">
        <f>HYPERLINK("https://klasma.github.io/Logging_1780/tillsyn/A 37299-2022 tillsynsbegäran.docx", "A 37299-2022")</f>
        <v/>
      </c>
      <c r="Y305">
        <f>HYPERLINK("https://klasma.github.io/Logging_1780/tillsynsmail/A 37299-2022 tillsynsbegäran mail.docx", "A 37299-2022")</f>
        <v/>
      </c>
      <c r="Z305">
        <f>HYPERLINK("https://klasma.github.io/Logging_1780/fåglar/A 37299-2022 prioriterade fågelarter.docx", "A 37299-2022")</f>
        <v/>
      </c>
    </row>
    <row r="306" ht="15" customHeight="1">
      <c r="A306" t="inlineStr">
        <is>
          <t>A 20754-2022</t>
        </is>
      </c>
      <c r="B306" s="1" t="n">
        <v>44701</v>
      </c>
      <c r="C306" s="1" t="n">
        <v>45932</v>
      </c>
      <c r="D306" t="inlineStr">
        <is>
          <t>VÄRMLANDS LÄN</t>
        </is>
      </c>
      <c r="E306" t="inlineStr">
        <is>
          <t>FILIPSTAD</t>
        </is>
      </c>
      <c r="F306" t="inlineStr">
        <is>
          <t>Bergvik skog väst AB</t>
        </is>
      </c>
      <c r="G306" t="n">
        <v>13.6</v>
      </c>
      <c r="H306" t="n">
        <v>1</v>
      </c>
      <c r="I306" t="n">
        <v>0</v>
      </c>
      <c r="J306" t="n">
        <v>0</v>
      </c>
      <c r="K306" t="n">
        <v>0</v>
      </c>
      <c r="L306" t="n">
        <v>0</v>
      </c>
      <c r="M306" t="n">
        <v>0</v>
      </c>
      <c r="N306" t="n">
        <v>0</v>
      </c>
      <c r="O306" t="n">
        <v>0</v>
      </c>
      <c r="P306" t="n">
        <v>0</v>
      </c>
      <c r="Q306" t="n">
        <v>1</v>
      </c>
      <c r="R306" s="2" t="inlineStr">
        <is>
          <t>Mattlummer</t>
        </is>
      </c>
      <c r="S306">
        <f>HYPERLINK("https://klasma.github.io/Logging_1782/artfynd/A 20754-2022 artfynd.xlsx", "A 20754-2022")</f>
        <v/>
      </c>
      <c r="T306">
        <f>HYPERLINK("https://klasma.github.io/Logging_1782/kartor/A 20754-2022 karta.png", "A 20754-2022")</f>
        <v/>
      </c>
      <c r="V306">
        <f>HYPERLINK("https://klasma.github.io/Logging_1782/klagomål/A 20754-2022 FSC-klagomål.docx", "A 20754-2022")</f>
        <v/>
      </c>
      <c r="W306">
        <f>HYPERLINK("https://klasma.github.io/Logging_1782/klagomålsmail/A 20754-2022 FSC-klagomål mail.docx", "A 20754-2022")</f>
        <v/>
      </c>
      <c r="X306">
        <f>HYPERLINK("https://klasma.github.io/Logging_1782/tillsyn/A 20754-2022 tillsynsbegäran.docx", "A 20754-2022")</f>
        <v/>
      </c>
      <c r="Y306">
        <f>HYPERLINK("https://klasma.github.io/Logging_1782/tillsynsmail/A 20754-2022 tillsynsbegäran mail.docx", "A 20754-2022")</f>
        <v/>
      </c>
    </row>
    <row r="307" ht="15" customHeight="1">
      <c r="A307" t="inlineStr">
        <is>
          <t>A 45938-2022</t>
        </is>
      </c>
      <c r="B307" s="1" t="n">
        <v>44846</v>
      </c>
      <c r="C307" s="1" t="n">
        <v>45932</v>
      </c>
      <c r="D307" t="inlineStr">
        <is>
          <t>VÄRMLANDS LÄN</t>
        </is>
      </c>
      <c r="E307" t="inlineStr">
        <is>
          <t>ÅRJÄNG</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HYPERLINK("https://klasma.github.io/Logging_1765/artfynd/A 45938-2022 artfynd.xlsx", "A 45938-2022")</f>
        <v/>
      </c>
      <c r="T307">
        <f>HYPERLINK("https://klasma.github.io/Logging_1765/kartor/A 45938-2022 karta.png", "A 45938-2022")</f>
        <v/>
      </c>
      <c r="U307">
        <f>HYPERLINK("https://klasma.github.io/Logging_1765/knärot/A 45938-2022 karta knärot.png", "A 45938-2022")</f>
        <v/>
      </c>
      <c r="V307">
        <f>HYPERLINK("https://klasma.github.io/Logging_1765/klagomål/A 45938-2022 FSC-klagomål.docx", "A 45938-2022")</f>
        <v/>
      </c>
      <c r="W307">
        <f>HYPERLINK("https://klasma.github.io/Logging_1765/klagomålsmail/A 45938-2022 FSC-klagomål mail.docx", "A 45938-2022")</f>
        <v/>
      </c>
      <c r="X307">
        <f>HYPERLINK("https://klasma.github.io/Logging_1765/tillsyn/A 45938-2022 tillsynsbegäran.docx", "A 45938-2022")</f>
        <v/>
      </c>
      <c r="Y307">
        <f>HYPERLINK("https://klasma.github.io/Logging_1765/tillsynsmail/A 45938-2022 tillsynsbegäran mail.docx", "A 45938-2022")</f>
        <v/>
      </c>
    </row>
    <row r="308" ht="15" customHeight="1">
      <c r="A308" t="inlineStr">
        <is>
          <t>A 68077-2020</t>
        </is>
      </c>
      <c r="B308" s="1" t="n">
        <v>44183</v>
      </c>
      <c r="C308" s="1" t="n">
        <v>45932</v>
      </c>
      <c r="D308" t="inlineStr">
        <is>
          <t>VÄRMLANDS LÄN</t>
        </is>
      </c>
      <c r="E308" t="inlineStr">
        <is>
          <t>FORSHAGA</t>
        </is>
      </c>
      <c r="G308" t="n">
        <v>2.8</v>
      </c>
      <c r="H308" t="n">
        <v>1</v>
      </c>
      <c r="I308" t="n">
        <v>0</v>
      </c>
      <c r="J308" t="n">
        <v>0</v>
      </c>
      <c r="K308" t="n">
        <v>0</v>
      </c>
      <c r="L308" t="n">
        <v>0</v>
      </c>
      <c r="M308" t="n">
        <v>0</v>
      </c>
      <c r="N308" t="n">
        <v>0</v>
      </c>
      <c r="O308" t="n">
        <v>0</v>
      </c>
      <c r="P308" t="n">
        <v>0</v>
      </c>
      <c r="Q308" t="n">
        <v>1</v>
      </c>
      <c r="R308" s="2" t="inlineStr">
        <is>
          <t>Grönvit nattviol</t>
        </is>
      </c>
      <c r="S308">
        <f>HYPERLINK("https://klasma.github.io/Logging_1763/artfynd/A 68077-2020 artfynd.xlsx", "A 68077-2020")</f>
        <v/>
      </c>
      <c r="T308">
        <f>HYPERLINK("https://klasma.github.io/Logging_1763/kartor/A 68077-2020 karta.png", "A 68077-2020")</f>
        <v/>
      </c>
      <c r="V308">
        <f>HYPERLINK("https://klasma.github.io/Logging_1763/klagomål/A 68077-2020 FSC-klagomål.docx", "A 68077-2020")</f>
        <v/>
      </c>
      <c r="W308">
        <f>HYPERLINK("https://klasma.github.io/Logging_1763/klagomålsmail/A 68077-2020 FSC-klagomål mail.docx", "A 68077-2020")</f>
        <v/>
      </c>
      <c r="X308">
        <f>HYPERLINK("https://klasma.github.io/Logging_1763/tillsyn/A 68077-2020 tillsynsbegäran.docx", "A 68077-2020")</f>
        <v/>
      </c>
      <c r="Y308">
        <f>HYPERLINK("https://klasma.github.io/Logging_1763/tillsynsmail/A 68077-2020 tillsynsbegäran mail.docx", "A 68077-2020")</f>
        <v/>
      </c>
    </row>
    <row r="309" ht="15" customHeight="1">
      <c r="A309" t="inlineStr">
        <is>
          <t>A 56872-2021</t>
        </is>
      </c>
      <c r="B309" s="1" t="n">
        <v>44481</v>
      </c>
      <c r="C309" s="1" t="n">
        <v>45932</v>
      </c>
      <c r="D309" t="inlineStr">
        <is>
          <t>VÄRMLANDS LÄN</t>
        </is>
      </c>
      <c r="E309" t="inlineStr">
        <is>
          <t>ARVIKA</t>
        </is>
      </c>
      <c r="G309" t="n">
        <v>1.4</v>
      </c>
      <c r="H309" t="n">
        <v>1</v>
      </c>
      <c r="I309" t="n">
        <v>0</v>
      </c>
      <c r="J309" t="n">
        <v>0</v>
      </c>
      <c r="K309" t="n">
        <v>1</v>
      </c>
      <c r="L309" t="n">
        <v>0</v>
      </c>
      <c r="M309" t="n">
        <v>0</v>
      </c>
      <c r="N309" t="n">
        <v>0</v>
      </c>
      <c r="O309" t="n">
        <v>1</v>
      </c>
      <c r="P309" t="n">
        <v>1</v>
      </c>
      <c r="Q309" t="n">
        <v>1</v>
      </c>
      <c r="R309" s="2" t="inlineStr">
        <is>
          <t>Knärot</t>
        </is>
      </c>
      <c r="S309">
        <f>HYPERLINK("https://klasma.github.io/Logging_1784/artfynd/A 56872-2021 artfynd.xlsx", "A 56872-2021")</f>
        <v/>
      </c>
      <c r="T309">
        <f>HYPERLINK("https://klasma.github.io/Logging_1784/kartor/A 56872-2021 karta.png", "A 56872-2021")</f>
        <v/>
      </c>
      <c r="U309">
        <f>HYPERLINK("https://klasma.github.io/Logging_1784/knärot/A 56872-2021 karta knärot.png", "A 56872-2021")</f>
        <v/>
      </c>
      <c r="V309">
        <f>HYPERLINK("https://klasma.github.io/Logging_1784/klagomål/A 56872-2021 FSC-klagomål.docx", "A 56872-2021")</f>
        <v/>
      </c>
      <c r="W309">
        <f>HYPERLINK("https://klasma.github.io/Logging_1784/klagomålsmail/A 56872-2021 FSC-klagomål mail.docx", "A 56872-2021")</f>
        <v/>
      </c>
      <c r="X309">
        <f>HYPERLINK("https://klasma.github.io/Logging_1784/tillsyn/A 56872-2021 tillsynsbegäran.docx", "A 56872-2021")</f>
        <v/>
      </c>
      <c r="Y309">
        <f>HYPERLINK("https://klasma.github.io/Logging_1784/tillsynsmail/A 56872-2021 tillsynsbegäran mail.docx", "A 56872-2021")</f>
        <v/>
      </c>
    </row>
    <row r="310" ht="15" customHeight="1">
      <c r="A310" t="inlineStr">
        <is>
          <t>A 45073-2021</t>
        </is>
      </c>
      <c r="B310" s="1" t="n">
        <v>44438</v>
      </c>
      <c r="C310" s="1" t="n">
        <v>45932</v>
      </c>
      <c r="D310" t="inlineStr">
        <is>
          <t>VÄRMLANDS LÄN</t>
        </is>
      </c>
      <c r="E310" t="inlineStr">
        <is>
          <t>HAGFORS</t>
        </is>
      </c>
      <c r="F310" t="inlineStr">
        <is>
          <t>Kyrkan</t>
        </is>
      </c>
      <c r="G310" t="n">
        <v>0.6</v>
      </c>
      <c r="H310" t="n">
        <v>0</v>
      </c>
      <c r="I310" t="n">
        <v>1</v>
      </c>
      <c r="J310" t="n">
        <v>0</v>
      </c>
      <c r="K310" t="n">
        <v>0</v>
      </c>
      <c r="L310" t="n">
        <v>0</v>
      </c>
      <c r="M310" t="n">
        <v>0</v>
      </c>
      <c r="N310" t="n">
        <v>0</v>
      </c>
      <c r="O310" t="n">
        <v>0</v>
      </c>
      <c r="P310" t="n">
        <v>0</v>
      </c>
      <c r="Q310" t="n">
        <v>1</v>
      </c>
      <c r="R310" s="2" t="inlineStr">
        <is>
          <t>Vedticka</t>
        </is>
      </c>
      <c r="S310">
        <f>HYPERLINK("https://klasma.github.io/Logging_1783/artfynd/A 45073-2021 artfynd.xlsx", "A 45073-2021")</f>
        <v/>
      </c>
      <c r="T310">
        <f>HYPERLINK("https://klasma.github.io/Logging_1783/kartor/A 45073-2021 karta.png", "A 45073-2021")</f>
        <v/>
      </c>
      <c r="V310">
        <f>HYPERLINK("https://klasma.github.io/Logging_1783/klagomål/A 45073-2021 FSC-klagomål.docx", "A 45073-2021")</f>
        <v/>
      </c>
      <c r="W310">
        <f>HYPERLINK("https://klasma.github.io/Logging_1783/klagomålsmail/A 45073-2021 FSC-klagomål mail.docx", "A 45073-2021")</f>
        <v/>
      </c>
      <c r="X310">
        <f>HYPERLINK("https://klasma.github.io/Logging_1783/tillsyn/A 45073-2021 tillsynsbegäran.docx", "A 45073-2021")</f>
        <v/>
      </c>
      <c r="Y310">
        <f>HYPERLINK("https://klasma.github.io/Logging_1783/tillsynsmail/A 45073-2021 tillsynsbegäran mail.docx", "A 45073-2021")</f>
        <v/>
      </c>
    </row>
    <row r="311" ht="15" customHeight="1">
      <c r="A311" t="inlineStr">
        <is>
          <t>A 53491-2020</t>
        </is>
      </c>
      <c r="B311" s="1" t="n">
        <v>44123</v>
      </c>
      <c r="C311" s="1" t="n">
        <v>45932</v>
      </c>
      <c r="D311" t="inlineStr">
        <is>
          <t>VÄRMLANDS LÄN</t>
        </is>
      </c>
      <c r="E311" t="inlineStr">
        <is>
          <t>TORSBY</t>
        </is>
      </c>
      <c r="G311" t="n">
        <v>1.5</v>
      </c>
      <c r="H311" t="n">
        <v>0</v>
      </c>
      <c r="I311" t="n">
        <v>0</v>
      </c>
      <c r="J311" t="n">
        <v>1</v>
      </c>
      <c r="K311" t="n">
        <v>0</v>
      </c>
      <c r="L311" t="n">
        <v>0</v>
      </c>
      <c r="M311" t="n">
        <v>0</v>
      </c>
      <c r="N311" t="n">
        <v>0</v>
      </c>
      <c r="O311" t="n">
        <v>1</v>
      </c>
      <c r="P311" t="n">
        <v>0</v>
      </c>
      <c r="Q311" t="n">
        <v>1</v>
      </c>
      <c r="R311" s="2" t="inlineStr">
        <is>
          <t>Garnlav</t>
        </is>
      </c>
      <c r="S311">
        <f>HYPERLINK("https://klasma.github.io/Logging_1737/artfynd/A 53491-2020 artfynd.xlsx", "A 53491-2020")</f>
        <v/>
      </c>
      <c r="T311">
        <f>HYPERLINK("https://klasma.github.io/Logging_1737/kartor/A 53491-2020 karta.png", "A 53491-2020")</f>
        <v/>
      </c>
      <c r="V311">
        <f>HYPERLINK("https://klasma.github.io/Logging_1737/klagomål/A 53491-2020 FSC-klagomål.docx", "A 53491-2020")</f>
        <v/>
      </c>
      <c r="W311">
        <f>HYPERLINK("https://klasma.github.io/Logging_1737/klagomålsmail/A 53491-2020 FSC-klagomål mail.docx", "A 53491-2020")</f>
        <v/>
      </c>
      <c r="X311">
        <f>HYPERLINK("https://klasma.github.io/Logging_1737/tillsyn/A 53491-2020 tillsynsbegäran.docx", "A 53491-2020")</f>
        <v/>
      </c>
      <c r="Y311">
        <f>HYPERLINK("https://klasma.github.io/Logging_1737/tillsynsmail/A 53491-2020 tillsynsbegäran mail.docx", "A 53491-2020")</f>
        <v/>
      </c>
    </row>
    <row r="312" ht="15" customHeight="1">
      <c r="A312" t="inlineStr">
        <is>
          <t>A 30596-2022</t>
        </is>
      </c>
      <c r="B312" s="1" t="n">
        <v>44762</v>
      </c>
      <c r="C312" s="1" t="n">
        <v>45932</v>
      </c>
      <c r="D312" t="inlineStr">
        <is>
          <t>VÄRMLANDS LÄN</t>
        </is>
      </c>
      <c r="E312" t="inlineStr">
        <is>
          <t>SÄFFLE</t>
        </is>
      </c>
      <c r="G312" t="n">
        <v>2.1</v>
      </c>
      <c r="H312" t="n">
        <v>0</v>
      </c>
      <c r="I312" t="n">
        <v>0</v>
      </c>
      <c r="J312" t="n">
        <v>1</v>
      </c>
      <c r="K312" t="n">
        <v>0</v>
      </c>
      <c r="L312" t="n">
        <v>0</v>
      </c>
      <c r="M312" t="n">
        <v>0</v>
      </c>
      <c r="N312" t="n">
        <v>0</v>
      </c>
      <c r="O312" t="n">
        <v>1</v>
      </c>
      <c r="P312" t="n">
        <v>0</v>
      </c>
      <c r="Q312" t="n">
        <v>1</v>
      </c>
      <c r="R312" s="2" t="inlineStr">
        <is>
          <t>Skogsklocka</t>
        </is>
      </c>
      <c r="S312">
        <f>HYPERLINK("https://klasma.github.io/Logging_1785/artfynd/A 30596-2022 artfynd.xlsx", "A 30596-2022")</f>
        <v/>
      </c>
      <c r="T312">
        <f>HYPERLINK("https://klasma.github.io/Logging_1785/kartor/A 30596-2022 karta.png", "A 30596-2022")</f>
        <v/>
      </c>
      <c r="V312">
        <f>HYPERLINK("https://klasma.github.io/Logging_1785/klagomål/A 30596-2022 FSC-klagomål.docx", "A 30596-2022")</f>
        <v/>
      </c>
      <c r="W312">
        <f>HYPERLINK("https://klasma.github.io/Logging_1785/klagomålsmail/A 30596-2022 FSC-klagomål mail.docx", "A 30596-2022")</f>
        <v/>
      </c>
      <c r="X312">
        <f>HYPERLINK("https://klasma.github.io/Logging_1785/tillsyn/A 30596-2022 tillsynsbegäran.docx", "A 30596-2022")</f>
        <v/>
      </c>
      <c r="Y312">
        <f>HYPERLINK("https://klasma.github.io/Logging_1785/tillsynsmail/A 30596-2022 tillsynsbegäran mail.docx", "A 30596-2022")</f>
        <v/>
      </c>
    </row>
    <row r="313" ht="15" customHeight="1">
      <c r="A313" t="inlineStr">
        <is>
          <t>A 10279-2023</t>
        </is>
      </c>
      <c r="B313" s="1" t="n">
        <v>44986</v>
      </c>
      <c r="C313" s="1" t="n">
        <v>45932</v>
      </c>
      <c r="D313" t="inlineStr">
        <is>
          <t>VÄRMLANDS LÄN</t>
        </is>
      </c>
      <c r="E313" t="inlineStr">
        <is>
          <t>SUNNE</t>
        </is>
      </c>
      <c r="G313" t="n">
        <v>7.1</v>
      </c>
      <c r="H313" t="n">
        <v>0</v>
      </c>
      <c r="I313" t="n">
        <v>1</v>
      </c>
      <c r="J313" t="n">
        <v>0</v>
      </c>
      <c r="K313" t="n">
        <v>0</v>
      </c>
      <c r="L313" t="n">
        <v>0</v>
      </c>
      <c r="M313" t="n">
        <v>0</v>
      </c>
      <c r="N313" t="n">
        <v>0</v>
      </c>
      <c r="O313" t="n">
        <v>0</v>
      </c>
      <c r="P313" t="n">
        <v>0</v>
      </c>
      <c r="Q313" t="n">
        <v>1</v>
      </c>
      <c r="R313" s="2" t="inlineStr">
        <is>
          <t>Bronshjon</t>
        </is>
      </c>
      <c r="S313">
        <f>HYPERLINK("https://klasma.github.io/Logging_1766/artfynd/A 10279-2023 artfynd.xlsx", "A 10279-2023")</f>
        <v/>
      </c>
      <c r="T313">
        <f>HYPERLINK("https://klasma.github.io/Logging_1766/kartor/A 10279-2023 karta.png", "A 10279-2023")</f>
        <v/>
      </c>
      <c r="V313">
        <f>HYPERLINK("https://klasma.github.io/Logging_1766/klagomål/A 10279-2023 FSC-klagomål.docx", "A 10279-2023")</f>
        <v/>
      </c>
      <c r="W313">
        <f>HYPERLINK("https://klasma.github.io/Logging_1766/klagomålsmail/A 10279-2023 FSC-klagomål mail.docx", "A 10279-2023")</f>
        <v/>
      </c>
      <c r="X313">
        <f>HYPERLINK("https://klasma.github.io/Logging_1766/tillsyn/A 10279-2023 tillsynsbegäran.docx", "A 10279-2023")</f>
        <v/>
      </c>
      <c r="Y313">
        <f>HYPERLINK("https://klasma.github.io/Logging_1766/tillsynsmail/A 10279-2023 tillsynsbegäran mail.docx", "A 10279-2023")</f>
        <v/>
      </c>
    </row>
    <row r="314" ht="15" customHeight="1">
      <c r="A314" t="inlineStr">
        <is>
          <t>A 36273-2024</t>
        </is>
      </c>
      <c r="B314" s="1" t="n">
        <v>45534</v>
      </c>
      <c r="C314" s="1" t="n">
        <v>45932</v>
      </c>
      <c r="D314" t="inlineStr">
        <is>
          <t>VÄRMLANDS LÄN</t>
        </is>
      </c>
      <c r="E314" t="inlineStr">
        <is>
          <t>SÄFFLE</t>
        </is>
      </c>
      <c r="G314" t="n">
        <v>4.8</v>
      </c>
      <c r="H314" t="n">
        <v>0</v>
      </c>
      <c r="I314" t="n">
        <v>1</v>
      </c>
      <c r="J314" t="n">
        <v>0</v>
      </c>
      <c r="K314" t="n">
        <v>0</v>
      </c>
      <c r="L314" t="n">
        <v>0</v>
      </c>
      <c r="M314" t="n">
        <v>0</v>
      </c>
      <c r="N314" t="n">
        <v>0</v>
      </c>
      <c r="O314" t="n">
        <v>0</v>
      </c>
      <c r="P314" t="n">
        <v>0</v>
      </c>
      <c r="Q314" t="n">
        <v>1</v>
      </c>
      <c r="R314" s="2" t="inlineStr">
        <is>
          <t>Vätteros</t>
        </is>
      </c>
      <c r="S314">
        <f>HYPERLINK("https://klasma.github.io/Logging_1785/artfynd/A 36273-2024 artfynd.xlsx", "A 36273-2024")</f>
        <v/>
      </c>
      <c r="T314">
        <f>HYPERLINK("https://klasma.github.io/Logging_1785/kartor/A 36273-2024 karta.png", "A 36273-2024")</f>
        <v/>
      </c>
      <c r="V314">
        <f>HYPERLINK("https://klasma.github.io/Logging_1785/klagomål/A 36273-2024 FSC-klagomål.docx", "A 36273-2024")</f>
        <v/>
      </c>
      <c r="W314">
        <f>HYPERLINK("https://klasma.github.io/Logging_1785/klagomålsmail/A 36273-2024 FSC-klagomål mail.docx", "A 36273-2024")</f>
        <v/>
      </c>
      <c r="X314">
        <f>HYPERLINK("https://klasma.github.io/Logging_1785/tillsyn/A 36273-2024 tillsynsbegäran.docx", "A 36273-2024")</f>
        <v/>
      </c>
      <c r="Y314">
        <f>HYPERLINK("https://klasma.github.io/Logging_1785/tillsynsmail/A 36273-2024 tillsynsbegäran mail.docx", "A 36273-2024")</f>
        <v/>
      </c>
    </row>
    <row r="315" ht="15" customHeight="1">
      <c r="A315" t="inlineStr">
        <is>
          <t>A 56133-2024</t>
        </is>
      </c>
      <c r="B315" s="1" t="n">
        <v>45624</v>
      </c>
      <c r="C315" s="1" t="n">
        <v>45932</v>
      </c>
      <c r="D315" t="inlineStr">
        <is>
          <t>VÄRMLANDS LÄN</t>
        </is>
      </c>
      <c r="E315" t="inlineStr">
        <is>
          <t>TORSBY</t>
        </is>
      </c>
      <c r="G315" t="n">
        <v>2.4</v>
      </c>
      <c r="H315" t="n">
        <v>0</v>
      </c>
      <c r="I315" t="n">
        <v>1</v>
      </c>
      <c r="J315" t="n">
        <v>0</v>
      </c>
      <c r="K315" t="n">
        <v>0</v>
      </c>
      <c r="L315" t="n">
        <v>0</v>
      </c>
      <c r="M315" t="n">
        <v>0</v>
      </c>
      <c r="N315" t="n">
        <v>0</v>
      </c>
      <c r="O315" t="n">
        <v>0</v>
      </c>
      <c r="P315" t="n">
        <v>0</v>
      </c>
      <c r="Q315" t="n">
        <v>1</v>
      </c>
      <c r="R315" s="2" t="inlineStr">
        <is>
          <t>Vedticka</t>
        </is>
      </c>
      <c r="S315">
        <f>HYPERLINK("https://klasma.github.io/Logging_1737/artfynd/A 56133-2024 artfynd.xlsx", "A 56133-2024")</f>
        <v/>
      </c>
      <c r="T315">
        <f>HYPERLINK("https://klasma.github.io/Logging_1737/kartor/A 56133-2024 karta.png", "A 56133-2024")</f>
        <v/>
      </c>
      <c r="V315">
        <f>HYPERLINK("https://klasma.github.io/Logging_1737/klagomål/A 56133-2024 FSC-klagomål.docx", "A 56133-2024")</f>
        <v/>
      </c>
      <c r="W315">
        <f>HYPERLINK("https://klasma.github.io/Logging_1737/klagomålsmail/A 56133-2024 FSC-klagomål mail.docx", "A 56133-2024")</f>
        <v/>
      </c>
      <c r="X315">
        <f>HYPERLINK("https://klasma.github.io/Logging_1737/tillsyn/A 56133-2024 tillsynsbegäran.docx", "A 56133-2024")</f>
        <v/>
      </c>
      <c r="Y315">
        <f>HYPERLINK("https://klasma.github.io/Logging_1737/tillsynsmail/A 56133-2024 tillsynsbegäran mail.docx", "A 56133-2024")</f>
        <v/>
      </c>
    </row>
    <row r="316" ht="15" customHeight="1">
      <c r="A316" t="inlineStr">
        <is>
          <t>A 20898-2025</t>
        </is>
      </c>
      <c r="B316" s="1" t="n">
        <v>45777.39913194445</v>
      </c>
      <c r="C316" s="1" t="n">
        <v>45932</v>
      </c>
      <c r="D316" t="inlineStr">
        <is>
          <t>VÄRMLANDS LÄN</t>
        </is>
      </c>
      <c r="E316" t="inlineStr">
        <is>
          <t>EDA</t>
        </is>
      </c>
      <c r="F316" t="inlineStr">
        <is>
          <t>Bergvik skog väst AB</t>
        </is>
      </c>
      <c r="G316" t="n">
        <v>10</v>
      </c>
      <c r="H316" t="n">
        <v>1</v>
      </c>
      <c r="I316" t="n">
        <v>0</v>
      </c>
      <c r="J316" t="n">
        <v>1</v>
      </c>
      <c r="K316" t="n">
        <v>0</v>
      </c>
      <c r="L316" t="n">
        <v>0</v>
      </c>
      <c r="M316" t="n">
        <v>0</v>
      </c>
      <c r="N316" t="n">
        <v>0</v>
      </c>
      <c r="O316" t="n">
        <v>1</v>
      </c>
      <c r="P316" t="n">
        <v>0</v>
      </c>
      <c r="Q316" t="n">
        <v>1</v>
      </c>
      <c r="R316" s="2" t="inlineStr">
        <is>
          <t>Grönsångare</t>
        </is>
      </c>
      <c r="S316">
        <f>HYPERLINK("https://klasma.github.io/Logging_1730/artfynd/A 20898-2025 artfynd.xlsx", "A 20898-2025")</f>
        <v/>
      </c>
      <c r="T316">
        <f>HYPERLINK("https://klasma.github.io/Logging_1730/kartor/A 20898-2025 karta.png", "A 20898-2025")</f>
        <v/>
      </c>
      <c r="V316">
        <f>HYPERLINK("https://klasma.github.io/Logging_1730/klagomål/A 20898-2025 FSC-klagomål.docx", "A 20898-2025")</f>
        <v/>
      </c>
      <c r="W316">
        <f>HYPERLINK("https://klasma.github.io/Logging_1730/klagomålsmail/A 20898-2025 FSC-klagomål mail.docx", "A 20898-2025")</f>
        <v/>
      </c>
      <c r="X316">
        <f>HYPERLINK("https://klasma.github.io/Logging_1730/tillsyn/A 20898-2025 tillsynsbegäran.docx", "A 20898-2025")</f>
        <v/>
      </c>
      <c r="Y316">
        <f>HYPERLINK("https://klasma.github.io/Logging_1730/tillsynsmail/A 20898-2025 tillsynsbegäran mail.docx", "A 20898-2025")</f>
        <v/>
      </c>
      <c r="Z316">
        <f>HYPERLINK("https://klasma.github.io/Logging_1730/fåglar/A 20898-2025 prioriterade fågelarter.docx", "A 20898-2025")</f>
        <v/>
      </c>
    </row>
    <row r="317" ht="15" customHeight="1">
      <c r="A317" t="inlineStr">
        <is>
          <t>A 54982-2021</t>
        </is>
      </c>
      <c r="B317" s="1" t="n">
        <v>44469</v>
      </c>
      <c r="C317" s="1" t="n">
        <v>45932</v>
      </c>
      <c r="D317" t="inlineStr">
        <is>
          <t>VÄRMLANDS LÄN</t>
        </is>
      </c>
      <c r="E317" t="inlineStr">
        <is>
          <t>TORSBY</t>
        </is>
      </c>
      <c r="G317" t="n">
        <v>4.1</v>
      </c>
      <c r="H317" t="n">
        <v>0</v>
      </c>
      <c r="I317" t="n">
        <v>1</v>
      </c>
      <c r="J317" t="n">
        <v>0</v>
      </c>
      <c r="K317" t="n">
        <v>0</v>
      </c>
      <c r="L317" t="n">
        <v>0</v>
      </c>
      <c r="M317" t="n">
        <v>0</v>
      </c>
      <c r="N317" t="n">
        <v>0</v>
      </c>
      <c r="O317" t="n">
        <v>0</v>
      </c>
      <c r="P317" t="n">
        <v>0</v>
      </c>
      <c r="Q317" t="n">
        <v>1</v>
      </c>
      <c r="R317" s="2" t="inlineStr">
        <is>
          <t>Tibast</t>
        </is>
      </c>
      <c r="S317">
        <f>HYPERLINK("https://klasma.github.io/Logging_1737/artfynd/A 54982-2021 artfynd.xlsx", "A 54982-2021")</f>
        <v/>
      </c>
      <c r="T317">
        <f>HYPERLINK("https://klasma.github.io/Logging_1737/kartor/A 54982-2021 karta.png", "A 54982-2021")</f>
        <v/>
      </c>
      <c r="V317">
        <f>HYPERLINK("https://klasma.github.io/Logging_1737/klagomål/A 54982-2021 FSC-klagomål.docx", "A 54982-2021")</f>
        <v/>
      </c>
      <c r="W317">
        <f>HYPERLINK("https://klasma.github.io/Logging_1737/klagomålsmail/A 54982-2021 FSC-klagomål mail.docx", "A 54982-2021")</f>
        <v/>
      </c>
      <c r="X317">
        <f>HYPERLINK("https://klasma.github.io/Logging_1737/tillsyn/A 54982-2021 tillsynsbegäran.docx", "A 54982-2021")</f>
        <v/>
      </c>
      <c r="Y317">
        <f>HYPERLINK("https://klasma.github.io/Logging_1737/tillsynsmail/A 54982-2021 tillsynsbegäran mail.docx", "A 54982-2021")</f>
        <v/>
      </c>
    </row>
    <row r="318" ht="15" customHeight="1">
      <c r="A318" t="inlineStr">
        <is>
          <t>A 15321-2023</t>
        </is>
      </c>
      <c r="B318" s="1" t="n">
        <v>45019</v>
      </c>
      <c r="C318" s="1" t="n">
        <v>45932</v>
      </c>
      <c r="D318" t="inlineStr">
        <is>
          <t>VÄRMLANDS LÄN</t>
        </is>
      </c>
      <c r="E318" t="inlineStr">
        <is>
          <t>GRUMS</t>
        </is>
      </c>
      <c r="G318" t="n">
        <v>5.2</v>
      </c>
      <c r="H318" t="n">
        <v>0</v>
      </c>
      <c r="I318" t="n">
        <v>1</v>
      </c>
      <c r="J318" t="n">
        <v>0</v>
      </c>
      <c r="K318" t="n">
        <v>0</v>
      </c>
      <c r="L318" t="n">
        <v>0</v>
      </c>
      <c r="M318" t="n">
        <v>0</v>
      </c>
      <c r="N318" t="n">
        <v>0</v>
      </c>
      <c r="O318" t="n">
        <v>0</v>
      </c>
      <c r="P318" t="n">
        <v>0</v>
      </c>
      <c r="Q318" t="n">
        <v>1</v>
      </c>
      <c r="R318" s="2" t="inlineStr">
        <is>
          <t>Vätteros</t>
        </is>
      </c>
      <c r="S318">
        <f>HYPERLINK("https://klasma.github.io/Logging_1764/artfynd/A 15321-2023 artfynd.xlsx", "A 15321-2023")</f>
        <v/>
      </c>
      <c r="T318">
        <f>HYPERLINK("https://klasma.github.io/Logging_1764/kartor/A 15321-2023 karta.png", "A 15321-2023")</f>
        <v/>
      </c>
      <c r="V318">
        <f>HYPERLINK("https://klasma.github.io/Logging_1764/klagomål/A 15321-2023 FSC-klagomål.docx", "A 15321-2023")</f>
        <v/>
      </c>
      <c r="W318">
        <f>HYPERLINK("https://klasma.github.io/Logging_1764/klagomålsmail/A 15321-2023 FSC-klagomål mail.docx", "A 15321-2023")</f>
        <v/>
      </c>
      <c r="X318">
        <f>HYPERLINK("https://klasma.github.io/Logging_1764/tillsyn/A 15321-2023 tillsynsbegäran.docx", "A 15321-2023")</f>
        <v/>
      </c>
      <c r="Y318">
        <f>HYPERLINK("https://klasma.github.io/Logging_1764/tillsynsmail/A 15321-2023 tillsynsbegäran mail.docx", "A 15321-2023")</f>
        <v/>
      </c>
    </row>
    <row r="319" ht="15" customHeight="1">
      <c r="A319" t="inlineStr">
        <is>
          <t>A 15915-2025</t>
        </is>
      </c>
      <c r="B319" s="1" t="n">
        <v>45749</v>
      </c>
      <c r="C319" s="1" t="n">
        <v>45932</v>
      </c>
      <c r="D319" t="inlineStr">
        <is>
          <t>VÄRMLANDS LÄN</t>
        </is>
      </c>
      <c r="E319" t="inlineStr">
        <is>
          <t>SUNNE</t>
        </is>
      </c>
      <c r="F319" t="inlineStr">
        <is>
          <t>Bergvik skog väst AB</t>
        </is>
      </c>
      <c r="G319" t="n">
        <v>8.9</v>
      </c>
      <c r="H319" t="n">
        <v>1</v>
      </c>
      <c r="I319" t="n">
        <v>0</v>
      </c>
      <c r="J319" t="n">
        <v>0</v>
      </c>
      <c r="K319" t="n">
        <v>0</v>
      </c>
      <c r="L319" t="n">
        <v>0</v>
      </c>
      <c r="M319" t="n">
        <v>0</v>
      </c>
      <c r="N319" t="n">
        <v>0</v>
      </c>
      <c r="O319" t="n">
        <v>0</v>
      </c>
      <c r="P319" t="n">
        <v>0</v>
      </c>
      <c r="Q319" t="n">
        <v>1</v>
      </c>
      <c r="R319" s="2" t="inlineStr">
        <is>
          <t>Fläcknycklar</t>
        </is>
      </c>
      <c r="S319">
        <f>HYPERLINK("https://klasma.github.io/Logging_1766/artfynd/A 15915-2025 artfynd.xlsx", "A 15915-2025")</f>
        <v/>
      </c>
      <c r="T319">
        <f>HYPERLINK("https://klasma.github.io/Logging_1766/kartor/A 15915-2025 karta.png", "A 15915-2025")</f>
        <v/>
      </c>
      <c r="V319">
        <f>HYPERLINK("https://klasma.github.io/Logging_1766/klagomål/A 15915-2025 FSC-klagomål.docx", "A 15915-2025")</f>
        <v/>
      </c>
      <c r="W319">
        <f>HYPERLINK("https://klasma.github.io/Logging_1766/klagomålsmail/A 15915-2025 FSC-klagomål mail.docx", "A 15915-2025")</f>
        <v/>
      </c>
      <c r="X319">
        <f>HYPERLINK("https://klasma.github.io/Logging_1766/tillsyn/A 15915-2025 tillsynsbegäran.docx", "A 15915-2025")</f>
        <v/>
      </c>
      <c r="Y319">
        <f>HYPERLINK("https://klasma.github.io/Logging_1766/tillsynsmail/A 15915-2025 tillsynsbegäran mail.docx", "A 15915-2025")</f>
        <v/>
      </c>
    </row>
    <row r="320" ht="15" customHeight="1">
      <c r="A320" t="inlineStr">
        <is>
          <t>A 26747-2023</t>
        </is>
      </c>
      <c r="B320" s="1" t="n">
        <v>45090</v>
      </c>
      <c r="C320" s="1" t="n">
        <v>45932</v>
      </c>
      <c r="D320" t="inlineStr">
        <is>
          <t>VÄRMLANDS LÄN</t>
        </is>
      </c>
      <c r="E320" t="inlineStr">
        <is>
          <t>TORSBY</t>
        </is>
      </c>
      <c r="F320" t="inlineStr">
        <is>
          <t>Övriga statliga verk och myndigheter</t>
        </is>
      </c>
      <c r="G320" t="n">
        <v>4.5</v>
      </c>
      <c r="H320" t="n">
        <v>0</v>
      </c>
      <c r="I320" t="n">
        <v>0</v>
      </c>
      <c r="J320" t="n">
        <v>1</v>
      </c>
      <c r="K320" t="n">
        <v>0</v>
      </c>
      <c r="L320" t="n">
        <v>0</v>
      </c>
      <c r="M320" t="n">
        <v>0</v>
      </c>
      <c r="N320" t="n">
        <v>0</v>
      </c>
      <c r="O320" t="n">
        <v>1</v>
      </c>
      <c r="P320" t="n">
        <v>0</v>
      </c>
      <c r="Q320" t="n">
        <v>1</v>
      </c>
      <c r="R320" s="2" t="inlineStr">
        <is>
          <t>Garnlav</t>
        </is>
      </c>
      <c r="S320">
        <f>HYPERLINK("https://klasma.github.io/Logging_1737/artfynd/A 26747-2023 artfynd.xlsx", "A 26747-2023")</f>
        <v/>
      </c>
      <c r="T320">
        <f>HYPERLINK("https://klasma.github.io/Logging_1737/kartor/A 26747-2023 karta.png", "A 26747-2023")</f>
        <v/>
      </c>
      <c r="V320">
        <f>HYPERLINK("https://klasma.github.io/Logging_1737/klagomål/A 26747-2023 FSC-klagomål.docx", "A 26747-2023")</f>
        <v/>
      </c>
      <c r="W320">
        <f>HYPERLINK("https://klasma.github.io/Logging_1737/klagomålsmail/A 26747-2023 FSC-klagomål mail.docx", "A 26747-2023")</f>
        <v/>
      </c>
      <c r="X320">
        <f>HYPERLINK("https://klasma.github.io/Logging_1737/tillsyn/A 26747-2023 tillsynsbegäran.docx", "A 26747-2023")</f>
        <v/>
      </c>
      <c r="Y320">
        <f>HYPERLINK("https://klasma.github.io/Logging_1737/tillsynsmail/A 26747-2023 tillsynsbegäran mail.docx", "A 26747-2023")</f>
        <v/>
      </c>
    </row>
    <row r="321" ht="15" customHeight="1">
      <c r="A321" t="inlineStr">
        <is>
          <t>A 54009-2024</t>
        </is>
      </c>
      <c r="B321" s="1" t="n">
        <v>45616</v>
      </c>
      <c r="C321" s="1" t="n">
        <v>45932</v>
      </c>
      <c r="D321" t="inlineStr">
        <is>
          <t>VÄRMLANDS LÄN</t>
        </is>
      </c>
      <c r="E321" t="inlineStr">
        <is>
          <t>TORSBY</t>
        </is>
      </c>
      <c r="F321" t="inlineStr">
        <is>
          <t>Bergvik skog väst AB</t>
        </is>
      </c>
      <c r="G321" t="n">
        <v>8.800000000000001</v>
      </c>
      <c r="H321" t="n">
        <v>1</v>
      </c>
      <c r="I321" t="n">
        <v>1</v>
      </c>
      <c r="J321" t="n">
        <v>0</v>
      </c>
      <c r="K321" t="n">
        <v>0</v>
      </c>
      <c r="L321" t="n">
        <v>0</v>
      </c>
      <c r="M321" t="n">
        <v>0</v>
      </c>
      <c r="N321" t="n">
        <v>0</v>
      </c>
      <c r="O321" t="n">
        <v>0</v>
      </c>
      <c r="P321" t="n">
        <v>0</v>
      </c>
      <c r="Q321" t="n">
        <v>1</v>
      </c>
      <c r="R321" s="2" t="inlineStr">
        <is>
          <t>Korallrot</t>
        </is>
      </c>
      <c r="S321">
        <f>HYPERLINK("https://klasma.github.io/Logging_1737/artfynd/A 54009-2024 artfynd.xlsx", "A 54009-2024")</f>
        <v/>
      </c>
      <c r="T321">
        <f>HYPERLINK("https://klasma.github.io/Logging_1737/kartor/A 54009-2024 karta.png", "A 54009-2024")</f>
        <v/>
      </c>
      <c r="V321">
        <f>HYPERLINK("https://klasma.github.io/Logging_1737/klagomål/A 54009-2024 FSC-klagomål.docx", "A 54009-2024")</f>
        <v/>
      </c>
      <c r="W321">
        <f>HYPERLINK("https://klasma.github.io/Logging_1737/klagomålsmail/A 54009-2024 FSC-klagomål mail.docx", "A 54009-2024")</f>
        <v/>
      </c>
      <c r="X321">
        <f>HYPERLINK("https://klasma.github.io/Logging_1737/tillsyn/A 54009-2024 tillsynsbegäran.docx", "A 54009-2024")</f>
        <v/>
      </c>
      <c r="Y321">
        <f>HYPERLINK("https://klasma.github.io/Logging_1737/tillsynsmail/A 54009-2024 tillsynsbegäran mail.docx", "A 54009-2024")</f>
        <v/>
      </c>
    </row>
    <row r="322" ht="15" customHeight="1">
      <c r="A322" t="inlineStr">
        <is>
          <t>A 40441-2022</t>
        </is>
      </c>
      <c r="B322" s="1" t="n">
        <v>44819</v>
      </c>
      <c r="C322" s="1" t="n">
        <v>45932</v>
      </c>
      <c r="D322" t="inlineStr">
        <is>
          <t>VÄRMLANDS LÄN</t>
        </is>
      </c>
      <c r="E322" t="inlineStr">
        <is>
          <t>GRUMS</t>
        </is>
      </c>
      <c r="F322" t="inlineStr">
        <is>
          <t>Bergvik skog väst AB</t>
        </is>
      </c>
      <c r="G322" t="n">
        <v>9.199999999999999</v>
      </c>
      <c r="H322" t="n">
        <v>1</v>
      </c>
      <c r="I322" t="n">
        <v>0</v>
      </c>
      <c r="J322" t="n">
        <v>0</v>
      </c>
      <c r="K322" t="n">
        <v>0</v>
      </c>
      <c r="L322" t="n">
        <v>0</v>
      </c>
      <c r="M322" t="n">
        <v>0</v>
      </c>
      <c r="N322" t="n">
        <v>0</v>
      </c>
      <c r="O322" t="n">
        <v>0</v>
      </c>
      <c r="P322" t="n">
        <v>0</v>
      </c>
      <c r="Q322" t="n">
        <v>1</v>
      </c>
      <c r="R322" s="2" t="inlineStr">
        <is>
          <t>Tjäder</t>
        </is>
      </c>
      <c r="S322">
        <f>HYPERLINK("https://klasma.github.io/Logging_1764/artfynd/A 40441-2022 artfynd.xlsx", "A 40441-2022")</f>
        <v/>
      </c>
      <c r="T322">
        <f>HYPERLINK("https://klasma.github.io/Logging_1764/kartor/A 40441-2022 karta.png", "A 40441-2022")</f>
        <v/>
      </c>
      <c r="V322">
        <f>HYPERLINK("https://klasma.github.io/Logging_1764/klagomål/A 40441-2022 FSC-klagomål.docx", "A 40441-2022")</f>
        <v/>
      </c>
      <c r="W322">
        <f>HYPERLINK("https://klasma.github.io/Logging_1764/klagomålsmail/A 40441-2022 FSC-klagomål mail.docx", "A 40441-2022")</f>
        <v/>
      </c>
      <c r="X322">
        <f>HYPERLINK("https://klasma.github.io/Logging_1764/tillsyn/A 40441-2022 tillsynsbegäran.docx", "A 40441-2022")</f>
        <v/>
      </c>
      <c r="Y322">
        <f>HYPERLINK("https://klasma.github.io/Logging_1764/tillsynsmail/A 40441-2022 tillsynsbegäran mail.docx", "A 40441-2022")</f>
        <v/>
      </c>
      <c r="Z322">
        <f>HYPERLINK("https://klasma.github.io/Logging_1764/fåglar/A 40441-2022 prioriterade fågelarter.docx", "A 40441-2022")</f>
        <v/>
      </c>
    </row>
    <row r="323" ht="15" customHeight="1">
      <c r="A323" t="inlineStr">
        <is>
          <t>A 18623-2025</t>
        </is>
      </c>
      <c r="B323" s="1" t="n">
        <v>45763</v>
      </c>
      <c r="C323" s="1" t="n">
        <v>45932</v>
      </c>
      <c r="D323" t="inlineStr">
        <is>
          <t>VÄRMLANDS LÄN</t>
        </is>
      </c>
      <c r="E323" t="inlineStr">
        <is>
          <t>HAGFORS</t>
        </is>
      </c>
      <c r="G323" t="n">
        <v>6.3</v>
      </c>
      <c r="H323" t="n">
        <v>1</v>
      </c>
      <c r="I323" t="n">
        <v>0</v>
      </c>
      <c r="J323" t="n">
        <v>0</v>
      </c>
      <c r="K323" t="n">
        <v>1</v>
      </c>
      <c r="L323" t="n">
        <v>0</v>
      </c>
      <c r="M323" t="n">
        <v>0</v>
      </c>
      <c r="N323" t="n">
        <v>0</v>
      </c>
      <c r="O323" t="n">
        <v>1</v>
      </c>
      <c r="P323" t="n">
        <v>1</v>
      </c>
      <c r="Q323" t="n">
        <v>1</v>
      </c>
      <c r="R323" s="2" t="inlineStr">
        <is>
          <t>Knärot</t>
        </is>
      </c>
      <c r="S323">
        <f>HYPERLINK("https://klasma.github.io/Logging_1783/artfynd/A 18623-2025 artfynd.xlsx", "A 18623-2025")</f>
        <v/>
      </c>
      <c r="T323">
        <f>HYPERLINK("https://klasma.github.io/Logging_1783/kartor/A 18623-2025 karta.png", "A 18623-2025")</f>
        <v/>
      </c>
      <c r="U323">
        <f>HYPERLINK("https://klasma.github.io/Logging_1783/knärot/A 18623-2025 karta knärot.png", "A 18623-2025")</f>
        <v/>
      </c>
      <c r="V323">
        <f>HYPERLINK("https://klasma.github.io/Logging_1783/klagomål/A 18623-2025 FSC-klagomål.docx", "A 18623-2025")</f>
        <v/>
      </c>
      <c r="W323">
        <f>HYPERLINK("https://klasma.github.io/Logging_1783/klagomålsmail/A 18623-2025 FSC-klagomål mail.docx", "A 18623-2025")</f>
        <v/>
      </c>
      <c r="X323">
        <f>HYPERLINK("https://klasma.github.io/Logging_1783/tillsyn/A 18623-2025 tillsynsbegäran.docx", "A 18623-2025")</f>
        <v/>
      </c>
      <c r="Y323">
        <f>HYPERLINK("https://klasma.github.io/Logging_1783/tillsynsmail/A 18623-2025 tillsynsbegäran mail.docx", "A 18623-2025")</f>
        <v/>
      </c>
    </row>
    <row r="324" ht="15" customHeight="1">
      <c r="A324" t="inlineStr">
        <is>
          <t>A 15872-2025</t>
        </is>
      </c>
      <c r="B324" s="1" t="n">
        <v>45749</v>
      </c>
      <c r="C324" s="1" t="n">
        <v>45932</v>
      </c>
      <c r="D324" t="inlineStr">
        <is>
          <t>VÄRMLANDS LÄN</t>
        </is>
      </c>
      <c r="E324" t="inlineStr">
        <is>
          <t>TORSBY</t>
        </is>
      </c>
      <c r="F324" t="inlineStr">
        <is>
          <t>Bergvik skog väst AB</t>
        </is>
      </c>
      <c r="G324" t="n">
        <v>10.8</v>
      </c>
      <c r="H324" t="n">
        <v>1</v>
      </c>
      <c r="I324" t="n">
        <v>1</v>
      </c>
      <c r="J324" t="n">
        <v>0</v>
      </c>
      <c r="K324" t="n">
        <v>0</v>
      </c>
      <c r="L324" t="n">
        <v>0</v>
      </c>
      <c r="M324" t="n">
        <v>0</v>
      </c>
      <c r="N324" t="n">
        <v>0</v>
      </c>
      <c r="O324" t="n">
        <v>0</v>
      </c>
      <c r="P324" t="n">
        <v>0</v>
      </c>
      <c r="Q324" t="n">
        <v>1</v>
      </c>
      <c r="R324" s="2" t="inlineStr">
        <is>
          <t>Korallrot</t>
        </is>
      </c>
      <c r="S324">
        <f>HYPERLINK("https://klasma.github.io/Logging_1737/artfynd/A 15872-2025 artfynd.xlsx", "A 15872-2025")</f>
        <v/>
      </c>
      <c r="T324">
        <f>HYPERLINK("https://klasma.github.io/Logging_1737/kartor/A 15872-2025 karta.png", "A 15872-2025")</f>
        <v/>
      </c>
      <c r="V324">
        <f>HYPERLINK("https://klasma.github.io/Logging_1737/klagomål/A 15872-2025 FSC-klagomål.docx", "A 15872-2025")</f>
        <v/>
      </c>
      <c r="W324">
        <f>HYPERLINK("https://klasma.github.io/Logging_1737/klagomålsmail/A 15872-2025 FSC-klagomål mail.docx", "A 15872-2025")</f>
        <v/>
      </c>
      <c r="X324">
        <f>HYPERLINK("https://klasma.github.io/Logging_1737/tillsyn/A 15872-2025 tillsynsbegäran.docx", "A 15872-2025")</f>
        <v/>
      </c>
      <c r="Y324">
        <f>HYPERLINK("https://klasma.github.io/Logging_1737/tillsynsmail/A 15872-2025 tillsynsbegäran mail.docx", "A 15872-2025")</f>
        <v/>
      </c>
    </row>
    <row r="325" ht="15" customHeight="1">
      <c r="A325" t="inlineStr">
        <is>
          <t>A 46099-2023</t>
        </is>
      </c>
      <c r="B325" s="1" t="n">
        <v>45196</v>
      </c>
      <c r="C325" s="1" t="n">
        <v>45932</v>
      </c>
      <c r="D325" t="inlineStr">
        <is>
          <t>VÄRMLANDS LÄN</t>
        </is>
      </c>
      <c r="E325" t="inlineStr">
        <is>
          <t>TORSBY</t>
        </is>
      </c>
      <c r="G325" t="n">
        <v>8.4</v>
      </c>
      <c r="H325" t="n">
        <v>0</v>
      </c>
      <c r="I325" t="n">
        <v>0</v>
      </c>
      <c r="J325" t="n">
        <v>1</v>
      </c>
      <c r="K325" t="n">
        <v>0</v>
      </c>
      <c r="L325" t="n">
        <v>0</v>
      </c>
      <c r="M325" t="n">
        <v>0</v>
      </c>
      <c r="N325" t="n">
        <v>0</v>
      </c>
      <c r="O325" t="n">
        <v>1</v>
      </c>
      <c r="P325" t="n">
        <v>0</v>
      </c>
      <c r="Q325" t="n">
        <v>1</v>
      </c>
      <c r="R325" s="2" t="inlineStr">
        <is>
          <t>Gammelgransskål</t>
        </is>
      </c>
      <c r="S325">
        <f>HYPERLINK("https://klasma.github.io/Logging_1737/artfynd/A 46099-2023 artfynd.xlsx", "A 46099-2023")</f>
        <v/>
      </c>
      <c r="T325">
        <f>HYPERLINK("https://klasma.github.io/Logging_1737/kartor/A 46099-2023 karta.png", "A 46099-2023")</f>
        <v/>
      </c>
      <c r="V325">
        <f>HYPERLINK("https://klasma.github.io/Logging_1737/klagomål/A 46099-2023 FSC-klagomål.docx", "A 46099-2023")</f>
        <v/>
      </c>
      <c r="W325">
        <f>HYPERLINK("https://klasma.github.io/Logging_1737/klagomålsmail/A 46099-2023 FSC-klagomål mail.docx", "A 46099-2023")</f>
        <v/>
      </c>
      <c r="X325">
        <f>HYPERLINK("https://klasma.github.io/Logging_1737/tillsyn/A 46099-2023 tillsynsbegäran.docx", "A 46099-2023")</f>
        <v/>
      </c>
      <c r="Y325">
        <f>HYPERLINK("https://klasma.github.io/Logging_1737/tillsynsmail/A 46099-2023 tillsynsbegäran mail.docx", "A 46099-2023")</f>
        <v/>
      </c>
    </row>
    <row r="326" ht="15" customHeight="1">
      <c r="A326" t="inlineStr">
        <is>
          <t>A 54029-2024</t>
        </is>
      </c>
      <c r="B326" s="1" t="n">
        <v>45616</v>
      </c>
      <c r="C326" s="1" t="n">
        <v>45932</v>
      </c>
      <c r="D326" t="inlineStr">
        <is>
          <t>VÄRMLANDS LÄN</t>
        </is>
      </c>
      <c r="E326" t="inlineStr">
        <is>
          <t>TORSBY</t>
        </is>
      </c>
      <c r="G326" t="n">
        <v>10.2</v>
      </c>
      <c r="H326" t="n">
        <v>0</v>
      </c>
      <c r="I326" t="n">
        <v>1</v>
      </c>
      <c r="J326" t="n">
        <v>0</v>
      </c>
      <c r="K326" t="n">
        <v>0</v>
      </c>
      <c r="L326" t="n">
        <v>0</v>
      </c>
      <c r="M326" t="n">
        <v>0</v>
      </c>
      <c r="N326" t="n">
        <v>0</v>
      </c>
      <c r="O326" t="n">
        <v>0</v>
      </c>
      <c r="P326" t="n">
        <v>0</v>
      </c>
      <c r="Q326" t="n">
        <v>1</v>
      </c>
      <c r="R326" s="2" t="inlineStr">
        <is>
          <t>Vedticka</t>
        </is>
      </c>
      <c r="S326">
        <f>HYPERLINK("https://klasma.github.io/Logging_1737/artfynd/A 54029-2024 artfynd.xlsx", "A 54029-2024")</f>
        <v/>
      </c>
      <c r="T326">
        <f>HYPERLINK("https://klasma.github.io/Logging_1737/kartor/A 54029-2024 karta.png", "A 54029-2024")</f>
        <v/>
      </c>
      <c r="V326">
        <f>HYPERLINK("https://klasma.github.io/Logging_1737/klagomål/A 54029-2024 FSC-klagomål.docx", "A 54029-2024")</f>
        <v/>
      </c>
      <c r="W326">
        <f>HYPERLINK("https://klasma.github.io/Logging_1737/klagomålsmail/A 54029-2024 FSC-klagomål mail.docx", "A 54029-2024")</f>
        <v/>
      </c>
      <c r="X326">
        <f>HYPERLINK("https://klasma.github.io/Logging_1737/tillsyn/A 54029-2024 tillsynsbegäran.docx", "A 54029-2024")</f>
        <v/>
      </c>
      <c r="Y326">
        <f>HYPERLINK("https://klasma.github.io/Logging_1737/tillsynsmail/A 54029-2024 tillsynsbegäran mail.docx", "A 54029-2024")</f>
        <v/>
      </c>
    </row>
    <row r="327" ht="15" customHeight="1">
      <c r="A327" t="inlineStr">
        <is>
          <t>A 56676-2022</t>
        </is>
      </c>
      <c r="B327" s="1" t="n">
        <v>44893</v>
      </c>
      <c r="C327" s="1" t="n">
        <v>45932</v>
      </c>
      <c r="D327" t="inlineStr">
        <is>
          <t>VÄRMLANDS LÄN</t>
        </is>
      </c>
      <c r="E327" t="inlineStr">
        <is>
          <t>ARVIKA</t>
        </is>
      </c>
      <c r="F327" t="inlineStr">
        <is>
          <t>Övriga Aktiebolag</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HYPERLINK("https://klasma.github.io/Logging_1784/artfynd/A 56676-2022 artfynd.xlsx", "A 56676-2022")</f>
        <v/>
      </c>
      <c r="T327">
        <f>HYPERLINK("https://klasma.github.io/Logging_1784/kartor/A 56676-2022 karta.png", "A 56676-2022")</f>
        <v/>
      </c>
      <c r="U327">
        <f>HYPERLINK("https://klasma.github.io/Logging_1784/knärot/A 56676-2022 karta knärot.png", "A 56676-2022")</f>
        <v/>
      </c>
      <c r="V327">
        <f>HYPERLINK("https://klasma.github.io/Logging_1784/klagomål/A 56676-2022 FSC-klagomål.docx", "A 56676-2022")</f>
        <v/>
      </c>
      <c r="W327">
        <f>HYPERLINK("https://klasma.github.io/Logging_1784/klagomålsmail/A 56676-2022 FSC-klagomål mail.docx", "A 56676-2022")</f>
        <v/>
      </c>
      <c r="X327">
        <f>HYPERLINK("https://klasma.github.io/Logging_1784/tillsyn/A 56676-2022 tillsynsbegäran.docx", "A 56676-2022")</f>
        <v/>
      </c>
      <c r="Y327">
        <f>HYPERLINK("https://klasma.github.io/Logging_1784/tillsynsmail/A 56676-2022 tillsynsbegäran mail.docx", "A 56676-2022")</f>
        <v/>
      </c>
    </row>
    <row r="328" ht="15" customHeight="1">
      <c r="A328" t="inlineStr">
        <is>
          <t>A 9558-2021</t>
        </is>
      </c>
      <c r="B328" s="1" t="n">
        <v>44251</v>
      </c>
      <c r="C328" s="1" t="n">
        <v>45932</v>
      </c>
      <c r="D328" t="inlineStr">
        <is>
          <t>VÄRMLANDS LÄN</t>
        </is>
      </c>
      <c r="E328" t="inlineStr">
        <is>
          <t>KIL</t>
        </is>
      </c>
      <c r="F328" t="inlineStr">
        <is>
          <t>Kommuner</t>
        </is>
      </c>
      <c r="G328" t="n">
        <v>2.9</v>
      </c>
      <c r="H328" t="n">
        <v>0</v>
      </c>
      <c r="I328" t="n">
        <v>0</v>
      </c>
      <c r="J328" t="n">
        <v>1</v>
      </c>
      <c r="K328" t="n">
        <v>0</v>
      </c>
      <c r="L328" t="n">
        <v>0</v>
      </c>
      <c r="M328" t="n">
        <v>0</v>
      </c>
      <c r="N328" t="n">
        <v>0</v>
      </c>
      <c r="O328" t="n">
        <v>1</v>
      </c>
      <c r="P328" t="n">
        <v>0</v>
      </c>
      <c r="Q328" t="n">
        <v>1</v>
      </c>
      <c r="R328" s="2" t="inlineStr">
        <is>
          <t>Ängsmetallvinge</t>
        </is>
      </c>
      <c r="S328">
        <f>HYPERLINK("https://klasma.github.io/Logging_1715/artfynd/A 9558-2021 artfynd.xlsx", "A 9558-2021")</f>
        <v/>
      </c>
      <c r="T328">
        <f>HYPERLINK("https://klasma.github.io/Logging_1715/kartor/A 9558-2021 karta.png", "A 9558-2021")</f>
        <v/>
      </c>
      <c r="V328">
        <f>HYPERLINK("https://klasma.github.io/Logging_1715/klagomål/A 9558-2021 FSC-klagomål.docx", "A 9558-2021")</f>
        <v/>
      </c>
      <c r="W328">
        <f>HYPERLINK("https://klasma.github.io/Logging_1715/klagomålsmail/A 9558-2021 FSC-klagomål mail.docx", "A 9558-2021")</f>
        <v/>
      </c>
      <c r="X328">
        <f>HYPERLINK("https://klasma.github.io/Logging_1715/tillsyn/A 9558-2021 tillsynsbegäran.docx", "A 9558-2021")</f>
        <v/>
      </c>
      <c r="Y328">
        <f>HYPERLINK("https://klasma.github.io/Logging_1715/tillsynsmail/A 9558-2021 tillsynsbegäran mail.docx", "A 9558-2021")</f>
        <v/>
      </c>
    </row>
    <row r="329" ht="15" customHeight="1">
      <c r="A329" t="inlineStr">
        <is>
          <t>A 47141-2023</t>
        </is>
      </c>
      <c r="B329" s="1" t="n">
        <v>45201</v>
      </c>
      <c r="C329" s="1" t="n">
        <v>45932</v>
      </c>
      <c r="D329" t="inlineStr">
        <is>
          <t>VÄRMLANDS LÄN</t>
        </is>
      </c>
      <c r="E329" t="inlineStr">
        <is>
          <t>ARVIKA</t>
        </is>
      </c>
      <c r="G329" t="n">
        <v>3.7</v>
      </c>
      <c r="H329" t="n">
        <v>1</v>
      </c>
      <c r="I329" t="n">
        <v>0</v>
      </c>
      <c r="J329" t="n">
        <v>0</v>
      </c>
      <c r="K329" t="n">
        <v>1</v>
      </c>
      <c r="L329" t="n">
        <v>0</v>
      </c>
      <c r="M329" t="n">
        <v>0</v>
      </c>
      <c r="N329" t="n">
        <v>0</v>
      </c>
      <c r="O329" t="n">
        <v>1</v>
      </c>
      <c r="P329" t="n">
        <v>1</v>
      </c>
      <c r="Q329" t="n">
        <v>1</v>
      </c>
      <c r="R329" s="2" t="inlineStr">
        <is>
          <t>Knärot</t>
        </is>
      </c>
      <c r="S329">
        <f>HYPERLINK("https://klasma.github.io/Logging_1784/artfynd/A 47141-2023 artfynd.xlsx", "A 47141-2023")</f>
        <v/>
      </c>
      <c r="T329">
        <f>HYPERLINK("https://klasma.github.io/Logging_1784/kartor/A 47141-2023 karta.png", "A 47141-2023")</f>
        <v/>
      </c>
      <c r="U329">
        <f>HYPERLINK("https://klasma.github.io/Logging_1784/knärot/A 47141-2023 karta knärot.png", "A 47141-2023")</f>
        <v/>
      </c>
      <c r="V329">
        <f>HYPERLINK("https://klasma.github.io/Logging_1784/klagomål/A 47141-2023 FSC-klagomål.docx", "A 47141-2023")</f>
        <v/>
      </c>
      <c r="W329">
        <f>HYPERLINK("https://klasma.github.io/Logging_1784/klagomålsmail/A 47141-2023 FSC-klagomål mail.docx", "A 47141-2023")</f>
        <v/>
      </c>
      <c r="X329">
        <f>HYPERLINK("https://klasma.github.io/Logging_1784/tillsyn/A 47141-2023 tillsynsbegäran.docx", "A 47141-2023")</f>
        <v/>
      </c>
      <c r="Y329">
        <f>HYPERLINK("https://klasma.github.io/Logging_1784/tillsynsmail/A 47141-2023 tillsynsbegäran mail.docx", "A 47141-2023")</f>
        <v/>
      </c>
    </row>
    <row r="330" ht="15" customHeight="1">
      <c r="A330" t="inlineStr">
        <is>
          <t>A 40934-2024</t>
        </is>
      </c>
      <c r="B330" s="1" t="n">
        <v>45558</v>
      </c>
      <c r="C330" s="1" t="n">
        <v>45932</v>
      </c>
      <c r="D330" t="inlineStr">
        <is>
          <t>VÄRMLANDS LÄN</t>
        </is>
      </c>
      <c r="E330" t="inlineStr">
        <is>
          <t>TORSBY</t>
        </is>
      </c>
      <c r="G330" t="n">
        <v>8.1</v>
      </c>
      <c r="H330" t="n">
        <v>0</v>
      </c>
      <c r="I330" t="n">
        <v>0</v>
      </c>
      <c r="J330" t="n">
        <v>1</v>
      </c>
      <c r="K330" t="n">
        <v>0</v>
      </c>
      <c r="L330" t="n">
        <v>0</v>
      </c>
      <c r="M330" t="n">
        <v>0</v>
      </c>
      <c r="N330" t="n">
        <v>0</v>
      </c>
      <c r="O330" t="n">
        <v>1</v>
      </c>
      <c r="P330" t="n">
        <v>0</v>
      </c>
      <c r="Q330" t="n">
        <v>1</v>
      </c>
      <c r="R330" s="2" t="inlineStr">
        <is>
          <t>Lunglav</t>
        </is>
      </c>
      <c r="S330">
        <f>HYPERLINK("https://klasma.github.io/Logging_1737/artfynd/A 40934-2024 artfynd.xlsx", "A 40934-2024")</f>
        <v/>
      </c>
      <c r="T330">
        <f>HYPERLINK("https://klasma.github.io/Logging_1737/kartor/A 40934-2024 karta.png", "A 40934-2024")</f>
        <v/>
      </c>
      <c r="V330">
        <f>HYPERLINK("https://klasma.github.io/Logging_1737/klagomål/A 40934-2024 FSC-klagomål.docx", "A 40934-2024")</f>
        <v/>
      </c>
      <c r="W330">
        <f>HYPERLINK("https://klasma.github.io/Logging_1737/klagomålsmail/A 40934-2024 FSC-klagomål mail.docx", "A 40934-2024")</f>
        <v/>
      </c>
      <c r="X330">
        <f>HYPERLINK("https://klasma.github.io/Logging_1737/tillsyn/A 40934-2024 tillsynsbegäran.docx", "A 40934-2024")</f>
        <v/>
      </c>
      <c r="Y330">
        <f>HYPERLINK("https://klasma.github.io/Logging_1737/tillsynsmail/A 40934-2024 tillsynsbegäran mail.docx", "A 40934-2024")</f>
        <v/>
      </c>
    </row>
    <row r="331" ht="15" customHeight="1">
      <c r="A331" t="inlineStr">
        <is>
          <t>A 51288-2022</t>
        </is>
      </c>
      <c r="B331" s="1" t="n">
        <v>44868</v>
      </c>
      <c r="C331" s="1" t="n">
        <v>45932</v>
      </c>
      <c r="D331" t="inlineStr">
        <is>
          <t>VÄRMLANDS LÄN</t>
        </is>
      </c>
      <c r="E331" t="inlineStr">
        <is>
          <t>TORSBY</t>
        </is>
      </c>
      <c r="G331" t="n">
        <v>1.9</v>
      </c>
      <c r="H331" t="n">
        <v>1</v>
      </c>
      <c r="I331" t="n">
        <v>0</v>
      </c>
      <c r="J331" t="n">
        <v>0</v>
      </c>
      <c r="K331" t="n">
        <v>1</v>
      </c>
      <c r="L331" t="n">
        <v>0</v>
      </c>
      <c r="M331" t="n">
        <v>0</v>
      </c>
      <c r="N331" t="n">
        <v>0</v>
      </c>
      <c r="O331" t="n">
        <v>1</v>
      </c>
      <c r="P331" t="n">
        <v>1</v>
      </c>
      <c r="Q331" t="n">
        <v>1</v>
      </c>
      <c r="R331" s="2" t="inlineStr">
        <is>
          <t>Bombmurkla</t>
        </is>
      </c>
      <c r="S331">
        <f>HYPERLINK("https://klasma.github.io/Logging_1737/artfynd/A 51288-2022 artfynd.xlsx", "A 51288-2022")</f>
        <v/>
      </c>
      <c r="T331">
        <f>HYPERLINK("https://klasma.github.io/Logging_1737/kartor/A 51288-2022 karta.png", "A 51288-2022")</f>
        <v/>
      </c>
      <c r="V331">
        <f>HYPERLINK("https://klasma.github.io/Logging_1737/klagomål/A 51288-2022 FSC-klagomål.docx", "A 51288-2022")</f>
        <v/>
      </c>
      <c r="W331">
        <f>HYPERLINK("https://klasma.github.io/Logging_1737/klagomålsmail/A 51288-2022 FSC-klagomål mail.docx", "A 51288-2022")</f>
        <v/>
      </c>
      <c r="X331">
        <f>HYPERLINK("https://klasma.github.io/Logging_1737/tillsyn/A 51288-2022 tillsynsbegäran.docx", "A 51288-2022")</f>
        <v/>
      </c>
      <c r="Y331">
        <f>HYPERLINK("https://klasma.github.io/Logging_1737/tillsynsmail/A 51288-2022 tillsynsbegäran mail.docx", "A 51288-2022")</f>
        <v/>
      </c>
    </row>
    <row r="332" ht="15" customHeight="1">
      <c r="A332" t="inlineStr">
        <is>
          <t>A 8909-2025</t>
        </is>
      </c>
      <c r="B332" s="1" t="n">
        <v>45713</v>
      </c>
      <c r="C332" s="1" t="n">
        <v>45932</v>
      </c>
      <c r="D332" t="inlineStr">
        <is>
          <t>VÄRMLANDS LÄN</t>
        </is>
      </c>
      <c r="E332" t="inlineStr">
        <is>
          <t>KIL</t>
        </is>
      </c>
      <c r="G332" t="n">
        <v>22.6</v>
      </c>
      <c r="H332" t="n">
        <v>0</v>
      </c>
      <c r="I332" t="n">
        <v>0</v>
      </c>
      <c r="J332" t="n">
        <v>1</v>
      </c>
      <c r="K332" t="n">
        <v>0</v>
      </c>
      <c r="L332" t="n">
        <v>0</v>
      </c>
      <c r="M332" t="n">
        <v>0</v>
      </c>
      <c r="N332" t="n">
        <v>0</v>
      </c>
      <c r="O332" t="n">
        <v>1</v>
      </c>
      <c r="P332" t="n">
        <v>0</v>
      </c>
      <c r="Q332" t="n">
        <v>1</v>
      </c>
      <c r="R332" s="2" t="inlineStr">
        <is>
          <t>Desmeknopp</t>
        </is>
      </c>
      <c r="S332">
        <f>HYPERLINK("https://klasma.github.io/Logging_1715/artfynd/A 8909-2025 artfynd.xlsx", "A 8909-2025")</f>
        <v/>
      </c>
      <c r="T332">
        <f>HYPERLINK("https://klasma.github.io/Logging_1715/kartor/A 8909-2025 karta.png", "A 8909-2025")</f>
        <v/>
      </c>
      <c r="V332">
        <f>HYPERLINK("https://klasma.github.io/Logging_1715/klagomål/A 8909-2025 FSC-klagomål.docx", "A 8909-2025")</f>
        <v/>
      </c>
      <c r="W332">
        <f>HYPERLINK("https://klasma.github.io/Logging_1715/klagomålsmail/A 8909-2025 FSC-klagomål mail.docx", "A 8909-2025")</f>
        <v/>
      </c>
      <c r="X332">
        <f>HYPERLINK("https://klasma.github.io/Logging_1715/tillsyn/A 8909-2025 tillsynsbegäran.docx", "A 8909-2025")</f>
        <v/>
      </c>
      <c r="Y332">
        <f>HYPERLINK("https://klasma.github.io/Logging_1715/tillsynsmail/A 8909-2025 tillsynsbegäran mail.docx", "A 8909-2025")</f>
        <v/>
      </c>
    </row>
    <row r="333" ht="15" customHeight="1">
      <c r="A333" t="inlineStr">
        <is>
          <t>A 7240-2023</t>
        </is>
      </c>
      <c r="B333" s="1" t="n">
        <v>44970</v>
      </c>
      <c r="C333" s="1" t="n">
        <v>45932</v>
      </c>
      <c r="D333" t="inlineStr">
        <is>
          <t>VÄRMLANDS LÄN</t>
        </is>
      </c>
      <c r="E333" t="inlineStr">
        <is>
          <t>EDA</t>
        </is>
      </c>
      <c r="G333" t="n">
        <v>17.4</v>
      </c>
      <c r="H333" t="n">
        <v>0</v>
      </c>
      <c r="I333" t="n">
        <v>1</v>
      </c>
      <c r="J333" t="n">
        <v>0</v>
      </c>
      <c r="K333" t="n">
        <v>0</v>
      </c>
      <c r="L333" t="n">
        <v>0</v>
      </c>
      <c r="M333" t="n">
        <v>0</v>
      </c>
      <c r="N333" t="n">
        <v>0</v>
      </c>
      <c r="O333" t="n">
        <v>0</v>
      </c>
      <c r="P333" t="n">
        <v>0</v>
      </c>
      <c r="Q333" t="n">
        <v>1</v>
      </c>
      <c r="R333" s="2" t="inlineStr">
        <is>
          <t>Sotriska</t>
        </is>
      </c>
      <c r="S333">
        <f>HYPERLINK("https://klasma.github.io/Logging_1730/artfynd/A 7240-2023 artfynd.xlsx", "A 7240-2023")</f>
        <v/>
      </c>
      <c r="T333">
        <f>HYPERLINK("https://klasma.github.io/Logging_1730/kartor/A 7240-2023 karta.png", "A 7240-2023")</f>
        <v/>
      </c>
      <c r="V333">
        <f>HYPERLINK("https://klasma.github.io/Logging_1730/klagomål/A 7240-2023 FSC-klagomål.docx", "A 7240-2023")</f>
        <v/>
      </c>
      <c r="W333">
        <f>HYPERLINK("https://klasma.github.io/Logging_1730/klagomålsmail/A 7240-2023 FSC-klagomål mail.docx", "A 7240-2023")</f>
        <v/>
      </c>
      <c r="X333">
        <f>HYPERLINK("https://klasma.github.io/Logging_1730/tillsyn/A 7240-2023 tillsynsbegäran.docx", "A 7240-2023")</f>
        <v/>
      </c>
      <c r="Y333">
        <f>HYPERLINK("https://klasma.github.io/Logging_1730/tillsynsmail/A 7240-2023 tillsynsbegäran mail.docx", "A 7240-2023")</f>
        <v/>
      </c>
    </row>
    <row r="334" ht="15" customHeight="1">
      <c r="A334" t="inlineStr">
        <is>
          <t>A 20755-2021</t>
        </is>
      </c>
      <c r="B334" s="1" t="n">
        <v>44316</v>
      </c>
      <c r="C334" s="1" t="n">
        <v>45932</v>
      </c>
      <c r="D334" t="inlineStr">
        <is>
          <t>VÄRMLANDS LÄN</t>
        </is>
      </c>
      <c r="E334" t="inlineStr">
        <is>
          <t>HAMMARÖ</t>
        </is>
      </c>
      <c r="G334" t="n">
        <v>16.8</v>
      </c>
      <c r="H334" t="n">
        <v>1</v>
      </c>
      <c r="I334" t="n">
        <v>0</v>
      </c>
      <c r="J334" t="n">
        <v>1</v>
      </c>
      <c r="K334" t="n">
        <v>0</v>
      </c>
      <c r="L334" t="n">
        <v>0</v>
      </c>
      <c r="M334" t="n">
        <v>0</v>
      </c>
      <c r="N334" t="n">
        <v>0</v>
      </c>
      <c r="O334" t="n">
        <v>1</v>
      </c>
      <c r="P334" t="n">
        <v>0</v>
      </c>
      <c r="Q334" t="n">
        <v>1</v>
      </c>
      <c r="R334" s="2" t="inlineStr">
        <is>
          <t>Gulsparv</t>
        </is>
      </c>
      <c r="S334">
        <f>HYPERLINK("https://klasma.github.io/Logging_1761/artfynd/A 20755-2021 artfynd.xlsx", "A 20755-2021")</f>
        <v/>
      </c>
      <c r="T334">
        <f>HYPERLINK("https://klasma.github.io/Logging_1761/kartor/A 20755-2021 karta.png", "A 20755-2021")</f>
        <v/>
      </c>
      <c r="V334">
        <f>HYPERLINK("https://klasma.github.io/Logging_1761/klagomål/A 20755-2021 FSC-klagomål.docx", "A 20755-2021")</f>
        <v/>
      </c>
      <c r="W334">
        <f>HYPERLINK("https://klasma.github.io/Logging_1761/klagomålsmail/A 20755-2021 FSC-klagomål mail.docx", "A 20755-2021")</f>
        <v/>
      </c>
      <c r="X334">
        <f>HYPERLINK("https://klasma.github.io/Logging_1761/tillsyn/A 20755-2021 tillsynsbegäran.docx", "A 20755-2021")</f>
        <v/>
      </c>
      <c r="Y334">
        <f>HYPERLINK("https://klasma.github.io/Logging_1761/tillsynsmail/A 20755-2021 tillsynsbegäran mail.docx", "A 20755-2021")</f>
        <v/>
      </c>
      <c r="Z334">
        <f>HYPERLINK("https://klasma.github.io/Logging_1761/fåglar/A 20755-2021 prioriterade fågelarter.docx", "A 20755-2021")</f>
        <v/>
      </c>
    </row>
    <row r="335" ht="15" customHeight="1">
      <c r="A335" t="inlineStr">
        <is>
          <t>A 4664-2022</t>
        </is>
      </c>
      <c r="B335" s="1" t="n">
        <v>44592</v>
      </c>
      <c r="C335" s="1" t="n">
        <v>45932</v>
      </c>
      <c r="D335" t="inlineStr">
        <is>
          <t>VÄRMLANDS LÄN</t>
        </is>
      </c>
      <c r="E335" t="inlineStr">
        <is>
          <t>KARLSTAD</t>
        </is>
      </c>
      <c r="F335" t="inlineStr">
        <is>
          <t>Kommuner</t>
        </is>
      </c>
      <c r="G335" t="n">
        <v>2.3</v>
      </c>
      <c r="H335" t="n">
        <v>0</v>
      </c>
      <c r="I335" t="n">
        <v>0</v>
      </c>
      <c r="J335" t="n">
        <v>1</v>
      </c>
      <c r="K335" t="n">
        <v>0</v>
      </c>
      <c r="L335" t="n">
        <v>0</v>
      </c>
      <c r="M335" t="n">
        <v>0</v>
      </c>
      <c r="N335" t="n">
        <v>0</v>
      </c>
      <c r="O335" t="n">
        <v>1</v>
      </c>
      <c r="P335" t="n">
        <v>0</v>
      </c>
      <c r="Q335" t="n">
        <v>1</v>
      </c>
      <c r="R335" s="2" t="inlineStr">
        <is>
          <t>Vedskivlav</t>
        </is>
      </c>
      <c r="S335">
        <f>HYPERLINK("https://klasma.github.io/Logging_1780/artfynd/A 4664-2022 artfynd.xlsx", "A 4664-2022")</f>
        <v/>
      </c>
      <c r="T335">
        <f>HYPERLINK("https://klasma.github.io/Logging_1780/kartor/A 4664-2022 karta.png", "A 4664-2022")</f>
        <v/>
      </c>
      <c r="V335">
        <f>HYPERLINK("https://klasma.github.io/Logging_1780/klagomål/A 4664-2022 FSC-klagomål.docx", "A 4664-2022")</f>
        <v/>
      </c>
      <c r="W335">
        <f>HYPERLINK("https://klasma.github.io/Logging_1780/klagomålsmail/A 4664-2022 FSC-klagomål mail.docx", "A 4664-2022")</f>
        <v/>
      </c>
      <c r="X335">
        <f>HYPERLINK("https://klasma.github.io/Logging_1780/tillsyn/A 4664-2022 tillsynsbegäran.docx", "A 4664-2022")</f>
        <v/>
      </c>
      <c r="Y335">
        <f>HYPERLINK("https://klasma.github.io/Logging_1780/tillsynsmail/A 4664-2022 tillsynsbegäran mail.docx", "A 4664-2022")</f>
        <v/>
      </c>
    </row>
    <row r="336" ht="15" customHeight="1">
      <c r="A336" t="inlineStr">
        <is>
          <t>A 15418-2021</t>
        </is>
      </c>
      <c r="B336" s="1" t="n">
        <v>44285</v>
      </c>
      <c r="C336" s="1" t="n">
        <v>45932</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24042-2021</t>
        </is>
      </c>
      <c r="B337" s="1" t="n">
        <v>44336</v>
      </c>
      <c r="C337" s="1" t="n">
        <v>45932</v>
      </c>
      <c r="D337" t="inlineStr">
        <is>
          <t>VÄRMLANDS LÄN</t>
        </is>
      </c>
      <c r="E337" t="inlineStr">
        <is>
          <t>TORSBY</t>
        </is>
      </c>
      <c r="G337" t="n">
        <v>4.5</v>
      </c>
      <c r="H337" t="n">
        <v>0</v>
      </c>
      <c r="I337" t="n">
        <v>1</v>
      </c>
      <c r="J337" t="n">
        <v>0</v>
      </c>
      <c r="K337" t="n">
        <v>0</v>
      </c>
      <c r="L337" t="n">
        <v>0</v>
      </c>
      <c r="M337" t="n">
        <v>0</v>
      </c>
      <c r="N337" t="n">
        <v>0</v>
      </c>
      <c r="O337" t="n">
        <v>0</v>
      </c>
      <c r="P337" t="n">
        <v>0</v>
      </c>
      <c r="Q337" t="n">
        <v>1</v>
      </c>
      <c r="R337" s="2" t="inlineStr">
        <is>
          <t>Stuplav</t>
        </is>
      </c>
      <c r="S337">
        <f>HYPERLINK("https://klasma.github.io/Logging_1737/artfynd/A 24042-2021 artfynd.xlsx", "A 24042-2021")</f>
        <v/>
      </c>
      <c r="T337">
        <f>HYPERLINK("https://klasma.github.io/Logging_1737/kartor/A 24042-2021 karta.png", "A 24042-2021")</f>
        <v/>
      </c>
      <c r="V337">
        <f>HYPERLINK("https://klasma.github.io/Logging_1737/klagomål/A 24042-2021 FSC-klagomål.docx", "A 24042-2021")</f>
        <v/>
      </c>
      <c r="W337">
        <f>HYPERLINK("https://klasma.github.io/Logging_1737/klagomålsmail/A 24042-2021 FSC-klagomål mail.docx", "A 24042-2021")</f>
        <v/>
      </c>
      <c r="X337">
        <f>HYPERLINK("https://klasma.github.io/Logging_1737/tillsyn/A 24042-2021 tillsynsbegäran.docx", "A 24042-2021")</f>
        <v/>
      </c>
      <c r="Y337">
        <f>HYPERLINK("https://klasma.github.io/Logging_1737/tillsynsmail/A 24042-2021 tillsynsbegäran mail.docx", "A 24042-2021")</f>
        <v/>
      </c>
    </row>
    <row r="338" ht="15" customHeight="1">
      <c r="A338" t="inlineStr">
        <is>
          <t>A 57145-2024</t>
        </is>
      </c>
      <c r="B338" s="1" t="n">
        <v>45629.38945601852</v>
      </c>
      <c r="C338" s="1" t="n">
        <v>45932</v>
      </c>
      <c r="D338" t="inlineStr">
        <is>
          <t>VÄRMLANDS LÄN</t>
        </is>
      </c>
      <c r="E338" t="inlineStr">
        <is>
          <t>KARLSTAD</t>
        </is>
      </c>
      <c r="G338" t="n">
        <v>16.5</v>
      </c>
      <c r="H338" t="n">
        <v>0</v>
      </c>
      <c r="I338" t="n">
        <v>1</v>
      </c>
      <c r="J338" t="n">
        <v>0</v>
      </c>
      <c r="K338" t="n">
        <v>0</v>
      </c>
      <c r="L338" t="n">
        <v>0</v>
      </c>
      <c r="M338" t="n">
        <v>0</v>
      </c>
      <c r="N338" t="n">
        <v>0</v>
      </c>
      <c r="O338" t="n">
        <v>0</v>
      </c>
      <c r="P338" t="n">
        <v>0</v>
      </c>
      <c r="Q338" t="n">
        <v>1</v>
      </c>
      <c r="R338" s="2" t="inlineStr">
        <is>
          <t>Bårdlav</t>
        </is>
      </c>
      <c r="S338">
        <f>HYPERLINK("https://klasma.github.io/Logging_1780/artfynd/A 57145-2024 artfynd.xlsx", "A 57145-2024")</f>
        <v/>
      </c>
      <c r="T338">
        <f>HYPERLINK("https://klasma.github.io/Logging_1780/kartor/A 57145-2024 karta.png", "A 57145-2024")</f>
        <v/>
      </c>
      <c r="V338">
        <f>HYPERLINK("https://klasma.github.io/Logging_1780/klagomål/A 57145-2024 FSC-klagomål.docx", "A 57145-2024")</f>
        <v/>
      </c>
      <c r="W338">
        <f>HYPERLINK("https://klasma.github.io/Logging_1780/klagomålsmail/A 57145-2024 FSC-klagomål mail.docx", "A 57145-2024")</f>
        <v/>
      </c>
      <c r="X338">
        <f>HYPERLINK("https://klasma.github.io/Logging_1780/tillsyn/A 57145-2024 tillsynsbegäran.docx", "A 57145-2024")</f>
        <v/>
      </c>
      <c r="Y338">
        <f>HYPERLINK("https://klasma.github.io/Logging_1780/tillsynsmail/A 57145-2024 tillsynsbegäran mail.docx", "A 57145-2024")</f>
        <v/>
      </c>
    </row>
    <row r="339" ht="15" customHeight="1">
      <c r="A339" t="inlineStr">
        <is>
          <t>A 60736-2022</t>
        </is>
      </c>
      <c r="B339" s="1" t="n">
        <v>44913</v>
      </c>
      <c r="C339" s="1" t="n">
        <v>45932</v>
      </c>
      <c r="D339" t="inlineStr">
        <is>
          <t>VÄRMLANDS LÄN</t>
        </is>
      </c>
      <c r="E339" t="inlineStr">
        <is>
          <t>FORSHAGA</t>
        </is>
      </c>
      <c r="G339" t="n">
        <v>1.1</v>
      </c>
      <c r="H339" t="n">
        <v>1</v>
      </c>
      <c r="I339" t="n">
        <v>0</v>
      </c>
      <c r="J339" t="n">
        <v>1</v>
      </c>
      <c r="K339" t="n">
        <v>0</v>
      </c>
      <c r="L339" t="n">
        <v>0</v>
      </c>
      <c r="M339" t="n">
        <v>0</v>
      </c>
      <c r="N339" t="n">
        <v>0</v>
      </c>
      <c r="O339" t="n">
        <v>1</v>
      </c>
      <c r="P339" t="n">
        <v>0</v>
      </c>
      <c r="Q339" t="n">
        <v>1</v>
      </c>
      <c r="R339" s="2" t="inlineStr">
        <is>
          <t>Mindre hackspett</t>
        </is>
      </c>
      <c r="S339">
        <f>HYPERLINK("https://klasma.github.io/Logging_1763/artfynd/A 60736-2022 artfynd.xlsx", "A 60736-2022")</f>
        <v/>
      </c>
      <c r="T339">
        <f>HYPERLINK("https://klasma.github.io/Logging_1763/kartor/A 60736-2022 karta.png", "A 60736-2022")</f>
        <v/>
      </c>
      <c r="V339">
        <f>HYPERLINK("https://klasma.github.io/Logging_1763/klagomål/A 60736-2022 FSC-klagomål.docx", "A 60736-2022")</f>
        <v/>
      </c>
      <c r="W339">
        <f>HYPERLINK("https://klasma.github.io/Logging_1763/klagomålsmail/A 60736-2022 FSC-klagomål mail.docx", "A 60736-2022")</f>
        <v/>
      </c>
      <c r="X339">
        <f>HYPERLINK("https://klasma.github.io/Logging_1763/tillsyn/A 60736-2022 tillsynsbegäran.docx", "A 60736-2022")</f>
        <v/>
      </c>
      <c r="Y339">
        <f>HYPERLINK("https://klasma.github.io/Logging_1763/tillsynsmail/A 60736-2022 tillsynsbegäran mail.docx", "A 60736-2022")</f>
        <v/>
      </c>
      <c r="Z339">
        <f>HYPERLINK("https://klasma.github.io/Logging_1763/fåglar/A 60736-2022 prioriterade fågelarter.docx", "A 60736-2022")</f>
        <v/>
      </c>
    </row>
    <row r="340" ht="15" customHeight="1">
      <c r="A340" t="inlineStr">
        <is>
          <t>A 13025-2023</t>
        </is>
      </c>
      <c r="B340" s="1" t="n">
        <v>45002.33693287037</v>
      </c>
      <c r="C340" s="1" t="n">
        <v>45932</v>
      </c>
      <c r="D340" t="inlineStr">
        <is>
          <t>VÄRMLANDS LÄN</t>
        </is>
      </c>
      <c r="E340" t="inlineStr">
        <is>
          <t>KRISTINEHAMN</t>
        </is>
      </c>
      <c r="G340" t="n">
        <v>5</v>
      </c>
      <c r="H340" t="n">
        <v>0</v>
      </c>
      <c r="I340" t="n">
        <v>1</v>
      </c>
      <c r="J340" t="n">
        <v>0</v>
      </c>
      <c r="K340" t="n">
        <v>0</v>
      </c>
      <c r="L340" t="n">
        <v>0</v>
      </c>
      <c r="M340" t="n">
        <v>0</v>
      </c>
      <c r="N340" t="n">
        <v>0</v>
      </c>
      <c r="O340" t="n">
        <v>0</v>
      </c>
      <c r="P340" t="n">
        <v>0</v>
      </c>
      <c r="Q340" t="n">
        <v>1</v>
      </c>
      <c r="R340" s="2" t="inlineStr">
        <is>
          <t>Kamjordstjärna</t>
        </is>
      </c>
      <c r="S340">
        <f>HYPERLINK("https://klasma.github.io/Logging_1781/artfynd/A 13025-2023 artfynd.xlsx", "A 13025-2023")</f>
        <v/>
      </c>
      <c r="T340">
        <f>HYPERLINK("https://klasma.github.io/Logging_1781/kartor/A 13025-2023 karta.png", "A 13025-2023")</f>
        <v/>
      </c>
      <c r="V340">
        <f>HYPERLINK("https://klasma.github.io/Logging_1781/klagomål/A 13025-2023 FSC-klagomål.docx", "A 13025-2023")</f>
        <v/>
      </c>
      <c r="W340">
        <f>HYPERLINK("https://klasma.github.io/Logging_1781/klagomålsmail/A 13025-2023 FSC-klagomål mail.docx", "A 13025-2023")</f>
        <v/>
      </c>
      <c r="X340">
        <f>HYPERLINK("https://klasma.github.io/Logging_1781/tillsyn/A 13025-2023 tillsynsbegäran.docx", "A 13025-2023")</f>
        <v/>
      </c>
      <c r="Y340">
        <f>HYPERLINK("https://klasma.github.io/Logging_1781/tillsynsmail/A 13025-2023 tillsynsbegäran mail.docx", "A 13025-2023")</f>
        <v/>
      </c>
    </row>
    <row r="341" ht="15" customHeight="1">
      <c r="A341" t="inlineStr">
        <is>
          <t>A 35702-2024</t>
        </is>
      </c>
      <c r="B341" s="1" t="n">
        <v>45532.45796296297</v>
      </c>
      <c r="C341" s="1" t="n">
        <v>45932</v>
      </c>
      <c r="D341" t="inlineStr">
        <is>
          <t>VÄRMLANDS LÄN</t>
        </is>
      </c>
      <c r="E341" t="inlineStr">
        <is>
          <t>EDA</t>
        </is>
      </c>
      <c r="G341" t="n">
        <v>2.2</v>
      </c>
      <c r="H341" t="n">
        <v>1</v>
      </c>
      <c r="I341" t="n">
        <v>0</v>
      </c>
      <c r="J341" t="n">
        <v>0</v>
      </c>
      <c r="K341" t="n">
        <v>0</v>
      </c>
      <c r="L341" t="n">
        <v>0</v>
      </c>
      <c r="M341" t="n">
        <v>0</v>
      </c>
      <c r="N341" t="n">
        <v>0</v>
      </c>
      <c r="O341" t="n">
        <v>0</v>
      </c>
      <c r="P341" t="n">
        <v>0</v>
      </c>
      <c r="Q341" t="n">
        <v>1</v>
      </c>
      <c r="R341" s="2" t="inlineStr">
        <is>
          <t>Fläcknycklar</t>
        </is>
      </c>
      <c r="S341">
        <f>HYPERLINK("https://klasma.github.io/Logging_1730/artfynd/A 35702-2024 artfynd.xlsx", "A 35702-2024")</f>
        <v/>
      </c>
      <c r="T341">
        <f>HYPERLINK("https://klasma.github.io/Logging_1730/kartor/A 35702-2024 karta.png", "A 35702-2024")</f>
        <v/>
      </c>
      <c r="V341">
        <f>HYPERLINK("https://klasma.github.io/Logging_1730/klagomål/A 35702-2024 FSC-klagomål.docx", "A 35702-2024")</f>
        <v/>
      </c>
      <c r="W341">
        <f>HYPERLINK("https://klasma.github.io/Logging_1730/klagomålsmail/A 35702-2024 FSC-klagomål mail.docx", "A 35702-2024")</f>
        <v/>
      </c>
      <c r="X341">
        <f>HYPERLINK("https://klasma.github.io/Logging_1730/tillsyn/A 35702-2024 tillsynsbegäran.docx", "A 35702-2024")</f>
        <v/>
      </c>
      <c r="Y341">
        <f>HYPERLINK("https://klasma.github.io/Logging_1730/tillsynsmail/A 35702-2024 tillsynsbegäran mail.docx", "A 35702-2024")</f>
        <v/>
      </c>
    </row>
    <row r="342" ht="15" customHeight="1">
      <c r="A342" t="inlineStr">
        <is>
          <t>A 43896-2024</t>
        </is>
      </c>
      <c r="B342" s="1" t="n">
        <v>45572</v>
      </c>
      <c r="C342" s="1" t="n">
        <v>45932</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1811-2024</t>
        </is>
      </c>
      <c r="B343" s="1" t="n">
        <v>45307</v>
      </c>
      <c r="C343" s="1" t="n">
        <v>45932</v>
      </c>
      <c r="D343" t="inlineStr">
        <is>
          <t>VÄRMLANDS LÄN</t>
        </is>
      </c>
      <c r="E343" t="inlineStr">
        <is>
          <t>TORSBY</t>
        </is>
      </c>
      <c r="G343" t="n">
        <v>12.1</v>
      </c>
      <c r="H343" t="n">
        <v>1</v>
      </c>
      <c r="I343" t="n">
        <v>0</v>
      </c>
      <c r="J343" t="n">
        <v>0</v>
      </c>
      <c r="K343" t="n">
        <v>0</v>
      </c>
      <c r="L343" t="n">
        <v>0</v>
      </c>
      <c r="M343" t="n">
        <v>0</v>
      </c>
      <c r="N343" t="n">
        <v>0</v>
      </c>
      <c r="O343" t="n">
        <v>0</v>
      </c>
      <c r="P343" t="n">
        <v>0</v>
      </c>
      <c r="Q343" t="n">
        <v>1</v>
      </c>
      <c r="R343" s="2" t="inlineStr">
        <is>
          <t>Revlummer</t>
        </is>
      </c>
      <c r="S343">
        <f>HYPERLINK("https://klasma.github.io/Logging_1737/artfynd/A 1811-2024 artfynd.xlsx", "A 1811-2024")</f>
        <v/>
      </c>
      <c r="T343">
        <f>HYPERLINK("https://klasma.github.io/Logging_1737/kartor/A 1811-2024 karta.png", "A 1811-2024")</f>
        <v/>
      </c>
      <c r="V343">
        <f>HYPERLINK("https://klasma.github.io/Logging_1737/klagomål/A 1811-2024 FSC-klagomål.docx", "A 1811-2024")</f>
        <v/>
      </c>
      <c r="W343">
        <f>HYPERLINK("https://klasma.github.io/Logging_1737/klagomålsmail/A 1811-2024 FSC-klagomål mail.docx", "A 1811-2024")</f>
        <v/>
      </c>
      <c r="X343">
        <f>HYPERLINK("https://klasma.github.io/Logging_1737/tillsyn/A 1811-2024 tillsynsbegäran.docx", "A 1811-2024")</f>
        <v/>
      </c>
      <c r="Y343">
        <f>HYPERLINK("https://klasma.github.io/Logging_1737/tillsynsmail/A 1811-2024 tillsynsbegäran mail.docx", "A 1811-2024")</f>
        <v/>
      </c>
    </row>
    <row r="344" ht="15" customHeight="1">
      <c r="A344" t="inlineStr">
        <is>
          <t>A 15988-2025</t>
        </is>
      </c>
      <c r="B344" s="1" t="n">
        <v>45749</v>
      </c>
      <c r="C344" s="1" t="n">
        <v>45932</v>
      </c>
      <c r="D344" t="inlineStr">
        <is>
          <t>VÄRMLANDS LÄN</t>
        </is>
      </c>
      <c r="E344" t="inlineStr">
        <is>
          <t>ARVIKA</t>
        </is>
      </c>
      <c r="G344" t="n">
        <v>6.5</v>
      </c>
      <c r="H344" t="n">
        <v>1</v>
      </c>
      <c r="I344" t="n">
        <v>0</v>
      </c>
      <c r="J344" t="n">
        <v>0</v>
      </c>
      <c r="K344" t="n">
        <v>0</v>
      </c>
      <c r="L344" t="n">
        <v>0</v>
      </c>
      <c r="M344" t="n">
        <v>0</v>
      </c>
      <c r="N344" t="n">
        <v>0</v>
      </c>
      <c r="O344" t="n">
        <v>0</v>
      </c>
      <c r="P344" t="n">
        <v>0</v>
      </c>
      <c r="Q344" t="n">
        <v>1</v>
      </c>
      <c r="R344" s="2" t="inlineStr">
        <is>
          <t>Göktyta</t>
        </is>
      </c>
      <c r="S344">
        <f>HYPERLINK("https://klasma.github.io/Logging_1784/artfynd/A 15988-2025 artfynd.xlsx", "A 15988-2025")</f>
        <v/>
      </c>
      <c r="T344">
        <f>HYPERLINK("https://klasma.github.io/Logging_1784/kartor/A 15988-2025 karta.png", "A 15988-2025")</f>
        <v/>
      </c>
      <c r="V344">
        <f>HYPERLINK("https://klasma.github.io/Logging_1784/klagomål/A 15988-2025 FSC-klagomål.docx", "A 15988-2025")</f>
        <v/>
      </c>
      <c r="W344">
        <f>HYPERLINK("https://klasma.github.io/Logging_1784/klagomålsmail/A 15988-2025 FSC-klagomål mail.docx", "A 15988-2025")</f>
        <v/>
      </c>
      <c r="X344">
        <f>HYPERLINK("https://klasma.github.io/Logging_1784/tillsyn/A 15988-2025 tillsynsbegäran.docx", "A 15988-2025")</f>
        <v/>
      </c>
      <c r="Y344">
        <f>HYPERLINK("https://klasma.github.io/Logging_1784/tillsynsmail/A 15988-2025 tillsynsbegäran mail.docx", "A 15988-2025")</f>
        <v/>
      </c>
      <c r="Z344">
        <f>HYPERLINK("https://klasma.github.io/Logging_1784/fåglar/A 15988-2025 prioriterade fågelarter.docx", "A 15988-2025")</f>
        <v/>
      </c>
    </row>
    <row r="345" ht="15" customHeight="1">
      <c r="A345" t="inlineStr">
        <is>
          <t>A 23023-2025</t>
        </is>
      </c>
      <c r="B345" s="1" t="n">
        <v>45790</v>
      </c>
      <c r="C345" s="1" t="n">
        <v>45932</v>
      </c>
      <c r="D345" t="inlineStr">
        <is>
          <t>VÄRMLANDS LÄN</t>
        </is>
      </c>
      <c r="E345" t="inlineStr">
        <is>
          <t>STORFORS</t>
        </is>
      </c>
      <c r="F345" t="inlineStr">
        <is>
          <t>Bergvik skog väst AB</t>
        </is>
      </c>
      <c r="G345" t="n">
        <v>2.3</v>
      </c>
      <c r="H345" t="n">
        <v>0</v>
      </c>
      <c r="I345" t="n">
        <v>1</v>
      </c>
      <c r="J345" t="n">
        <v>0</v>
      </c>
      <c r="K345" t="n">
        <v>0</v>
      </c>
      <c r="L345" t="n">
        <v>0</v>
      </c>
      <c r="M345" t="n">
        <v>0</v>
      </c>
      <c r="N345" t="n">
        <v>0</v>
      </c>
      <c r="O345" t="n">
        <v>0</v>
      </c>
      <c r="P345" t="n">
        <v>0</v>
      </c>
      <c r="Q345" t="n">
        <v>1</v>
      </c>
      <c r="R345" s="2" t="inlineStr">
        <is>
          <t>Vedticka</t>
        </is>
      </c>
      <c r="S345">
        <f>HYPERLINK("https://klasma.github.io/Logging_1760/artfynd/A 23023-2025 artfynd.xlsx", "A 23023-2025")</f>
        <v/>
      </c>
      <c r="T345">
        <f>HYPERLINK("https://klasma.github.io/Logging_1760/kartor/A 23023-2025 karta.png", "A 23023-2025")</f>
        <v/>
      </c>
      <c r="V345">
        <f>HYPERLINK("https://klasma.github.io/Logging_1760/klagomål/A 23023-2025 FSC-klagomål.docx", "A 23023-2025")</f>
        <v/>
      </c>
      <c r="W345">
        <f>HYPERLINK("https://klasma.github.io/Logging_1760/klagomålsmail/A 23023-2025 FSC-klagomål mail.docx", "A 23023-2025")</f>
        <v/>
      </c>
      <c r="X345">
        <f>HYPERLINK("https://klasma.github.io/Logging_1760/tillsyn/A 23023-2025 tillsynsbegäran.docx", "A 23023-2025")</f>
        <v/>
      </c>
      <c r="Y345">
        <f>HYPERLINK("https://klasma.github.io/Logging_1760/tillsynsmail/A 23023-2025 tillsynsbegäran mail.docx", "A 23023-2025")</f>
        <v/>
      </c>
    </row>
    <row r="346" ht="15" customHeight="1">
      <c r="A346" t="inlineStr">
        <is>
          <t>A 21252-2024</t>
        </is>
      </c>
      <c r="B346" s="1" t="n">
        <v>45440</v>
      </c>
      <c r="C346" s="1" t="n">
        <v>45932</v>
      </c>
      <c r="D346" t="inlineStr">
        <is>
          <t>VÄRMLANDS LÄN</t>
        </is>
      </c>
      <c r="E346" t="inlineStr">
        <is>
          <t>ARVIKA</t>
        </is>
      </c>
      <c r="F346" t="inlineStr">
        <is>
          <t>Bergvik skog väst AB</t>
        </is>
      </c>
      <c r="G346" t="n">
        <v>0.7</v>
      </c>
      <c r="H346" t="n">
        <v>1</v>
      </c>
      <c r="I346" t="n">
        <v>0</v>
      </c>
      <c r="J346" t="n">
        <v>0</v>
      </c>
      <c r="K346" t="n">
        <v>1</v>
      </c>
      <c r="L346" t="n">
        <v>0</v>
      </c>
      <c r="M346" t="n">
        <v>0</v>
      </c>
      <c r="N346" t="n">
        <v>0</v>
      </c>
      <c r="O346" t="n">
        <v>1</v>
      </c>
      <c r="P346" t="n">
        <v>1</v>
      </c>
      <c r="Q346" t="n">
        <v>1</v>
      </c>
      <c r="R346" s="2" t="inlineStr">
        <is>
          <t>Knärot</t>
        </is>
      </c>
      <c r="S346">
        <f>HYPERLINK("https://klasma.github.io/Logging_1784/artfynd/A 21252-2024 artfynd.xlsx", "A 21252-2024")</f>
        <v/>
      </c>
      <c r="T346">
        <f>HYPERLINK("https://klasma.github.io/Logging_1784/kartor/A 21252-2024 karta.png", "A 21252-2024")</f>
        <v/>
      </c>
      <c r="U346">
        <f>HYPERLINK("https://klasma.github.io/Logging_1784/knärot/A 21252-2024 karta knärot.png", "A 21252-2024")</f>
        <v/>
      </c>
      <c r="V346">
        <f>HYPERLINK("https://klasma.github.io/Logging_1784/klagomål/A 21252-2024 FSC-klagomål.docx", "A 21252-2024")</f>
        <v/>
      </c>
      <c r="W346">
        <f>HYPERLINK("https://klasma.github.io/Logging_1784/klagomålsmail/A 21252-2024 FSC-klagomål mail.docx", "A 21252-2024")</f>
        <v/>
      </c>
      <c r="X346">
        <f>HYPERLINK("https://klasma.github.io/Logging_1784/tillsyn/A 21252-2024 tillsynsbegäran.docx", "A 21252-2024")</f>
        <v/>
      </c>
      <c r="Y346">
        <f>HYPERLINK("https://klasma.github.io/Logging_1784/tillsynsmail/A 21252-2024 tillsynsbegäran mail.docx", "A 21252-2024")</f>
        <v/>
      </c>
    </row>
    <row r="347" ht="15" customHeight="1">
      <c r="A347" t="inlineStr">
        <is>
          <t>A 56861-2020</t>
        </is>
      </c>
      <c r="B347" s="1" t="n">
        <v>44138</v>
      </c>
      <c r="C347" s="1" t="n">
        <v>45932</v>
      </c>
      <c r="D347" t="inlineStr">
        <is>
          <t>VÄRMLANDS LÄN</t>
        </is>
      </c>
      <c r="E347" t="inlineStr">
        <is>
          <t>FILIPSTAD</t>
        </is>
      </c>
      <c r="F347" t="inlineStr">
        <is>
          <t>Bergvik skog väst AB</t>
        </is>
      </c>
      <c r="G347" t="n">
        <v>10.6</v>
      </c>
      <c r="H347" t="n">
        <v>0</v>
      </c>
      <c r="I347" t="n">
        <v>0</v>
      </c>
      <c r="J347" t="n">
        <v>1</v>
      </c>
      <c r="K347" t="n">
        <v>0</v>
      </c>
      <c r="L347" t="n">
        <v>0</v>
      </c>
      <c r="M347" t="n">
        <v>0</v>
      </c>
      <c r="N347" t="n">
        <v>0</v>
      </c>
      <c r="O347" t="n">
        <v>1</v>
      </c>
      <c r="P347" t="n">
        <v>0</v>
      </c>
      <c r="Q347" t="n">
        <v>1</v>
      </c>
      <c r="R347" s="2" t="inlineStr">
        <is>
          <t>Ullticka</t>
        </is>
      </c>
      <c r="S347">
        <f>HYPERLINK("https://klasma.github.io/Logging_1782/artfynd/A 56861-2020 artfynd.xlsx", "A 56861-2020")</f>
        <v/>
      </c>
      <c r="T347">
        <f>HYPERLINK("https://klasma.github.io/Logging_1782/kartor/A 56861-2020 karta.png", "A 56861-2020")</f>
        <v/>
      </c>
      <c r="V347">
        <f>HYPERLINK("https://klasma.github.io/Logging_1782/klagomål/A 56861-2020 FSC-klagomål.docx", "A 56861-2020")</f>
        <v/>
      </c>
      <c r="W347">
        <f>HYPERLINK("https://klasma.github.io/Logging_1782/klagomålsmail/A 56861-2020 FSC-klagomål mail.docx", "A 56861-2020")</f>
        <v/>
      </c>
      <c r="X347">
        <f>HYPERLINK("https://klasma.github.io/Logging_1782/tillsyn/A 56861-2020 tillsynsbegäran.docx", "A 56861-2020")</f>
        <v/>
      </c>
      <c r="Y347">
        <f>HYPERLINK("https://klasma.github.io/Logging_1782/tillsynsmail/A 56861-2020 tillsynsbegäran mail.docx", "A 56861-2020")</f>
        <v/>
      </c>
    </row>
    <row r="348" ht="15" customHeight="1">
      <c r="A348" t="inlineStr">
        <is>
          <t>A 61586-2023</t>
        </is>
      </c>
      <c r="B348" s="1" t="n">
        <v>45265</v>
      </c>
      <c r="C348" s="1" t="n">
        <v>45932</v>
      </c>
      <c r="D348" t="inlineStr">
        <is>
          <t>VÄRMLANDS LÄN</t>
        </is>
      </c>
      <c r="E348" t="inlineStr">
        <is>
          <t>KRISTINEHAMN</t>
        </is>
      </c>
      <c r="G348" t="n">
        <v>9.5</v>
      </c>
      <c r="H348" t="n">
        <v>1</v>
      </c>
      <c r="I348" t="n">
        <v>0</v>
      </c>
      <c r="J348" t="n">
        <v>0</v>
      </c>
      <c r="K348" t="n">
        <v>0</v>
      </c>
      <c r="L348" t="n">
        <v>0</v>
      </c>
      <c r="M348" t="n">
        <v>0</v>
      </c>
      <c r="N348" t="n">
        <v>0</v>
      </c>
      <c r="O348" t="n">
        <v>0</v>
      </c>
      <c r="P348" t="n">
        <v>0</v>
      </c>
      <c r="Q348" t="n">
        <v>1</v>
      </c>
      <c r="R348" s="2" t="inlineStr">
        <is>
          <t>Bivråk</t>
        </is>
      </c>
      <c r="S348">
        <f>HYPERLINK("https://klasma.github.io/Logging_1781/artfynd/A 61586-2023 artfynd.xlsx", "A 61586-2023")</f>
        <v/>
      </c>
      <c r="T348">
        <f>HYPERLINK("https://klasma.github.io/Logging_1781/kartor/A 61586-2023 karta.png", "A 61586-2023")</f>
        <v/>
      </c>
      <c r="V348">
        <f>HYPERLINK("https://klasma.github.io/Logging_1781/klagomål/A 61586-2023 FSC-klagomål.docx", "A 61586-2023")</f>
        <v/>
      </c>
      <c r="W348">
        <f>HYPERLINK("https://klasma.github.io/Logging_1781/klagomålsmail/A 61586-2023 FSC-klagomål mail.docx", "A 61586-2023")</f>
        <v/>
      </c>
      <c r="X348">
        <f>HYPERLINK("https://klasma.github.io/Logging_1781/tillsyn/A 61586-2023 tillsynsbegäran.docx", "A 61586-2023")</f>
        <v/>
      </c>
      <c r="Y348">
        <f>HYPERLINK("https://klasma.github.io/Logging_1781/tillsynsmail/A 61586-2023 tillsynsbegäran mail.docx", "A 61586-2023")</f>
        <v/>
      </c>
      <c r="Z348">
        <f>HYPERLINK("https://klasma.github.io/Logging_1781/fåglar/A 61586-2023 prioriterade fågelarter.docx", "A 61586-2023")</f>
        <v/>
      </c>
    </row>
    <row r="349" ht="15" customHeight="1">
      <c r="A349" t="inlineStr">
        <is>
          <t>A 23770-2025</t>
        </is>
      </c>
      <c r="B349" s="1" t="n">
        <v>45793</v>
      </c>
      <c r="C349" s="1" t="n">
        <v>45932</v>
      </c>
      <c r="D349" t="inlineStr">
        <is>
          <t>VÄRMLANDS LÄN</t>
        </is>
      </c>
      <c r="E349" t="inlineStr">
        <is>
          <t>SÄFFLE</t>
        </is>
      </c>
      <c r="G349" t="n">
        <v>6.9</v>
      </c>
      <c r="H349" t="n">
        <v>1</v>
      </c>
      <c r="I349" t="n">
        <v>0</v>
      </c>
      <c r="J349" t="n">
        <v>0</v>
      </c>
      <c r="K349" t="n">
        <v>0</v>
      </c>
      <c r="L349" t="n">
        <v>0</v>
      </c>
      <c r="M349" t="n">
        <v>0</v>
      </c>
      <c r="N349" t="n">
        <v>0</v>
      </c>
      <c r="O349" t="n">
        <v>0</v>
      </c>
      <c r="P349" t="n">
        <v>0</v>
      </c>
      <c r="Q349" t="n">
        <v>1</v>
      </c>
      <c r="R349" s="2" t="inlineStr">
        <is>
          <t>Kopparödla</t>
        </is>
      </c>
      <c r="S349">
        <f>HYPERLINK("https://klasma.github.io/Logging_1785/artfynd/A 23770-2025 artfynd.xlsx", "A 23770-2025")</f>
        <v/>
      </c>
      <c r="T349">
        <f>HYPERLINK("https://klasma.github.io/Logging_1785/kartor/A 23770-2025 karta.png", "A 23770-2025")</f>
        <v/>
      </c>
      <c r="V349">
        <f>HYPERLINK("https://klasma.github.io/Logging_1785/klagomål/A 23770-2025 FSC-klagomål.docx", "A 23770-2025")</f>
        <v/>
      </c>
      <c r="W349">
        <f>HYPERLINK("https://klasma.github.io/Logging_1785/klagomålsmail/A 23770-2025 FSC-klagomål mail.docx", "A 23770-2025")</f>
        <v/>
      </c>
      <c r="X349">
        <f>HYPERLINK("https://klasma.github.io/Logging_1785/tillsyn/A 23770-2025 tillsynsbegäran.docx", "A 23770-2025")</f>
        <v/>
      </c>
      <c r="Y349">
        <f>HYPERLINK("https://klasma.github.io/Logging_1785/tillsynsmail/A 23770-2025 tillsynsbegäran mail.docx", "A 23770-2025")</f>
        <v/>
      </c>
    </row>
    <row r="350" ht="15" customHeight="1">
      <c r="A350" t="inlineStr">
        <is>
          <t>A 7447-2024</t>
        </is>
      </c>
      <c r="B350" s="1" t="n">
        <v>45345</v>
      </c>
      <c r="C350" s="1" t="n">
        <v>45932</v>
      </c>
      <c r="D350" t="inlineStr">
        <is>
          <t>VÄRMLANDS LÄN</t>
        </is>
      </c>
      <c r="E350" t="inlineStr">
        <is>
          <t>ÅRJÄNG</t>
        </is>
      </c>
      <c r="G350" t="n">
        <v>1.3</v>
      </c>
      <c r="H350" t="n">
        <v>1</v>
      </c>
      <c r="I350" t="n">
        <v>0</v>
      </c>
      <c r="J350" t="n">
        <v>0</v>
      </c>
      <c r="K350" t="n">
        <v>0</v>
      </c>
      <c r="L350" t="n">
        <v>0</v>
      </c>
      <c r="M350" t="n">
        <v>0</v>
      </c>
      <c r="N350" t="n">
        <v>0</v>
      </c>
      <c r="O350" t="n">
        <v>0</v>
      </c>
      <c r="P350" t="n">
        <v>0</v>
      </c>
      <c r="Q350" t="n">
        <v>1</v>
      </c>
      <c r="R350" s="2" t="inlineStr">
        <is>
          <t>Tjäder</t>
        </is>
      </c>
      <c r="S350">
        <f>HYPERLINK("https://klasma.github.io/Logging_1765/artfynd/A 7447-2024 artfynd.xlsx", "A 7447-2024")</f>
        <v/>
      </c>
      <c r="T350">
        <f>HYPERLINK("https://klasma.github.io/Logging_1765/kartor/A 7447-2024 karta.png", "A 7447-2024")</f>
        <v/>
      </c>
      <c r="V350">
        <f>HYPERLINK("https://klasma.github.io/Logging_1765/klagomål/A 7447-2024 FSC-klagomål.docx", "A 7447-2024")</f>
        <v/>
      </c>
      <c r="W350">
        <f>HYPERLINK("https://klasma.github.io/Logging_1765/klagomålsmail/A 7447-2024 FSC-klagomål mail.docx", "A 7447-2024")</f>
        <v/>
      </c>
      <c r="X350">
        <f>HYPERLINK("https://klasma.github.io/Logging_1765/tillsyn/A 7447-2024 tillsynsbegäran.docx", "A 7447-2024")</f>
        <v/>
      </c>
      <c r="Y350">
        <f>HYPERLINK("https://klasma.github.io/Logging_1765/tillsynsmail/A 7447-2024 tillsynsbegäran mail.docx", "A 7447-2024")</f>
        <v/>
      </c>
      <c r="Z350">
        <f>HYPERLINK("https://klasma.github.io/Logging_1765/fåglar/A 7447-2024 prioriterade fågelarter.docx", "A 7447-2024")</f>
        <v/>
      </c>
    </row>
    <row r="351" ht="15" customHeight="1">
      <c r="A351" t="inlineStr">
        <is>
          <t>A 23693-2025</t>
        </is>
      </c>
      <c r="B351" s="1" t="n">
        <v>45793.34555555556</v>
      </c>
      <c r="C351" s="1" t="n">
        <v>45932</v>
      </c>
      <c r="D351" t="inlineStr">
        <is>
          <t>VÄRMLANDS LÄN</t>
        </is>
      </c>
      <c r="E351" t="inlineStr">
        <is>
          <t>SUNNE</t>
        </is>
      </c>
      <c r="G351" t="n">
        <v>5.3</v>
      </c>
      <c r="H351" t="n">
        <v>1</v>
      </c>
      <c r="I351" t="n">
        <v>0</v>
      </c>
      <c r="J351" t="n">
        <v>1</v>
      </c>
      <c r="K351" t="n">
        <v>0</v>
      </c>
      <c r="L351" t="n">
        <v>0</v>
      </c>
      <c r="M351" t="n">
        <v>0</v>
      </c>
      <c r="N351" t="n">
        <v>0</v>
      </c>
      <c r="O351" t="n">
        <v>1</v>
      </c>
      <c r="P351" t="n">
        <v>0</v>
      </c>
      <c r="Q351" t="n">
        <v>1</v>
      </c>
      <c r="R351" s="2" t="inlineStr">
        <is>
          <t>Utter</t>
        </is>
      </c>
      <c r="S351">
        <f>HYPERLINK("https://klasma.github.io/Logging_1766/artfynd/A 23693-2025 artfynd.xlsx", "A 23693-2025")</f>
        <v/>
      </c>
      <c r="T351">
        <f>HYPERLINK("https://klasma.github.io/Logging_1766/kartor/A 23693-2025 karta.png", "A 23693-2025")</f>
        <v/>
      </c>
      <c r="V351">
        <f>HYPERLINK("https://klasma.github.io/Logging_1766/klagomål/A 23693-2025 FSC-klagomål.docx", "A 23693-2025")</f>
        <v/>
      </c>
      <c r="W351">
        <f>HYPERLINK("https://klasma.github.io/Logging_1766/klagomålsmail/A 23693-2025 FSC-klagomål mail.docx", "A 23693-2025")</f>
        <v/>
      </c>
      <c r="X351">
        <f>HYPERLINK("https://klasma.github.io/Logging_1766/tillsyn/A 23693-2025 tillsynsbegäran.docx", "A 23693-2025")</f>
        <v/>
      </c>
      <c r="Y351">
        <f>HYPERLINK("https://klasma.github.io/Logging_1766/tillsynsmail/A 23693-2025 tillsynsbegäran mail.docx", "A 23693-2025")</f>
        <v/>
      </c>
    </row>
    <row r="352" ht="15" customHeight="1">
      <c r="A352" t="inlineStr">
        <is>
          <t>A 14738-2024</t>
        </is>
      </c>
      <c r="B352" s="1" t="n">
        <v>45397</v>
      </c>
      <c r="C352" s="1" t="n">
        <v>45932</v>
      </c>
      <c r="D352" t="inlineStr">
        <is>
          <t>VÄRMLANDS LÄN</t>
        </is>
      </c>
      <c r="E352" t="inlineStr">
        <is>
          <t>SÄFFLE</t>
        </is>
      </c>
      <c r="G352" t="n">
        <v>3.7</v>
      </c>
      <c r="H352" t="n">
        <v>0</v>
      </c>
      <c r="I352" t="n">
        <v>0</v>
      </c>
      <c r="J352" t="n">
        <v>1</v>
      </c>
      <c r="K352" t="n">
        <v>0</v>
      </c>
      <c r="L352" t="n">
        <v>0</v>
      </c>
      <c r="M352" t="n">
        <v>0</v>
      </c>
      <c r="N352" t="n">
        <v>0</v>
      </c>
      <c r="O352" t="n">
        <v>1</v>
      </c>
      <c r="P352" t="n">
        <v>0</v>
      </c>
      <c r="Q352" t="n">
        <v>1</v>
      </c>
      <c r="R352" s="2" t="inlineStr">
        <is>
          <t>Kortskaftad ärgspik</t>
        </is>
      </c>
      <c r="S352">
        <f>HYPERLINK("https://klasma.github.io/Logging_1785/artfynd/A 14738-2024 artfynd.xlsx", "A 14738-2024")</f>
        <v/>
      </c>
      <c r="T352">
        <f>HYPERLINK("https://klasma.github.io/Logging_1785/kartor/A 14738-2024 karta.png", "A 14738-2024")</f>
        <v/>
      </c>
      <c r="V352">
        <f>HYPERLINK("https://klasma.github.io/Logging_1785/klagomål/A 14738-2024 FSC-klagomål.docx", "A 14738-2024")</f>
        <v/>
      </c>
      <c r="W352">
        <f>HYPERLINK("https://klasma.github.io/Logging_1785/klagomålsmail/A 14738-2024 FSC-klagomål mail.docx", "A 14738-2024")</f>
        <v/>
      </c>
      <c r="X352">
        <f>HYPERLINK("https://klasma.github.io/Logging_1785/tillsyn/A 14738-2024 tillsynsbegäran.docx", "A 14738-2024")</f>
        <v/>
      </c>
      <c r="Y352">
        <f>HYPERLINK("https://klasma.github.io/Logging_1785/tillsynsmail/A 14738-2024 tillsynsbegäran mail.docx", "A 14738-2024")</f>
        <v/>
      </c>
    </row>
    <row r="353" ht="15" customHeight="1">
      <c r="A353" t="inlineStr">
        <is>
          <t>A 9060-2025</t>
        </is>
      </c>
      <c r="B353" s="1" t="n">
        <v>45713</v>
      </c>
      <c r="C353" s="1" t="n">
        <v>45932</v>
      </c>
      <c r="D353" t="inlineStr">
        <is>
          <t>VÄRMLANDS LÄN</t>
        </is>
      </c>
      <c r="E353" t="inlineStr">
        <is>
          <t>ARVIKA</t>
        </is>
      </c>
      <c r="G353" t="n">
        <v>5.8</v>
      </c>
      <c r="H353" t="n">
        <v>1</v>
      </c>
      <c r="I353" t="n">
        <v>0</v>
      </c>
      <c r="J353" t="n">
        <v>1</v>
      </c>
      <c r="K353" t="n">
        <v>0</v>
      </c>
      <c r="L353" t="n">
        <v>0</v>
      </c>
      <c r="M353" t="n">
        <v>0</v>
      </c>
      <c r="N353" t="n">
        <v>0</v>
      </c>
      <c r="O353" t="n">
        <v>1</v>
      </c>
      <c r="P353" t="n">
        <v>0</v>
      </c>
      <c r="Q353" t="n">
        <v>1</v>
      </c>
      <c r="R353" s="2" t="inlineStr">
        <is>
          <t>Tretåig hackspett</t>
        </is>
      </c>
      <c r="S353">
        <f>HYPERLINK("https://klasma.github.io/Logging_1784/artfynd/A 9060-2025 artfynd.xlsx", "A 9060-2025")</f>
        <v/>
      </c>
      <c r="T353">
        <f>HYPERLINK("https://klasma.github.io/Logging_1784/kartor/A 9060-2025 karta.png", "A 9060-2025")</f>
        <v/>
      </c>
      <c r="V353">
        <f>HYPERLINK("https://klasma.github.io/Logging_1784/klagomål/A 9060-2025 FSC-klagomål.docx", "A 9060-2025")</f>
        <v/>
      </c>
      <c r="W353">
        <f>HYPERLINK("https://klasma.github.io/Logging_1784/klagomålsmail/A 9060-2025 FSC-klagomål mail.docx", "A 9060-2025")</f>
        <v/>
      </c>
      <c r="X353">
        <f>HYPERLINK("https://klasma.github.io/Logging_1784/tillsyn/A 9060-2025 tillsynsbegäran.docx", "A 9060-2025")</f>
        <v/>
      </c>
      <c r="Y353">
        <f>HYPERLINK("https://klasma.github.io/Logging_1784/tillsynsmail/A 9060-2025 tillsynsbegäran mail.docx", "A 9060-2025")</f>
        <v/>
      </c>
      <c r="Z353">
        <f>HYPERLINK("https://klasma.github.io/Logging_1784/fåglar/A 9060-2025 prioriterade fågelarter.docx", "A 9060-2025")</f>
        <v/>
      </c>
    </row>
    <row r="354" ht="15" customHeight="1">
      <c r="A354" t="inlineStr">
        <is>
          <t>A 8630-2025</t>
        </is>
      </c>
      <c r="B354" s="1" t="n">
        <v>45711.70400462963</v>
      </c>
      <c r="C354" s="1" t="n">
        <v>45932</v>
      </c>
      <c r="D354" t="inlineStr">
        <is>
          <t>VÄRMLANDS LÄN</t>
        </is>
      </c>
      <c r="E354" t="inlineStr">
        <is>
          <t>ÅRJÄNG</t>
        </is>
      </c>
      <c r="G354" t="n">
        <v>3.1</v>
      </c>
      <c r="H354" t="n">
        <v>0</v>
      </c>
      <c r="I354" t="n">
        <v>1</v>
      </c>
      <c r="J354" t="n">
        <v>0</v>
      </c>
      <c r="K354" t="n">
        <v>0</v>
      </c>
      <c r="L354" t="n">
        <v>0</v>
      </c>
      <c r="M354" t="n">
        <v>0</v>
      </c>
      <c r="N354" t="n">
        <v>0</v>
      </c>
      <c r="O354" t="n">
        <v>0</v>
      </c>
      <c r="P354" t="n">
        <v>0</v>
      </c>
      <c r="Q354" t="n">
        <v>1</v>
      </c>
      <c r="R354" s="2" t="inlineStr">
        <is>
          <t>Dropptaggsvamp</t>
        </is>
      </c>
      <c r="S354">
        <f>HYPERLINK("https://klasma.github.io/Logging_1765/artfynd/A 8630-2025 artfynd.xlsx", "A 8630-2025")</f>
        <v/>
      </c>
      <c r="T354">
        <f>HYPERLINK("https://klasma.github.io/Logging_1765/kartor/A 8630-2025 karta.png", "A 8630-2025")</f>
        <v/>
      </c>
      <c r="V354">
        <f>HYPERLINK("https://klasma.github.io/Logging_1765/klagomål/A 8630-2025 FSC-klagomål.docx", "A 8630-2025")</f>
        <v/>
      </c>
      <c r="W354">
        <f>HYPERLINK("https://klasma.github.io/Logging_1765/klagomålsmail/A 8630-2025 FSC-klagomål mail.docx", "A 8630-2025")</f>
        <v/>
      </c>
      <c r="X354">
        <f>HYPERLINK("https://klasma.github.io/Logging_1765/tillsyn/A 8630-2025 tillsynsbegäran.docx", "A 8630-2025")</f>
        <v/>
      </c>
      <c r="Y354">
        <f>HYPERLINK("https://klasma.github.io/Logging_1765/tillsynsmail/A 8630-2025 tillsynsbegäran mail.docx", "A 8630-2025")</f>
        <v/>
      </c>
    </row>
    <row r="355" ht="15" customHeight="1">
      <c r="A355" t="inlineStr">
        <is>
          <t>A 58470-2021</t>
        </is>
      </c>
      <c r="B355" s="1" t="n">
        <v>44488</v>
      </c>
      <c r="C355" s="1" t="n">
        <v>45932</v>
      </c>
      <c r="D355" t="inlineStr">
        <is>
          <t>VÄRMLANDS LÄN</t>
        </is>
      </c>
      <c r="E355" t="inlineStr">
        <is>
          <t>TORSBY</t>
        </is>
      </c>
      <c r="G355" t="n">
        <v>8.699999999999999</v>
      </c>
      <c r="H355" t="n">
        <v>0</v>
      </c>
      <c r="I355" t="n">
        <v>1</v>
      </c>
      <c r="J355" t="n">
        <v>0</v>
      </c>
      <c r="K355" t="n">
        <v>0</v>
      </c>
      <c r="L355" t="n">
        <v>0</v>
      </c>
      <c r="M355" t="n">
        <v>0</v>
      </c>
      <c r="N355" t="n">
        <v>0</v>
      </c>
      <c r="O355" t="n">
        <v>0</v>
      </c>
      <c r="P355" t="n">
        <v>0</v>
      </c>
      <c r="Q355" t="n">
        <v>1</v>
      </c>
      <c r="R355" s="2" t="inlineStr">
        <is>
          <t>Dropptaggsvamp</t>
        </is>
      </c>
      <c r="S355">
        <f>HYPERLINK("https://klasma.github.io/Logging_1737/artfynd/A 58470-2021 artfynd.xlsx", "A 58470-2021")</f>
        <v/>
      </c>
      <c r="T355">
        <f>HYPERLINK("https://klasma.github.io/Logging_1737/kartor/A 58470-2021 karta.png", "A 58470-2021")</f>
        <v/>
      </c>
      <c r="V355">
        <f>HYPERLINK("https://klasma.github.io/Logging_1737/klagomål/A 58470-2021 FSC-klagomål.docx", "A 58470-2021")</f>
        <v/>
      </c>
      <c r="W355">
        <f>HYPERLINK("https://klasma.github.io/Logging_1737/klagomålsmail/A 58470-2021 FSC-klagomål mail.docx", "A 58470-2021")</f>
        <v/>
      </c>
      <c r="X355">
        <f>HYPERLINK("https://klasma.github.io/Logging_1737/tillsyn/A 58470-2021 tillsynsbegäran.docx", "A 58470-2021")</f>
        <v/>
      </c>
      <c r="Y355">
        <f>HYPERLINK("https://klasma.github.io/Logging_1737/tillsynsmail/A 58470-2021 tillsynsbegäran mail.docx", "A 58470-2021")</f>
        <v/>
      </c>
    </row>
    <row r="356" ht="15" customHeight="1">
      <c r="A356" t="inlineStr">
        <is>
          <t>A 59466-2020</t>
        </is>
      </c>
      <c r="B356" s="1" t="n">
        <v>44148</v>
      </c>
      <c r="C356" s="1" t="n">
        <v>45932</v>
      </c>
      <c r="D356" t="inlineStr">
        <is>
          <t>VÄRMLANDS LÄN</t>
        </is>
      </c>
      <c r="E356" t="inlineStr">
        <is>
          <t>SÄFFLE</t>
        </is>
      </c>
      <c r="G356" t="n">
        <v>4.9</v>
      </c>
      <c r="H356" t="n">
        <v>0</v>
      </c>
      <c r="I356" t="n">
        <v>0</v>
      </c>
      <c r="J356" t="n">
        <v>1</v>
      </c>
      <c r="K356" t="n">
        <v>0</v>
      </c>
      <c r="L356" t="n">
        <v>0</v>
      </c>
      <c r="M356" t="n">
        <v>0</v>
      </c>
      <c r="N356" t="n">
        <v>0</v>
      </c>
      <c r="O356" t="n">
        <v>1</v>
      </c>
      <c r="P356" t="n">
        <v>0</v>
      </c>
      <c r="Q356" t="n">
        <v>1</v>
      </c>
      <c r="R356" s="2" t="inlineStr">
        <is>
          <t>Motaggsvamp</t>
        </is>
      </c>
      <c r="S356">
        <f>HYPERLINK("https://klasma.github.io/Logging_1785/artfynd/A 59466-2020 artfynd.xlsx", "A 59466-2020")</f>
        <v/>
      </c>
      <c r="T356">
        <f>HYPERLINK("https://klasma.github.io/Logging_1785/kartor/A 59466-2020 karta.png", "A 59466-2020")</f>
        <v/>
      </c>
      <c r="V356">
        <f>HYPERLINK("https://klasma.github.io/Logging_1785/klagomål/A 59466-2020 FSC-klagomål.docx", "A 59466-2020")</f>
        <v/>
      </c>
      <c r="W356">
        <f>HYPERLINK("https://klasma.github.io/Logging_1785/klagomålsmail/A 59466-2020 FSC-klagomål mail.docx", "A 59466-2020")</f>
        <v/>
      </c>
      <c r="X356">
        <f>HYPERLINK("https://klasma.github.io/Logging_1785/tillsyn/A 59466-2020 tillsynsbegäran.docx", "A 59466-2020")</f>
        <v/>
      </c>
      <c r="Y356">
        <f>HYPERLINK("https://klasma.github.io/Logging_1785/tillsynsmail/A 59466-2020 tillsynsbegäran mail.docx", "A 59466-2020")</f>
        <v/>
      </c>
    </row>
    <row r="357" ht="15" customHeight="1">
      <c r="A357" t="inlineStr">
        <is>
          <t>A 19301-2025</t>
        </is>
      </c>
      <c r="B357" s="1" t="n">
        <v>45769</v>
      </c>
      <c r="C357" s="1" t="n">
        <v>45932</v>
      </c>
      <c r="D357" t="inlineStr">
        <is>
          <t>VÄRMLANDS LÄN</t>
        </is>
      </c>
      <c r="E357" t="inlineStr">
        <is>
          <t>ARVIKA</t>
        </is>
      </c>
      <c r="F357" t="inlineStr">
        <is>
          <t>Bergvik skog väst AB</t>
        </is>
      </c>
      <c r="G357" t="n">
        <v>3.1</v>
      </c>
      <c r="H357" t="n">
        <v>1</v>
      </c>
      <c r="I357" t="n">
        <v>0</v>
      </c>
      <c r="J357" t="n">
        <v>0</v>
      </c>
      <c r="K357" t="n">
        <v>1</v>
      </c>
      <c r="L357" t="n">
        <v>0</v>
      </c>
      <c r="M357" t="n">
        <v>0</v>
      </c>
      <c r="N357" t="n">
        <v>0</v>
      </c>
      <c r="O357" t="n">
        <v>1</v>
      </c>
      <c r="P357" t="n">
        <v>1</v>
      </c>
      <c r="Q357" t="n">
        <v>1</v>
      </c>
      <c r="R357" s="2" t="inlineStr">
        <is>
          <t>Lappuggla</t>
        </is>
      </c>
      <c r="S357">
        <f>HYPERLINK("https://klasma.github.io/Logging_1784/artfynd/A 19301-2025 artfynd.xlsx", "A 19301-2025")</f>
        <v/>
      </c>
      <c r="T357">
        <f>HYPERLINK("https://klasma.github.io/Logging_1784/kartor/A 19301-2025 karta.png", "A 19301-2025")</f>
        <v/>
      </c>
      <c r="V357">
        <f>HYPERLINK("https://klasma.github.io/Logging_1784/klagomål/A 19301-2025 FSC-klagomål.docx", "A 19301-2025")</f>
        <v/>
      </c>
      <c r="W357">
        <f>HYPERLINK("https://klasma.github.io/Logging_1784/klagomålsmail/A 19301-2025 FSC-klagomål mail.docx", "A 19301-2025")</f>
        <v/>
      </c>
      <c r="X357">
        <f>HYPERLINK("https://klasma.github.io/Logging_1784/tillsyn/A 19301-2025 tillsynsbegäran.docx", "A 19301-2025")</f>
        <v/>
      </c>
      <c r="Y357">
        <f>HYPERLINK("https://klasma.github.io/Logging_1784/tillsynsmail/A 19301-2025 tillsynsbegäran mail.docx", "A 19301-2025")</f>
        <v/>
      </c>
      <c r="Z357">
        <f>HYPERLINK("https://klasma.github.io/Logging_1784/fåglar/A 19301-2025 prioriterade fågelarter.docx", "A 19301-2025")</f>
        <v/>
      </c>
    </row>
    <row r="358" ht="15" customHeight="1">
      <c r="A358" t="inlineStr">
        <is>
          <t>A 41477-2024</t>
        </is>
      </c>
      <c r="B358" s="1" t="n">
        <v>45560</v>
      </c>
      <c r="C358" s="1" t="n">
        <v>45932</v>
      </c>
      <c r="D358" t="inlineStr">
        <is>
          <t>VÄRMLANDS LÄN</t>
        </is>
      </c>
      <c r="E358" t="inlineStr">
        <is>
          <t>TORSBY</t>
        </is>
      </c>
      <c r="G358" t="n">
        <v>6.7</v>
      </c>
      <c r="H358" t="n">
        <v>0</v>
      </c>
      <c r="I358" t="n">
        <v>0</v>
      </c>
      <c r="J358" t="n">
        <v>1</v>
      </c>
      <c r="K358" t="n">
        <v>0</v>
      </c>
      <c r="L358" t="n">
        <v>0</v>
      </c>
      <c r="M358" t="n">
        <v>0</v>
      </c>
      <c r="N358" t="n">
        <v>0</v>
      </c>
      <c r="O358" t="n">
        <v>1</v>
      </c>
      <c r="P358" t="n">
        <v>0</v>
      </c>
      <c r="Q358" t="n">
        <v>1</v>
      </c>
      <c r="R358" s="2" t="inlineStr">
        <is>
          <t>Garnlav</t>
        </is>
      </c>
      <c r="S358">
        <f>HYPERLINK("https://klasma.github.io/Logging_1737/artfynd/A 41477-2024 artfynd.xlsx", "A 41477-2024")</f>
        <v/>
      </c>
      <c r="T358">
        <f>HYPERLINK("https://klasma.github.io/Logging_1737/kartor/A 41477-2024 karta.png", "A 41477-2024")</f>
        <v/>
      </c>
      <c r="V358">
        <f>HYPERLINK("https://klasma.github.io/Logging_1737/klagomål/A 41477-2024 FSC-klagomål.docx", "A 41477-2024")</f>
        <v/>
      </c>
      <c r="W358">
        <f>HYPERLINK("https://klasma.github.io/Logging_1737/klagomålsmail/A 41477-2024 FSC-klagomål mail.docx", "A 41477-2024")</f>
        <v/>
      </c>
      <c r="X358">
        <f>HYPERLINK("https://klasma.github.io/Logging_1737/tillsyn/A 41477-2024 tillsynsbegäran.docx", "A 41477-2024")</f>
        <v/>
      </c>
      <c r="Y358">
        <f>HYPERLINK("https://klasma.github.io/Logging_1737/tillsynsmail/A 41477-2024 tillsynsbegäran mail.docx", "A 41477-2024")</f>
        <v/>
      </c>
    </row>
    <row r="359" ht="15" customHeight="1">
      <c r="A359" t="inlineStr">
        <is>
          <t>A 8747-2021</t>
        </is>
      </c>
      <c r="B359" s="1" t="n">
        <v>44246</v>
      </c>
      <c r="C359" s="1" t="n">
        <v>45932</v>
      </c>
      <c r="D359" t="inlineStr">
        <is>
          <t>VÄRMLANDS LÄN</t>
        </is>
      </c>
      <c r="E359" t="inlineStr">
        <is>
          <t>TORSBY</t>
        </is>
      </c>
      <c r="G359" t="n">
        <v>8.5</v>
      </c>
      <c r="H359" t="n">
        <v>0</v>
      </c>
      <c r="I359" t="n">
        <v>0</v>
      </c>
      <c r="J359" t="n">
        <v>1</v>
      </c>
      <c r="K359" t="n">
        <v>0</v>
      </c>
      <c r="L359" t="n">
        <v>0</v>
      </c>
      <c r="M359" t="n">
        <v>0</v>
      </c>
      <c r="N359" t="n">
        <v>0</v>
      </c>
      <c r="O359" t="n">
        <v>1</v>
      </c>
      <c r="P359" t="n">
        <v>0</v>
      </c>
      <c r="Q359" t="n">
        <v>1</v>
      </c>
      <c r="R359" s="2" t="inlineStr">
        <is>
          <t>Garnlav</t>
        </is>
      </c>
      <c r="S359">
        <f>HYPERLINK("https://klasma.github.io/Logging_1737/artfynd/A 8747-2021 artfynd.xlsx", "A 8747-2021")</f>
        <v/>
      </c>
      <c r="T359">
        <f>HYPERLINK("https://klasma.github.io/Logging_1737/kartor/A 8747-2021 karta.png", "A 8747-2021")</f>
        <v/>
      </c>
      <c r="V359">
        <f>HYPERLINK("https://klasma.github.io/Logging_1737/klagomål/A 8747-2021 FSC-klagomål.docx", "A 8747-2021")</f>
        <v/>
      </c>
      <c r="W359">
        <f>HYPERLINK("https://klasma.github.io/Logging_1737/klagomålsmail/A 8747-2021 FSC-klagomål mail.docx", "A 8747-2021")</f>
        <v/>
      </c>
      <c r="X359">
        <f>HYPERLINK("https://klasma.github.io/Logging_1737/tillsyn/A 8747-2021 tillsynsbegäran.docx", "A 8747-2021")</f>
        <v/>
      </c>
      <c r="Y359">
        <f>HYPERLINK("https://klasma.github.io/Logging_1737/tillsynsmail/A 8747-2021 tillsynsbegäran mail.docx", "A 8747-2021")</f>
        <v/>
      </c>
    </row>
    <row r="360" ht="15" customHeight="1">
      <c r="A360" t="inlineStr">
        <is>
          <t>A 38039-2024</t>
        </is>
      </c>
      <c r="B360" s="1" t="n">
        <v>45544</v>
      </c>
      <c r="C360" s="1" t="n">
        <v>45932</v>
      </c>
      <c r="D360" t="inlineStr">
        <is>
          <t>VÄRMLANDS LÄN</t>
        </is>
      </c>
      <c r="E360" t="inlineStr">
        <is>
          <t>KIL</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HYPERLINK("https://klasma.github.io/Logging_1715/artfynd/A 38039-2024 artfynd.xlsx", "A 38039-2024")</f>
        <v/>
      </c>
      <c r="T360">
        <f>HYPERLINK("https://klasma.github.io/Logging_1715/kartor/A 38039-2024 karta.png", "A 38039-2024")</f>
        <v/>
      </c>
      <c r="V360">
        <f>HYPERLINK("https://klasma.github.io/Logging_1715/klagomål/A 38039-2024 FSC-klagomål.docx", "A 38039-2024")</f>
        <v/>
      </c>
      <c r="W360">
        <f>HYPERLINK("https://klasma.github.io/Logging_1715/klagomålsmail/A 38039-2024 FSC-klagomål mail.docx", "A 38039-2024")</f>
        <v/>
      </c>
      <c r="X360">
        <f>HYPERLINK("https://klasma.github.io/Logging_1715/tillsyn/A 38039-2024 tillsynsbegäran.docx", "A 38039-2024")</f>
        <v/>
      </c>
      <c r="Y360">
        <f>HYPERLINK("https://klasma.github.io/Logging_1715/tillsynsmail/A 38039-2024 tillsynsbegäran mail.docx", "A 38039-2024")</f>
        <v/>
      </c>
    </row>
    <row r="361" ht="15" customHeight="1">
      <c r="A361" t="inlineStr">
        <is>
          <t>A 50318-2024</t>
        </is>
      </c>
      <c r="B361" s="1" t="n">
        <v>45600</v>
      </c>
      <c r="C361" s="1" t="n">
        <v>45932</v>
      </c>
      <c r="D361" t="inlineStr">
        <is>
          <t>VÄRMLANDS LÄN</t>
        </is>
      </c>
      <c r="E361" t="inlineStr">
        <is>
          <t>TORSBY</t>
        </is>
      </c>
      <c r="F361" t="inlineStr">
        <is>
          <t>Bergvik skog väst AB</t>
        </is>
      </c>
      <c r="G361" t="n">
        <v>3.5</v>
      </c>
      <c r="H361" t="n">
        <v>0</v>
      </c>
      <c r="I361" t="n">
        <v>1</v>
      </c>
      <c r="J361" t="n">
        <v>0</v>
      </c>
      <c r="K361" t="n">
        <v>0</v>
      </c>
      <c r="L361" t="n">
        <v>0</v>
      </c>
      <c r="M361" t="n">
        <v>0</v>
      </c>
      <c r="N361" t="n">
        <v>0</v>
      </c>
      <c r="O361" t="n">
        <v>0</v>
      </c>
      <c r="P361" t="n">
        <v>0</v>
      </c>
      <c r="Q361" t="n">
        <v>1</v>
      </c>
      <c r="R361" s="2" t="inlineStr">
        <is>
          <t>Vedticka</t>
        </is>
      </c>
      <c r="S361">
        <f>HYPERLINK("https://klasma.github.io/Logging_1737/artfynd/A 50318-2024 artfynd.xlsx", "A 50318-2024")</f>
        <v/>
      </c>
      <c r="T361">
        <f>HYPERLINK("https://klasma.github.io/Logging_1737/kartor/A 50318-2024 karta.png", "A 50318-2024")</f>
        <v/>
      </c>
      <c r="V361">
        <f>HYPERLINK("https://klasma.github.io/Logging_1737/klagomål/A 50318-2024 FSC-klagomål.docx", "A 50318-2024")</f>
        <v/>
      </c>
      <c r="W361">
        <f>HYPERLINK("https://klasma.github.io/Logging_1737/klagomålsmail/A 50318-2024 FSC-klagomål mail.docx", "A 50318-2024")</f>
        <v/>
      </c>
      <c r="X361">
        <f>HYPERLINK("https://klasma.github.io/Logging_1737/tillsyn/A 50318-2024 tillsynsbegäran.docx", "A 50318-2024")</f>
        <v/>
      </c>
      <c r="Y361">
        <f>HYPERLINK("https://klasma.github.io/Logging_1737/tillsynsmail/A 50318-2024 tillsynsbegäran mail.docx", "A 50318-2024")</f>
        <v/>
      </c>
    </row>
    <row r="362" ht="15" customHeight="1">
      <c r="A362" t="inlineStr">
        <is>
          <t>A 47689-2024</t>
        </is>
      </c>
      <c r="B362" s="1" t="n">
        <v>45588</v>
      </c>
      <c r="C362" s="1" t="n">
        <v>45932</v>
      </c>
      <c r="D362" t="inlineStr">
        <is>
          <t>VÄRMLANDS LÄN</t>
        </is>
      </c>
      <c r="E362" t="inlineStr">
        <is>
          <t>TORSBY</t>
        </is>
      </c>
      <c r="G362" t="n">
        <v>3.1</v>
      </c>
      <c r="H362" t="n">
        <v>0</v>
      </c>
      <c r="I362" t="n">
        <v>0</v>
      </c>
      <c r="J362" t="n">
        <v>1</v>
      </c>
      <c r="K362" t="n">
        <v>0</v>
      </c>
      <c r="L362" t="n">
        <v>0</v>
      </c>
      <c r="M362" t="n">
        <v>0</v>
      </c>
      <c r="N362" t="n">
        <v>0</v>
      </c>
      <c r="O362" t="n">
        <v>1</v>
      </c>
      <c r="P362" t="n">
        <v>0</v>
      </c>
      <c r="Q362" t="n">
        <v>1</v>
      </c>
      <c r="R362" s="2" t="inlineStr">
        <is>
          <t>Garnlav</t>
        </is>
      </c>
      <c r="S362">
        <f>HYPERLINK("https://klasma.github.io/Logging_1737/artfynd/A 47689-2024 artfynd.xlsx", "A 47689-2024")</f>
        <v/>
      </c>
      <c r="T362">
        <f>HYPERLINK("https://klasma.github.io/Logging_1737/kartor/A 47689-2024 karta.png", "A 47689-2024")</f>
        <v/>
      </c>
      <c r="V362">
        <f>HYPERLINK("https://klasma.github.io/Logging_1737/klagomål/A 47689-2024 FSC-klagomål.docx", "A 47689-2024")</f>
        <v/>
      </c>
      <c r="W362">
        <f>HYPERLINK("https://klasma.github.io/Logging_1737/klagomålsmail/A 47689-2024 FSC-klagomål mail.docx", "A 47689-2024")</f>
        <v/>
      </c>
      <c r="X362">
        <f>HYPERLINK("https://klasma.github.io/Logging_1737/tillsyn/A 47689-2024 tillsynsbegäran.docx", "A 47689-2024")</f>
        <v/>
      </c>
      <c r="Y362">
        <f>HYPERLINK("https://klasma.github.io/Logging_1737/tillsynsmail/A 47689-2024 tillsynsbegäran mail.docx", "A 47689-2024")</f>
        <v/>
      </c>
    </row>
    <row r="363" ht="15" customHeight="1">
      <c r="A363" t="inlineStr">
        <is>
          <t>A 24885-2025</t>
        </is>
      </c>
      <c r="B363" s="1" t="n">
        <v>45799.50837962963</v>
      </c>
      <c r="C363" s="1" t="n">
        <v>45932</v>
      </c>
      <c r="D363" t="inlineStr">
        <is>
          <t>VÄRMLANDS LÄN</t>
        </is>
      </c>
      <c r="E363" t="inlineStr">
        <is>
          <t>HAGFORS</t>
        </is>
      </c>
      <c r="F363" t="inlineStr">
        <is>
          <t>Bergvik skog väst AB</t>
        </is>
      </c>
      <c r="G363" t="n">
        <v>2</v>
      </c>
      <c r="H363" t="n">
        <v>0</v>
      </c>
      <c r="I363" t="n">
        <v>1</v>
      </c>
      <c r="J363" t="n">
        <v>0</v>
      </c>
      <c r="K363" t="n">
        <v>0</v>
      </c>
      <c r="L363" t="n">
        <v>0</v>
      </c>
      <c r="M363" t="n">
        <v>0</v>
      </c>
      <c r="N363" t="n">
        <v>0</v>
      </c>
      <c r="O363" t="n">
        <v>0</v>
      </c>
      <c r="P363" t="n">
        <v>0</v>
      </c>
      <c r="Q363" t="n">
        <v>1</v>
      </c>
      <c r="R363" s="2" t="inlineStr">
        <is>
          <t>Mörk husmossa</t>
        </is>
      </c>
      <c r="S363">
        <f>HYPERLINK("https://klasma.github.io/Logging_1783/artfynd/A 24885-2025 artfynd.xlsx", "A 24885-2025")</f>
        <v/>
      </c>
      <c r="T363">
        <f>HYPERLINK("https://klasma.github.io/Logging_1783/kartor/A 24885-2025 karta.png", "A 24885-2025")</f>
        <v/>
      </c>
      <c r="V363">
        <f>HYPERLINK("https://klasma.github.io/Logging_1783/klagomål/A 24885-2025 FSC-klagomål.docx", "A 24885-2025")</f>
        <v/>
      </c>
      <c r="W363">
        <f>HYPERLINK("https://klasma.github.io/Logging_1783/klagomålsmail/A 24885-2025 FSC-klagomål mail.docx", "A 24885-2025")</f>
        <v/>
      </c>
      <c r="X363">
        <f>HYPERLINK("https://klasma.github.io/Logging_1783/tillsyn/A 24885-2025 tillsynsbegäran.docx", "A 24885-2025")</f>
        <v/>
      </c>
      <c r="Y363">
        <f>HYPERLINK("https://klasma.github.io/Logging_1783/tillsynsmail/A 24885-2025 tillsynsbegäran mail.docx", "A 24885-2025")</f>
        <v/>
      </c>
    </row>
    <row r="364" ht="15" customHeight="1">
      <c r="A364" t="inlineStr">
        <is>
          <t>A 59323-2022</t>
        </is>
      </c>
      <c r="B364" s="1" t="n">
        <v>44904</v>
      </c>
      <c r="C364" s="1" t="n">
        <v>45932</v>
      </c>
      <c r="D364" t="inlineStr">
        <is>
          <t>VÄRMLANDS LÄN</t>
        </is>
      </c>
      <c r="E364" t="inlineStr">
        <is>
          <t>SUNNE</t>
        </is>
      </c>
      <c r="G364" t="n">
        <v>1.6</v>
      </c>
      <c r="H364" t="n">
        <v>1</v>
      </c>
      <c r="I364" t="n">
        <v>0</v>
      </c>
      <c r="J364" t="n">
        <v>1</v>
      </c>
      <c r="K364" t="n">
        <v>0</v>
      </c>
      <c r="L364" t="n">
        <v>0</v>
      </c>
      <c r="M364" t="n">
        <v>0</v>
      </c>
      <c r="N364" t="n">
        <v>0</v>
      </c>
      <c r="O364" t="n">
        <v>1</v>
      </c>
      <c r="P364" t="n">
        <v>0</v>
      </c>
      <c r="Q364" t="n">
        <v>1</v>
      </c>
      <c r="R364" s="2" t="inlineStr">
        <is>
          <t>Tretåig hackspett</t>
        </is>
      </c>
      <c r="S364">
        <f>HYPERLINK("https://klasma.github.io/Logging_1766/artfynd/A 59323-2022 artfynd.xlsx", "A 59323-2022")</f>
        <v/>
      </c>
      <c r="T364">
        <f>HYPERLINK("https://klasma.github.io/Logging_1766/kartor/A 59323-2022 karta.png", "A 59323-2022")</f>
        <v/>
      </c>
      <c r="V364">
        <f>HYPERLINK("https://klasma.github.io/Logging_1766/klagomål/A 59323-2022 FSC-klagomål.docx", "A 59323-2022")</f>
        <v/>
      </c>
      <c r="W364">
        <f>HYPERLINK("https://klasma.github.io/Logging_1766/klagomålsmail/A 59323-2022 FSC-klagomål mail.docx", "A 59323-2022")</f>
        <v/>
      </c>
      <c r="X364">
        <f>HYPERLINK("https://klasma.github.io/Logging_1766/tillsyn/A 59323-2022 tillsynsbegäran.docx", "A 59323-2022")</f>
        <v/>
      </c>
      <c r="Y364">
        <f>HYPERLINK("https://klasma.github.io/Logging_1766/tillsynsmail/A 59323-2022 tillsynsbegäran mail.docx", "A 59323-2022")</f>
        <v/>
      </c>
      <c r="Z364">
        <f>HYPERLINK("https://klasma.github.io/Logging_1766/fåglar/A 59323-2022 prioriterade fågelarter.docx", "A 59323-2022")</f>
        <v/>
      </c>
    </row>
    <row r="365" ht="15" customHeight="1">
      <c r="A365" t="inlineStr">
        <is>
          <t>A 66802-2020</t>
        </is>
      </c>
      <c r="B365" s="1" t="n">
        <v>44179</v>
      </c>
      <c r="C365" s="1" t="n">
        <v>45932</v>
      </c>
      <c r="D365" t="inlineStr">
        <is>
          <t>VÄRMLANDS LÄN</t>
        </is>
      </c>
      <c r="E365" t="inlineStr">
        <is>
          <t>EDA</t>
        </is>
      </c>
      <c r="G365" t="n">
        <v>8.1</v>
      </c>
      <c r="H365" t="n">
        <v>1</v>
      </c>
      <c r="I365" t="n">
        <v>0</v>
      </c>
      <c r="J365" t="n">
        <v>0</v>
      </c>
      <c r="K365" t="n">
        <v>0</v>
      </c>
      <c r="L365" t="n">
        <v>0</v>
      </c>
      <c r="M365" t="n">
        <v>0</v>
      </c>
      <c r="N365" t="n">
        <v>0</v>
      </c>
      <c r="O365" t="n">
        <v>0</v>
      </c>
      <c r="P365" t="n">
        <v>0</v>
      </c>
      <c r="Q365" t="n">
        <v>1</v>
      </c>
      <c r="R365" s="2" t="inlineStr">
        <is>
          <t>Mindre flugsnappare</t>
        </is>
      </c>
      <c r="S365">
        <f>HYPERLINK("https://klasma.github.io/Logging_1730/artfynd/A 66802-2020 artfynd.xlsx", "A 66802-2020")</f>
        <v/>
      </c>
      <c r="T365">
        <f>HYPERLINK("https://klasma.github.io/Logging_1730/kartor/A 66802-2020 karta.png", "A 66802-2020")</f>
        <v/>
      </c>
      <c r="V365">
        <f>HYPERLINK("https://klasma.github.io/Logging_1730/klagomål/A 66802-2020 FSC-klagomål.docx", "A 66802-2020")</f>
        <v/>
      </c>
      <c r="W365">
        <f>HYPERLINK("https://klasma.github.io/Logging_1730/klagomålsmail/A 66802-2020 FSC-klagomål mail.docx", "A 66802-2020")</f>
        <v/>
      </c>
      <c r="X365">
        <f>HYPERLINK("https://klasma.github.io/Logging_1730/tillsyn/A 66802-2020 tillsynsbegäran.docx", "A 66802-2020")</f>
        <v/>
      </c>
      <c r="Y365">
        <f>HYPERLINK("https://klasma.github.io/Logging_1730/tillsynsmail/A 66802-2020 tillsynsbegäran mail.docx", "A 66802-2020")</f>
        <v/>
      </c>
      <c r="Z365">
        <f>HYPERLINK("https://klasma.github.io/Logging_1730/fåglar/A 66802-2020 prioriterade fågelarter.docx", "A 66802-2020")</f>
        <v/>
      </c>
    </row>
    <row r="366" ht="15" customHeight="1">
      <c r="A366" t="inlineStr">
        <is>
          <t>A 74218-2021</t>
        </is>
      </c>
      <c r="B366" s="1" t="n">
        <v>44558</v>
      </c>
      <c r="C366" s="1" t="n">
        <v>45932</v>
      </c>
      <c r="D366" t="inlineStr">
        <is>
          <t>VÄRMLANDS LÄN</t>
        </is>
      </c>
      <c r="E366" t="inlineStr">
        <is>
          <t>ARVIKA</t>
        </is>
      </c>
      <c r="G366" t="n">
        <v>10</v>
      </c>
      <c r="H366" t="n">
        <v>1</v>
      </c>
      <c r="I366" t="n">
        <v>0</v>
      </c>
      <c r="J366" t="n">
        <v>1</v>
      </c>
      <c r="K366" t="n">
        <v>0</v>
      </c>
      <c r="L366" t="n">
        <v>0</v>
      </c>
      <c r="M366" t="n">
        <v>0</v>
      </c>
      <c r="N366" t="n">
        <v>0</v>
      </c>
      <c r="O366" t="n">
        <v>1</v>
      </c>
      <c r="P366" t="n">
        <v>0</v>
      </c>
      <c r="Q366" t="n">
        <v>1</v>
      </c>
      <c r="R366" s="2" t="inlineStr">
        <is>
          <t>Talltita</t>
        </is>
      </c>
      <c r="S366">
        <f>HYPERLINK("https://klasma.github.io/Logging_1784/artfynd/A 74218-2021 artfynd.xlsx", "A 74218-2021")</f>
        <v/>
      </c>
      <c r="T366">
        <f>HYPERLINK("https://klasma.github.io/Logging_1784/kartor/A 74218-2021 karta.png", "A 74218-2021")</f>
        <v/>
      </c>
      <c r="V366">
        <f>HYPERLINK("https://klasma.github.io/Logging_1784/klagomål/A 74218-2021 FSC-klagomål.docx", "A 74218-2021")</f>
        <v/>
      </c>
      <c r="W366">
        <f>HYPERLINK("https://klasma.github.io/Logging_1784/klagomålsmail/A 74218-2021 FSC-klagomål mail.docx", "A 74218-2021")</f>
        <v/>
      </c>
      <c r="X366">
        <f>HYPERLINK("https://klasma.github.io/Logging_1784/tillsyn/A 74218-2021 tillsynsbegäran.docx", "A 74218-2021")</f>
        <v/>
      </c>
      <c r="Y366">
        <f>HYPERLINK("https://klasma.github.io/Logging_1784/tillsynsmail/A 74218-2021 tillsynsbegäran mail.docx", "A 74218-2021")</f>
        <v/>
      </c>
      <c r="Z366">
        <f>HYPERLINK("https://klasma.github.io/Logging_1784/fåglar/A 74218-2021 prioriterade fågelarter.docx", "A 74218-2021")</f>
        <v/>
      </c>
    </row>
    <row r="367" ht="15" customHeight="1">
      <c r="A367" t="inlineStr">
        <is>
          <t>A 25217-2025</t>
        </is>
      </c>
      <c r="B367" s="1" t="n">
        <v>45800.4756712963</v>
      </c>
      <c r="C367" s="1" t="n">
        <v>45932</v>
      </c>
      <c r="D367" t="inlineStr">
        <is>
          <t>VÄRMLANDS LÄN</t>
        </is>
      </c>
      <c r="E367" t="inlineStr">
        <is>
          <t>TORSBY</t>
        </is>
      </c>
      <c r="G367" t="n">
        <v>10.9</v>
      </c>
      <c r="H367" t="n">
        <v>0</v>
      </c>
      <c r="I367" t="n">
        <v>0</v>
      </c>
      <c r="J367" t="n">
        <v>1</v>
      </c>
      <c r="K367" t="n">
        <v>0</v>
      </c>
      <c r="L367" t="n">
        <v>0</v>
      </c>
      <c r="M367" t="n">
        <v>0</v>
      </c>
      <c r="N367" t="n">
        <v>0</v>
      </c>
      <c r="O367" t="n">
        <v>1</v>
      </c>
      <c r="P367" t="n">
        <v>0</v>
      </c>
      <c r="Q367" t="n">
        <v>1</v>
      </c>
      <c r="R367" s="2" t="inlineStr">
        <is>
          <t>Dvärgbägarlav</t>
        </is>
      </c>
      <c r="S367">
        <f>HYPERLINK("https://klasma.github.io/Logging_1737/artfynd/A 25217-2025 artfynd.xlsx", "A 25217-2025")</f>
        <v/>
      </c>
      <c r="T367">
        <f>HYPERLINK("https://klasma.github.io/Logging_1737/kartor/A 25217-2025 karta.png", "A 25217-2025")</f>
        <v/>
      </c>
      <c r="V367">
        <f>HYPERLINK("https://klasma.github.io/Logging_1737/klagomål/A 25217-2025 FSC-klagomål.docx", "A 25217-2025")</f>
        <v/>
      </c>
      <c r="W367">
        <f>HYPERLINK("https://klasma.github.io/Logging_1737/klagomålsmail/A 25217-2025 FSC-klagomål mail.docx", "A 25217-2025")</f>
        <v/>
      </c>
      <c r="X367">
        <f>HYPERLINK("https://klasma.github.io/Logging_1737/tillsyn/A 25217-2025 tillsynsbegäran.docx", "A 25217-2025")</f>
        <v/>
      </c>
      <c r="Y367">
        <f>HYPERLINK("https://klasma.github.io/Logging_1737/tillsynsmail/A 25217-2025 tillsynsbegäran mail.docx", "A 25217-2025")</f>
        <v/>
      </c>
    </row>
    <row r="368" ht="15" customHeight="1">
      <c r="A368" t="inlineStr">
        <is>
          <t>A 6661-2023</t>
        </is>
      </c>
      <c r="B368" s="1" t="n">
        <v>44963</v>
      </c>
      <c r="C368" s="1" t="n">
        <v>45932</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25477-2025</t>
        </is>
      </c>
      <c r="B369" s="1" t="n">
        <v>45802</v>
      </c>
      <c r="C369" s="1" t="n">
        <v>45932</v>
      </c>
      <c r="D369" t="inlineStr">
        <is>
          <t>VÄRMLANDS LÄN</t>
        </is>
      </c>
      <c r="E369" t="inlineStr">
        <is>
          <t>ARVIKA</t>
        </is>
      </c>
      <c r="G369" t="n">
        <v>0.9</v>
      </c>
      <c r="H369" t="n">
        <v>0</v>
      </c>
      <c r="I369" t="n">
        <v>1</v>
      </c>
      <c r="J369" t="n">
        <v>0</v>
      </c>
      <c r="K369" t="n">
        <v>0</v>
      </c>
      <c r="L369" t="n">
        <v>0</v>
      </c>
      <c r="M369" t="n">
        <v>0</v>
      </c>
      <c r="N369" t="n">
        <v>0</v>
      </c>
      <c r="O369" t="n">
        <v>0</v>
      </c>
      <c r="P369" t="n">
        <v>0</v>
      </c>
      <c r="Q369" t="n">
        <v>1</v>
      </c>
      <c r="R369" s="2" t="inlineStr">
        <is>
          <t>Kamjordstjärna</t>
        </is>
      </c>
      <c r="S369">
        <f>HYPERLINK("https://klasma.github.io/Logging_1784/artfynd/A 25477-2025 artfynd.xlsx", "A 25477-2025")</f>
        <v/>
      </c>
      <c r="T369">
        <f>HYPERLINK("https://klasma.github.io/Logging_1784/kartor/A 25477-2025 karta.png", "A 25477-2025")</f>
        <v/>
      </c>
      <c r="V369">
        <f>HYPERLINK("https://klasma.github.io/Logging_1784/klagomål/A 25477-2025 FSC-klagomål.docx", "A 25477-2025")</f>
        <v/>
      </c>
      <c r="W369">
        <f>HYPERLINK("https://klasma.github.io/Logging_1784/klagomålsmail/A 25477-2025 FSC-klagomål mail.docx", "A 25477-2025")</f>
        <v/>
      </c>
      <c r="X369">
        <f>HYPERLINK("https://klasma.github.io/Logging_1784/tillsyn/A 25477-2025 tillsynsbegäran.docx", "A 25477-2025")</f>
        <v/>
      </c>
      <c r="Y369">
        <f>HYPERLINK("https://klasma.github.io/Logging_1784/tillsynsmail/A 25477-2025 tillsynsbegäran mail.docx", "A 25477-2025")</f>
        <v/>
      </c>
    </row>
    <row r="370" ht="15" customHeight="1">
      <c r="A370" t="inlineStr">
        <is>
          <t>A 25485-2025</t>
        </is>
      </c>
      <c r="B370" s="1" t="n">
        <v>45803</v>
      </c>
      <c r="C370" s="1" t="n">
        <v>45932</v>
      </c>
      <c r="D370" t="inlineStr">
        <is>
          <t>VÄRMLANDS LÄN</t>
        </is>
      </c>
      <c r="E370" t="inlineStr">
        <is>
          <t>SUNNE</t>
        </is>
      </c>
      <c r="G370" t="n">
        <v>14.3</v>
      </c>
      <c r="H370" t="n">
        <v>0</v>
      </c>
      <c r="I370" t="n">
        <v>0</v>
      </c>
      <c r="J370" t="n">
        <v>1</v>
      </c>
      <c r="K370" t="n">
        <v>0</v>
      </c>
      <c r="L370" t="n">
        <v>0</v>
      </c>
      <c r="M370" t="n">
        <v>0</v>
      </c>
      <c r="N370" t="n">
        <v>0</v>
      </c>
      <c r="O370" t="n">
        <v>1</v>
      </c>
      <c r="P370" t="n">
        <v>0</v>
      </c>
      <c r="Q370" t="n">
        <v>1</v>
      </c>
      <c r="R370" s="2" t="inlineStr">
        <is>
          <t>Garnlav</t>
        </is>
      </c>
      <c r="S370">
        <f>HYPERLINK("https://klasma.github.io/Logging_1766/artfynd/A 25485-2025 artfynd.xlsx", "A 25485-2025")</f>
        <v/>
      </c>
      <c r="T370">
        <f>HYPERLINK("https://klasma.github.io/Logging_1766/kartor/A 25485-2025 karta.png", "A 25485-2025")</f>
        <v/>
      </c>
      <c r="V370">
        <f>HYPERLINK("https://klasma.github.io/Logging_1766/klagomål/A 25485-2025 FSC-klagomål.docx", "A 25485-2025")</f>
        <v/>
      </c>
      <c r="W370">
        <f>HYPERLINK("https://klasma.github.io/Logging_1766/klagomålsmail/A 25485-2025 FSC-klagomål mail.docx", "A 25485-2025")</f>
        <v/>
      </c>
      <c r="X370">
        <f>HYPERLINK("https://klasma.github.io/Logging_1766/tillsyn/A 25485-2025 tillsynsbegäran.docx", "A 25485-2025")</f>
        <v/>
      </c>
      <c r="Y370">
        <f>HYPERLINK("https://klasma.github.io/Logging_1766/tillsynsmail/A 25485-2025 tillsynsbegäran mail.docx", "A 25485-2025")</f>
        <v/>
      </c>
    </row>
    <row r="371" ht="15" customHeight="1">
      <c r="A371" t="inlineStr">
        <is>
          <t>A 14898-2025</t>
        </is>
      </c>
      <c r="B371" s="1" t="n">
        <v>45743.47967592593</v>
      </c>
      <c r="C371" s="1" t="n">
        <v>45932</v>
      </c>
      <c r="D371" t="inlineStr">
        <is>
          <t>VÄRMLANDS LÄN</t>
        </is>
      </c>
      <c r="E371" t="inlineStr">
        <is>
          <t>ÅRJÄNG</t>
        </is>
      </c>
      <c r="G371" t="n">
        <v>9.300000000000001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14898-2025 artfynd.xlsx", "A 14898-2025")</f>
        <v/>
      </c>
      <c r="T371">
        <f>HYPERLINK("https://klasma.github.io/Logging_1765/kartor/A 14898-2025 karta.png", "A 14898-2025")</f>
        <v/>
      </c>
      <c r="V371">
        <f>HYPERLINK("https://klasma.github.io/Logging_1765/klagomål/A 14898-2025 FSC-klagomål.docx", "A 14898-2025")</f>
        <v/>
      </c>
      <c r="W371">
        <f>HYPERLINK("https://klasma.github.io/Logging_1765/klagomålsmail/A 14898-2025 FSC-klagomål mail.docx", "A 14898-2025")</f>
        <v/>
      </c>
      <c r="X371">
        <f>HYPERLINK("https://klasma.github.io/Logging_1765/tillsyn/A 14898-2025 tillsynsbegäran.docx", "A 14898-2025")</f>
        <v/>
      </c>
      <c r="Y371">
        <f>HYPERLINK("https://klasma.github.io/Logging_1765/tillsynsmail/A 14898-2025 tillsynsbegäran mail.docx", "A 14898-2025")</f>
        <v/>
      </c>
    </row>
    <row r="372" ht="15" customHeight="1">
      <c r="A372" t="inlineStr">
        <is>
          <t>A 1717-2023</t>
        </is>
      </c>
      <c r="B372" s="1" t="n">
        <v>44936</v>
      </c>
      <c r="C372" s="1" t="n">
        <v>45932</v>
      </c>
      <c r="D372" t="inlineStr">
        <is>
          <t>VÄRMLANDS LÄN</t>
        </is>
      </c>
      <c r="E372" t="inlineStr">
        <is>
          <t>SÄFFLE</t>
        </is>
      </c>
      <c r="G372" t="n">
        <v>0.7</v>
      </c>
      <c r="H372" t="n">
        <v>1</v>
      </c>
      <c r="I372" t="n">
        <v>0</v>
      </c>
      <c r="J372" t="n">
        <v>0</v>
      </c>
      <c r="K372" t="n">
        <v>0</v>
      </c>
      <c r="L372" t="n">
        <v>0</v>
      </c>
      <c r="M372" t="n">
        <v>0</v>
      </c>
      <c r="N372" t="n">
        <v>0</v>
      </c>
      <c r="O372" t="n">
        <v>0</v>
      </c>
      <c r="P372" t="n">
        <v>0</v>
      </c>
      <c r="Q372" t="n">
        <v>1</v>
      </c>
      <c r="R372" s="2" t="inlineStr">
        <is>
          <t>Fläcknycklar</t>
        </is>
      </c>
      <c r="S372">
        <f>HYPERLINK("https://klasma.github.io/Logging_1785/artfynd/A 1717-2023 artfynd.xlsx", "A 1717-2023")</f>
        <v/>
      </c>
      <c r="T372">
        <f>HYPERLINK("https://klasma.github.io/Logging_1785/kartor/A 1717-2023 karta.png", "A 1717-2023")</f>
        <v/>
      </c>
      <c r="V372">
        <f>HYPERLINK("https://klasma.github.io/Logging_1785/klagomål/A 1717-2023 FSC-klagomål.docx", "A 1717-2023")</f>
        <v/>
      </c>
      <c r="W372">
        <f>HYPERLINK("https://klasma.github.io/Logging_1785/klagomålsmail/A 1717-2023 FSC-klagomål mail.docx", "A 1717-2023")</f>
        <v/>
      </c>
      <c r="X372">
        <f>HYPERLINK("https://klasma.github.io/Logging_1785/tillsyn/A 1717-2023 tillsynsbegäran.docx", "A 1717-2023")</f>
        <v/>
      </c>
      <c r="Y372">
        <f>HYPERLINK("https://klasma.github.io/Logging_1785/tillsynsmail/A 1717-2023 tillsynsbegäran mail.docx", "A 1717-2023")</f>
        <v/>
      </c>
    </row>
    <row r="373" ht="15" customHeight="1">
      <c r="A373" t="inlineStr">
        <is>
          <t>A 16164-2025</t>
        </is>
      </c>
      <c r="B373" s="1" t="n">
        <v>45750</v>
      </c>
      <c r="C373" s="1" t="n">
        <v>45932</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Tallriska</t>
        </is>
      </c>
      <c r="S373">
        <f>HYPERLINK("https://klasma.github.io/Logging_1737/artfynd/A 16164-2025 artfynd.xlsx", "A 16164-2025")</f>
        <v/>
      </c>
      <c r="T373">
        <f>HYPERLINK("https://klasma.github.io/Logging_1737/kartor/A 16164-2025 karta.png", "A 16164-2025")</f>
        <v/>
      </c>
      <c r="V373">
        <f>HYPERLINK("https://klasma.github.io/Logging_1737/klagomål/A 16164-2025 FSC-klagomål.docx", "A 16164-2025")</f>
        <v/>
      </c>
      <c r="W373">
        <f>HYPERLINK("https://klasma.github.io/Logging_1737/klagomålsmail/A 16164-2025 FSC-klagomål mail.docx", "A 16164-2025")</f>
        <v/>
      </c>
      <c r="X373">
        <f>HYPERLINK("https://klasma.github.io/Logging_1737/tillsyn/A 16164-2025 tillsynsbegäran.docx", "A 16164-2025")</f>
        <v/>
      </c>
      <c r="Y373">
        <f>HYPERLINK("https://klasma.github.io/Logging_1737/tillsynsmail/A 16164-2025 tillsynsbegäran mail.docx", "A 16164-2025")</f>
        <v/>
      </c>
    </row>
    <row r="374" ht="15" customHeight="1">
      <c r="A374" t="inlineStr">
        <is>
          <t>A 49110-2021</t>
        </is>
      </c>
      <c r="B374" s="1" t="n">
        <v>44453</v>
      </c>
      <c r="C374" s="1" t="n">
        <v>45932</v>
      </c>
      <c r="D374" t="inlineStr">
        <is>
          <t>VÄRMLANDS LÄN</t>
        </is>
      </c>
      <c r="E374" t="inlineStr">
        <is>
          <t>TORSBY</t>
        </is>
      </c>
      <c r="G374" t="n">
        <v>33.8</v>
      </c>
      <c r="H374" t="n">
        <v>0</v>
      </c>
      <c r="I374" t="n">
        <v>1</v>
      </c>
      <c r="J374" t="n">
        <v>0</v>
      </c>
      <c r="K374" t="n">
        <v>0</v>
      </c>
      <c r="L374" t="n">
        <v>0</v>
      </c>
      <c r="M374" t="n">
        <v>0</v>
      </c>
      <c r="N374" t="n">
        <v>0</v>
      </c>
      <c r="O374" t="n">
        <v>0</v>
      </c>
      <c r="P374" t="n">
        <v>0</v>
      </c>
      <c r="Q374" t="n">
        <v>1</v>
      </c>
      <c r="R374" s="2" t="inlineStr">
        <is>
          <t>Vedticka</t>
        </is>
      </c>
      <c r="S374">
        <f>HYPERLINK("https://klasma.github.io/Logging_1737/artfynd/A 49110-2021 artfynd.xlsx", "A 49110-2021")</f>
        <v/>
      </c>
      <c r="T374">
        <f>HYPERLINK("https://klasma.github.io/Logging_1737/kartor/A 49110-2021 karta.png", "A 49110-2021")</f>
        <v/>
      </c>
      <c r="V374">
        <f>HYPERLINK("https://klasma.github.io/Logging_1737/klagomål/A 49110-2021 FSC-klagomål.docx", "A 49110-2021")</f>
        <v/>
      </c>
      <c r="W374">
        <f>HYPERLINK("https://klasma.github.io/Logging_1737/klagomålsmail/A 49110-2021 FSC-klagomål mail.docx", "A 49110-2021")</f>
        <v/>
      </c>
      <c r="X374">
        <f>HYPERLINK("https://klasma.github.io/Logging_1737/tillsyn/A 49110-2021 tillsynsbegäran.docx", "A 49110-2021")</f>
        <v/>
      </c>
      <c r="Y374">
        <f>HYPERLINK("https://klasma.github.io/Logging_1737/tillsynsmail/A 49110-2021 tillsynsbegäran mail.docx", "A 49110-2021")</f>
        <v/>
      </c>
    </row>
    <row r="375" ht="15" customHeight="1">
      <c r="A375" t="inlineStr">
        <is>
          <t>A 25916-2025</t>
        </is>
      </c>
      <c r="B375" s="1" t="n">
        <v>45804.566875</v>
      </c>
      <c r="C375" s="1" t="n">
        <v>45932</v>
      </c>
      <c r="D375" t="inlineStr">
        <is>
          <t>VÄRMLANDS LÄN</t>
        </is>
      </c>
      <c r="E375" t="inlineStr">
        <is>
          <t>FILIPSTAD</t>
        </is>
      </c>
      <c r="F375" t="inlineStr">
        <is>
          <t>Bergvik skog väst AB</t>
        </is>
      </c>
      <c r="G375" t="n">
        <v>26.4</v>
      </c>
      <c r="H375" t="n">
        <v>0</v>
      </c>
      <c r="I375" t="n">
        <v>0</v>
      </c>
      <c r="J375" t="n">
        <v>1</v>
      </c>
      <c r="K375" t="n">
        <v>0</v>
      </c>
      <c r="L375" t="n">
        <v>0</v>
      </c>
      <c r="M375" t="n">
        <v>0</v>
      </c>
      <c r="N375" t="n">
        <v>0</v>
      </c>
      <c r="O375" t="n">
        <v>1</v>
      </c>
      <c r="P375" t="n">
        <v>0</v>
      </c>
      <c r="Q375" t="n">
        <v>1</v>
      </c>
      <c r="R375" s="2" t="inlineStr">
        <is>
          <t>Lunglav</t>
        </is>
      </c>
      <c r="S375">
        <f>HYPERLINK("https://klasma.github.io/Logging_1782/artfynd/A 25916-2025 artfynd.xlsx", "A 25916-2025")</f>
        <v/>
      </c>
      <c r="T375">
        <f>HYPERLINK("https://klasma.github.io/Logging_1782/kartor/A 25916-2025 karta.png", "A 25916-2025")</f>
        <v/>
      </c>
      <c r="V375">
        <f>HYPERLINK("https://klasma.github.io/Logging_1782/klagomål/A 25916-2025 FSC-klagomål.docx", "A 25916-2025")</f>
        <v/>
      </c>
      <c r="W375">
        <f>HYPERLINK("https://klasma.github.io/Logging_1782/klagomålsmail/A 25916-2025 FSC-klagomål mail.docx", "A 25916-2025")</f>
        <v/>
      </c>
      <c r="X375">
        <f>HYPERLINK("https://klasma.github.io/Logging_1782/tillsyn/A 25916-2025 tillsynsbegäran.docx", "A 25916-2025")</f>
        <v/>
      </c>
      <c r="Y375">
        <f>HYPERLINK("https://klasma.github.io/Logging_1782/tillsynsmail/A 25916-2025 tillsynsbegäran mail.docx", "A 25916-2025")</f>
        <v/>
      </c>
    </row>
    <row r="376" ht="15" customHeight="1">
      <c r="A376" t="inlineStr">
        <is>
          <t>A 25802-2025</t>
        </is>
      </c>
      <c r="B376" s="1" t="n">
        <v>45804.40766203704</v>
      </c>
      <c r="C376" s="1" t="n">
        <v>45932</v>
      </c>
      <c r="D376" t="inlineStr">
        <is>
          <t>VÄRMLANDS LÄN</t>
        </is>
      </c>
      <c r="E376" t="inlineStr">
        <is>
          <t>TORSBY</t>
        </is>
      </c>
      <c r="G376" t="n">
        <v>2.3</v>
      </c>
      <c r="H376" t="n">
        <v>0</v>
      </c>
      <c r="I376" t="n">
        <v>0</v>
      </c>
      <c r="J376" t="n">
        <v>1</v>
      </c>
      <c r="K376" t="n">
        <v>0</v>
      </c>
      <c r="L376" t="n">
        <v>0</v>
      </c>
      <c r="M376" t="n">
        <v>0</v>
      </c>
      <c r="N376" t="n">
        <v>0</v>
      </c>
      <c r="O376" t="n">
        <v>1</v>
      </c>
      <c r="P376" t="n">
        <v>0</v>
      </c>
      <c r="Q376" t="n">
        <v>1</v>
      </c>
      <c r="R376" s="2" t="inlineStr">
        <is>
          <t>Tallticka</t>
        </is>
      </c>
      <c r="S376">
        <f>HYPERLINK("https://klasma.github.io/Logging_1737/artfynd/A 25802-2025 artfynd.xlsx", "A 25802-2025")</f>
        <v/>
      </c>
      <c r="T376">
        <f>HYPERLINK("https://klasma.github.io/Logging_1737/kartor/A 25802-2025 karta.png", "A 25802-2025")</f>
        <v/>
      </c>
      <c r="V376">
        <f>HYPERLINK("https://klasma.github.io/Logging_1737/klagomål/A 25802-2025 FSC-klagomål.docx", "A 25802-2025")</f>
        <v/>
      </c>
      <c r="W376">
        <f>HYPERLINK("https://klasma.github.io/Logging_1737/klagomålsmail/A 25802-2025 FSC-klagomål mail.docx", "A 25802-2025")</f>
        <v/>
      </c>
      <c r="X376">
        <f>HYPERLINK("https://klasma.github.io/Logging_1737/tillsyn/A 25802-2025 tillsynsbegäran.docx", "A 25802-2025")</f>
        <v/>
      </c>
      <c r="Y376">
        <f>HYPERLINK("https://klasma.github.io/Logging_1737/tillsynsmail/A 25802-2025 tillsynsbegäran mail.docx", "A 25802-2025")</f>
        <v/>
      </c>
    </row>
    <row r="377" ht="15" customHeight="1">
      <c r="A377" t="inlineStr">
        <is>
          <t>A 69709-2021</t>
        </is>
      </c>
      <c r="B377" s="1" t="n">
        <v>44532</v>
      </c>
      <c r="C377" s="1" t="n">
        <v>45932</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13359-2023</t>
        </is>
      </c>
      <c r="B378" s="1" t="n">
        <v>45005.46405092593</v>
      </c>
      <c r="C378" s="1" t="n">
        <v>45932</v>
      </c>
      <c r="D378" t="inlineStr">
        <is>
          <t>VÄRMLANDS LÄN</t>
        </is>
      </c>
      <c r="E378" t="inlineStr">
        <is>
          <t>TORSBY</t>
        </is>
      </c>
      <c r="G378" t="n">
        <v>12.9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13359-2023 artfynd.xlsx", "A 13359-2023")</f>
        <v/>
      </c>
      <c r="T378">
        <f>HYPERLINK("https://klasma.github.io/Logging_1737/kartor/A 13359-2023 karta.png", "A 13359-2023")</f>
        <v/>
      </c>
      <c r="V378">
        <f>HYPERLINK("https://klasma.github.io/Logging_1737/klagomål/A 13359-2023 FSC-klagomål.docx", "A 13359-2023")</f>
        <v/>
      </c>
      <c r="W378">
        <f>HYPERLINK("https://klasma.github.io/Logging_1737/klagomålsmail/A 13359-2023 FSC-klagomål mail.docx", "A 13359-2023")</f>
        <v/>
      </c>
      <c r="X378">
        <f>HYPERLINK("https://klasma.github.io/Logging_1737/tillsyn/A 13359-2023 tillsynsbegäran.docx", "A 13359-2023")</f>
        <v/>
      </c>
      <c r="Y378">
        <f>HYPERLINK("https://klasma.github.io/Logging_1737/tillsynsmail/A 13359-2023 tillsynsbegäran mail.docx", "A 13359-2023")</f>
        <v/>
      </c>
    </row>
    <row r="379" ht="15" customHeight="1">
      <c r="A379" t="inlineStr">
        <is>
          <t>A 13361-2023</t>
        </is>
      </c>
      <c r="B379" s="1" t="n">
        <v>45005</v>
      </c>
      <c r="C379" s="1" t="n">
        <v>45932</v>
      </c>
      <c r="D379" t="inlineStr">
        <is>
          <t>VÄRMLANDS LÄN</t>
        </is>
      </c>
      <c r="E379" t="inlineStr">
        <is>
          <t>TORSBY</t>
        </is>
      </c>
      <c r="G379" t="n">
        <v>8.5</v>
      </c>
      <c r="H379" t="n">
        <v>0</v>
      </c>
      <c r="I379" t="n">
        <v>1</v>
      </c>
      <c r="J379" t="n">
        <v>0</v>
      </c>
      <c r="K379" t="n">
        <v>0</v>
      </c>
      <c r="L379" t="n">
        <v>0</v>
      </c>
      <c r="M379" t="n">
        <v>0</v>
      </c>
      <c r="N379" t="n">
        <v>0</v>
      </c>
      <c r="O379" t="n">
        <v>0</v>
      </c>
      <c r="P379" t="n">
        <v>0</v>
      </c>
      <c r="Q379" t="n">
        <v>1</v>
      </c>
      <c r="R379" s="2" t="inlineStr">
        <is>
          <t>Dropptaggsvamp</t>
        </is>
      </c>
      <c r="S379">
        <f>HYPERLINK("https://klasma.github.io/Logging_1737/artfynd/A 13361-2023 artfynd.xlsx", "A 13361-2023")</f>
        <v/>
      </c>
      <c r="T379">
        <f>HYPERLINK("https://klasma.github.io/Logging_1737/kartor/A 13361-2023 karta.png", "A 13361-2023")</f>
        <v/>
      </c>
      <c r="V379">
        <f>HYPERLINK("https://klasma.github.io/Logging_1737/klagomål/A 13361-2023 FSC-klagomål.docx", "A 13361-2023")</f>
        <v/>
      </c>
      <c r="W379">
        <f>HYPERLINK("https://klasma.github.io/Logging_1737/klagomålsmail/A 13361-2023 FSC-klagomål mail.docx", "A 13361-2023")</f>
        <v/>
      </c>
      <c r="X379">
        <f>HYPERLINK("https://klasma.github.io/Logging_1737/tillsyn/A 13361-2023 tillsynsbegäran.docx", "A 13361-2023")</f>
        <v/>
      </c>
      <c r="Y379">
        <f>HYPERLINK("https://klasma.github.io/Logging_1737/tillsynsmail/A 13361-2023 tillsynsbegäran mail.docx", "A 13361-2023")</f>
        <v/>
      </c>
    </row>
    <row r="380" ht="15" customHeight="1">
      <c r="A380" t="inlineStr">
        <is>
          <t>A 59641-2021</t>
        </is>
      </c>
      <c r="B380" s="1" t="n">
        <v>44493</v>
      </c>
      <c r="C380" s="1" t="n">
        <v>45932</v>
      </c>
      <c r="D380" t="inlineStr">
        <is>
          <t>VÄRMLANDS LÄN</t>
        </is>
      </c>
      <c r="E380" t="inlineStr">
        <is>
          <t>KARLSTAD</t>
        </is>
      </c>
      <c r="G380" t="n">
        <v>1.9</v>
      </c>
      <c r="H380" t="n">
        <v>0</v>
      </c>
      <c r="I380" t="n">
        <v>1</v>
      </c>
      <c r="J380" t="n">
        <v>0</v>
      </c>
      <c r="K380" t="n">
        <v>0</v>
      </c>
      <c r="L380" t="n">
        <v>0</v>
      </c>
      <c r="M380" t="n">
        <v>0</v>
      </c>
      <c r="N380" t="n">
        <v>0</v>
      </c>
      <c r="O380" t="n">
        <v>0</v>
      </c>
      <c r="P380" t="n">
        <v>0</v>
      </c>
      <c r="Q380" t="n">
        <v>1</v>
      </c>
      <c r="R380" s="2" t="inlineStr">
        <is>
          <t>Dropptaggsvamp</t>
        </is>
      </c>
      <c r="S380">
        <f>HYPERLINK("https://klasma.github.io/Logging_1780/artfynd/A 59641-2021 artfynd.xlsx", "A 59641-2021")</f>
        <v/>
      </c>
      <c r="T380">
        <f>HYPERLINK("https://klasma.github.io/Logging_1780/kartor/A 59641-2021 karta.png", "A 59641-2021")</f>
        <v/>
      </c>
      <c r="V380">
        <f>HYPERLINK("https://klasma.github.io/Logging_1780/klagomål/A 59641-2021 FSC-klagomål.docx", "A 59641-2021")</f>
        <v/>
      </c>
      <c r="W380">
        <f>HYPERLINK("https://klasma.github.io/Logging_1780/klagomålsmail/A 59641-2021 FSC-klagomål mail.docx", "A 59641-2021")</f>
        <v/>
      </c>
      <c r="X380">
        <f>HYPERLINK("https://klasma.github.io/Logging_1780/tillsyn/A 59641-2021 tillsynsbegäran.docx", "A 59641-2021")</f>
        <v/>
      </c>
      <c r="Y380">
        <f>HYPERLINK("https://klasma.github.io/Logging_1780/tillsynsmail/A 59641-2021 tillsynsbegäran mail.docx", "A 59641-2021")</f>
        <v/>
      </c>
    </row>
    <row r="381" ht="15" customHeight="1">
      <c r="A381" t="inlineStr">
        <is>
          <t>A 26662-2025</t>
        </is>
      </c>
      <c r="B381" s="1" t="n">
        <v>45810</v>
      </c>
      <c r="C381" s="1" t="n">
        <v>45932</v>
      </c>
      <c r="D381" t="inlineStr">
        <is>
          <t>VÄRMLANDS LÄN</t>
        </is>
      </c>
      <c r="E381" t="inlineStr">
        <is>
          <t>GRUMS</t>
        </is>
      </c>
      <c r="F381" t="inlineStr">
        <is>
          <t>Bergvik skog väst AB</t>
        </is>
      </c>
      <c r="G381" t="n">
        <v>1.5</v>
      </c>
      <c r="H381" t="n">
        <v>0</v>
      </c>
      <c r="I381" t="n">
        <v>0</v>
      </c>
      <c r="J381" t="n">
        <v>1</v>
      </c>
      <c r="K381" t="n">
        <v>0</v>
      </c>
      <c r="L381" t="n">
        <v>0</v>
      </c>
      <c r="M381" t="n">
        <v>0</v>
      </c>
      <c r="N381" t="n">
        <v>0</v>
      </c>
      <c r="O381" t="n">
        <v>1</v>
      </c>
      <c r="P381" t="n">
        <v>0</v>
      </c>
      <c r="Q381" t="n">
        <v>1</v>
      </c>
      <c r="R381" s="2" t="inlineStr">
        <is>
          <t>Skogsklocka</t>
        </is>
      </c>
      <c r="S381">
        <f>HYPERLINK("https://klasma.github.io/Logging_1764/artfynd/A 26662-2025 artfynd.xlsx", "A 26662-2025")</f>
        <v/>
      </c>
      <c r="T381">
        <f>HYPERLINK("https://klasma.github.io/Logging_1764/kartor/A 26662-2025 karta.png", "A 26662-2025")</f>
        <v/>
      </c>
      <c r="V381">
        <f>HYPERLINK("https://klasma.github.io/Logging_1764/klagomål/A 26662-2025 FSC-klagomål.docx", "A 26662-2025")</f>
        <v/>
      </c>
      <c r="W381">
        <f>HYPERLINK("https://klasma.github.io/Logging_1764/klagomålsmail/A 26662-2025 FSC-klagomål mail.docx", "A 26662-2025")</f>
        <v/>
      </c>
      <c r="X381">
        <f>HYPERLINK("https://klasma.github.io/Logging_1764/tillsyn/A 26662-2025 tillsynsbegäran.docx", "A 26662-2025")</f>
        <v/>
      </c>
      <c r="Y381">
        <f>HYPERLINK("https://klasma.github.io/Logging_1764/tillsynsmail/A 26662-2025 tillsynsbegäran mail.docx", "A 26662-2025")</f>
        <v/>
      </c>
    </row>
    <row r="382" ht="15" customHeight="1">
      <c r="A382" t="inlineStr">
        <is>
          <t>A 27001-2025</t>
        </is>
      </c>
      <c r="B382" s="1" t="n">
        <v>45811</v>
      </c>
      <c r="C382" s="1" t="n">
        <v>45932</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27001-2025 artfynd.xlsx", "A 27001-2025")</f>
        <v/>
      </c>
      <c r="T382">
        <f>HYPERLINK("https://klasma.github.io/Logging_1765/kartor/A 27001-2025 karta.png", "A 27001-2025")</f>
        <v/>
      </c>
      <c r="V382">
        <f>HYPERLINK("https://klasma.github.io/Logging_1765/klagomål/A 27001-2025 FSC-klagomål.docx", "A 27001-2025")</f>
        <v/>
      </c>
      <c r="W382">
        <f>HYPERLINK("https://klasma.github.io/Logging_1765/klagomålsmail/A 27001-2025 FSC-klagomål mail.docx", "A 27001-2025")</f>
        <v/>
      </c>
      <c r="X382">
        <f>HYPERLINK("https://klasma.github.io/Logging_1765/tillsyn/A 27001-2025 tillsynsbegäran.docx", "A 27001-2025")</f>
        <v/>
      </c>
      <c r="Y382">
        <f>HYPERLINK("https://klasma.github.io/Logging_1765/tillsynsmail/A 27001-2025 tillsynsbegäran mail.docx", "A 27001-2025")</f>
        <v/>
      </c>
    </row>
    <row r="383" ht="15" customHeight="1">
      <c r="A383" t="inlineStr">
        <is>
          <t>A 36475-2024</t>
        </is>
      </c>
      <c r="B383" s="1" t="n">
        <v>45537</v>
      </c>
      <c r="C383" s="1" t="n">
        <v>45932</v>
      </c>
      <c r="D383" t="inlineStr">
        <is>
          <t>VÄRMLANDS LÄN</t>
        </is>
      </c>
      <c r="E383" t="inlineStr">
        <is>
          <t>ARVIKA</t>
        </is>
      </c>
      <c r="F383" t="inlineStr">
        <is>
          <t>Kommuner</t>
        </is>
      </c>
      <c r="G383" t="n">
        <v>2.2</v>
      </c>
      <c r="H383" t="n">
        <v>0</v>
      </c>
      <c r="I383" t="n">
        <v>0</v>
      </c>
      <c r="J383" t="n">
        <v>0</v>
      </c>
      <c r="K383" t="n">
        <v>1</v>
      </c>
      <c r="L383" t="n">
        <v>0</v>
      </c>
      <c r="M383" t="n">
        <v>0</v>
      </c>
      <c r="N383" t="n">
        <v>0</v>
      </c>
      <c r="O383" t="n">
        <v>1</v>
      </c>
      <c r="P383" t="n">
        <v>1</v>
      </c>
      <c r="Q383" t="n">
        <v>1</v>
      </c>
      <c r="R383" s="2" t="inlineStr">
        <is>
          <t>Slåttergubbemal</t>
        </is>
      </c>
      <c r="S383">
        <f>HYPERLINK("https://klasma.github.io/Logging_1784/artfynd/A 36475-2024 artfynd.xlsx", "A 36475-2024")</f>
        <v/>
      </c>
      <c r="T383">
        <f>HYPERLINK("https://klasma.github.io/Logging_1784/kartor/A 36475-2024 karta.png", "A 36475-2024")</f>
        <v/>
      </c>
      <c r="V383">
        <f>HYPERLINK("https://klasma.github.io/Logging_1784/klagomål/A 36475-2024 FSC-klagomål.docx", "A 36475-2024")</f>
        <v/>
      </c>
      <c r="W383">
        <f>HYPERLINK("https://klasma.github.io/Logging_1784/klagomålsmail/A 36475-2024 FSC-klagomål mail.docx", "A 36475-2024")</f>
        <v/>
      </c>
      <c r="X383">
        <f>HYPERLINK("https://klasma.github.io/Logging_1784/tillsyn/A 36475-2024 tillsynsbegäran.docx", "A 36475-2024")</f>
        <v/>
      </c>
      <c r="Y383">
        <f>HYPERLINK("https://klasma.github.io/Logging_1784/tillsynsmail/A 36475-2024 tillsynsbegäran mail.docx", "A 36475-2024")</f>
        <v/>
      </c>
    </row>
    <row r="384" ht="15" customHeight="1">
      <c r="A384" t="inlineStr">
        <is>
          <t>A 1387-2024</t>
        </is>
      </c>
      <c r="B384" s="1" t="n">
        <v>45303</v>
      </c>
      <c r="C384" s="1" t="n">
        <v>45932</v>
      </c>
      <c r="D384" t="inlineStr">
        <is>
          <t>VÄRMLANDS LÄN</t>
        </is>
      </c>
      <c r="E384" t="inlineStr">
        <is>
          <t>HAGFORS</t>
        </is>
      </c>
      <c r="F384" t="inlineStr">
        <is>
          <t>Bergvik skog väst AB</t>
        </is>
      </c>
      <c r="G384" t="n">
        <v>64.90000000000001</v>
      </c>
      <c r="H384" t="n">
        <v>1</v>
      </c>
      <c r="I384" t="n">
        <v>0</v>
      </c>
      <c r="J384" t="n">
        <v>0</v>
      </c>
      <c r="K384" t="n">
        <v>0</v>
      </c>
      <c r="L384" t="n">
        <v>0</v>
      </c>
      <c r="M384" t="n">
        <v>0</v>
      </c>
      <c r="N384" t="n">
        <v>0</v>
      </c>
      <c r="O384" t="n">
        <v>0</v>
      </c>
      <c r="P384" t="n">
        <v>0</v>
      </c>
      <c r="Q384" t="n">
        <v>1</v>
      </c>
      <c r="R384" s="2" t="inlineStr">
        <is>
          <t>Trana</t>
        </is>
      </c>
      <c r="S384">
        <f>HYPERLINK("https://klasma.github.io/Logging_1783/artfynd/A 1387-2024 artfynd.xlsx", "A 1387-2024")</f>
        <v/>
      </c>
      <c r="T384">
        <f>HYPERLINK("https://klasma.github.io/Logging_1783/kartor/A 1387-2024 karta.png", "A 1387-2024")</f>
        <v/>
      </c>
      <c r="V384">
        <f>HYPERLINK("https://klasma.github.io/Logging_1783/klagomål/A 1387-2024 FSC-klagomål.docx", "A 1387-2024")</f>
        <v/>
      </c>
      <c r="W384">
        <f>HYPERLINK("https://klasma.github.io/Logging_1783/klagomålsmail/A 1387-2024 FSC-klagomål mail.docx", "A 1387-2024")</f>
        <v/>
      </c>
      <c r="X384">
        <f>HYPERLINK("https://klasma.github.io/Logging_1783/tillsyn/A 1387-2024 tillsynsbegäran.docx", "A 1387-2024")</f>
        <v/>
      </c>
      <c r="Y384">
        <f>HYPERLINK("https://klasma.github.io/Logging_1783/tillsynsmail/A 1387-2024 tillsynsbegäran mail.docx", "A 1387-2024")</f>
        <v/>
      </c>
      <c r="Z384">
        <f>HYPERLINK("https://klasma.github.io/Logging_1783/fåglar/A 1387-2024 prioriterade fågelarter.docx", "A 1387-2024")</f>
        <v/>
      </c>
    </row>
    <row r="385" ht="15" customHeight="1">
      <c r="A385" t="inlineStr">
        <is>
          <t>A 27108-2025</t>
        </is>
      </c>
      <c r="B385" s="1" t="n">
        <v>45811.72777777778</v>
      </c>
      <c r="C385" s="1" t="n">
        <v>45932</v>
      </c>
      <c r="D385" t="inlineStr">
        <is>
          <t>VÄRMLANDS LÄN</t>
        </is>
      </c>
      <c r="E385" t="inlineStr">
        <is>
          <t>TORSBY</t>
        </is>
      </c>
      <c r="G385" t="n">
        <v>1.5</v>
      </c>
      <c r="H385" t="n">
        <v>0</v>
      </c>
      <c r="I385" t="n">
        <v>0</v>
      </c>
      <c r="J385" t="n">
        <v>1</v>
      </c>
      <c r="K385" t="n">
        <v>0</v>
      </c>
      <c r="L385" t="n">
        <v>0</v>
      </c>
      <c r="M385" t="n">
        <v>0</v>
      </c>
      <c r="N385" t="n">
        <v>0</v>
      </c>
      <c r="O385" t="n">
        <v>1</v>
      </c>
      <c r="P385" t="n">
        <v>0</v>
      </c>
      <c r="Q385" t="n">
        <v>1</v>
      </c>
      <c r="R385" s="2" t="inlineStr">
        <is>
          <t>Garnlav</t>
        </is>
      </c>
      <c r="S385">
        <f>HYPERLINK("https://klasma.github.io/Logging_1737/artfynd/A 27108-2025 artfynd.xlsx", "A 27108-2025")</f>
        <v/>
      </c>
      <c r="T385">
        <f>HYPERLINK("https://klasma.github.io/Logging_1737/kartor/A 27108-2025 karta.png", "A 27108-2025")</f>
        <v/>
      </c>
      <c r="V385">
        <f>HYPERLINK("https://klasma.github.io/Logging_1737/klagomål/A 27108-2025 FSC-klagomål.docx", "A 27108-2025")</f>
        <v/>
      </c>
      <c r="W385">
        <f>HYPERLINK("https://klasma.github.io/Logging_1737/klagomålsmail/A 27108-2025 FSC-klagomål mail.docx", "A 27108-2025")</f>
        <v/>
      </c>
      <c r="X385">
        <f>HYPERLINK("https://klasma.github.io/Logging_1737/tillsyn/A 27108-2025 tillsynsbegäran.docx", "A 27108-2025")</f>
        <v/>
      </c>
      <c r="Y385">
        <f>HYPERLINK("https://klasma.github.io/Logging_1737/tillsynsmail/A 27108-2025 tillsynsbegäran mail.docx", "A 27108-2025")</f>
        <v/>
      </c>
    </row>
    <row r="386" ht="15" customHeight="1">
      <c r="A386" t="inlineStr">
        <is>
          <t>A 56083-2022</t>
        </is>
      </c>
      <c r="B386" s="1" t="n">
        <v>44889</v>
      </c>
      <c r="C386" s="1" t="n">
        <v>45932</v>
      </c>
      <c r="D386" t="inlineStr">
        <is>
          <t>VÄRMLANDS LÄN</t>
        </is>
      </c>
      <c r="E386" t="inlineStr">
        <is>
          <t>HAGFORS</t>
        </is>
      </c>
      <c r="F386" t="inlineStr">
        <is>
          <t>Bergvik skog väst AB</t>
        </is>
      </c>
      <c r="G386" t="n">
        <v>19.1</v>
      </c>
      <c r="H386" t="n">
        <v>0</v>
      </c>
      <c r="I386" t="n">
        <v>1</v>
      </c>
      <c r="J386" t="n">
        <v>0</v>
      </c>
      <c r="K386" t="n">
        <v>0</v>
      </c>
      <c r="L386" t="n">
        <v>0</v>
      </c>
      <c r="M386" t="n">
        <v>0</v>
      </c>
      <c r="N386" t="n">
        <v>0</v>
      </c>
      <c r="O386" t="n">
        <v>0</v>
      </c>
      <c r="P386" t="n">
        <v>0</v>
      </c>
      <c r="Q386" t="n">
        <v>1</v>
      </c>
      <c r="R386" s="2" t="inlineStr">
        <is>
          <t>Dropptaggsvamp</t>
        </is>
      </c>
      <c r="S386">
        <f>HYPERLINK("https://klasma.github.io/Logging_1783/artfynd/A 56083-2022 artfynd.xlsx", "A 56083-2022")</f>
        <v/>
      </c>
      <c r="T386">
        <f>HYPERLINK("https://klasma.github.io/Logging_1783/kartor/A 56083-2022 karta.png", "A 56083-2022")</f>
        <v/>
      </c>
      <c r="V386">
        <f>HYPERLINK("https://klasma.github.io/Logging_1783/klagomål/A 56083-2022 FSC-klagomål.docx", "A 56083-2022")</f>
        <v/>
      </c>
      <c r="W386">
        <f>HYPERLINK("https://klasma.github.io/Logging_1783/klagomålsmail/A 56083-2022 FSC-klagomål mail.docx", "A 56083-2022")</f>
        <v/>
      </c>
      <c r="X386">
        <f>HYPERLINK("https://klasma.github.io/Logging_1783/tillsyn/A 56083-2022 tillsynsbegäran.docx", "A 56083-2022")</f>
        <v/>
      </c>
      <c r="Y386">
        <f>HYPERLINK("https://klasma.github.io/Logging_1783/tillsynsmail/A 56083-2022 tillsynsbegäran mail.docx", "A 56083-2022")</f>
        <v/>
      </c>
    </row>
    <row r="387" ht="15" customHeight="1">
      <c r="A387" t="inlineStr">
        <is>
          <t>A 26624-2025</t>
        </is>
      </c>
      <c r="B387" s="1" t="n">
        <v>45810</v>
      </c>
      <c r="C387" s="1" t="n">
        <v>45932</v>
      </c>
      <c r="D387" t="inlineStr">
        <is>
          <t>VÄRMLANDS LÄN</t>
        </is>
      </c>
      <c r="E387" t="inlineStr">
        <is>
          <t>HAGFORS</t>
        </is>
      </c>
      <c r="F387" t="inlineStr">
        <is>
          <t>Bergvik skog väst AB</t>
        </is>
      </c>
      <c r="G387" t="n">
        <v>1.4</v>
      </c>
      <c r="H387" t="n">
        <v>1</v>
      </c>
      <c r="I387" t="n">
        <v>0</v>
      </c>
      <c r="J387" t="n">
        <v>0</v>
      </c>
      <c r="K387" t="n">
        <v>0</v>
      </c>
      <c r="L387" t="n">
        <v>0</v>
      </c>
      <c r="M387" t="n">
        <v>0</v>
      </c>
      <c r="N387" t="n">
        <v>0</v>
      </c>
      <c r="O387" t="n">
        <v>0</v>
      </c>
      <c r="P387" t="n">
        <v>0</v>
      </c>
      <c r="Q387" t="n">
        <v>1</v>
      </c>
      <c r="R387" s="2" t="inlineStr">
        <is>
          <t>Mattlummer</t>
        </is>
      </c>
      <c r="S387">
        <f>HYPERLINK("https://klasma.github.io/Logging_1783/artfynd/A 26624-2025 artfynd.xlsx", "A 26624-2025")</f>
        <v/>
      </c>
      <c r="T387">
        <f>HYPERLINK("https://klasma.github.io/Logging_1783/kartor/A 26624-2025 karta.png", "A 26624-2025")</f>
        <v/>
      </c>
      <c r="V387">
        <f>HYPERLINK("https://klasma.github.io/Logging_1783/klagomål/A 26624-2025 FSC-klagomål.docx", "A 26624-2025")</f>
        <v/>
      </c>
      <c r="W387">
        <f>HYPERLINK("https://klasma.github.io/Logging_1783/klagomålsmail/A 26624-2025 FSC-klagomål mail.docx", "A 26624-2025")</f>
        <v/>
      </c>
      <c r="X387">
        <f>HYPERLINK("https://klasma.github.io/Logging_1783/tillsyn/A 26624-2025 tillsynsbegäran.docx", "A 26624-2025")</f>
        <v/>
      </c>
      <c r="Y387">
        <f>HYPERLINK("https://klasma.github.io/Logging_1783/tillsynsmail/A 26624-2025 tillsynsbegäran mail.docx", "A 26624-2025")</f>
        <v/>
      </c>
    </row>
    <row r="388" ht="15" customHeight="1">
      <c r="A388" t="inlineStr">
        <is>
          <t>A 1823-2023</t>
        </is>
      </c>
      <c r="B388" s="1" t="n">
        <v>44938</v>
      </c>
      <c r="C388" s="1" t="n">
        <v>45932</v>
      </c>
      <c r="D388" t="inlineStr">
        <is>
          <t>VÄRMLANDS LÄN</t>
        </is>
      </c>
      <c r="E388" t="inlineStr">
        <is>
          <t>SÄFFLE</t>
        </is>
      </c>
      <c r="G388" t="n">
        <v>4.4</v>
      </c>
      <c r="H388" t="n">
        <v>0</v>
      </c>
      <c r="I388" t="n">
        <v>0</v>
      </c>
      <c r="J388" t="n">
        <v>1</v>
      </c>
      <c r="K388" t="n">
        <v>0</v>
      </c>
      <c r="L388" t="n">
        <v>0</v>
      </c>
      <c r="M388" t="n">
        <v>0</v>
      </c>
      <c r="N388" t="n">
        <v>0</v>
      </c>
      <c r="O388" t="n">
        <v>1</v>
      </c>
      <c r="P388" t="n">
        <v>0</v>
      </c>
      <c r="Q388" t="n">
        <v>1</v>
      </c>
      <c r="R388" s="2" t="inlineStr">
        <is>
          <t>Skogsklocka</t>
        </is>
      </c>
      <c r="S388">
        <f>HYPERLINK("https://klasma.github.io/Logging_1785/artfynd/A 1823-2023 artfynd.xlsx", "A 1823-2023")</f>
        <v/>
      </c>
      <c r="T388">
        <f>HYPERLINK("https://klasma.github.io/Logging_1785/kartor/A 1823-2023 karta.png", "A 1823-2023")</f>
        <v/>
      </c>
      <c r="V388">
        <f>HYPERLINK("https://klasma.github.io/Logging_1785/klagomål/A 1823-2023 FSC-klagomål.docx", "A 1823-2023")</f>
        <v/>
      </c>
      <c r="W388">
        <f>HYPERLINK("https://klasma.github.io/Logging_1785/klagomålsmail/A 1823-2023 FSC-klagomål mail.docx", "A 1823-2023")</f>
        <v/>
      </c>
      <c r="X388">
        <f>HYPERLINK("https://klasma.github.io/Logging_1785/tillsyn/A 1823-2023 tillsynsbegäran.docx", "A 1823-2023")</f>
        <v/>
      </c>
      <c r="Y388">
        <f>HYPERLINK("https://klasma.github.io/Logging_1785/tillsynsmail/A 1823-2023 tillsynsbegäran mail.docx", "A 1823-2023")</f>
        <v/>
      </c>
    </row>
    <row r="389" ht="15" customHeight="1">
      <c r="A389" t="inlineStr">
        <is>
          <t>A 41484-2023</t>
        </is>
      </c>
      <c r="B389" s="1" t="n">
        <v>45175</v>
      </c>
      <c r="C389" s="1" t="n">
        <v>45932</v>
      </c>
      <c r="D389" t="inlineStr">
        <is>
          <t>VÄRMLANDS LÄN</t>
        </is>
      </c>
      <c r="E389" t="inlineStr">
        <is>
          <t>KARLSTAD</t>
        </is>
      </c>
      <c r="G389" t="n">
        <v>8.699999999999999</v>
      </c>
      <c r="H389" t="n">
        <v>1</v>
      </c>
      <c r="I389" t="n">
        <v>0</v>
      </c>
      <c r="J389" t="n">
        <v>1</v>
      </c>
      <c r="K389" t="n">
        <v>0</v>
      </c>
      <c r="L389" t="n">
        <v>0</v>
      </c>
      <c r="M389" t="n">
        <v>0</v>
      </c>
      <c r="N389" t="n">
        <v>0</v>
      </c>
      <c r="O389" t="n">
        <v>1</v>
      </c>
      <c r="P389" t="n">
        <v>0</v>
      </c>
      <c r="Q389" t="n">
        <v>1</v>
      </c>
      <c r="R389" s="2" t="inlineStr">
        <is>
          <t>Spillkråka</t>
        </is>
      </c>
      <c r="S389">
        <f>HYPERLINK("https://klasma.github.io/Logging_1780/artfynd/A 41484-2023 artfynd.xlsx", "A 41484-2023")</f>
        <v/>
      </c>
      <c r="T389">
        <f>HYPERLINK("https://klasma.github.io/Logging_1780/kartor/A 41484-2023 karta.png", "A 41484-2023")</f>
        <v/>
      </c>
      <c r="V389">
        <f>HYPERLINK("https://klasma.github.io/Logging_1780/klagomål/A 41484-2023 FSC-klagomål.docx", "A 41484-2023")</f>
        <v/>
      </c>
      <c r="W389">
        <f>HYPERLINK("https://klasma.github.io/Logging_1780/klagomålsmail/A 41484-2023 FSC-klagomål mail.docx", "A 41484-2023")</f>
        <v/>
      </c>
      <c r="X389">
        <f>HYPERLINK("https://klasma.github.io/Logging_1780/tillsyn/A 41484-2023 tillsynsbegäran.docx", "A 41484-2023")</f>
        <v/>
      </c>
      <c r="Y389">
        <f>HYPERLINK("https://klasma.github.io/Logging_1780/tillsynsmail/A 41484-2023 tillsynsbegäran mail.docx", "A 41484-2023")</f>
        <v/>
      </c>
      <c r="Z389">
        <f>HYPERLINK("https://klasma.github.io/Logging_1780/fåglar/A 41484-2023 prioriterade fågelarter.docx", "A 41484-2023")</f>
        <v/>
      </c>
    </row>
    <row r="390" ht="15" customHeight="1">
      <c r="A390" t="inlineStr">
        <is>
          <t>A 260-2023</t>
        </is>
      </c>
      <c r="B390" s="1" t="n">
        <v>44928.76914351852</v>
      </c>
      <c r="C390" s="1" t="n">
        <v>45932</v>
      </c>
      <c r="D390" t="inlineStr">
        <is>
          <t>VÄRMLANDS LÄN</t>
        </is>
      </c>
      <c r="E390" t="inlineStr">
        <is>
          <t>SUNNE</t>
        </is>
      </c>
      <c r="G390" t="n">
        <v>16.1</v>
      </c>
      <c r="H390" t="n">
        <v>1</v>
      </c>
      <c r="I390" t="n">
        <v>0</v>
      </c>
      <c r="J390" t="n">
        <v>0</v>
      </c>
      <c r="K390" t="n">
        <v>0</v>
      </c>
      <c r="L390" t="n">
        <v>0</v>
      </c>
      <c r="M390" t="n">
        <v>0</v>
      </c>
      <c r="N390" t="n">
        <v>0</v>
      </c>
      <c r="O390" t="n">
        <v>0</v>
      </c>
      <c r="P390" t="n">
        <v>0</v>
      </c>
      <c r="Q390" t="n">
        <v>1</v>
      </c>
      <c r="R390" s="2" t="inlineStr">
        <is>
          <t>Fläcknycklar</t>
        </is>
      </c>
      <c r="S390">
        <f>HYPERLINK("https://klasma.github.io/Logging_1766/artfynd/A 260-2023 artfynd.xlsx", "A 260-2023")</f>
        <v/>
      </c>
      <c r="T390">
        <f>HYPERLINK("https://klasma.github.io/Logging_1766/kartor/A 260-2023 karta.png", "A 260-2023")</f>
        <v/>
      </c>
      <c r="V390">
        <f>HYPERLINK("https://klasma.github.io/Logging_1766/klagomål/A 260-2023 FSC-klagomål.docx", "A 260-2023")</f>
        <v/>
      </c>
      <c r="W390">
        <f>HYPERLINK("https://klasma.github.io/Logging_1766/klagomålsmail/A 260-2023 FSC-klagomål mail.docx", "A 260-2023")</f>
        <v/>
      </c>
      <c r="X390">
        <f>HYPERLINK("https://klasma.github.io/Logging_1766/tillsyn/A 260-2023 tillsynsbegäran.docx", "A 260-2023")</f>
        <v/>
      </c>
      <c r="Y390">
        <f>HYPERLINK("https://klasma.github.io/Logging_1766/tillsynsmail/A 260-2023 tillsynsbegäran mail.docx", "A 260-2023")</f>
        <v/>
      </c>
    </row>
    <row r="391" ht="15" customHeight="1">
      <c r="A391" t="inlineStr">
        <is>
          <t>A 23860-2023</t>
        </is>
      </c>
      <c r="B391" s="1" t="n">
        <v>45078</v>
      </c>
      <c r="C391" s="1" t="n">
        <v>45932</v>
      </c>
      <c r="D391" t="inlineStr">
        <is>
          <t>VÄRMLANDS LÄN</t>
        </is>
      </c>
      <c r="E391" t="inlineStr">
        <is>
          <t>GRUMS</t>
        </is>
      </c>
      <c r="G391" t="n">
        <v>3.5</v>
      </c>
      <c r="H391" t="n">
        <v>1</v>
      </c>
      <c r="I391" t="n">
        <v>0</v>
      </c>
      <c r="J391" t="n">
        <v>1</v>
      </c>
      <c r="K391" t="n">
        <v>0</v>
      </c>
      <c r="L391" t="n">
        <v>0</v>
      </c>
      <c r="M391" t="n">
        <v>0</v>
      </c>
      <c r="N391" t="n">
        <v>0</v>
      </c>
      <c r="O391" t="n">
        <v>1</v>
      </c>
      <c r="P391" t="n">
        <v>0</v>
      </c>
      <c r="Q391" t="n">
        <v>1</v>
      </c>
      <c r="R391" s="2" t="inlineStr">
        <is>
          <t>Gulsparv</t>
        </is>
      </c>
      <c r="S391">
        <f>HYPERLINK("https://klasma.github.io/Logging_1764/artfynd/A 23860-2023 artfynd.xlsx", "A 23860-2023")</f>
        <v/>
      </c>
      <c r="T391">
        <f>HYPERLINK("https://klasma.github.io/Logging_1764/kartor/A 23860-2023 karta.png", "A 23860-2023")</f>
        <v/>
      </c>
      <c r="V391">
        <f>HYPERLINK("https://klasma.github.io/Logging_1764/klagomål/A 23860-2023 FSC-klagomål.docx", "A 23860-2023")</f>
        <v/>
      </c>
      <c r="W391">
        <f>HYPERLINK("https://klasma.github.io/Logging_1764/klagomålsmail/A 23860-2023 FSC-klagomål mail.docx", "A 23860-2023")</f>
        <v/>
      </c>
      <c r="X391">
        <f>HYPERLINK("https://klasma.github.io/Logging_1764/tillsyn/A 23860-2023 tillsynsbegäran.docx", "A 23860-2023")</f>
        <v/>
      </c>
      <c r="Y391">
        <f>HYPERLINK("https://klasma.github.io/Logging_1764/tillsynsmail/A 23860-2023 tillsynsbegäran mail.docx", "A 23860-2023")</f>
        <v/>
      </c>
      <c r="Z391">
        <f>HYPERLINK("https://klasma.github.io/Logging_1764/fåglar/A 23860-2023 prioriterade fågelarter.docx", "A 23860-2023")</f>
        <v/>
      </c>
    </row>
    <row r="392" ht="15" customHeight="1">
      <c r="A392" t="inlineStr">
        <is>
          <t>A 56642-2022</t>
        </is>
      </c>
      <c r="B392" s="1" t="n">
        <v>44893</v>
      </c>
      <c r="C392" s="1" t="n">
        <v>45932</v>
      </c>
      <c r="D392" t="inlineStr">
        <is>
          <t>VÄRMLANDS LÄN</t>
        </is>
      </c>
      <c r="E392" t="inlineStr">
        <is>
          <t>KIL</t>
        </is>
      </c>
      <c r="F392" t="inlineStr">
        <is>
          <t>Bergvik skog väst AB</t>
        </is>
      </c>
      <c r="G392" t="n">
        <v>2.5</v>
      </c>
      <c r="H392" t="n">
        <v>0</v>
      </c>
      <c r="I392" t="n">
        <v>1</v>
      </c>
      <c r="J392" t="n">
        <v>0</v>
      </c>
      <c r="K392" t="n">
        <v>0</v>
      </c>
      <c r="L392" t="n">
        <v>0</v>
      </c>
      <c r="M392" t="n">
        <v>0</v>
      </c>
      <c r="N392" t="n">
        <v>0</v>
      </c>
      <c r="O392" t="n">
        <v>0</v>
      </c>
      <c r="P392" t="n">
        <v>0</v>
      </c>
      <c r="Q392" t="n">
        <v>1</v>
      </c>
      <c r="R392" s="2" t="inlineStr">
        <is>
          <t>Svart trolldruva</t>
        </is>
      </c>
      <c r="S392">
        <f>HYPERLINK("https://klasma.github.io/Logging_1715/artfynd/A 56642-2022 artfynd.xlsx", "A 56642-2022")</f>
        <v/>
      </c>
      <c r="T392">
        <f>HYPERLINK("https://klasma.github.io/Logging_1715/kartor/A 56642-2022 karta.png", "A 56642-2022")</f>
        <v/>
      </c>
      <c r="V392">
        <f>HYPERLINK("https://klasma.github.io/Logging_1715/klagomål/A 56642-2022 FSC-klagomål.docx", "A 56642-2022")</f>
        <v/>
      </c>
      <c r="W392">
        <f>HYPERLINK("https://klasma.github.io/Logging_1715/klagomålsmail/A 56642-2022 FSC-klagomål mail.docx", "A 56642-2022")</f>
        <v/>
      </c>
      <c r="X392">
        <f>HYPERLINK("https://klasma.github.io/Logging_1715/tillsyn/A 56642-2022 tillsynsbegäran.docx", "A 56642-2022")</f>
        <v/>
      </c>
      <c r="Y392">
        <f>HYPERLINK("https://klasma.github.io/Logging_1715/tillsynsmail/A 56642-2022 tillsynsbegäran mail.docx", "A 56642-2022")</f>
        <v/>
      </c>
    </row>
    <row r="393" ht="15" customHeight="1">
      <c r="A393" t="inlineStr">
        <is>
          <t>A 43388-2023</t>
        </is>
      </c>
      <c r="B393" s="1" t="n">
        <v>45183</v>
      </c>
      <c r="C393" s="1" t="n">
        <v>45932</v>
      </c>
      <c r="D393" t="inlineStr">
        <is>
          <t>VÄRMLANDS LÄN</t>
        </is>
      </c>
      <c r="E393" t="inlineStr">
        <is>
          <t>ARVIKA</t>
        </is>
      </c>
      <c r="G393" t="n">
        <v>0.7</v>
      </c>
      <c r="H393" t="n">
        <v>1</v>
      </c>
      <c r="I393" t="n">
        <v>0</v>
      </c>
      <c r="J393" t="n">
        <v>0</v>
      </c>
      <c r="K393" t="n">
        <v>1</v>
      </c>
      <c r="L393" t="n">
        <v>0</v>
      </c>
      <c r="M393" t="n">
        <v>0</v>
      </c>
      <c r="N393" t="n">
        <v>0</v>
      </c>
      <c r="O393" t="n">
        <v>1</v>
      </c>
      <c r="P393" t="n">
        <v>1</v>
      </c>
      <c r="Q393" t="n">
        <v>1</v>
      </c>
      <c r="R393" s="2" t="inlineStr">
        <is>
          <t>Knärot</t>
        </is>
      </c>
      <c r="S393">
        <f>HYPERLINK("https://klasma.github.io/Logging_1784/artfynd/A 43388-2023 artfynd.xlsx", "A 43388-2023")</f>
        <v/>
      </c>
      <c r="T393">
        <f>HYPERLINK("https://klasma.github.io/Logging_1784/kartor/A 43388-2023 karta.png", "A 43388-2023")</f>
        <v/>
      </c>
      <c r="U393">
        <f>HYPERLINK("https://klasma.github.io/Logging_1784/knärot/A 43388-2023 karta knärot.png", "A 43388-2023")</f>
        <v/>
      </c>
      <c r="V393">
        <f>HYPERLINK("https://klasma.github.io/Logging_1784/klagomål/A 43388-2023 FSC-klagomål.docx", "A 43388-2023")</f>
        <v/>
      </c>
      <c r="W393">
        <f>HYPERLINK("https://klasma.github.io/Logging_1784/klagomålsmail/A 43388-2023 FSC-klagomål mail.docx", "A 43388-2023")</f>
        <v/>
      </c>
      <c r="X393">
        <f>HYPERLINK("https://klasma.github.io/Logging_1784/tillsyn/A 43388-2023 tillsynsbegäran.docx", "A 43388-2023")</f>
        <v/>
      </c>
      <c r="Y393">
        <f>HYPERLINK("https://klasma.github.io/Logging_1784/tillsynsmail/A 43388-2023 tillsynsbegäran mail.docx", "A 43388-2023")</f>
        <v/>
      </c>
    </row>
    <row r="394" ht="15" customHeight="1">
      <c r="A394" t="inlineStr">
        <is>
          <t>A 2383-2024</t>
        </is>
      </c>
      <c r="B394" s="1" t="n">
        <v>45310</v>
      </c>
      <c r="C394" s="1" t="n">
        <v>45932</v>
      </c>
      <c r="D394" t="inlineStr">
        <is>
          <t>VÄRMLANDS LÄN</t>
        </is>
      </c>
      <c r="E394" t="inlineStr">
        <is>
          <t>EDA</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HYPERLINK("https://klasma.github.io/Logging_1730/artfynd/A 2383-2024 artfynd.xlsx", "A 2383-2024")</f>
        <v/>
      </c>
      <c r="T394">
        <f>HYPERLINK("https://klasma.github.io/Logging_1730/kartor/A 2383-2024 karta.png", "A 2383-2024")</f>
        <v/>
      </c>
      <c r="U394">
        <f>HYPERLINK("https://klasma.github.io/Logging_1730/knärot/A 2383-2024 karta knärot.png", "A 2383-2024")</f>
        <v/>
      </c>
      <c r="V394">
        <f>HYPERLINK("https://klasma.github.io/Logging_1730/klagomål/A 2383-2024 FSC-klagomål.docx", "A 2383-2024")</f>
        <v/>
      </c>
      <c r="W394">
        <f>HYPERLINK("https://klasma.github.io/Logging_1730/klagomålsmail/A 2383-2024 FSC-klagomål mail.docx", "A 2383-2024")</f>
        <v/>
      </c>
      <c r="X394">
        <f>HYPERLINK("https://klasma.github.io/Logging_1730/tillsyn/A 2383-2024 tillsynsbegäran.docx", "A 2383-2024")</f>
        <v/>
      </c>
      <c r="Y394">
        <f>HYPERLINK("https://klasma.github.io/Logging_1730/tillsynsmail/A 2383-2024 tillsynsbegäran mail.docx", "A 2383-2024")</f>
        <v/>
      </c>
    </row>
    <row r="395" ht="15" customHeight="1">
      <c r="A395" t="inlineStr">
        <is>
          <t>A 46376-2023</t>
        </is>
      </c>
      <c r="B395" s="1" t="n">
        <v>45197.46416666666</v>
      </c>
      <c r="C395" s="1" t="n">
        <v>45932</v>
      </c>
      <c r="D395" t="inlineStr">
        <is>
          <t>VÄRMLANDS LÄN</t>
        </is>
      </c>
      <c r="E395" t="inlineStr">
        <is>
          <t>STORFORS</t>
        </is>
      </c>
      <c r="G395" t="n">
        <v>0.7</v>
      </c>
      <c r="H395" t="n">
        <v>0</v>
      </c>
      <c r="I395" t="n">
        <v>0</v>
      </c>
      <c r="J395" t="n">
        <v>1</v>
      </c>
      <c r="K395" t="n">
        <v>0</v>
      </c>
      <c r="L395" t="n">
        <v>0</v>
      </c>
      <c r="M395" t="n">
        <v>0</v>
      </c>
      <c r="N395" t="n">
        <v>0</v>
      </c>
      <c r="O395" t="n">
        <v>1</v>
      </c>
      <c r="P395" t="n">
        <v>0</v>
      </c>
      <c r="Q395" t="n">
        <v>1</v>
      </c>
      <c r="R395" s="2" t="inlineStr">
        <is>
          <t>Igelkott</t>
        </is>
      </c>
      <c r="S395">
        <f>HYPERLINK("https://klasma.github.io/Logging_1760/artfynd/A 46376-2023 artfynd.xlsx", "A 46376-2023")</f>
        <v/>
      </c>
      <c r="T395">
        <f>HYPERLINK("https://klasma.github.io/Logging_1760/kartor/A 46376-2023 karta.png", "A 46376-2023")</f>
        <v/>
      </c>
      <c r="V395">
        <f>HYPERLINK("https://klasma.github.io/Logging_1760/klagomål/A 46376-2023 FSC-klagomål.docx", "A 46376-2023")</f>
        <v/>
      </c>
      <c r="W395">
        <f>HYPERLINK("https://klasma.github.io/Logging_1760/klagomålsmail/A 46376-2023 FSC-klagomål mail.docx", "A 46376-2023")</f>
        <v/>
      </c>
      <c r="X395">
        <f>HYPERLINK("https://klasma.github.io/Logging_1760/tillsyn/A 46376-2023 tillsynsbegäran.docx", "A 46376-2023")</f>
        <v/>
      </c>
      <c r="Y395">
        <f>HYPERLINK("https://klasma.github.io/Logging_1760/tillsynsmail/A 46376-2023 tillsynsbegäran mail.docx", "A 46376-2023")</f>
        <v/>
      </c>
    </row>
    <row r="396" ht="15" customHeight="1">
      <c r="A396" t="inlineStr">
        <is>
          <t>A 27421-2025</t>
        </is>
      </c>
      <c r="B396" s="1" t="n">
        <v>45812</v>
      </c>
      <c r="C396" s="1" t="n">
        <v>45932</v>
      </c>
      <c r="D396" t="inlineStr">
        <is>
          <t>VÄRMLANDS LÄN</t>
        </is>
      </c>
      <c r="E396" t="inlineStr">
        <is>
          <t>FILIPSTAD</t>
        </is>
      </c>
      <c r="F396" t="inlineStr">
        <is>
          <t>Bergvik skog väst AB</t>
        </is>
      </c>
      <c r="G396" t="n">
        <v>5.1</v>
      </c>
      <c r="H396" t="n">
        <v>0</v>
      </c>
      <c r="I396" t="n">
        <v>1</v>
      </c>
      <c r="J396" t="n">
        <v>0</v>
      </c>
      <c r="K396" t="n">
        <v>0</v>
      </c>
      <c r="L396" t="n">
        <v>0</v>
      </c>
      <c r="M396" t="n">
        <v>0</v>
      </c>
      <c r="N396" t="n">
        <v>0</v>
      </c>
      <c r="O396" t="n">
        <v>0</v>
      </c>
      <c r="P396" t="n">
        <v>0</v>
      </c>
      <c r="Q396" t="n">
        <v>1</v>
      </c>
      <c r="R396" s="2" t="inlineStr">
        <is>
          <t>Skinnlav</t>
        </is>
      </c>
      <c r="S396">
        <f>HYPERLINK("https://klasma.github.io/Logging_1782/artfynd/A 27421-2025 artfynd.xlsx", "A 27421-2025")</f>
        <v/>
      </c>
      <c r="T396">
        <f>HYPERLINK("https://klasma.github.io/Logging_1782/kartor/A 27421-2025 karta.png", "A 27421-2025")</f>
        <v/>
      </c>
      <c r="V396">
        <f>HYPERLINK("https://klasma.github.io/Logging_1782/klagomål/A 27421-2025 FSC-klagomål.docx", "A 27421-2025")</f>
        <v/>
      </c>
      <c r="W396">
        <f>HYPERLINK("https://klasma.github.io/Logging_1782/klagomålsmail/A 27421-2025 FSC-klagomål mail.docx", "A 27421-2025")</f>
        <v/>
      </c>
      <c r="X396">
        <f>HYPERLINK("https://klasma.github.io/Logging_1782/tillsyn/A 27421-2025 tillsynsbegäran.docx", "A 27421-2025")</f>
        <v/>
      </c>
      <c r="Y396">
        <f>HYPERLINK("https://klasma.github.io/Logging_1782/tillsynsmail/A 27421-2025 tillsynsbegäran mail.docx", "A 27421-2025")</f>
        <v/>
      </c>
    </row>
    <row r="397" ht="15" customHeight="1">
      <c r="A397" t="inlineStr">
        <is>
          <t>A 21919-2023</t>
        </is>
      </c>
      <c r="B397" s="1" t="n">
        <v>45068</v>
      </c>
      <c r="C397" s="1" t="n">
        <v>45932</v>
      </c>
      <c r="D397" t="inlineStr">
        <is>
          <t>VÄRMLANDS LÄN</t>
        </is>
      </c>
      <c r="E397" t="inlineStr">
        <is>
          <t>KARLSTAD</t>
        </is>
      </c>
      <c r="G397" t="n">
        <v>2.5</v>
      </c>
      <c r="H397" t="n">
        <v>1</v>
      </c>
      <c r="I397" t="n">
        <v>0</v>
      </c>
      <c r="J397" t="n">
        <v>0</v>
      </c>
      <c r="K397" t="n">
        <v>0</v>
      </c>
      <c r="L397" t="n">
        <v>0</v>
      </c>
      <c r="M397" t="n">
        <v>0</v>
      </c>
      <c r="N397" t="n">
        <v>0</v>
      </c>
      <c r="O397" t="n">
        <v>0</v>
      </c>
      <c r="P397" t="n">
        <v>0</v>
      </c>
      <c r="Q397" t="n">
        <v>1</v>
      </c>
      <c r="R397" s="2" t="inlineStr">
        <is>
          <t>Revlummer</t>
        </is>
      </c>
      <c r="S397">
        <f>HYPERLINK("https://klasma.github.io/Logging_1780/artfynd/A 21919-2023 artfynd.xlsx", "A 21919-2023")</f>
        <v/>
      </c>
      <c r="T397">
        <f>HYPERLINK("https://klasma.github.io/Logging_1780/kartor/A 21919-2023 karta.png", "A 21919-2023")</f>
        <v/>
      </c>
      <c r="V397">
        <f>HYPERLINK("https://klasma.github.io/Logging_1780/klagomål/A 21919-2023 FSC-klagomål.docx", "A 21919-2023")</f>
        <v/>
      </c>
      <c r="W397">
        <f>HYPERLINK("https://klasma.github.io/Logging_1780/klagomålsmail/A 21919-2023 FSC-klagomål mail.docx", "A 21919-2023")</f>
        <v/>
      </c>
      <c r="X397">
        <f>HYPERLINK("https://klasma.github.io/Logging_1780/tillsyn/A 21919-2023 tillsynsbegäran.docx", "A 21919-2023")</f>
        <v/>
      </c>
      <c r="Y397">
        <f>HYPERLINK("https://klasma.github.io/Logging_1780/tillsynsmail/A 21919-2023 tillsynsbegäran mail.docx", "A 21919-2023")</f>
        <v/>
      </c>
    </row>
    <row r="398" ht="15" customHeight="1">
      <c r="A398" t="inlineStr">
        <is>
          <t>A 21934-2023</t>
        </is>
      </c>
      <c r="B398" s="1" t="n">
        <v>45068</v>
      </c>
      <c r="C398" s="1" t="n">
        <v>45932</v>
      </c>
      <c r="D398" t="inlineStr">
        <is>
          <t>VÄRMLANDS LÄN</t>
        </is>
      </c>
      <c r="E398" t="inlineStr">
        <is>
          <t>KARLSTAD</t>
        </is>
      </c>
      <c r="G398" t="n">
        <v>1.7</v>
      </c>
      <c r="H398" t="n">
        <v>1</v>
      </c>
      <c r="I398" t="n">
        <v>0</v>
      </c>
      <c r="J398" t="n">
        <v>0</v>
      </c>
      <c r="K398" t="n">
        <v>0</v>
      </c>
      <c r="L398" t="n">
        <v>0</v>
      </c>
      <c r="M398" t="n">
        <v>0</v>
      </c>
      <c r="N398" t="n">
        <v>0</v>
      </c>
      <c r="O398" t="n">
        <v>0</v>
      </c>
      <c r="P398" t="n">
        <v>0</v>
      </c>
      <c r="Q398" t="n">
        <v>1</v>
      </c>
      <c r="R398" s="2" t="inlineStr">
        <is>
          <t>Revlummer</t>
        </is>
      </c>
      <c r="S398">
        <f>HYPERLINK("https://klasma.github.io/Logging_1780/artfynd/A 21934-2023 artfynd.xlsx", "A 21934-2023")</f>
        <v/>
      </c>
      <c r="T398">
        <f>HYPERLINK("https://klasma.github.io/Logging_1780/kartor/A 21934-2023 karta.png", "A 21934-2023")</f>
        <v/>
      </c>
      <c r="V398">
        <f>HYPERLINK("https://klasma.github.io/Logging_1780/klagomål/A 21934-2023 FSC-klagomål.docx", "A 21934-2023")</f>
        <v/>
      </c>
      <c r="W398">
        <f>HYPERLINK("https://klasma.github.io/Logging_1780/klagomålsmail/A 21934-2023 FSC-klagomål mail.docx", "A 21934-2023")</f>
        <v/>
      </c>
      <c r="X398">
        <f>HYPERLINK("https://klasma.github.io/Logging_1780/tillsyn/A 21934-2023 tillsynsbegäran.docx", "A 21934-2023")</f>
        <v/>
      </c>
      <c r="Y398">
        <f>HYPERLINK("https://klasma.github.io/Logging_1780/tillsynsmail/A 21934-2023 tillsynsbegäran mail.docx", "A 21934-2023")</f>
        <v/>
      </c>
    </row>
    <row r="399" ht="15" customHeight="1">
      <c r="A399" t="inlineStr">
        <is>
          <t>A 27301-2025</t>
        </is>
      </c>
      <c r="B399" s="1" t="n">
        <v>45812.57186342592</v>
      </c>
      <c r="C399" s="1" t="n">
        <v>45932</v>
      </c>
      <c r="D399" t="inlineStr">
        <is>
          <t>VÄRMLANDS LÄN</t>
        </is>
      </c>
      <c r="E399" t="inlineStr">
        <is>
          <t>TORSBY</t>
        </is>
      </c>
      <c r="G399" t="n">
        <v>2.7</v>
      </c>
      <c r="H399" t="n">
        <v>1</v>
      </c>
      <c r="I399" t="n">
        <v>0</v>
      </c>
      <c r="J399" t="n">
        <v>1</v>
      </c>
      <c r="K399" t="n">
        <v>0</v>
      </c>
      <c r="L399" t="n">
        <v>0</v>
      </c>
      <c r="M399" t="n">
        <v>0</v>
      </c>
      <c r="N399" t="n">
        <v>0</v>
      </c>
      <c r="O399" t="n">
        <v>1</v>
      </c>
      <c r="P399" t="n">
        <v>0</v>
      </c>
      <c r="Q399" t="n">
        <v>1</v>
      </c>
      <c r="R399" s="2" t="inlineStr">
        <is>
          <t>Nordfladdermus</t>
        </is>
      </c>
      <c r="S399">
        <f>HYPERLINK("https://klasma.github.io/Logging_1737/artfynd/A 27301-2025 artfynd.xlsx", "A 27301-2025")</f>
        <v/>
      </c>
      <c r="T399">
        <f>HYPERLINK("https://klasma.github.io/Logging_1737/kartor/A 27301-2025 karta.png", "A 27301-2025")</f>
        <v/>
      </c>
      <c r="V399">
        <f>HYPERLINK("https://klasma.github.io/Logging_1737/klagomål/A 27301-2025 FSC-klagomål.docx", "A 27301-2025")</f>
        <v/>
      </c>
      <c r="W399">
        <f>HYPERLINK("https://klasma.github.io/Logging_1737/klagomålsmail/A 27301-2025 FSC-klagomål mail.docx", "A 27301-2025")</f>
        <v/>
      </c>
      <c r="X399">
        <f>HYPERLINK("https://klasma.github.io/Logging_1737/tillsyn/A 27301-2025 tillsynsbegäran.docx", "A 27301-2025")</f>
        <v/>
      </c>
      <c r="Y399">
        <f>HYPERLINK("https://klasma.github.io/Logging_1737/tillsynsmail/A 27301-2025 tillsynsbegäran mail.docx", "A 27301-2025")</f>
        <v/>
      </c>
    </row>
    <row r="400" ht="15" customHeight="1">
      <c r="A400" t="inlineStr">
        <is>
          <t>A 53611-2023</t>
        </is>
      </c>
      <c r="B400" s="1" t="n">
        <v>45230.570625</v>
      </c>
      <c r="C400" s="1" t="n">
        <v>45932</v>
      </c>
      <c r="D400" t="inlineStr">
        <is>
          <t>VÄRMLANDS LÄN</t>
        </is>
      </c>
      <c r="E400" t="inlineStr">
        <is>
          <t>ÅRJÄNG</t>
        </is>
      </c>
      <c r="G400" t="n">
        <v>12.3</v>
      </c>
      <c r="H400" t="n">
        <v>0</v>
      </c>
      <c r="I400" t="n">
        <v>1</v>
      </c>
      <c r="J400" t="n">
        <v>0</v>
      </c>
      <c r="K400" t="n">
        <v>0</v>
      </c>
      <c r="L400" t="n">
        <v>0</v>
      </c>
      <c r="M400" t="n">
        <v>0</v>
      </c>
      <c r="N400" t="n">
        <v>0</v>
      </c>
      <c r="O400" t="n">
        <v>0</v>
      </c>
      <c r="P400" t="n">
        <v>0</v>
      </c>
      <c r="Q400" t="n">
        <v>1</v>
      </c>
      <c r="R400" s="2" t="inlineStr">
        <is>
          <t>Purpurmylia</t>
        </is>
      </c>
      <c r="S400">
        <f>HYPERLINK("https://klasma.github.io/Logging_1765/artfynd/A 53611-2023 artfynd.xlsx", "A 53611-2023")</f>
        <v/>
      </c>
      <c r="T400">
        <f>HYPERLINK("https://klasma.github.io/Logging_1765/kartor/A 53611-2023 karta.png", "A 53611-2023")</f>
        <v/>
      </c>
      <c r="V400">
        <f>HYPERLINK("https://klasma.github.io/Logging_1765/klagomål/A 53611-2023 FSC-klagomål.docx", "A 53611-2023")</f>
        <v/>
      </c>
      <c r="W400">
        <f>HYPERLINK("https://klasma.github.io/Logging_1765/klagomålsmail/A 53611-2023 FSC-klagomål mail.docx", "A 53611-2023")</f>
        <v/>
      </c>
      <c r="X400">
        <f>HYPERLINK("https://klasma.github.io/Logging_1765/tillsyn/A 53611-2023 tillsynsbegäran.docx", "A 53611-2023")</f>
        <v/>
      </c>
      <c r="Y400">
        <f>HYPERLINK("https://klasma.github.io/Logging_1765/tillsynsmail/A 53611-2023 tillsynsbegäran mail.docx", "A 53611-2023")</f>
        <v/>
      </c>
    </row>
    <row r="401" ht="15" customHeight="1">
      <c r="A401" t="inlineStr">
        <is>
          <t>A 874-2025</t>
        </is>
      </c>
      <c r="B401" s="1" t="n">
        <v>45665</v>
      </c>
      <c r="C401" s="1" t="n">
        <v>45932</v>
      </c>
      <c r="D401" t="inlineStr">
        <is>
          <t>VÄRMLANDS LÄN</t>
        </is>
      </c>
      <c r="E401" t="inlineStr">
        <is>
          <t>FILIPSTAD</t>
        </is>
      </c>
      <c r="F401" t="inlineStr">
        <is>
          <t>Kyrkan</t>
        </is>
      </c>
      <c r="G401" t="n">
        <v>4.8</v>
      </c>
      <c r="H401" t="n">
        <v>0</v>
      </c>
      <c r="I401" t="n">
        <v>1</v>
      </c>
      <c r="J401" t="n">
        <v>0</v>
      </c>
      <c r="K401" t="n">
        <v>0</v>
      </c>
      <c r="L401" t="n">
        <v>0</v>
      </c>
      <c r="M401" t="n">
        <v>0</v>
      </c>
      <c r="N401" t="n">
        <v>0</v>
      </c>
      <c r="O401" t="n">
        <v>0</v>
      </c>
      <c r="P401" t="n">
        <v>0</v>
      </c>
      <c r="Q401" t="n">
        <v>1</v>
      </c>
      <c r="R401" s="2" t="inlineStr">
        <is>
          <t>Kamjordstjärna</t>
        </is>
      </c>
      <c r="S401">
        <f>HYPERLINK("https://klasma.github.io/Logging_1782/artfynd/A 874-2025 artfynd.xlsx", "A 874-2025")</f>
        <v/>
      </c>
      <c r="T401">
        <f>HYPERLINK("https://klasma.github.io/Logging_1782/kartor/A 874-2025 karta.png", "A 874-2025")</f>
        <v/>
      </c>
      <c r="V401">
        <f>HYPERLINK("https://klasma.github.io/Logging_1782/klagomål/A 874-2025 FSC-klagomål.docx", "A 874-2025")</f>
        <v/>
      </c>
      <c r="W401">
        <f>HYPERLINK("https://klasma.github.io/Logging_1782/klagomålsmail/A 874-2025 FSC-klagomål mail.docx", "A 874-2025")</f>
        <v/>
      </c>
      <c r="X401">
        <f>HYPERLINK("https://klasma.github.io/Logging_1782/tillsyn/A 874-2025 tillsynsbegäran.docx", "A 874-2025")</f>
        <v/>
      </c>
      <c r="Y401">
        <f>HYPERLINK("https://klasma.github.io/Logging_1782/tillsynsmail/A 874-2025 tillsynsbegäran mail.docx", "A 874-2025")</f>
        <v/>
      </c>
    </row>
    <row r="402" ht="15" customHeight="1">
      <c r="A402" t="inlineStr">
        <is>
          <t>A 15548-2023</t>
        </is>
      </c>
      <c r="B402" s="1" t="n">
        <v>45020</v>
      </c>
      <c r="C402" s="1" t="n">
        <v>45932</v>
      </c>
      <c r="D402" t="inlineStr">
        <is>
          <t>VÄRMLANDS LÄN</t>
        </is>
      </c>
      <c r="E402" t="inlineStr">
        <is>
          <t>TORSBY</t>
        </is>
      </c>
      <c r="G402" t="n">
        <v>0.6</v>
      </c>
      <c r="H402" t="n">
        <v>1</v>
      </c>
      <c r="I402" t="n">
        <v>0</v>
      </c>
      <c r="J402" t="n">
        <v>1</v>
      </c>
      <c r="K402" t="n">
        <v>0</v>
      </c>
      <c r="L402" t="n">
        <v>0</v>
      </c>
      <c r="M402" t="n">
        <v>0</v>
      </c>
      <c r="N402" t="n">
        <v>0</v>
      </c>
      <c r="O402" t="n">
        <v>1</v>
      </c>
      <c r="P402" t="n">
        <v>0</v>
      </c>
      <c r="Q402" t="n">
        <v>1</v>
      </c>
      <c r="R402" s="2" t="inlineStr">
        <is>
          <t>Spillkråka</t>
        </is>
      </c>
      <c r="S402">
        <f>HYPERLINK("https://klasma.github.io/Logging_1737/artfynd/A 15548-2023 artfynd.xlsx", "A 15548-2023")</f>
        <v/>
      </c>
      <c r="T402">
        <f>HYPERLINK("https://klasma.github.io/Logging_1737/kartor/A 15548-2023 karta.png", "A 15548-2023")</f>
        <v/>
      </c>
      <c r="V402">
        <f>HYPERLINK("https://klasma.github.io/Logging_1737/klagomål/A 15548-2023 FSC-klagomål.docx", "A 15548-2023")</f>
        <v/>
      </c>
      <c r="W402">
        <f>HYPERLINK("https://klasma.github.io/Logging_1737/klagomålsmail/A 15548-2023 FSC-klagomål mail.docx", "A 15548-2023")</f>
        <v/>
      </c>
      <c r="X402">
        <f>HYPERLINK("https://klasma.github.io/Logging_1737/tillsyn/A 15548-2023 tillsynsbegäran.docx", "A 15548-2023")</f>
        <v/>
      </c>
      <c r="Y402">
        <f>HYPERLINK("https://klasma.github.io/Logging_1737/tillsynsmail/A 15548-2023 tillsynsbegäran mail.docx", "A 15548-2023")</f>
        <v/>
      </c>
      <c r="Z402">
        <f>HYPERLINK("https://klasma.github.io/Logging_1737/fåglar/A 15548-2023 prioriterade fågelarter.docx", "A 15548-2023")</f>
        <v/>
      </c>
    </row>
    <row r="403" ht="15" customHeight="1">
      <c r="A403" t="inlineStr">
        <is>
          <t>A 51839-2024</t>
        </is>
      </c>
      <c r="B403" s="1" t="n">
        <v>45607</v>
      </c>
      <c r="C403" s="1" t="n">
        <v>45932</v>
      </c>
      <c r="D403" t="inlineStr">
        <is>
          <t>VÄRMLANDS LÄN</t>
        </is>
      </c>
      <c r="E403" t="inlineStr">
        <is>
          <t>HAGFORS</t>
        </is>
      </c>
      <c r="G403" t="n">
        <v>2.5</v>
      </c>
      <c r="H403" t="n">
        <v>0</v>
      </c>
      <c r="I403" t="n">
        <v>0</v>
      </c>
      <c r="J403" t="n">
        <v>1</v>
      </c>
      <c r="K403" t="n">
        <v>0</v>
      </c>
      <c r="L403" t="n">
        <v>0</v>
      </c>
      <c r="M403" t="n">
        <v>0</v>
      </c>
      <c r="N403" t="n">
        <v>0</v>
      </c>
      <c r="O403" t="n">
        <v>1</v>
      </c>
      <c r="P403" t="n">
        <v>0</v>
      </c>
      <c r="Q403" t="n">
        <v>1</v>
      </c>
      <c r="R403" s="2" t="inlineStr">
        <is>
          <t>Garnlav</t>
        </is>
      </c>
      <c r="S403">
        <f>HYPERLINK("https://klasma.github.io/Logging_1783/artfynd/A 51839-2024 artfynd.xlsx", "A 51839-2024")</f>
        <v/>
      </c>
      <c r="T403">
        <f>HYPERLINK("https://klasma.github.io/Logging_1783/kartor/A 51839-2024 karta.png", "A 51839-2024")</f>
        <v/>
      </c>
      <c r="V403">
        <f>HYPERLINK("https://klasma.github.io/Logging_1783/klagomål/A 51839-2024 FSC-klagomål.docx", "A 51839-2024")</f>
        <v/>
      </c>
      <c r="W403">
        <f>HYPERLINK("https://klasma.github.io/Logging_1783/klagomålsmail/A 51839-2024 FSC-klagomål mail.docx", "A 51839-2024")</f>
        <v/>
      </c>
      <c r="X403">
        <f>HYPERLINK("https://klasma.github.io/Logging_1783/tillsyn/A 51839-2024 tillsynsbegäran.docx", "A 51839-2024")</f>
        <v/>
      </c>
      <c r="Y403">
        <f>HYPERLINK("https://klasma.github.io/Logging_1783/tillsynsmail/A 51839-2024 tillsynsbegäran mail.docx", "A 51839-2024")</f>
        <v/>
      </c>
    </row>
    <row r="404" ht="15" customHeight="1">
      <c r="A404" t="inlineStr">
        <is>
          <t>A 30406-2025</t>
        </is>
      </c>
      <c r="B404" s="1" t="n">
        <v>45827</v>
      </c>
      <c r="C404" s="1" t="n">
        <v>45932</v>
      </c>
      <c r="D404" t="inlineStr">
        <is>
          <t>VÄRMLANDS LÄN</t>
        </is>
      </c>
      <c r="E404" t="inlineStr">
        <is>
          <t>GRUMS</t>
        </is>
      </c>
      <c r="G404" t="n">
        <v>1.9</v>
      </c>
      <c r="H404" t="n">
        <v>1</v>
      </c>
      <c r="I404" t="n">
        <v>0</v>
      </c>
      <c r="J404" t="n">
        <v>1</v>
      </c>
      <c r="K404" t="n">
        <v>0</v>
      </c>
      <c r="L404" t="n">
        <v>0</v>
      </c>
      <c r="M404" t="n">
        <v>0</v>
      </c>
      <c r="N404" t="n">
        <v>0</v>
      </c>
      <c r="O404" t="n">
        <v>1</v>
      </c>
      <c r="P404" t="n">
        <v>0</v>
      </c>
      <c r="Q404" t="n">
        <v>1</v>
      </c>
      <c r="R404" s="2" t="inlineStr">
        <is>
          <t>Talltita</t>
        </is>
      </c>
      <c r="S404">
        <f>HYPERLINK("https://klasma.github.io/Logging_1764/artfynd/A 30406-2025 artfynd.xlsx", "A 30406-2025")</f>
        <v/>
      </c>
      <c r="T404">
        <f>HYPERLINK("https://klasma.github.io/Logging_1764/kartor/A 30406-2025 karta.png", "A 30406-2025")</f>
        <v/>
      </c>
      <c r="V404">
        <f>HYPERLINK("https://klasma.github.io/Logging_1764/klagomål/A 30406-2025 FSC-klagomål.docx", "A 30406-2025")</f>
        <v/>
      </c>
      <c r="W404">
        <f>HYPERLINK("https://klasma.github.io/Logging_1764/klagomålsmail/A 30406-2025 FSC-klagomål mail.docx", "A 30406-2025")</f>
        <v/>
      </c>
      <c r="X404">
        <f>HYPERLINK("https://klasma.github.io/Logging_1764/tillsyn/A 30406-2025 tillsynsbegäran.docx", "A 30406-2025")</f>
        <v/>
      </c>
      <c r="Y404">
        <f>HYPERLINK("https://klasma.github.io/Logging_1764/tillsynsmail/A 30406-2025 tillsynsbegäran mail.docx", "A 30406-2025")</f>
        <v/>
      </c>
      <c r="Z404">
        <f>HYPERLINK("https://klasma.github.io/Logging_1764/fåglar/A 30406-2025 prioriterade fågelarter.docx", "A 30406-2025")</f>
        <v/>
      </c>
    </row>
    <row r="405" ht="15" customHeight="1">
      <c r="A405" t="inlineStr">
        <is>
          <t>A 48464-2023</t>
        </is>
      </c>
      <c r="B405" s="1" t="n">
        <v>45206</v>
      </c>
      <c r="C405" s="1" t="n">
        <v>45932</v>
      </c>
      <c r="D405" t="inlineStr">
        <is>
          <t>VÄRMLANDS LÄN</t>
        </is>
      </c>
      <c r="E405" t="inlineStr">
        <is>
          <t>ARVIKA</t>
        </is>
      </c>
      <c r="G405" t="n">
        <v>7.9</v>
      </c>
      <c r="H405" t="n">
        <v>1</v>
      </c>
      <c r="I405" t="n">
        <v>0</v>
      </c>
      <c r="J405" t="n">
        <v>0</v>
      </c>
      <c r="K405" t="n">
        <v>1</v>
      </c>
      <c r="L405" t="n">
        <v>0</v>
      </c>
      <c r="M405" t="n">
        <v>0</v>
      </c>
      <c r="N405" t="n">
        <v>0</v>
      </c>
      <c r="O405" t="n">
        <v>1</v>
      </c>
      <c r="P405" t="n">
        <v>1</v>
      </c>
      <c r="Q405" t="n">
        <v>1</v>
      </c>
      <c r="R405" s="2" t="inlineStr">
        <is>
          <t>Knärot</t>
        </is>
      </c>
      <c r="S405">
        <f>HYPERLINK("https://klasma.github.io/Logging_1784/artfynd/A 48464-2023 artfynd.xlsx", "A 48464-2023")</f>
        <v/>
      </c>
      <c r="T405">
        <f>HYPERLINK("https://klasma.github.io/Logging_1784/kartor/A 48464-2023 karta.png", "A 48464-2023")</f>
        <v/>
      </c>
      <c r="U405">
        <f>HYPERLINK("https://klasma.github.io/Logging_1784/knärot/A 48464-2023 karta knärot.png", "A 48464-2023")</f>
        <v/>
      </c>
      <c r="V405">
        <f>HYPERLINK("https://klasma.github.io/Logging_1784/klagomål/A 48464-2023 FSC-klagomål.docx", "A 48464-2023")</f>
        <v/>
      </c>
      <c r="W405">
        <f>HYPERLINK("https://klasma.github.io/Logging_1784/klagomålsmail/A 48464-2023 FSC-klagomål mail.docx", "A 48464-2023")</f>
        <v/>
      </c>
      <c r="X405">
        <f>HYPERLINK("https://klasma.github.io/Logging_1784/tillsyn/A 48464-2023 tillsynsbegäran.docx", "A 48464-2023")</f>
        <v/>
      </c>
      <c r="Y405">
        <f>HYPERLINK("https://klasma.github.io/Logging_1784/tillsynsmail/A 48464-2023 tillsynsbegäran mail.docx", "A 48464-2023")</f>
        <v/>
      </c>
    </row>
    <row r="406" ht="15" customHeight="1">
      <c r="A406" t="inlineStr">
        <is>
          <t>A 45484-2023</t>
        </is>
      </c>
      <c r="B406" s="1" t="n">
        <v>45188</v>
      </c>
      <c r="C406" s="1" t="n">
        <v>45932</v>
      </c>
      <c r="D406" t="inlineStr">
        <is>
          <t>VÄRMLANDS LÄN</t>
        </is>
      </c>
      <c r="E406" t="inlineStr">
        <is>
          <t>FORSHAGA</t>
        </is>
      </c>
      <c r="G406" t="n">
        <v>2.7</v>
      </c>
      <c r="H406" t="n">
        <v>0</v>
      </c>
      <c r="I406" t="n">
        <v>1</v>
      </c>
      <c r="J406" t="n">
        <v>0</v>
      </c>
      <c r="K406" t="n">
        <v>0</v>
      </c>
      <c r="L406" t="n">
        <v>0</v>
      </c>
      <c r="M406" t="n">
        <v>0</v>
      </c>
      <c r="N406" t="n">
        <v>0</v>
      </c>
      <c r="O406" t="n">
        <v>0</v>
      </c>
      <c r="P406" t="n">
        <v>0</v>
      </c>
      <c r="Q406" t="n">
        <v>1</v>
      </c>
      <c r="R406" s="2" t="inlineStr">
        <is>
          <t>Scharlakansvårskål agg.</t>
        </is>
      </c>
      <c r="S406">
        <f>HYPERLINK("https://klasma.github.io/Logging_1763/artfynd/A 45484-2023 artfynd.xlsx", "A 45484-2023")</f>
        <v/>
      </c>
      <c r="T406">
        <f>HYPERLINK("https://klasma.github.io/Logging_1763/kartor/A 45484-2023 karta.png", "A 45484-2023")</f>
        <v/>
      </c>
      <c r="V406">
        <f>HYPERLINK("https://klasma.github.io/Logging_1763/klagomål/A 45484-2023 FSC-klagomål.docx", "A 45484-2023")</f>
        <v/>
      </c>
      <c r="W406">
        <f>HYPERLINK("https://klasma.github.io/Logging_1763/klagomålsmail/A 45484-2023 FSC-klagomål mail.docx", "A 45484-2023")</f>
        <v/>
      </c>
      <c r="X406">
        <f>HYPERLINK("https://klasma.github.io/Logging_1763/tillsyn/A 45484-2023 tillsynsbegäran.docx", "A 45484-2023")</f>
        <v/>
      </c>
      <c r="Y406">
        <f>HYPERLINK("https://klasma.github.io/Logging_1763/tillsynsmail/A 45484-2023 tillsynsbegäran mail.docx", "A 45484-2023")</f>
        <v/>
      </c>
    </row>
    <row r="407" ht="15" customHeight="1">
      <c r="A407" t="inlineStr">
        <is>
          <t>A 35926-2024</t>
        </is>
      </c>
      <c r="B407" s="1" t="n">
        <v>45533</v>
      </c>
      <c r="C407" s="1" t="n">
        <v>45932</v>
      </c>
      <c r="D407" t="inlineStr">
        <is>
          <t>VÄRMLANDS LÄN</t>
        </is>
      </c>
      <c r="E407" t="inlineStr">
        <is>
          <t>SUNNE</t>
        </is>
      </c>
      <c r="G407" t="n">
        <v>2.1</v>
      </c>
      <c r="H407" t="n">
        <v>0</v>
      </c>
      <c r="I407" t="n">
        <v>1</v>
      </c>
      <c r="J407" t="n">
        <v>0</v>
      </c>
      <c r="K407" t="n">
        <v>0</v>
      </c>
      <c r="L407" t="n">
        <v>0</v>
      </c>
      <c r="M407" t="n">
        <v>0</v>
      </c>
      <c r="N407" t="n">
        <v>0</v>
      </c>
      <c r="O407" t="n">
        <v>0</v>
      </c>
      <c r="P407" t="n">
        <v>0</v>
      </c>
      <c r="Q407" t="n">
        <v>1</v>
      </c>
      <c r="R407" s="2" t="inlineStr">
        <is>
          <t>Vågbandad barkbock</t>
        </is>
      </c>
      <c r="S407">
        <f>HYPERLINK("https://klasma.github.io/Logging_1766/artfynd/A 35926-2024 artfynd.xlsx", "A 35926-2024")</f>
        <v/>
      </c>
      <c r="T407">
        <f>HYPERLINK("https://klasma.github.io/Logging_1766/kartor/A 35926-2024 karta.png", "A 35926-2024")</f>
        <v/>
      </c>
      <c r="V407">
        <f>HYPERLINK("https://klasma.github.io/Logging_1766/klagomål/A 35926-2024 FSC-klagomål.docx", "A 35926-2024")</f>
        <v/>
      </c>
      <c r="W407">
        <f>HYPERLINK("https://klasma.github.io/Logging_1766/klagomålsmail/A 35926-2024 FSC-klagomål mail.docx", "A 35926-2024")</f>
        <v/>
      </c>
      <c r="X407">
        <f>HYPERLINK("https://klasma.github.io/Logging_1766/tillsyn/A 35926-2024 tillsynsbegäran.docx", "A 35926-2024")</f>
        <v/>
      </c>
      <c r="Y407">
        <f>HYPERLINK("https://klasma.github.io/Logging_1766/tillsynsmail/A 35926-2024 tillsynsbegäran mail.docx", "A 35926-2024")</f>
        <v/>
      </c>
    </row>
    <row r="408" ht="15" customHeight="1">
      <c r="A408" t="inlineStr">
        <is>
          <t>A 8714-2024</t>
        </is>
      </c>
      <c r="B408" s="1" t="n">
        <v>45356</v>
      </c>
      <c r="C408" s="1" t="n">
        <v>45932</v>
      </c>
      <c r="D408" t="inlineStr">
        <is>
          <t>VÄRMLANDS LÄN</t>
        </is>
      </c>
      <c r="E408" t="inlineStr">
        <is>
          <t>KRISTINEHAMN</t>
        </is>
      </c>
      <c r="G408" t="n">
        <v>0.5</v>
      </c>
      <c r="H408" t="n">
        <v>1</v>
      </c>
      <c r="I408" t="n">
        <v>0</v>
      </c>
      <c r="J408" t="n">
        <v>0</v>
      </c>
      <c r="K408" t="n">
        <v>1</v>
      </c>
      <c r="L408" t="n">
        <v>0</v>
      </c>
      <c r="M408" t="n">
        <v>0</v>
      </c>
      <c r="N408" t="n">
        <v>0</v>
      </c>
      <c r="O408" t="n">
        <v>1</v>
      </c>
      <c r="P408" t="n">
        <v>1</v>
      </c>
      <c r="Q408" t="n">
        <v>1</v>
      </c>
      <c r="R408" s="2" t="inlineStr">
        <is>
          <t>Bombmurkla</t>
        </is>
      </c>
      <c r="S408">
        <f>HYPERLINK("https://klasma.github.io/Logging_1781/artfynd/A 8714-2024 artfynd.xlsx", "A 8714-2024")</f>
        <v/>
      </c>
      <c r="T408">
        <f>HYPERLINK("https://klasma.github.io/Logging_1781/kartor/A 8714-2024 karta.png", "A 8714-2024")</f>
        <v/>
      </c>
      <c r="V408">
        <f>HYPERLINK("https://klasma.github.io/Logging_1781/klagomål/A 8714-2024 FSC-klagomål.docx", "A 8714-2024")</f>
        <v/>
      </c>
      <c r="W408">
        <f>HYPERLINK("https://klasma.github.io/Logging_1781/klagomålsmail/A 8714-2024 FSC-klagomål mail.docx", "A 8714-2024")</f>
        <v/>
      </c>
      <c r="X408">
        <f>HYPERLINK("https://klasma.github.io/Logging_1781/tillsyn/A 8714-2024 tillsynsbegäran.docx", "A 8714-2024")</f>
        <v/>
      </c>
      <c r="Y408">
        <f>HYPERLINK("https://klasma.github.io/Logging_1781/tillsynsmail/A 8714-2024 tillsynsbegäran mail.docx", "A 8714-2024")</f>
        <v/>
      </c>
    </row>
    <row r="409" ht="15" customHeight="1">
      <c r="A409" t="inlineStr">
        <is>
          <t>A 50236-2022</t>
        </is>
      </c>
      <c r="B409" s="1" t="n">
        <v>44865</v>
      </c>
      <c r="C409" s="1" t="n">
        <v>45932</v>
      </c>
      <c r="D409" t="inlineStr">
        <is>
          <t>VÄRMLANDS LÄN</t>
        </is>
      </c>
      <c r="E409" t="inlineStr">
        <is>
          <t>TORSBY</t>
        </is>
      </c>
      <c r="G409" t="n">
        <v>2.3</v>
      </c>
      <c r="H409" t="n">
        <v>0</v>
      </c>
      <c r="I409" t="n">
        <v>0</v>
      </c>
      <c r="J409" t="n">
        <v>1</v>
      </c>
      <c r="K409" t="n">
        <v>0</v>
      </c>
      <c r="L409" t="n">
        <v>0</v>
      </c>
      <c r="M409" t="n">
        <v>0</v>
      </c>
      <c r="N409" t="n">
        <v>0</v>
      </c>
      <c r="O409" t="n">
        <v>1</v>
      </c>
      <c r="P409" t="n">
        <v>0</v>
      </c>
      <c r="Q409" t="n">
        <v>1</v>
      </c>
      <c r="R409" s="2" t="inlineStr">
        <is>
          <t>Garnlav</t>
        </is>
      </c>
      <c r="S409">
        <f>HYPERLINK("https://klasma.github.io/Logging_1737/artfynd/A 50236-2022 artfynd.xlsx", "A 50236-2022")</f>
        <v/>
      </c>
      <c r="T409">
        <f>HYPERLINK("https://klasma.github.io/Logging_1737/kartor/A 50236-2022 karta.png", "A 50236-2022")</f>
        <v/>
      </c>
      <c r="V409">
        <f>HYPERLINK("https://klasma.github.io/Logging_1737/klagomål/A 50236-2022 FSC-klagomål.docx", "A 50236-2022")</f>
        <v/>
      </c>
      <c r="W409">
        <f>HYPERLINK("https://klasma.github.io/Logging_1737/klagomålsmail/A 50236-2022 FSC-klagomål mail.docx", "A 50236-2022")</f>
        <v/>
      </c>
      <c r="X409">
        <f>HYPERLINK("https://klasma.github.io/Logging_1737/tillsyn/A 50236-2022 tillsynsbegäran.docx", "A 50236-2022")</f>
        <v/>
      </c>
      <c r="Y409">
        <f>HYPERLINK("https://klasma.github.io/Logging_1737/tillsynsmail/A 50236-2022 tillsynsbegäran mail.docx", "A 50236-2022")</f>
        <v/>
      </c>
    </row>
    <row r="410" ht="15" customHeight="1">
      <c r="A410" t="inlineStr">
        <is>
          <t>A 29160-2025</t>
        </is>
      </c>
      <c r="B410" s="1" t="n">
        <v>45821</v>
      </c>
      <c r="C410" s="1" t="n">
        <v>45932</v>
      </c>
      <c r="D410" t="inlineStr">
        <is>
          <t>VÄRMLANDS LÄN</t>
        </is>
      </c>
      <c r="E410" t="inlineStr">
        <is>
          <t>ARVIKA</t>
        </is>
      </c>
      <c r="F410" t="inlineStr">
        <is>
          <t>Bergvik skog väst AB</t>
        </is>
      </c>
      <c r="G410" t="n">
        <v>3.6</v>
      </c>
      <c r="H410" t="n">
        <v>1</v>
      </c>
      <c r="I410" t="n">
        <v>0</v>
      </c>
      <c r="J410" t="n">
        <v>1</v>
      </c>
      <c r="K410" t="n">
        <v>0</v>
      </c>
      <c r="L410" t="n">
        <v>0</v>
      </c>
      <c r="M410" t="n">
        <v>0</v>
      </c>
      <c r="N410" t="n">
        <v>0</v>
      </c>
      <c r="O410" t="n">
        <v>1</v>
      </c>
      <c r="P410" t="n">
        <v>0</v>
      </c>
      <c r="Q410" t="n">
        <v>1</v>
      </c>
      <c r="R410" s="2" t="inlineStr">
        <is>
          <t>Järpe</t>
        </is>
      </c>
      <c r="S410">
        <f>HYPERLINK("https://klasma.github.io/Logging_1784/artfynd/A 29160-2025 artfynd.xlsx", "A 29160-2025")</f>
        <v/>
      </c>
      <c r="T410">
        <f>HYPERLINK("https://klasma.github.io/Logging_1784/kartor/A 29160-2025 karta.png", "A 29160-2025")</f>
        <v/>
      </c>
      <c r="V410">
        <f>HYPERLINK("https://klasma.github.io/Logging_1784/klagomål/A 29160-2025 FSC-klagomål.docx", "A 29160-2025")</f>
        <v/>
      </c>
      <c r="W410">
        <f>HYPERLINK("https://klasma.github.io/Logging_1784/klagomålsmail/A 29160-2025 FSC-klagomål mail.docx", "A 29160-2025")</f>
        <v/>
      </c>
      <c r="X410">
        <f>HYPERLINK("https://klasma.github.io/Logging_1784/tillsyn/A 29160-2025 tillsynsbegäran.docx", "A 29160-2025")</f>
        <v/>
      </c>
      <c r="Y410">
        <f>HYPERLINK("https://klasma.github.io/Logging_1784/tillsynsmail/A 29160-2025 tillsynsbegäran mail.docx", "A 29160-2025")</f>
        <v/>
      </c>
      <c r="Z410">
        <f>HYPERLINK("https://klasma.github.io/Logging_1784/fåglar/A 29160-2025 prioriterade fågelarter.docx", "A 29160-2025")</f>
        <v/>
      </c>
    </row>
    <row r="411" ht="15" customHeight="1">
      <c r="A411" t="inlineStr">
        <is>
          <t>A 56489-2023</t>
        </is>
      </c>
      <c r="B411" s="1" t="n">
        <v>45237</v>
      </c>
      <c r="C411" s="1" t="n">
        <v>45932</v>
      </c>
      <c r="D411" t="inlineStr">
        <is>
          <t>VÄRMLANDS LÄN</t>
        </is>
      </c>
      <c r="E411" t="inlineStr">
        <is>
          <t>SÄFFLE</t>
        </is>
      </c>
      <c r="G411" t="n">
        <v>2.7</v>
      </c>
      <c r="H411" t="n">
        <v>1</v>
      </c>
      <c r="I411" t="n">
        <v>0</v>
      </c>
      <c r="J411" t="n">
        <v>1</v>
      </c>
      <c r="K411" t="n">
        <v>0</v>
      </c>
      <c r="L411" t="n">
        <v>0</v>
      </c>
      <c r="M411" t="n">
        <v>0</v>
      </c>
      <c r="N411" t="n">
        <v>0</v>
      </c>
      <c r="O411" t="n">
        <v>1</v>
      </c>
      <c r="P411" t="n">
        <v>0</v>
      </c>
      <c r="Q411" t="n">
        <v>1</v>
      </c>
      <c r="R411" s="2" t="inlineStr">
        <is>
          <t>Havsörn</t>
        </is>
      </c>
      <c r="S411">
        <f>HYPERLINK("https://klasma.github.io/Logging_1785/artfynd/A 56489-2023 artfynd.xlsx", "A 56489-2023")</f>
        <v/>
      </c>
      <c r="T411">
        <f>HYPERLINK("https://klasma.github.io/Logging_1785/kartor/A 56489-2023 karta.png", "A 56489-2023")</f>
        <v/>
      </c>
      <c r="V411">
        <f>HYPERLINK("https://klasma.github.io/Logging_1785/klagomål/A 56489-2023 FSC-klagomål.docx", "A 56489-2023")</f>
        <v/>
      </c>
      <c r="W411">
        <f>HYPERLINK("https://klasma.github.io/Logging_1785/klagomålsmail/A 56489-2023 FSC-klagomål mail.docx", "A 56489-2023")</f>
        <v/>
      </c>
      <c r="X411">
        <f>HYPERLINK("https://klasma.github.io/Logging_1785/tillsyn/A 56489-2023 tillsynsbegäran.docx", "A 56489-2023")</f>
        <v/>
      </c>
      <c r="Y411">
        <f>HYPERLINK("https://klasma.github.io/Logging_1785/tillsynsmail/A 56489-2023 tillsynsbegäran mail.docx", "A 56489-2023")</f>
        <v/>
      </c>
      <c r="Z411">
        <f>HYPERLINK("https://klasma.github.io/Logging_1785/fåglar/A 56489-2023 prioriterade fågelarter.docx", "A 56489-2023")</f>
        <v/>
      </c>
    </row>
    <row r="412" ht="15" customHeight="1">
      <c r="A412" t="inlineStr">
        <is>
          <t>A 56492-2023</t>
        </is>
      </c>
      <c r="B412" s="1" t="n">
        <v>45243</v>
      </c>
      <c r="C412" s="1" t="n">
        <v>45932</v>
      </c>
      <c r="D412" t="inlineStr">
        <is>
          <t>VÄRMLANDS LÄN</t>
        </is>
      </c>
      <c r="E412" t="inlineStr">
        <is>
          <t>EDA</t>
        </is>
      </c>
      <c r="G412" t="n">
        <v>3.5</v>
      </c>
      <c r="H412" t="n">
        <v>0</v>
      </c>
      <c r="I412" t="n">
        <v>0</v>
      </c>
      <c r="J412" t="n">
        <v>1</v>
      </c>
      <c r="K412" t="n">
        <v>0</v>
      </c>
      <c r="L412" t="n">
        <v>0</v>
      </c>
      <c r="M412" t="n">
        <v>0</v>
      </c>
      <c r="N412" t="n">
        <v>0</v>
      </c>
      <c r="O412" t="n">
        <v>1</v>
      </c>
      <c r="P412" t="n">
        <v>0</v>
      </c>
      <c r="Q412" t="n">
        <v>1</v>
      </c>
      <c r="R412" s="2" t="inlineStr">
        <is>
          <t>Vedtrappmossa</t>
        </is>
      </c>
      <c r="S412">
        <f>HYPERLINK("https://klasma.github.io/Logging_1730/artfynd/A 56492-2023 artfynd.xlsx", "A 56492-2023")</f>
        <v/>
      </c>
      <c r="T412">
        <f>HYPERLINK("https://klasma.github.io/Logging_1730/kartor/A 56492-2023 karta.png", "A 56492-2023")</f>
        <v/>
      </c>
      <c r="V412">
        <f>HYPERLINK("https://klasma.github.io/Logging_1730/klagomål/A 56492-2023 FSC-klagomål.docx", "A 56492-2023")</f>
        <v/>
      </c>
      <c r="W412">
        <f>HYPERLINK("https://klasma.github.io/Logging_1730/klagomålsmail/A 56492-2023 FSC-klagomål mail.docx", "A 56492-2023")</f>
        <v/>
      </c>
      <c r="X412">
        <f>HYPERLINK("https://klasma.github.io/Logging_1730/tillsyn/A 56492-2023 tillsynsbegäran.docx", "A 56492-2023")</f>
        <v/>
      </c>
      <c r="Y412">
        <f>HYPERLINK("https://klasma.github.io/Logging_1730/tillsynsmail/A 56492-2023 tillsynsbegäran mail.docx", "A 56492-2023")</f>
        <v/>
      </c>
    </row>
    <row r="413" ht="15" customHeight="1">
      <c r="A413" t="inlineStr">
        <is>
          <t>A 35334-2024</t>
        </is>
      </c>
      <c r="B413" s="1" t="n">
        <v>45530</v>
      </c>
      <c r="C413" s="1" t="n">
        <v>45932</v>
      </c>
      <c r="D413" t="inlineStr">
        <is>
          <t>VÄRMLANDS LÄN</t>
        </is>
      </c>
      <c r="E413" t="inlineStr">
        <is>
          <t>FORSHAGA</t>
        </is>
      </c>
      <c r="F413" t="inlineStr">
        <is>
          <t>Kommuner</t>
        </is>
      </c>
      <c r="G413" t="n">
        <v>3.2</v>
      </c>
      <c r="H413" t="n">
        <v>1</v>
      </c>
      <c r="I413" t="n">
        <v>0</v>
      </c>
      <c r="J413" t="n">
        <v>0</v>
      </c>
      <c r="K413" t="n">
        <v>0</v>
      </c>
      <c r="L413" t="n">
        <v>0</v>
      </c>
      <c r="M413" t="n">
        <v>0</v>
      </c>
      <c r="N413" t="n">
        <v>0</v>
      </c>
      <c r="O413" t="n">
        <v>0</v>
      </c>
      <c r="P413" t="n">
        <v>0</v>
      </c>
      <c r="Q413" t="n">
        <v>1</v>
      </c>
      <c r="R413" s="2" t="inlineStr">
        <is>
          <t>Nattviol</t>
        </is>
      </c>
      <c r="S413">
        <f>HYPERLINK("https://klasma.github.io/Logging_1763/artfynd/A 35334-2024 artfynd.xlsx", "A 35334-2024")</f>
        <v/>
      </c>
      <c r="T413">
        <f>HYPERLINK("https://klasma.github.io/Logging_1763/kartor/A 35334-2024 karta.png", "A 35334-2024")</f>
        <v/>
      </c>
      <c r="V413">
        <f>HYPERLINK("https://klasma.github.io/Logging_1763/klagomål/A 35334-2024 FSC-klagomål.docx", "A 35334-2024")</f>
        <v/>
      </c>
      <c r="W413">
        <f>HYPERLINK("https://klasma.github.io/Logging_1763/klagomålsmail/A 35334-2024 FSC-klagomål mail.docx", "A 35334-2024")</f>
        <v/>
      </c>
      <c r="X413">
        <f>HYPERLINK("https://klasma.github.io/Logging_1763/tillsyn/A 35334-2024 tillsynsbegäran.docx", "A 35334-2024")</f>
        <v/>
      </c>
      <c r="Y413">
        <f>HYPERLINK("https://klasma.github.io/Logging_1763/tillsynsmail/A 35334-2024 tillsynsbegäran mail.docx", "A 35334-2024")</f>
        <v/>
      </c>
    </row>
    <row r="414" ht="15" customHeight="1">
      <c r="A414" t="inlineStr">
        <is>
          <t>A 26849-2023</t>
        </is>
      </c>
      <c r="B414" s="1" t="n">
        <v>45093</v>
      </c>
      <c r="C414" s="1" t="n">
        <v>45932</v>
      </c>
      <c r="D414" t="inlineStr">
        <is>
          <t>VÄRMLANDS LÄN</t>
        </is>
      </c>
      <c r="E414" t="inlineStr">
        <is>
          <t>KIL</t>
        </is>
      </c>
      <c r="G414" t="n">
        <v>2</v>
      </c>
      <c r="H414" t="n">
        <v>0</v>
      </c>
      <c r="I414" t="n">
        <v>0</v>
      </c>
      <c r="J414" t="n">
        <v>1</v>
      </c>
      <c r="K414" t="n">
        <v>0</v>
      </c>
      <c r="L414" t="n">
        <v>0</v>
      </c>
      <c r="M414" t="n">
        <v>0</v>
      </c>
      <c r="N414" t="n">
        <v>0</v>
      </c>
      <c r="O414" t="n">
        <v>1</v>
      </c>
      <c r="P414" t="n">
        <v>0</v>
      </c>
      <c r="Q414" t="n">
        <v>1</v>
      </c>
      <c r="R414" s="2" t="inlineStr">
        <is>
          <t>Skogsklocka</t>
        </is>
      </c>
      <c r="S414">
        <f>HYPERLINK("https://klasma.github.io/Logging_1715/artfynd/A 26849-2023 artfynd.xlsx", "A 26849-2023")</f>
        <v/>
      </c>
      <c r="T414">
        <f>HYPERLINK("https://klasma.github.io/Logging_1715/kartor/A 26849-2023 karta.png", "A 26849-2023")</f>
        <v/>
      </c>
      <c r="V414">
        <f>HYPERLINK("https://klasma.github.io/Logging_1715/klagomål/A 26849-2023 FSC-klagomål.docx", "A 26849-2023")</f>
        <v/>
      </c>
      <c r="W414">
        <f>HYPERLINK("https://klasma.github.io/Logging_1715/klagomålsmail/A 26849-2023 FSC-klagomål mail.docx", "A 26849-2023")</f>
        <v/>
      </c>
      <c r="X414">
        <f>HYPERLINK("https://klasma.github.io/Logging_1715/tillsyn/A 26849-2023 tillsynsbegäran.docx", "A 26849-2023")</f>
        <v/>
      </c>
      <c r="Y414">
        <f>HYPERLINK("https://klasma.github.io/Logging_1715/tillsynsmail/A 26849-2023 tillsynsbegäran mail.docx", "A 26849-2023")</f>
        <v/>
      </c>
    </row>
    <row r="415" ht="15" customHeight="1">
      <c r="A415" t="inlineStr">
        <is>
          <t>A 29756-2025</t>
        </is>
      </c>
      <c r="B415" s="1" t="n">
        <v>45825.61525462963</v>
      </c>
      <c r="C415" s="1" t="n">
        <v>45932</v>
      </c>
      <c r="D415" t="inlineStr">
        <is>
          <t>VÄRMLANDS LÄN</t>
        </is>
      </c>
      <c r="E415" t="inlineStr">
        <is>
          <t>TORSBY</t>
        </is>
      </c>
      <c r="G415" t="n">
        <v>6.9</v>
      </c>
      <c r="H415" t="n">
        <v>0</v>
      </c>
      <c r="I415" t="n">
        <v>0</v>
      </c>
      <c r="J415" t="n">
        <v>1</v>
      </c>
      <c r="K415" t="n">
        <v>0</v>
      </c>
      <c r="L415" t="n">
        <v>0</v>
      </c>
      <c r="M415" t="n">
        <v>0</v>
      </c>
      <c r="N415" t="n">
        <v>0</v>
      </c>
      <c r="O415" t="n">
        <v>1</v>
      </c>
      <c r="P415" t="n">
        <v>0</v>
      </c>
      <c r="Q415" t="n">
        <v>1</v>
      </c>
      <c r="R415" s="2" t="inlineStr">
        <is>
          <t>Garnlav</t>
        </is>
      </c>
      <c r="S415">
        <f>HYPERLINK("https://klasma.github.io/Logging_1737/artfynd/A 29756-2025 artfynd.xlsx", "A 29756-2025")</f>
        <v/>
      </c>
      <c r="T415">
        <f>HYPERLINK("https://klasma.github.io/Logging_1737/kartor/A 29756-2025 karta.png", "A 29756-2025")</f>
        <v/>
      </c>
      <c r="V415">
        <f>HYPERLINK("https://klasma.github.io/Logging_1737/klagomål/A 29756-2025 FSC-klagomål.docx", "A 29756-2025")</f>
        <v/>
      </c>
      <c r="W415">
        <f>HYPERLINK("https://klasma.github.io/Logging_1737/klagomålsmail/A 29756-2025 FSC-klagomål mail.docx", "A 29756-2025")</f>
        <v/>
      </c>
      <c r="X415">
        <f>HYPERLINK("https://klasma.github.io/Logging_1737/tillsyn/A 29756-2025 tillsynsbegäran.docx", "A 29756-2025")</f>
        <v/>
      </c>
      <c r="Y415">
        <f>HYPERLINK("https://klasma.github.io/Logging_1737/tillsynsmail/A 29756-2025 tillsynsbegäran mail.docx", "A 29756-2025")</f>
        <v/>
      </c>
    </row>
    <row r="416" ht="15" customHeight="1">
      <c r="A416" t="inlineStr">
        <is>
          <t>A 46893-2021</t>
        </is>
      </c>
      <c r="B416" s="1" t="n">
        <v>44446</v>
      </c>
      <c r="C416" s="1" t="n">
        <v>45932</v>
      </c>
      <c r="D416" t="inlineStr">
        <is>
          <t>VÄRMLANDS LÄN</t>
        </is>
      </c>
      <c r="E416" t="inlineStr">
        <is>
          <t>SÄFFLE</t>
        </is>
      </c>
      <c r="G416" t="n">
        <v>5.4</v>
      </c>
      <c r="H416" t="n">
        <v>0</v>
      </c>
      <c r="I416" t="n">
        <v>0</v>
      </c>
      <c r="J416" t="n">
        <v>0</v>
      </c>
      <c r="K416" t="n">
        <v>1</v>
      </c>
      <c r="L416" t="n">
        <v>0</v>
      </c>
      <c r="M416" t="n">
        <v>0</v>
      </c>
      <c r="N416" t="n">
        <v>0</v>
      </c>
      <c r="O416" t="n">
        <v>1</v>
      </c>
      <c r="P416" t="n">
        <v>1</v>
      </c>
      <c r="Q416" t="n">
        <v>1</v>
      </c>
      <c r="R416" s="2" t="inlineStr">
        <is>
          <t>Slåttergubbe</t>
        </is>
      </c>
      <c r="S416">
        <f>HYPERLINK("https://klasma.github.io/Logging_1785/artfynd/A 46893-2021 artfynd.xlsx", "A 46893-2021")</f>
        <v/>
      </c>
      <c r="T416">
        <f>HYPERLINK("https://klasma.github.io/Logging_1785/kartor/A 46893-2021 karta.png", "A 46893-2021")</f>
        <v/>
      </c>
      <c r="V416">
        <f>HYPERLINK("https://klasma.github.io/Logging_1785/klagomål/A 46893-2021 FSC-klagomål.docx", "A 46893-2021")</f>
        <v/>
      </c>
      <c r="W416">
        <f>HYPERLINK("https://klasma.github.io/Logging_1785/klagomålsmail/A 46893-2021 FSC-klagomål mail.docx", "A 46893-2021")</f>
        <v/>
      </c>
      <c r="X416">
        <f>HYPERLINK("https://klasma.github.io/Logging_1785/tillsyn/A 46893-2021 tillsynsbegäran.docx", "A 46893-2021")</f>
        <v/>
      </c>
      <c r="Y416">
        <f>HYPERLINK("https://klasma.github.io/Logging_1785/tillsynsmail/A 46893-2021 tillsynsbegäran mail.docx", "A 46893-2021")</f>
        <v/>
      </c>
    </row>
    <row r="417" ht="15" customHeight="1">
      <c r="A417" t="inlineStr">
        <is>
          <t>A 4134-2024</t>
        </is>
      </c>
      <c r="B417" s="1" t="n">
        <v>45323</v>
      </c>
      <c r="C417" s="1" t="n">
        <v>45932</v>
      </c>
      <c r="D417" t="inlineStr">
        <is>
          <t>VÄRMLANDS LÄN</t>
        </is>
      </c>
      <c r="E417" t="inlineStr">
        <is>
          <t>SÄFFLE</t>
        </is>
      </c>
      <c r="G417" t="n">
        <v>4.1</v>
      </c>
      <c r="H417" t="n">
        <v>0</v>
      </c>
      <c r="I417" t="n">
        <v>0</v>
      </c>
      <c r="J417" t="n">
        <v>0</v>
      </c>
      <c r="K417" t="n">
        <v>0</v>
      </c>
      <c r="L417" t="n">
        <v>1</v>
      </c>
      <c r="M417" t="n">
        <v>0</v>
      </c>
      <c r="N417" t="n">
        <v>0</v>
      </c>
      <c r="O417" t="n">
        <v>1</v>
      </c>
      <c r="P417" t="n">
        <v>1</v>
      </c>
      <c r="Q417" t="n">
        <v>1</v>
      </c>
      <c r="R417" s="2" t="inlineStr">
        <is>
          <t>Ryl</t>
        </is>
      </c>
      <c r="S417">
        <f>HYPERLINK("https://klasma.github.io/Logging_1785/artfynd/A 4134-2024 artfynd.xlsx", "A 4134-2024")</f>
        <v/>
      </c>
      <c r="T417">
        <f>HYPERLINK("https://klasma.github.io/Logging_1785/kartor/A 4134-2024 karta.png", "A 4134-2024")</f>
        <v/>
      </c>
      <c r="V417">
        <f>HYPERLINK("https://klasma.github.io/Logging_1785/klagomål/A 4134-2024 FSC-klagomål.docx", "A 4134-2024")</f>
        <v/>
      </c>
      <c r="W417">
        <f>HYPERLINK("https://klasma.github.io/Logging_1785/klagomålsmail/A 4134-2024 FSC-klagomål mail.docx", "A 4134-2024")</f>
        <v/>
      </c>
      <c r="X417">
        <f>HYPERLINK("https://klasma.github.io/Logging_1785/tillsyn/A 4134-2024 tillsynsbegäran.docx", "A 4134-2024")</f>
        <v/>
      </c>
      <c r="Y417">
        <f>HYPERLINK("https://klasma.github.io/Logging_1785/tillsynsmail/A 4134-2024 tillsynsbegäran mail.docx", "A 4134-2024")</f>
        <v/>
      </c>
    </row>
    <row r="418" ht="15" customHeight="1">
      <c r="A418" t="inlineStr">
        <is>
          <t>A 29432-2025</t>
        </is>
      </c>
      <c r="B418" s="1" t="n">
        <v>45824</v>
      </c>
      <c r="C418" s="1" t="n">
        <v>45932</v>
      </c>
      <c r="D418" t="inlineStr">
        <is>
          <t>VÄRMLANDS LÄN</t>
        </is>
      </c>
      <c r="E418" t="inlineStr">
        <is>
          <t>ARVIKA</t>
        </is>
      </c>
      <c r="F418" t="inlineStr">
        <is>
          <t>Bergvik skog väst AB</t>
        </is>
      </c>
      <c r="G418" t="n">
        <v>10.7</v>
      </c>
      <c r="H418" t="n">
        <v>1</v>
      </c>
      <c r="I418" t="n">
        <v>0</v>
      </c>
      <c r="J418" t="n">
        <v>0</v>
      </c>
      <c r="K418" t="n">
        <v>0</v>
      </c>
      <c r="L418" t="n">
        <v>0</v>
      </c>
      <c r="M418" t="n">
        <v>0</v>
      </c>
      <c r="N418" t="n">
        <v>0</v>
      </c>
      <c r="O418" t="n">
        <v>0</v>
      </c>
      <c r="P418" t="n">
        <v>0</v>
      </c>
      <c r="Q418" t="n">
        <v>1</v>
      </c>
      <c r="R418" s="2" t="inlineStr">
        <is>
          <t>Fläcknycklar</t>
        </is>
      </c>
      <c r="S418">
        <f>HYPERLINK("https://klasma.github.io/Logging_1784/artfynd/A 29432-2025 artfynd.xlsx", "A 29432-2025")</f>
        <v/>
      </c>
      <c r="T418">
        <f>HYPERLINK("https://klasma.github.io/Logging_1784/kartor/A 29432-2025 karta.png", "A 29432-2025")</f>
        <v/>
      </c>
      <c r="V418">
        <f>HYPERLINK("https://klasma.github.io/Logging_1784/klagomål/A 29432-2025 FSC-klagomål.docx", "A 29432-2025")</f>
        <v/>
      </c>
      <c r="W418">
        <f>HYPERLINK("https://klasma.github.io/Logging_1784/klagomålsmail/A 29432-2025 FSC-klagomål mail.docx", "A 29432-2025")</f>
        <v/>
      </c>
      <c r="X418">
        <f>HYPERLINK("https://klasma.github.io/Logging_1784/tillsyn/A 29432-2025 tillsynsbegäran.docx", "A 29432-2025")</f>
        <v/>
      </c>
      <c r="Y418">
        <f>HYPERLINK("https://klasma.github.io/Logging_1784/tillsynsmail/A 29432-2025 tillsynsbegäran mail.docx", "A 29432-2025")</f>
        <v/>
      </c>
    </row>
    <row r="419" ht="15" customHeight="1">
      <c r="A419" t="inlineStr">
        <is>
          <t>A 30071-2025</t>
        </is>
      </c>
      <c r="B419" s="1" t="n">
        <v>45826</v>
      </c>
      <c r="C419" s="1" t="n">
        <v>45932</v>
      </c>
      <c r="D419" t="inlineStr">
        <is>
          <t>VÄRMLANDS LÄN</t>
        </is>
      </c>
      <c r="E419" t="inlineStr">
        <is>
          <t>ARVIKA</t>
        </is>
      </c>
      <c r="F419" t="inlineStr">
        <is>
          <t>Bergvik skog väst AB</t>
        </is>
      </c>
      <c r="G419" t="n">
        <v>5.7</v>
      </c>
      <c r="H419" t="n">
        <v>0</v>
      </c>
      <c r="I419" t="n">
        <v>1</v>
      </c>
      <c r="J419" t="n">
        <v>0</v>
      </c>
      <c r="K419" t="n">
        <v>0</v>
      </c>
      <c r="L419" t="n">
        <v>0</v>
      </c>
      <c r="M419" t="n">
        <v>0</v>
      </c>
      <c r="N419" t="n">
        <v>0</v>
      </c>
      <c r="O419" t="n">
        <v>0</v>
      </c>
      <c r="P419" t="n">
        <v>0</v>
      </c>
      <c r="Q419" t="n">
        <v>1</v>
      </c>
      <c r="R419" s="2" t="inlineStr">
        <is>
          <t>Svart trolldruva</t>
        </is>
      </c>
      <c r="S419">
        <f>HYPERLINK("https://klasma.github.io/Logging_1784/artfynd/A 30071-2025 artfynd.xlsx", "A 30071-2025")</f>
        <v/>
      </c>
      <c r="T419">
        <f>HYPERLINK("https://klasma.github.io/Logging_1784/kartor/A 30071-2025 karta.png", "A 30071-2025")</f>
        <v/>
      </c>
      <c r="V419">
        <f>HYPERLINK("https://klasma.github.io/Logging_1784/klagomål/A 30071-2025 FSC-klagomål.docx", "A 30071-2025")</f>
        <v/>
      </c>
      <c r="W419">
        <f>HYPERLINK("https://klasma.github.io/Logging_1784/klagomålsmail/A 30071-2025 FSC-klagomål mail.docx", "A 30071-2025")</f>
        <v/>
      </c>
      <c r="X419">
        <f>HYPERLINK("https://klasma.github.io/Logging_1784/tillsyn/A 30071-2025 tillsynsbegäran.docx", "A 30071-2025")</f>
        <v/>
      </c>
      <c r="Y419">
        <f>HYPERLINK("https://klasma.github.io/Logging_1784/tillsynsmail/A 30071-2025 tillsynsbegäran mail.docx", "A 30071-2025")</f>
        <v/>
      </c>
    </row>
    <row r="420" ht="15" customHeight="1">
      <c r="A420" t="inlineStr">
        <is>
          <t>A 58517-2024</t>
        </is>
      </c>
      <c r="B420" s="1" t="n">
        <v>45635</v>
      </c>
      <c r="C420" s="1" t="n">
        <v>45932</v>
      </c>
      <c r="D420" t="inlineStr">
        <is>
          <t>VÄRMLANDS LÄN</t>
        </is>
      </c>
      <c r="E420" t="inlineStr">
        <is>
          <t>SUNNE</t>
        </is>
      </c>
      <c r="G420" t="n">
        <v>2.3</v>
      </c>
      <c r="H420" t="n">
        <v>0</v>
      </c>
      <c r="I420" t="n">
        <v>0</v>
      </c>
      <c r="J420" t="n">
        <v>1</v>
      </c>
      <c r="K420" t="n">
        <v>0</v>
      </c>
      <c r="L420" t="n">
        <v>0</v>
      </c>
      <c r="M420" t="n">
        <v>0</v>
      </c>
      <c r="N420" t="n">
        <v>0</v>
      </c>
      <c r="O420" t="n">
        <v>1</v>
      </c>
      <c r="P420" t="n">
        <v>0</v>
      </c>
      <c r="Q420" t="n">
        <v>1</v>
      </c>
      <c r="R420" s="2" t="inlineStr">
        <is>
          <t>Garnlav</t>
        </is>
      </c>
      <c r="S420">
        <f>HYPERLINK("https://klasma.github.io/Logging_1766/artfynd/A 58517-2024 artfynd.xlsx", "A 58517-2024")</f>
        <v/>
      </c>
      <c r="T420">
        <f>HYPERLINK("https://klasma.github.io/Logging_1766/kartor/A 58517-2024 karta.png", "A 58517-2024")</f>
        <v/>
      </c>
      <c r="V420">
        <f>HYPERLINK("https://klasma.github.io/Logging_1766/klagomål/A 58517-2024 FSC-klagomål.docx", "A 58517-2024")</f>
        <v/>
      </c>
      <c r="W420">
        <f>HYPERLINK("https://klasma.github.io/Logging_1766/klagomålsmail/A 58517-2024 FSC-klagomål mail.docx", "A 58517-2024")</f>
        <v/>
      </c>
      <c r="X420">
        <f>HYPERLINK("https://klasma.github.io/Logging_1766/tillsyn/A 58517-2024 tillsynsbegäran.docx", "A 58517-2024")</f>
        <v/>
      </c>
      <c r="Y420">
        <f>HYPERLINK("https://klasma.github.io/Logging_1766/tillsynsmail/A 58517-2024 tillsynsbegäran mail.docx", "A 58517-2024")</f>
        <v/>
      </c>
    </row>
    <row r="421" ht="15" customHeight="1">
      <c r="A421" t="inlineStr">
        <is>
          <t>A 8846-2022</t>
        </is>
      </c>
      <c r="B421" s="1" t="n">
        <v>44614</v>
      </c>
      <c r="C421" s="1" t="n">
        <v>45932</v>
      </c>
      <c r="D421" t="inlineStr">
        <is>
          <t>VÄRMLANDS LÄN</t>
        </is>
      </c>
      <c r="E421" t="inlineStr">
        <is>
          <t>ARVIKA</t>
        </is>
      </c>
      <c r="G421" t="n">
        <v>8.6</v>
      </c>
      <c r="H421" t="n">
        <v>0</v>
      </c>
      <c r="I421" t="n">
        <v>1</v>
      </c>
      <c r="J421" t="n">
        <v>0</v>
      </c>
      <c r="K421" t="n">
        <v>0</v>
      </c>
      <c r="L421" t="n">
        <v>0</v>
      </c>
      <c r="M421" t="n">
        <v>0</v>
      </c>
      <c r="N421" t="n">
        <v>0</v>
      </c>
      <c r="O421" t="n">
        <v>0</v>
      </c>
      <c r="P421" t="n">
        <v>0</v>
      </c>
      <c r="Q421" t="n">
        <v>1</v>
      </c>
      <c r="R421" s="2" t="inlineStr">
        <is>
          <t>Tibast</t>
        </is>
      </c>
      <c r="S421">
        <f>HYPERLINK("https://klasma.github.io/Logging_1784/artfynd/A 8846-2022 artfynd.xlsx", "A 8846-2022")</f>
        <v/>
      </c>
      <c r="T421">
        <f>HYPERLINK("https://klasma.github.io/Logging_1784/kartor/A 8846-2022 karta.png", "A 8846-2022")</f>
        <v/>
      </c>
      <c r="V421">
        <f>HYPERLINK("https://klasma.github.io/Logging_1784/klagomål/A 8846-2022 FSC-klagomål.docx", "A 8846-2022")</f>
        <v/>
      </c>
      <c r="W421">
        <f>HYPERLINK("https://klasma.github.io/Logging_1784/klagomålsmail/A 8846-2022 FSC-klagomål mail.docx", "A 8846-2022")</f>
        <v/>
      </c>
      <c r="X421">
        <f>HYPERLINK("https://klasma.github.io/Logging_1784/tillsyn/A 8846-2022 tillsynsbegäran.docx", "A 8846-2022")</f>
        <v/>
      </c>
      <c r="Y421">
        <f>HYPERLINK("https://klasma.github.io/Logging_1784/tillsynsmail/A 8846-2022 tillsynsbegäran mail.docx", "A 8846-2022")</f>
        <v/>
      </c>
    </row>
    <row r="422" ht="15" customHeight="1">
      <c r="A422" t="inlineStr">
        <is>
          <t>A 30652-2025</t>
        </is>
      </c>
      <c r="B422" s="1" t="n">
        <v>45831.50282407407</v>
      </c>
      <c r="C422" s="1" t="n">
        <v>45932</v>
      </c>
      <c r="D422" t="inlineStr">
        <is>
          <t>VÄRMLANDS LÄN</t>
        </is>
      </c>
      <c r="E422" t="inlineStr">
        <is>
          <t>FILIPSTAD</t>
        </is>
      </c>
      <c r="F422" t="inlineStr">
        <is>
          <t>Bergvik skog väst AB</t>
        </is>
      </c>
      <c r="G422" t="n">
        <v>4.3</v>
      </c>
      <c r="H422" t="n">
        <v>1</v>
      </c>
      <c r="I422" t="n">
        <v>0</v>
      </c>
      <c r="J422" t="n">
        <v>0</v>
      </c>
      <c r="K422" t="n">
        <v>0</v>
      </c>
      <c r="L422" t="n">
        <v>0</v>
      </c>
      <c r="M422" t="n">
        <v>0</v>
      </c>
      <c r="N422" t="n">
        <v>0</v>
      </c>
      <c r="O422" t="n">
        <v>0</v>
      </c>
      <c r="P422" t="n">
        <v>0</v>
      </c>
      <c r="Q422" t="n">
        <v>1</v>
      </c>
      <c r="R422" s="2" t="inlineStr">
        <is>
          <t>Tjäder</t>
        </is>
      </c>
      <c r="S422">
        <f>HYPERLINK("https://klasma.github.io/Logging_1782/artfynd/A 30652-2025 artfynd.xlsx", "A 30652-2025")</f>
        <v/>
      </c>
      <c r="T422">
        <f>HYPERLINK("https://klasma.github.io/Logging_1782/kartor/A 30652-2025 karta.png", "A 30652-2025")</f>
        <v/>
      </c>
      <c r="V422">
        <f>HYPERLINK("https://klasma.github.io/Logging_1782/klagomål/A 30652-2025 FSC-klagomål.docx", "A 30652-2025")</f>
        <v/>
      </c>
      <c r="W422">
        <f>HYPERLINK("https://klasma.github.io/Logging_1782/klagomålsmail/A 30652-2025 FSC-klagomål mail.docx", "A 30652-2025")</f>
        <v/>
      </c>
      <c r="X422">
        <f>HYPERLINK("https://klasma.github.io/Logging_1782/tillsyn/A 30652-2025 tillsynsbegäran.docx", "A 30652-2025")</f>
        <v/>
      </c>
      <c r="Y422">
        <f>HYPERLINK("https://klasma.github.io/Logging_1782/tillsynsmail/A 30652-2025 tillsynsbegäran mail.docx", "A 30652-2025")</f>
        <v/>
      </c>
      <c r="Z422">
        <f>HYPERLINK("https://klasma.github.io/Logging_1782/fåglar/A 30652-2025 prioriterade fågelarter.docx", "A 30652-2025")</f>
        <v/>
      </c>
    </row>
    <row r="423" ht="15" customHeight="1">
      <c r="A423" t="inlineStr">
        <is>
          <t>A 31588-2025</t>
        </is>
      </c>
      <c r="B423" s="1" t="n">
        <v>45833</v>
      </c>
      <c r="C423" s="1" t="n">
        <v>45932</v>
      </c>
      <c r="D423" t="inlineStr">
        <is>
          <t>VÄRMLANDS LÄN</t>
        </is>
      </c>
      <c r="E423" t="inlineStr">
        <is>
          <t>ARVIKA</t>
        </is>
      </c>
      <c r="F423" t="inlineStr">
        <is>
          <t>Bergvik skog väst AB</t>
        </is>
      </c>
      <c r="G423" t="n">
        <v>6.3</v>
      </c>
      <c r="H423" t="n">
        <v>1</v>
      </c>
      <c r="I423" t="n">
        <v>0</v>
      </c>
      <c r="J423" t="n">
        <v>0</v>
      </c>
      <c r="K423" t="n">
        <v>0</v>
      </c>
      <c r="L423" t="n">
        <v>0</v>
      </c>
      <c r="M423" t="n">
        <v>0</v>
      </c>
      <c r="N423" t="n">
        <v>0</v>
      </c>
      <c r="O423" t="n">
        <v>0</v>
      </c>
      <c r="P423" t="n">
        <v>0</v>
      </c>
      <c r="Q423" t="n">
        <v>1</v>
      </c>
      <c r="R423" s="2" t="inlineStr">
        <is>
          <t>Fläcknycklar</t>
        </is>
      </c>
      <c r="S423">
        <f>HYPERLINK("https://klasma.github.io/Logging_1784/artfynd/A 31588-2025 artfynd.xlsx", "A 31588-2025")</f>
        <v/>
      </c>
      <c r="T423">
        <f>HYPERLINK("https://klasma.github.io/Logging_1784/kartor/A 31588-2025 karta.png", "A 31588-2025")</f>
        <v/>
      </c>
      <c r="V423">
        <f>HYPERLINK("https://klasma.github.io/Logging_1784/klagomål/A 31588-2025 FSC-klagomål.docx", "A 31588-2025")</f>
        <v/>
      </c>
      <c r="W423">
        <f>HYPERLINK("https://klasma.github.io/Logging_1784/klagomålsmail/A 31588-2025 FSC-klagomål mail.docx", "A 31588-2025")</f>
        <v/>
      </c>
      <c r="X423">
        <f>HYPERLINK("https://klasma.github.io/Logging_1784/tillsyn/A 31588-2025 tillsynsbegäran.docx", "A 31588-2025")</f>
        <v/>
      </c>
      <c r="Y423">
        <f>HYPERLINK("https://klasma.github.io/Logging_1784/tillsynsmail/A 31588-2025 tillsynsbegäran mail.docx", "A 31588-2025")</f>
        <v/>
      </c>
    </row>
    <row r="424" ht="15" customHeight="1">
      <c r="A424" t="inlineStr">
        <is>
          <t>A 14212-2025</t>
        </is>
      </c>
      <c r="B424" s="1" t="n">
        <v>45740</v>
      </c>
      <c r="C424" s="1" t="n">
        <v>45932</v>
      </c>
      <c r="D424" t="inlineStr">
        <is>
          <t>VÄRMLANDS LÄN</t>
        </is>
      </c>
      <c r="E424" t="inlineStr">
        <is>
          <t>TORSBY</t>
        </is>
      </c>
      <c r="F424" t="inlineStr">
        <is>
          <t>Övriga statliga verk och myndigheter</t>
        </is>
      </c>
      <c r="G424" t="n">
        <v>2</v>
      </c>
      <c r="H424" t="n">
        <v>0</v>
      </c>
      <c r="I424" t="n">
        <v>0</v>
      </c>
      <c r="J424" t="n">
        <v>0</v>
      </c>
      <c r="K424" t="n">
        <v>1</v>
      </c>
      <c r="L424" t="n">
        <v>0</v>
      </c>
      <c r="M424" t="n">
        <v>0</v>
      </c>
      <c r="N424" t="n">
        <v>0</v>
      </c>
      <c r="O424" t="n">
        <v>1</v>
      </c>
      <c r="P424" t="n">
        <v>1</v>
      </c>
      <c r="Q424" t="n">
        <v>1</v>
      </c>
      <c r="R424" s="2" t="inlineStr">
        <is>
          <t>Raggbock</t>
        </is>
      </c>
      <c r="S424">
        <f>HYPERLINK("https://klasma.github.io/Logging_1737/artfynd/A 14212-2025 artfynd.xlsx", "A 14212-2025")</f>
        <v/>
      </c>
      <c r="T424">
        <f>HYPERLINK("https://klasma.github.io/Logging_1737/kartor/A 14212-2025 karta.png", "A 14212-2025")</f>
        <v/>
      </c>
      <c r="V424">
        <f>HYPERLINK("https://klasma.github.io/Logging_1737/klagomål/A 14212-2025 FSC-klagomål.docx", "A 14212-2025")</f>
        <v/>
      </c>
      <c r="W424">
        <f>HYPERLINK("https://klasma.github.io/Logging_1737/klagomålsmail/A 14212-2025 FSC-klagomål mail.docx", "A 14212-2025")</f>
        <v/>
      </c>
      <c r="X424">
        <f>HYPERLINK("https://klasma.github.io/Logging_1737/tillsyn/A 14212-2025 tillsynsbegäran.docx", "A 14212-2025")</f>
        <v/>
      </c>
      <c r="Y424">
        <f>HYPERLINK("https://klasma.github.io/Logging_1737/tillsynsmail/A 14212-2025 tillsynsbegäran mail.docx", "A 14212-2025")</f>
        <v/>
      </c>
    </row>
    <row r="425" ht="15" customHeight="1">
      <c r="A425" t="inlineStr">
        <is>
          <t>A 55068-2023</t>
        </is>
      </c>
      <c r="B425" s="1" t="n">
        <v>45237</v>
      </c>
      <c r="C425" s="1" t="n">
        <v>45932</v>
      </c>
      <c r="D425" t="inlineStr">
        <is>
          <t>VÄRMLANDS LÄN</t>
        </is>
      </c>
      <c r="E425" t="inlineStr">
        <is>
          <t>HAMMARÖ</t>
        </is>
      </c>
      <c r="F425" t="inlineStr">
        <is>
          <t>Kommuner</t>
        </is>
      </c>
      <c r="G425" t="n">
        <v>2.4</v>
      </c>
      <c r="H425" t="n">
        <v>0</v>
      </c>
      <c r="I425" t="n">
        <v>0</v>
      </c>
      <c r="J425" t="n">
        <v>1</v>
      </c>
      <c r="K425" t="n">
        <v>0</v>
      </c>
      <c r="L425" t="n">
        <v>0</v>
      </c>
      <c r="M425" t="n">
        <v>0</v>
      </c>
      <c r="N425" t="n">
        <v>0</v>
      </c>
      <c r="O425" t="n">
        <v>1</v>
      </c>
      <c r="P425" t="n">
        <v>0</v>
      </c>
      <c r="Q425" t="n">
        <v>1</v>
      </c>
      <c r="R425" s="2" t="inlineStr">
        <is>
          <t>Motaggsvamp</t>
        </is>
      </c>
      <c r="S425">
        <f>HYPERLINK("https://klasma.github.io/Logging_1761/artfynd/A 55068-2023 artfynd.xlsx", "A 55068-2023")</f>
        <v/>
      </c>
      <c r="T425">
        <f>HYPERLINK("https://klasma.github.io/Logging_1761/kartor/A 55068-2023 karta.png", "A 55068-2023")</f>
        <v/>
      </c>
      <c r="V425">
        <f>HYPERLINK("https://klasma.github.io/Logging_1761/klagomål/A 55068-2023 FSC-klagomål.docx", "A 55068-2023")</f>
        <v/>
      </c>
      <c r="W425">
        <f>HYPERLINK("https://klasma.github.io/Logging_1761/klagomålsmail/A 55068-2023 FSC-klagomål mail.docx", "A 55068-2023")</f>
        <v/>
      </c>
      <c r="X425">
        <f>HYPERLINK("https://klasma.github.io/Logging_1761/tillsyn/A 55068-2023 tillsynsbegäran.docx", "A 55068-2023")</f>
        <v/>
      </c>
      <c r="Y425">
        <f>HYPERLINK("https://klasma.github.io/Logging_1761/tillsynsmail/A 55068-2023 tillsynsbegäran mail.docx", "A 55068-2023")</f>
        <v/>
      </c>
    </row>
    <row r="426" ht="15" customHeight="1">
      <c r="A426" t="inlineStr">
        <is>
          <t>A 51522-2022</t>
        </is>
      </c>
      <c r="B426" s="1" t="n">
        <v>44869</v>
      </c>
      <c r="C426" s="1" t="n">
        <v>45932</v>
      </c>
      <c r="D426" t="inlineStr">
        <is>
          <t>VÄRMLANDS LÄN</t>
        </is>
      </c>
      <c r="E426" t="inlineStr">
        <is>
          <t>FILIPSTAD</t>
        </is>
      </c>
      <c r="G426" t="n">
        <v>4.1</v>
      </c>
      <c r="H426" t="n">
        <v>0</v>
      </c>
      <c r="I426" t="n">
        <v>1</v>
      </c>
      <c r="J426" t="n">
        <v>0</v>
      </c>
      <c r="K426" t="n">
        <v>0</v>
      </c>
      <c r="L426" t="n">
        <v>0</v>
      </c>
      <c r="M426" t="n">
        <v>0</v>
      </c>
      <c r="N426" t="n">
        <v>0</v>
      </c>
      <c r="O426" t="n">
        <v>0</v>
      </c>
      <c r="P426" t="n">
        <v>0</v>
      </c>
      <c r="Q426" t="n">
        <v>1</v>
      </c>
      <c r="R426" s="2" t="inlineStr">
        <is>
          <t>Tibast</t>
        </is>
      </c>
      <c r="S426">
        <f>HYPERLINK("https://klasma.github.io/Logging_1782/artfynd/A 51522-2022 artfynd.xlsx", "A 51522-2022")</f>
        <v/>
      </c>
      <c r="T426">
        <f>HYPERLINK("https://klasma.github.io/Logging_1782/kartor/A 51522-2022 karta.png", "A 51522-2022")</f>
        <v/>
      </c>
      <c r="V426">
        <f>HYPERLINK("https://klasma.github.io/Logging_1782/klagomål/A 51522-2022 FSC-klagomål.docx", "A 51522-2022")</f>
        <v/>
      </c>
      <c r="W426">
        <f>HYPERLINK("https://klasma.github.io/Logging_1782/klagomålsmail/A 51522-2022 FSC-klagomål mail.docx", "A 51522-2022")</f>
        <v/>
      </c>
      <c r="X426">
        <f>HYPERLINK("https://klasma.github.io/Logging_1782/tillsyn/A 51522-2022 tillsynsbegäran.docx", "A 51522-2022")</f>
        <v/>
      </c>
      <c r="Y426">
        <f>HYPERLINK("https://klasma.github.io/Logging_1782/tillsynsmail/A 51522-2022 tillsynsbegäran mail.docx", "A 51522-2022")</f>
        <v/>
      </c>
    </row>
    <row r="427" ht="15" customHeight="1">
      <c r="A427" t="inlineStr">
        <is>
          <t>A 37292-2024</t>
        </is>
      </c>
      <c r="B427" s="1" t="n">
        <v>45540</v>
      </c>
      <c r="C427" s="1" t="n">
        <v>45932</v>
      </c>
      <c r="D427" t="inlineStr">
        <is>
          <t>VÄRMLANDS LÄN</t>
        </is>
      </c>
      <c r="E427" t="inlineStr">
        <is>
          <t>TORSBY</t>
        </is>
      </c>
      <c r="G427" t="n">
        <v>5.4</v>
      </c>
      <c r="H427" t="n">
        <v>0</v>
      </c>
      <c r="I427" t="n">
        <v>0</v>
      </c>
      <c r="J427" t="n">
        <v>1</v>
      </c>
      <c r="K427" t="n">
        <v>0</v>
      </c>
      <c r="L427" t="n">
        <v>0</v>
      </c>
      <c r="M427" t="n">
        <v>0</v>
      </c>
      <c r="N427" t="n">
        <v>0</v>
      </c>
      <c r="O427" t="n">
        <v>1</v>
      </c>
      <c r="P427" t="n">
        <v>0</v>
      </c>
      <c r="Q427" t="n">
        <v>1</v>
      </c>
      <c r="R427" s="2" t="inlineStr">
        <is>
          <t>Garnlav</t>
        </is>
      </c>
      <c r="S427">
        <f>HYPERLINK("https://klasma.github.io/Logging_1737/artfynd/A 37292-2024 artfynd.xlsx", "A 37292-2024")</f>
        <v/>
      </c>
      <c r="T427">
        <f>HYPERLINK("https://klasma.github.io/Logging_1737/kartor/A 37292-2024 karta.png", "A 37292-2024")</f>
        <v/>
      </c>
      <c r="V427">
        <f>HYPERLINK("https://klasma.github.io/Logging_1737/klagomål/A 37292-2024 FSC-klagomål.docx", "A 37292-2024")</f>
        <v/>
      </c>
      <c r="W427">
        <f>HYPERLINK("https://klasma.github.io/Logging_1737/klagomålsmail/A 37292-2024 FSC-klagomål mail.docx", "A 37292-2024")</f>
        <v/>
      </c>
      <c r="X427">
        <f>HYPERLINK("https://klasma.github.io/Logging_1737/tillsyn/A 37292-2024 tillsynsbegäran.docx", "A 37292-2024")</f>
        <v/>
      </c>
      <c r="Y427">
        <f>HYPERLINK("https://klasma.github.io/Logging_1737/tillsynsmail/A 37292-2024 tillsynsbegäran mail.docx", "A 37292-2024")</f>
        <v/>
      </c>
    </row>
    <row r="428" ht="15" customHeight="1">
      <c r="A428" t="inlineStr">
        <is>
          <t>A 14030-2024</t>
        </is>
      </c>
      <c r="B428" s="1" t="n">
        <v>45392</v>
      </c>
      <c r="C428" s="1" t="n">
        <v>45932</v>
      </c>
      <c r="D428" t="inlineStr">
        <is>
          <t>VÄRMLANDS LÄN</t>
        </is>
      </c>
      <c r="E428" t="inlineStr">
        <is>
          <t>ARVIKA</t>
        </is>
      </c>
      <c r="F428" t="inlineStr">
        <is>
          <t>Kyrkan</t>
        </is>
      </c>
      <c r="G428" t="n">
        <v>32.2</v>
      </c>
      <c r="H428" t="n">
        <v>1</v>
      </c>
      <c r="I428" t="n">
        <v>0</v>
      </c>
      <c r="J428" t="n">
        <v>0</v>
      </c>
      <c r="K428" t="n">
        <v>1</v>
      </c>
      <c r="L428" t="n">
        <v>0</v>
      </c>
      <c r="M428" t="n">
        <v>0</v>
      </c>
      <c r="N428" t="n">
        <v>0</v>
      </c>
      <c r="O428" t="n">
        <v>1</v>
      </c>
      <c r="P428" t="n">
        <v>1</v>
      </c>
      <c r="Q428" t="n">
        <v>1</v>
      </c>
      <c r="R428" s="2" t="inlineStr">
        <is>
          <t>Knärot</t>
        </is>
      </c>
      <c r="S428">
        <f>HYPERLINK("https://klasma.github.io/Logging_1784/artfynd/A 14030-2024 artfynd.xlsx", "A 14030-2024")</f>
        <v/>
      </c>
      <c r="T428">
        <f>HYPERLINK("https://klasma.github.io/Logging_1784/kartor/A 14030-2024 karta.png", "A 14030-2024")</f>
        <v/>
      </c>
      <c r="U428">
        <f>HYPERLINK("https://klasma.github.io/Logging_1784/knärot/A 14030-2024 karta knärot.png", "A 14030-2024")</f>
        <v/>
      </c>
      <c r="V428">
        <f>HYPERLINK("https://klasma.github.io/Logging_1784/klagomål/A 14030-2024 FSC-klagomål.docx", "A 14030-2024")</f>
        <v/>
      </c>
      <c r="W428">
        <f>HYPERLINK("https://klasma.github.io/Logging_1784/klagomålsmail/A 14030-2024 FSC-klagomål mail.docx", "A 14030-2024")</f>
        <v/>
      </c>
      <c r="X428">
        <f>HYPERLINK("https://klasma.github.io/Logging_1784/tillsyn/A 14030-2024 tillsynsbegäran.docx", "A 14030-2024")</f>
        <v/>
      </c>
      <c r="Y428">
        <f>HYPERLINK("https://klasma.github.io/Logging_1784/tillsynsmail/A 14030-2024 tillsynsbegäran mail.docx", "A 14030-2024")</f>
        <v/>
      </c>
    </row>
    <row r="429" ht="15" customHeight="1">
      <c r="A429" t="inlineStr">
        <is>
          <t>A 32531-2025</t>
        </is>
      </c>
      <c r="B429" s="1" t="n">
        <v>45838.49210648148</v>
      </c>
      <c r="C429" s="1" t="n">
        <v>45932</v>
      </c>
      <c r="D429" t="inlineStr">
        <is>
          <t>VÄRMLANDS LÄN</t>
        </is>
      </c>
      <c r="E429" t="inlineStr">
        <is>
          <t>KARLSTAD</t>
        </is>
      </c>
      <c r="F429" t="inlineStr">
        <is>
          <t>Kyrkan</t>
        </is>
      </c>
      <c r="G429" t="n">
        <v>5.8</v>
      </c>
      <c r="H429" t="n">
        <v>1</v>
      </c>
      <c r="I429" t="n">
        <v>0</v>
      </c>
      <c r="J429" t="n">
        <v>0</v>
      </c>
      <c r="K429" t="n">
        <v>0</v>
      </c>
      <c r="L429" t="n">
        <v>0</v>
      </c>
      <c r="M429" t="n">
        <v>0</v>
      </c>
      <c r="N429" t="n">
        <v>0</v>
      </c>
      <c r="O429" t="n">
        <v>0</v>
      </c>
      <c r="P429" t="n">
        <v>0</v>
      </c>
      <c r="Q429" t="n">
        <v>1</v>
      </c>
      <c r="R429" s="2" t="inlineStr">
        <is>
          <t>Trana</t>
        </is>
      </c>
      <c r="S429">
        <f>HYPERLINK("https://klasma.github.io/Logging_1780/artfynd/A 32531-2025 artfynd.xlsx", "A 32531-2025")</f>
        <v/>
      </c>
      <c r="T429">
        <f>HYPERLINK("https://klasma.github.io/Logging_1780/kartor/A 32531-2025 karta.png", "A 32531-2025")</f>
        <v/>
      </c>
      <c r="V429">
        <f>HYPERLINK("https://klasma.github.io/Logging_1780/klagomål/A 32531-2025 FSC-klagomål.docx", "A 32531-2025")</f>
        <v/>
      </c>
      <c r="W429">
        <f>HYPERLINK("https://klasma.github.io/Logging_1780/klagomålsmail/A 32531-2025 FSC-klagomål mail.docx", "A 32531-2025")</f>
        <v/>
      </c>
      <c r="X429">
        <f>HYPERLINK("https://klasma.github.io/Logging_1780/tillsyn/A 32531-2025 tillsynsbegäran.docx", "A 32531-2025")</f>
        <v/>
      </c>
      <c r="Y429">
        <f>HYPERLINK("https://klasma.github.io/Logging_1780/tillsynsmail/A 32531-2025 tillsynsbegäran mail.docx", "A 32531-2025")</f>
        <v/>
      </c>
      <c r="Z429">
        <f>HYPERLINK("https://klasma.github.io/Logging_1780/fåglar/A 32531-2025 prioriterade fågelarter.docx", "A 32531-2025")</f>
        <v/>
      </c>
    </row>
    <row r="430" ht="15" customHeight="1">
      <c r="A430" t="inlineStr">
        <is>
          <t>A 24022-2021</t>
        </is>
      </c>
      <c r="B430" s="1" t="n">
        <v>44336.29990740741</v>
      </c>
      <c r="C430" s="1" t="n">
        <v>45932</v>
      </c>
      <c r="D430" t="inlineStr">
        <is>
          <t>VÄRMLANDS LÄN</t>
        </is>
      </c>
      <c r="E430" t="inlineStr">
        <is>
          <t>ARVIKA</t>
        </is>
      </c>
      <c r="G430" t="n">
        <v>6.8</v>
      </c>
      <c r="H430" t="n">
        <v>1</v>
      </c>
      <c r="I430" t="n">
        <v>0</v>
      </c>
      <c r="J430" t="n">
        <v>0</v>
      </c>
      <c r="K430" t="n">
        <v>0</v>
      </c>
      <c r="L430" t="n">
        <v>0</v>
      </c>
      <c r="M430" t="n">
        <v>0</v>
      </c>
      <c r="N430" t="n">
        <v>0</v>
      </c>
      <c r="O430" t="n">
        <v>0</v>
      </c>
      <c r="P430" t="n">
        <v>0</v>
      </c>
      <c r="Q430" t="n">
        <v>1</v>
      </c>
      <c r="R430" s="2" t="inlineStr">
        <is>
          <t>Skogsödla</t>
        </is>
      </c>
      <c r="S430">
        <f>HYPERLINK("https://klasma.github.io/Logging_1784/artfynd/A 24022-2021 artfynd.xlsx", "A 24022-2021")</f>
        <v/>
      </c>
      <c r="T430">
        <f>HYPERLINK("https://klasma.github.io/Logging_1784/kartor/A 24022-2021 karta.png", "A 24022-2021")</f>
        <v/>
      </c>
      <c r="V430">
        <f>HYPERLINK("https://klasma.github.io/Logging_1784/klagomål/A 24022-2021 FSC-klagomål.docx", "A 24022-2021")</f>
        <v/>
      </c>
      <c r="W430">
        <f>HYPERLINK("https://klasma.github.io/Logging_1784/klagomålsmail/A 24022-2021 FSC-klagomål mail.docx", "A 24022-2021")</f>
        <v/>
      </c>
      <c r="X430">
        <f>HYPERLINK("https://klasma.github.io/Logging_1784/tillsyn/A 24022-2021 tillsynsbegäran.docx", "A 24022-2021")</f>
        <v/>
      </c>
      <c r="Y430">
        <f>HYPERLINK("https://klasma.github.io/Logging_1784/tillsynsmail/A 24022-2021 tillsynsbegäran mail.docx", "A 24022-2021")</f>
        <v/>
      </c>
    </row>
    <row r="431" ht="15" customHeight="1">
      <c r="A431" t="inlineStr">
        <is>
          <t>A 48010-2024</t>
        </is>
      </c>
      <c r="B431" s="1" t="n">
        <v>45589</v>
      </c>
      <c r="C431" s="1" t="n">
        <v>45932</v>
      </c>
      <c r="D431" t="inlineStr">
        <is>
          <t>VÄRMLANDS LÄN</t>
        </is>
      </c>
      <c r="E431" t="inlineStr">
        <is>
          <t>ARVIKA</t>
        </is>
      </c>
      <c r="G431" t="n">
        <v>6.7</v>
      </c>
      <c r="H431" t="n">
        <v>1</v>
      </c>
      <c r="I431" t="n">
        <v>0</v>
      </c>
      <c r="J431" t="n">
        <v>0</v>
      </c>
      <c r="K431" t="n">
        <v>1</v>
      </c>
      <c r="L431" t="n">
        <v>0</v>
      </c>
      <c r="M431" t="n">
        <v>0</v>
      </c>
      <c r="N431" t="n">
        <v>0</v>
      </c>
      <c r="O431" t="n">
        <v>1</v>
      </c>
      <c r="P431" t="n">
        <v>1</v>
      </c>
      <c r="Q431" t="n">
        <v>1</v>
      </c>
      <c r="R431" s="2" t="inlineStr">
        <is>
          <t>Knärot</t>
        </is>
      </c>
      <c r="S431">
        <f>HYPERLINK("https://klasma.github.io/Logging_1784/artfynd/A 48010-2024 artfynd.xlsx", "A 48010-2024")</f>
        <v/>
      </c>
      <c r="T431">
        <f>HYPERLINK("https://klasma.github.io/Logging_1784/kartor/A 48010-2024 karta.png", "A 48010-2024")</f>
        <v/>
      </c>
      <c r="U431">
        <f>HYPERLINK("https://klasma.github.io/Logging_1784/knärot/A 48010-2024 karta knärot.png", "A 48010-2024")</f>
        <v/>
      </c>
      <c r="V431">
        <f>HYPERLINK("https://klasma.github.io/Logging_1784/klagomål/A 48010-2024 FSC-klagomål.docx", "A 48010-2024")</f>
        <v/>
      </c>
      <c r="W431">
        <f>HYPERLINK("https://klasma.github.io/Logging_1784/klagomålsmail/A 48010-2024 FSC-klagomål mail.docx", "A 48010-2024")</f>
        <v/>
      </c>
      <c r="X431">
        <f>HYPERLINK("https://klasma.github.io/Logging_1784/tillsyn/A 48010-2024 tillsynsbegäran.docx", "A 48010-2024")</f>
        <v/>
      </c>
      <c r="Y431">
        <f>HYPERLINK("https://klasma.github.io/Logging_1784/tillsynsmail/A 48010-2024 tillsynsbegäran mail.docx", "A 48010-2024")</f>
        <v/>
      </c>
    </row>
    <row r="432" ht="15" customHeight="1">
      <c r="A432" t="inlineStr">
        <is>
          <t>A 32328-2025</t>
        </is>
      </c>
      <c r="B432" s="1" t="n">
        <v>45836.46289351852</v>
      </c>
      <c r="C432" s="1" t="n">
        <v>45932</v>
      </c>
      <c r="D432" t="inlineStr">
        <is>
          <t>VÄRMLANDS LÄN</t>
        </is>
      </c>
      <c r="E432" t="inlineStr">
        <is>
          <t>TORSBY</t>
        </is>
      </c>
      <c r="G432" t="n">
        <v>1.1</v>
      </c>
      <c r="H432" t="n">
        <v>0</v>
      </c>
      <c r="I432" t="n">
        <v>0</v>
      </c>
      <c r="J432" t="n">
        <v>1</v>
      </c>
      <c r="K432" t="n">
        <v>0</v>
      </c>
      <c r="L432" t="n">
        <v>0</v>
      </c>
      <c r="M432" t="n">
        <v>0</v>
      </c>
      <c r="N432" t="n">
        <v>0</v>
      </c>
      <c r="O432" t="n">
        <v>1</v>
      </c>
      <c r="P432" t="n">
        <v>0</v>
      </c>
      <c r="Q432" t="n">
        <v>1</v>
      </c>
      <c r="R432" s="2" t="inlineStr">
        <is>
          <t>Ullticka</t>
        </is>
      </c>
      <c r="S432">
        <f>HYPERLINK("https://klasma.github.io/Logging_1737/artfynd/A 32328-2025 artfynd.xlsx", "A 32328-2025")</f>
        <v/>
      </c>
      <c r="T432">
        <f>HYPERLINK("https://klasma.github.io/Logging_1737/kartor/A 32328-2025 karta.png", "A 32328-2025")</f>
        <v/>
      </c>
      <c r="V432">
        <f>HYPERLINK("https://klasma.github.io/Logging_1737/klagomål/A 32328-2025 FSC-klagomål.docx", "A 32328-2025")</f>
        <v/>
      </c>
      <c r="W432">
        <f>HYPERLINK("https://klasma.github.io/Logging_1737/klagomålsmail/A 32328-2025 FSC-klagomål mail.docx", "A 32328-2025")</f>
        <v/>
      </c>
      <c r="X432">
        <f>HYPERLINK("https://klasma.github.io/Logging_1737/tillsyn/A 32328-2025 tillsynsbegäran.docx", "A 32328-2025")</f>
        <v/>
      </c>
      <c r="Y432">
        <f>HYPERLINK("https://klasma.github.io/Logging_1737/tillsynsmail/A 32328-2025 tillsynsbegäran mail.docx", "A 32328-2025")</f>
        <v/>
      </c>
    </row>
    <row r="433" ht="15" customHeight="1">
      <c r="A433" t="inlineStr">
        <is>
          <t>A 45264-2024</t>
        </is>
      </c>
      <c r="B433" s="1" t="n">
        <v>45576</v>
      </c>
      <c r="C433" s="1" t="n">
        <v>45932</v>
      </c>
      <c r="D433" t="inlineStr">
        <is>
          <t>VÄRMLANDS LÄN</t>
        </is>
      </c>
      <c r="E433" t="inlineStr">
        <is>
          <t>HAGFORS</t>
        </is>
      </c>
      <c r="F433" t="inlineStr">
        <is>
          <t>Bergvik skog väst AB</t>
        </is>
      </c>
      <c r="G433" t="n">
        <v>3.5</v>
      </c>
      <c r="H433" t="n">
        <v>1</v>
      </c>
      <c r="I433" t="n">
        <v>0</v>
      </c>
      <c r="J433" t="n">
        <v>0</v>
      </c>
      <c r="K433" t="n">
        <v>0</v>
      </c>
      <c r="L433" t="n">
        <v>0</v>
      </c>
      <c r="M433" t="n">
        <v>0</v>
      </c>
      <c r="N433" t="n">
        <v>0</v>
      </c>
      <c r="O433" t="n">
        <v>0</v>
      </c>
      <c r="P433" t="n">
        <v>0</v>
      </c>
      <c r="Q433" t="n">
        <v>1</v>
      </c>
      <c r="R433" s="2" t="inlineStr">
        <is>
          <t>Nattviol</t>
        </is>
      </c>
      <c r="S433">
        <f>HYPERLINK("https://klasma.github.io/Logging_1783/artfynd/A 45264-2024 artfynd.xlsx", "A 45264-2024")</f>
        <v/>
      </c>
      <c r="T433">
        <f>HYPERLINK("https://klasma.github.io/Logging_1783/kartor/A 45264-2024 karta.png", "A 45264-2024")</f>
        <v/>
      </c>
      <c r="V433">
        <f>HYPERLINK("https://klasma.github.io/Logging_1783/klagomål/A 45264-2024 FSC-klagomål.docx", "A 45264-2024")</f>
        <v/>
      </c>
      <c r="W433">
        <f>HYPERLINK("https://klasma.github.io/Logging_1783/klagomålsmail/A 45264-2024 FSC-klagomål mail.docx", "A 45264-2024")</f>
        <v/>
      </c>
      <c r="X433">
        <f>HYPERLINK("https://klasma.github.io/Logging_1783/tillsyn/A 45264-2024 tillsynsbegäran.docx", "A 45264-2024")</f>
        <v/>
      </c>
      <c r="Y433">
        <f>HYPERLINK("https://klasma.github.io/Logging_1783/tillsynsmail/A 45264-2024 tillsynsbegäran mail.docx", "A 45264-2024")</f>
        <v/>
      </c>
    </row>
    <row r="434" ht="15" customHeight="1">
      <c r="A434" t="inlineStr">
        <is>
          <t>A 33518-2025</t>
        </is>
      </c>
      <c r="B434" s="1" t="n">
        <v>45841.53921296296</v>
      </c>
      <c r="C434" s="1" t="n">
        <v>45932</v>
      </c>
      <c r="D434" t="inlineStr">
        <is>
          <t>VÄRMLANDS LÄN</t>
        </is>
      </c>
      <c r="E434" t="inlineStr">
        <is>
          <t>STORFORS</t>
        </is>
      </c>
      <c r="F434" t="inlineStr">
        <is>
          <t>Bergvik skog väst AB</t>
        </is>
      </c>
      <c r="G434" t="n">
        <v>0.9</v>
      </c>
      <c r="H434" t="n">
        <v>0</v>
      </c>
      <c r="I434" t="n">
        <v>0</v>
      </c>
      <c r="J434" t="n">
        <v>1</v>
      </c>
      <c r="K434" t="n">
        <v>0</v>
      </c>
      <c r="L434" t="n">
        <v>0</v>
      </c>
      <c r="M434" t="n">
        <v>0</v>
      </c>
      <c r="N434" t="n">
        <v>0</v>
      </c>
      <c r="O434" t="n">
        <v>1</v>
      </c>
      <c r="P434" t="n">
        <v>0</v>
      </c>
      <c r="Q434" t="n">
        <v>1</v>
      </c>
      <c r="R434" s="2" t="inlineStr">
        <is>
          <t>Skogsklocka</t>
        </is>
      </c>
      <c r="S434">
        <f>HYPERLINK("https://klasma.github.io/Logging_1760/artfynd/A 33518-2025 artfynd.xlsx", "A 33518-2025")</f>
        <v/>
      </c>
      <c r="T434">
        <f>HYPERLINK("https://klasma.github.io/Logging_1760/kartor/A 33518-2025 karta.png", "A 33518-2025")</f>
        <v/>
      </c>
      <c r="V434">
        <f>HYPERLINK("https://klasma.github.io/Logging_1760/klagomål/A 33518-2025 FSC-klagomål.docx", "A 33518-2025")</f>
        <v/>
      </c>
      <c r="W434">
        <f>HYPERLINK("https://klasma.github.io/Logging_1760/klagomålsmail/A 33518-2025 FSC-klagomål mail.docx", "A 33518-2025")</f>
        <v/>
      </c>
      <c r="X434">
        <f>HYPERLINK("https://klasma.github.io/Logging_1760/tillsyn/A 33518-2025 tillsynsbegäran.docx", "A 33518-2025")</f>
        <v/>
      </c>
      <c r="Y434">
        <f>HYPERLINK("https://klasma.github.io/Logging_1760/tillsynsmail/A 33518-2025 tillsynsbegäran mail.docx", "A 33518-2025")</f>
        <v/>
      </c>
    </row>
    <row r="435" ht="15" customHeight="1">
      <c r="A435" t="inlineStr">
        <is>
          <t>A 9737-2023</t>
        </is>
      </c>
      <c r="B435" s="1" t="n">
        <v>44984.53493055556</v>
      </c>
      <c r="C435" s="1" t="n">
        <v>45932</v>
      </c>
      <c r="D435" t="inlineStr">
        <is>
          <t>VÄRMLANDS LÄN</t>
        </is>
      </c>
      <c r="E435" t="inlineStr">
        <is>
          <t>KARLSTAD</t>
        </is>
      </c>
      <c r="G435" t="n">
        <v>2.6</v>
      </c>
      <c r="H435" t="n">
        <v>0</v>
      </c>
      <c r="I435" t="n">
        <v>0</v>
      </c>
      <c r="J435" t="n">
        <v>1</v>
      </c>
      <c r="K435" t="n">
        <v>0</v>
      </c>
      <c r="L435" t="n">
        <v>0</v>
      </c>
      <c r="M435" t="n">
        <v>0</v>
      </c>
      <c r="N435" t="n">
        <v>0</v>
      </c>
      <c r="O435" t="n">
        <v>1</v>
      </c>
      <c r="P435" t="n">
        <v>0</v>
      </c>
      <c r="Q435" t="n">
        <v>1</v>
      </c>
      <c r="R435" s="2" t="inlineStr">
        <is>
          <t>Ullticka</t>
        </is>
      </c>
      <c r="S435">
        <f>HYPERLINK("https://klasma.github.io/Logging_1780/artfynd/A 9737-2023 artfynd.xlsx", "A 9737-2023")</f>
        <v/>
      </c>
      <c r="T435">
        <f>HYPERLINK("https://klasma.github.io/Logging_1780/kartor/A 9737-2023 karta.png", "A 9737-2023")</f>
        <v/>
      </c>
      <c r="V435">
        <f>HYPERLINK("https://klasma.github.io/Logging_1780/klagomål/A 9737-2023 FSC-klagomål.docx", "A 9737-2023")</f>
        <v/>
      </c>
      <c r="W435">
        <f>HYPERLINK("https://klasma.github.io/Logging_1780/klagomålsmail/A 9737-2023 FSC-klagomål mail.docx", "A 9737-2023")</f>
        <v/>
      </c>
      <c r="X435">
        <f>HYPERLINK("https://klasma.github.io/Logging_1780/tillsyn/A 9737-2023 tillsynsbegäran.docx", "A 9737-2023")</f>
        <v/>
      </c>
      <c r="Y435">
        <f>HYPERLINK("https://klasma.github.io/Logging_1780/tillsynsmail/A 9737-2023 tillsynsbegäran mail.docx", "A 9737-2023")</f>
        <v/>
      </c>
    </row>
    <row r="436" ht="15" customHeight="1">
      <c r="A436" t="inlineStr">
        <is>
          <t>A 59330-2024</t>
        </is>
      </c>
      <c r="B436" s="1" t="n">
        <v>45637</v>
      </c>
      <c r="C436" s="1" t="n">
        <v>45932</v>
      </c>
      <c r="D436" t="inlineStr">
        <is>
          <t>VÄRMLANDS LÄN</t>
        </is>
      </c>
      <c r="E436" t="inlineStr">
        <is>
          <t>HAGFORS</t>
        </is>
      </c>
      <c r="G436" t="n">
        <v>3.7</v>
      </c>
      <c r="H436" t="n">
        <v>0</v>
      </c>
      <c r="I436" t="n">
        <v>0</v>
      </c>
      <c r="J436" t="n">
        <v>1</v>
      </c>
      <c r="K436" t="n">
        <v>0</v>
      </c>
      <c r="L436" t="n">
        <v>0</v>
      </c>
      <c r="M436" t="n">
        <v>0</v>
      </c>
      <c r="N436" t="n">
        <v>0</v>
      </c>
      <c r="O436" t="n">
        <v>1</v>
      </c>
      <c r="P436" t="n">
        <v>0</v>
      </c>
      <c r="Q436" t="n">
        <v>1</v>
      </c>
      <c r="R436" s="2" t="inlineStr">
        <is>
          <t>Gränsticka</t>
        </is>
      </c>
      <c r="S436">
        <f>HYPERLINK("https://klasma.github.io/Logging_1783/artfynd/A 59330-2024 artfynd.xlsx", "A 59330-2024")</f>
        <v/>
      </c>
      <c r="T436">
        <f>HYPERLINK("https://klasma.github.io/Logging_1783/kartor/A 59330-2024 karta.png", "A 59330-2024")</f>
        <v/>
      </c>
      <c r="V436">
        <f>HYPERLINK("https://klasma.github.io/Logging_1783/klagomål/A 59330-2024 FSC-klagomål.docx", "A 59330-2024")</f>
        <v/>
      </c>
      <c r="W436">
        <f>HYPERLINK("https://klasma.github.io/Logging_1783/klagomålsmail/A 59330-2024 FSC-klagomål mail.docx", "A 59330-2024")</f>
        <v/>
      </c>
      <c r="X436">
        <f>HYPERLINK("https://klasma.github.io/Logging_1783/tillsyn/A 59330-2024 tillsynsbegäran.docx", "A 59330-2024")</f>
        <v/>
      </c>
      <c r="Y436">
        <f>HYPERLINK("https://klasma.github.io/Logging_1783/tillsynsmail/A 59330-2024 tillsynsbegäran mail.docx", "A 59330-2024")</f>
        <v/>
      </c>
    </row>
    <row r="437" ht="15" customHeight="1">
      <c r="A437" t="inlineStr">
        <is>
          <t>A 33543-2025</t>
        </is>
      </c>
      <c r="B437" s="1" t="n">
        <v>45841.56418981482</v>
      </c>
      <c r="C437" s="1" t="n">
        <v>45932</v>
      </c>
      <c r="D437" t="inlineStr">
        <is>
          <t>VÄRMLANDS LÄN</t>
        </is>
      </c>
      <c r="E437" t="inlineStr">
        <is>
          <t>HAGFORS</t>
        </is>
      </c>
      <c r="F437" t="inlineStr">
        <is>
          <t>Bergvik skog väst AB</t>
        </is>
      </c>
      <c r="G437" t="n">
        <v>18.6</v>
      </c>
      <c r="H437" t="n">
        <v>1</v>
      </c>
      <c r="I437" t="n">
        <v>0</v>
      </c>
      <c r="J437" t="n">
        <v>0</v>
      </c>
      <c r="K437" t="n">
        <v>0</v>
      </c>
      <c r="L437" t="n">
        <v>0</v>
      </c>
      <c r="M437" t="n">
        <v>0</v>
      </c>
      <c r="N437" t="n">
        <v>0</v>
      </c>
      <c r="O437" t="n">
        <v>0</v>
      </c>
      <c r="P437" t="n">
        <v>0</v>
      </c>
      <c r="Q437" t="n">
        <v>1</v>
      </c>
      <c r="R437" s="2" t="inlineStr">
        <is>
          <t>Tjäder</t>
        </is>
      </c>
      <c r="S437">
        <f>HYPERLINK("https://klasma.github.io/Logging_1783/artfynd/A 33543-2025 artfynd.xlsx", "A 33543-2025")</f>
        <v/>
      </c>
      <c r="T437">
        <f>HYPERLINK("https://klasma.github.io/Logging_1783/kartor/A 33543-2025 karta.png", "A 33543-2025")</f>
        <v/>
      </c>
      <c r="V437">
        <f>HYPERLINK("https://klasma.github.io/Logging_1783/klagomål/A 33543-2025 FSC-klagomål.docx", "A 33543-2025")</f>
        <v/>
      </c>
      <c r="W437">
        <f>HYPERLINK("https://klasma.github.io/Logging_1783/klagomålsmail/A 33543-2025 FSC-klagomål mail.docx", "A 33543-2025")</f>
        <v/>
      </c>
      <c r="X437">
        <f>HYPERLINK("https://klasma.github.io/Logging_1783/tillsyn/A 33543-2025 tillsynsbegäran.docx", "A 33543-2025")</f>
        <v/>
      </c>
      <c r="Y437">
        <f>HYPERLINK("https://klasma.github.io/Logging_1783/tillsynsmail/A 33543-2025 tillsynsbegäran mail.docx", "A 33543-2025")</f>
        <v/>
      </c>
      <c r="Z437">
        <f>HYPERLINK("https://klasma.github.io/Logging_1783/fåglar/A 33543-2025 prioriterade fågelarter.docx", "A 33543-2025")</f>
        <v/>
      </c>
    </row>
    <row r="438" ht="15" customHeight="1">
      <c r="A438" t="inlineStr">
        <is>
          <t>A 44095-2023</t>
        </is>
      </c>
      <c r="B438" s="1" t="n">
        <v>45188</v>
      </c>
      <c r="C438" s="1" t="n">
        <v>45932</v>
      </c>
      <c r="D438" t="inlineStr">
        <is>
          <t>VÄRMLANDS LÄN</t>
        </is>
      </c>
      <c r="E438" t="inlineStr">
        <is>
          <t>HAGFORS</t>
        </is>
      </c>
      <c r="G438" t="n">
        <v>3.6</v>
      </c>
      <c r="H438" t="n">
        <v>1</v>
      </c>
      <c r="I438" t="n">
        <v>0</v>
      </c>
      <c r="J438" t="n">
        <v>1</v>
      </c>
      <c r="K438" t="n">
        <v>0</v>
      </c>
      <c r="L438" t="n">
        <v>0</v>
      </c>
      <c r="M438" t="n">
        <v>0</v>
      </c>
      <c r="N438" t="n">
        <v>0</v>
      </c>
      <c r="O438" t="n">
        <v>1</v>
      </c>
      <c r="P438" t="n">
        <v>0</v>
      </c>
      <c r="Q438" t="n">
        <v>1</v>
      </c>
      <c r="R438" s="2" t="inlineStr">
        <is>
          <t>Utter</t>
        </is>
      </c>
      <c r="S438">
        <f>HYPERLINK("https://klasma.github.io/Logging_1783/artfynd/A 44095-2023 artfynd.xlsx", "A 44095-2023")</f>
        <v/>
      </c>
      <c r="T438">
        <f>HYPERLINK("https://klasma.github.io/Logging_1783/kartor/A 44095-2023 karta.png", "A 44095-2023")</f>
        <v/>
      </c>
      <c r="V438">
        <f>HYPERLINK("https://klasma.github.io/Logging_1783/klagomål/A 44095-2023 FSC-klagomål.docx", "A 44095-2023")</f>
        <v/>
      </c>
      <c r="W438">
        <f>HYPERLINK("https://klasma.github.io/Logging_1783/klagomålsmail/A 44095-2023 FSC-klagomål mail.docx", "A 44095-2023")</f>
        <v/>
      </c>
      <c r="X438">
        <f>HYPERLINK("https://klasma.github.io/Logging_1783/tillsyn/A 44095-2023 tillsynsbegäran.docx", "A 44095-2023")</f>
        <v/>
      </c>
      <c r="Y438">
        <f>HYPERLINK("https://klasma.github.io/Logging_1783/tillsynsmail/A 44095-2023 tillsynsbegäran mail.docx", "A 44095-2023")</f>
        <v/>
      </c>
    </row>
    <row r="439" ht="15" customHeight="1">
      <c r="A439" t="inlineStr">
        <is>
          <t>A 43333-2023</t>
        </is>
      </c>
      <c r="B439" s="1" t="n">
        <v>45183</v>
      </c>
      <c r="C439" s="1" t="n">
        <v>45932</v>
      </c>
      <c r="D439" t="inlineStr">
        <is>
          <t>VÄRMLANDS LÄN</t>
        </is>
      </c>
      <c r="E439" t="inlineStr">
        <is>
          <t>FILIPSTAD</t>
        </is>
      </c>
      <c r="F439" t="inlineStr">
        <is>
          <t>Bergvik skog väst AB</t>
        </is>
      </c>
      <c r="G439" t="n">
        <v>19.4</v>
      </c>
      <c r="H439" t="n">
        <v>1</v>
      </c>
      <c r="I439" t="n">
        <v>1</v>
      </c>
      <c r="J439" t="n">
        <v>0</v>
      </c>
      <c r="K439" t="n">
        <v>0</v>
      </c>
      <c r="L439" t="n">
        <v>0</v>
      </c>
      <c r="M439" t="n">
        <v>0</v>
      </c>
      <c r="N439" t="n">
        <v>0</v>
      </c>
      <c r="O439" t="n">
        <v>0</v>
      </c>
      <c r="P439" t="n">
        <v>0</v>
      </c>
      <c r="Q439" t="n">
        <v>1</v>
      </c>
      <c r="R439" s="2" t="inlineStr">
        <is>
          <t>Grön sköldmossa</t>
        </is>
      </c>
      <c r="S439">
        <f>HYPERLINK("https://klasma.github.io/Logging_1782/artfynd/A 43333-2023 artfynd.xlsx", "A 43333-2023")</f>
        <v/>
      </c>
      <c r="T439">
        <f>HYPERLINK("https://klasma.github.io/Logging_1782/kartor/A 43333-2023 karta.png", "A 43333-2023")</f>
        <v/>
      </c>
      <c r="V439">
        <f>HYPERLINK("https://klasma.github.io/Logging_1782/klagomål/A 43333-2023 FSC-klagomål.docx", "A 43333-2023")</f>
        <v/>
      </c>
      <c r="W439">
        <f>HYPERLINK("https://klasma.github.io/Logging_1782/klagomålsmail/A 43333-2023 FSC-klagomål mail.docx", "A 43333-2023")</f>
        <v/>
      </c>
      <c r="X439">
        <f>HYPERLINK("https://klasma.github.io/Logging_1782/tillsyn/A 43333-2023 tillsynsbegäran.docx", "A 43333-2023")</f>
        <v/>
      </c>
      <c r="Y439">
        <f>HYPERLINK("https://klasma.github.io/Logging_1782/tillsynsmail/A 43333-2023 tillsynsbegäran mail.docx", "A 43333-2023")</f>
        <v/>
      </c>
    </row>
    <row r="440" ht="15" customHeight="1">
      <c r="A440" t="inlineStr">
        <is>
          <t>A 46620-2024</t>
        </is>
      </c>
      <c r="B440" s="1" t="n">
        <v>45583</v>
      </c>
      <c r="C440" s="1" t="n">
        <v>45932</v>
      </c>
      <c r="D440" t="inlineStr">
        <is>
          <t>VÄRMLANDS LÄN</t>
        </is>
      </c>
      <c r="E440" t="inlineStr">
        <is>
          <t>FORSHAGA</t>
        </is>
      </c>
      <c r="G440" t="n">
        <v>2.5</v>
      </c>
      <c r="H440" t="n">
        <v>1</v>
      </c>
      <c r="I440" t="n">
        <v>0</v>
      </c>
      <c r="J440" t="n">
        <v>0</v>
      </c>
      <c r="K440" t="n">
        <v>0</v>
      </c>
      <c r="L440" t="n">
        <v>0</v>
      </c>
      <c r="M440" t="n">
        <v>0</v>
      </c>
      <c r="N440" t="n">
        <v>0</v>
      </c>
      <c r="O440" t="n">
        <v>0</v>
      </c>
      <c r="P440" t="n">
        <v>0</v>
      </c>
      <c r="Q440" t="n">
        <v>1</v>
      </c>
      <c r="R440" s="2" t="inlineStr">
        <is>
          <t>Mattlummer</t>
        </is>
      </c>
      <c r="S440">
        <f>HYPERLINK("https://klasma.github.io/Logging_1763/artfynd/A 46620-2024 artfynd.xlsx", "A 46620-2024")</f>
        <v/>
      </c>
      <c r="T440">
        <f>HYPERLINK("https://klasma.github.io/Logging_1763/kartor/A 46620-2024 karta.png", "A 46620-2024")</f>
        <v/>
      </c>
      <c r="V440">
        <f>HYPERLINK("https://klasma.github.io/Logging_1763/klagomål/A 46620-2024 FSC-klagomål.docx", "A 46620-2024")</f>
        <v/>
      </c>
      <c r="W440">
        <f>HYPERLINK("https://klasma.github.io/Logging_1763/klagomålsmail/A 46620-2024 FSC-klagomål mail.docx", "A 46620-2024")</f>
        <v/>
      </c>
      <c r="X440">
        <f>HYPERLINK("https://klasma.github.io/Logging_1763/tillsyn/A 46620-2024 tillsynsbegäran.docx", "A 46620-2024")</f>
        <v/>
      </c>
      <c r="Y440">
        <f>HYPERLINK("https://klasma.github.io/Logging_1763/tillsynsmail/A 46620-2024 tillsynsbegäran mail.docx", "A 46620-2024")</f>
        <v/>
      </c>
    </row>
    <row r="441" ht="15" customHeight="1">
      <c r="A441" t="inlineStr">
        <is>
          <t>A 34125-2025</t>
        </is>
      </c>
      <c r="B441" s="1" t="n">
        <v>45845.52780092593</v>
      </c>
      <c r="C441" s="1" t="n">
        <v>45932</v>
      </c>
      <c r="D441" t="inlineStr">
        <is>
          <t>VÄRMLANDS LÄN</t>
        </is>
      </c>
      <c r="E441" t="inlineStr">
        <is>
          <t>HAGFORS</t>
        </is>
      </c>
      <c r="G441" t="n">
        <v>1.1</v>
      </c>
      <c r="H441" t="n">
        <v>0</v>
      </c>
      <c r="I441" t="n">
        <v>0</v>
      </c>
      <c r="J441" t="n">
        <v>1</v>
      </c>
      <c r="K441" t="n">
        <v>0</v>
      </c>
      <c r="L441" t="n">
        <v>0</v>
      </c>
      <c r="M441" t="n">
        <v>0</v>
      </c>
      <c r="N441" t="n">
        <v>0</v>
      </c>
      <c r="O441" t="n">
        <v>1</v>
      </c>
      <c r="P441" t="n">
        <v>0</v>
      </c>
      <c r="Q441" t="n">
        <v>1</v>
      </c>
      <c r="R441" s="2" t="inlineStr">
        <is>
          <t>Luddfingersvamp</t>
        </is>
      </c>
      <c r="S441">
        <f>HYPERLINK("https://klasma.github.io/Logging_1783/artfynd/A 34125-2025 artfynd.xlsx", "A 34125-2025")</f>
        <v/>
      </c>
      <c r="T441">
        <f>HYPERLINK("https://klasma.github.io/Logging_1783/kartor/A 34125-2025 karta.png", "A 34125-2025")</f>
        <v/>
      </c>
      <c r="V441">
        <f>HYPERLINK("https://klasma.github.io/Logging_1783/klagomål/A 34125-2025 FSC-klagomål.docx", "A 34125-2025")</f>
        <v/>
      </c>
      <c r="W441">
        <f>HYPERLINK("https://klasma.github.io/Logging_1783/klagomålsmail/A 34125-2025 FSC-klagomål mail.docx", "A 34125-2025")</f>
        <v/>
      </c>
      <c r="X441">
        <f>HYPERLINK("https://klasma.github.io/Logging_1783/tillsyn/A 34125-2025 tillsynsbegäran.docx", "A 34125-2025")</f>
        <v/>
      </c>
      <c r="Y441">
        <f>HYPERLINK("https://klasma.github.io/Logging_1783/tillsynsmail/A 34125-2025 tillsynsbegäran mail.docx", "A 34125-2025")</f>
        <v/>
      </c>
    </row>
    <row r="442" ht="15" customHeight="1">
      <c r="A442" t="inlineStr">
        <is>
          <t>A 55736-2020</t>
        </is>
      </c>
      <c r="B442" s="1" t="n">
        <v>44132</v>
      </c>
      <c r="C442" s="1" t="n">
        <v>45932</v>
      </c>
      <c r="D442" t="inlineStr">
        <is>
          <t>VÄRMLANDS LÄN</t>
        </is>
      </c>
      <c r="E442" t="inlineStr">
        <is>
          <t>ARVIKA</t>
        </is>
      </c>
      <c r="G442" t="n">
        <v>7.5</v>
      </c>
      <c r="H442" t="n">
        <v>0</v>
      </c>
      <c r="I442" t="n">
        <v>1</v>
      </c>
      <c r="J442" t="n">
        <v>0</v>
      </c>
      <c r="K442" t="n">
        <v>0</v>
      </c>
      <c r="L442" t="n">
        <v>0</v>
      </c>
      <c r="M442" t="n">
        <v>0</v>
      </c>
      <c r="N442" t="n">
        <v>0</v>
      </c>
      <c r="O442" t="n">
        <v>0</v>
      </c>
      <c r="P442" t="n">
        <v>0</v>
      </c>
      <c r="Q442" t="n">
        <v>1</v>
      </c>
      <c r="R442" s="2" t="inlineStr">
        <is>
          <t>Tibast</t>
        </is>
      </c>
      <c r="S442">
        <f>HYPERLINK("https://klasma.github.io/Logging_1784/artfynd/A 55736-2020 artfynd.xlsx", "A 55736-2020")</f>
        <v/>
      </c>
      <c r="T442">
        <f>HYPERLINK("https://klasma.github.io/Logging_1784/kartor/A 55736-2020 karta.png", "A 55736-2020")</f>
        <v/>
      </c>
      <c r="V442">
        <f>HYPERLINK("https://klasma.github.io/Logging_1784/klagomål/A 55736-2020 FSC-klagomål.docx", "A 55736-2020")</f>
        <v/>
      </c>
      <c r="W442">
        <f>HYPERLINK("https://klasma.github.io/Logging_1784/klagomålsmail/A 55736-2020 FSC-klagomål mail.docx", "A 55736-2020")</f>
        <v/>
      </c>
      <c r="X442">
        <f>HYPERLINK("https://klasma.github.io/Logging_1784/tillsyn/A 55736-2020 tillsynsbegäran.docx", "A 55736-2020")</f>
        <v/>
      </c>
      <c r="Y442">
        <f>HYPERLINK("https://klasma.github.io/Logging_1784/tillsynsmail/A 55736-2020 tillsynsbegäran mail.docx", "A 55736-2020")</f>
        <v/>
      </c>
    </row>
    <row r="443" ht="15" customHeight="1">
      <c r="A443" t="inlineStr">
        <is>
          <t>A 11923-2024</t>
        </is>
      </c>
      <c r="B443" s="1" t="n">
        <v>45376.6368287037</v>
      </c>
      <c r="C443" s="1" t="n">
        <v>45932</v>
      </c>
      <c r="D443" t="inlineStr">
        <is>
          <t>VÄRMLANDS LÄN</t>
        </is>
      </c>
      <c r="E443" t="inlineStr">
        <is>
          <t>EDA</t>
        </is>
      </c>
      <c r="G443" t="n">
        <v>4.3</v>
      </c>
      <c r="H443" t="n">
        <v>1</v>
      </c>
      <c r="I443" t="n">
        <v>0</v>
      </c>
      <c r="J443" t="n">
        <v>1</v>
      </c>
      <c r="K443" t="n">
        <v>0</v>
      </c>
      <c r="L443" t="n">
        <v>0</v>
      </c>
      <c r="M443" t="n">
        <v>0</v>
      </c>
      <c r="N443" t="n">
        <v>0</v>
      </c>
      <c r="O443" t="n">
        <v>1</v>
      </c>
      <c r="P443" t="n">
        <v>0</v>
      </c>
      <c r="Q443" t="n">
        <v>1</v>
      </c>
      <c r="R443" s="2" t="inlineStr">
        <is>
          <t>Tretåig hackspett</t>
        </is>
      </c>
      <c r="S443">
        <f>HYPERLINK("https://klasma.github.io/Logging_1730/artfynd/A 11923-2024 artfynd.xlsx", "A 11923-2024")</f>
        <v/>
      </c>
      <c r="T443">
        <f>HYPERLINK("https://klasma.github.io/Logging_1730/kartor/A 11923-2024 karta.png", "A 11923-2024")</f>
        <v/>
      </c>
      <c r="V443">
        <f>HYPERLINK("https://klasma.github.io/Logging_1730/klagomål/A 11923-2024 FSC-klagomål.docx", "A 11923-2024")</f>
        <v/>
      </c>
      <c r="W443">
        <f>HYPERLINK("https://klasma.github.io/Logging_1730/klagomålsmail/A 11923-2024 FSC-klagomål mail.docx", "A 11923-2024")</f>
        <v/>
      </c>
      <c r="X443">
        <f>HYPERLINK("https://klasma.github.io/Logging_1730/tillsyn/A 11923-2024 tillsynsbegäran.docx", "A 11923-2024")</f>
        <v/>
      </c>
      <c r="Y443">
        <f>HYPERLINK("https://klasma.github.io/Logging_1730/tillsynsmail/A 11923-2024 tillsynsbegäran mail.docx", "A 11923-2024")</f>
        <v/>
      </c>
      <c r="Z443">
        <f>HYPERLINK("https://klasma.github.io/Logging_1730/fåglar/A 11923-2024 prioriterade fågelarter.docx", "A 11923-2024")</f>
        <v/>
      </c>
    </row>
    <row r="444" ht="15" customHeight="1">
      <c r="A444" t="inlineStr">
        <is>
          <t>A 6986-2022</t>
        </is>
      </c>
      <c r="B444" s="1" t="n">
        <v>44603</v>
      </c>
      <c r="C444" s="1" t="n">
        <v>45932</v>
      </c>
      <c r="D444" t="inlineStr">
        <is>
          <t>VÄRMLANDS LÄN</t>
        </is>
      </c>
      <c r="E444" t="inlineStr">
        <is>
          <t>HAGFORS</t>
        </is>
      </c>
      <c r="G444" t="n">
        <v>2</v>
      </c>
      <c r="H444" t="n">
        <v>0</v>
      </c>
      <c r="I444" t="n">
        <v>1</v>
      </c>
      <c r="J444" t="n">
        <v>0</v>
      </c>
      <c r="K444" t="n">
        <v>0</v>
      </c>
      <c r="L444" t="n">
        <v>0</v>
      </c>
      <c r="M444" t="n">
        <v>0</v>
      </c>
      <c r="N444" t="n">
        <v>0</v>
      </c>
      <c r="O444" t="n">
        <v>0</v>
      </c>
      <c r="P444" t="n">
        <v>0</v>
      </c>
      <c r="Q444" t="n">
        <v>1</v>
      </c>
      <c r="R444" s="2" t="inlineStr">
        <is>
          <t>Vedticka</t>
        </is>
      </c>
      <c r="S444">
        <f>HYPERLINK("https://klasma.github.io/Logging_1783/artfynd/A 6986-2022 artfynd.xlsx", "A 6986-2022")</f>
        <v/>
      </c>
      <c r="T444">
        <f>HYPERLINK("https://klasma.github.io/Logging_1783/kartor/A 6986-2022 karta.png", "A 6986-2022")</f>
        <v/>
      </c>
      <c r="V444">
        <f>HYPERLINK("https://klasma.github.io/Logging_1783/klagomål/A 6986-2022 FSC-klagomål.docx", "A 6986-2022")</f>
        <v/>
      </c>
      <c r="W444">
        <f>HYPERLINK("https://klasma.github.io/Logging_1783/klagomålsmail/A 6986-2022 FSC-klagomål mail.docx", "A 6986-2022")</f>
        <v/>
      </c>
      <c r="X444">
        <f>HYPERLINK("https://klasma.github.io/Logging_1783/tillsyn/A 6986-2022 tillsynsbegäran.docx", "A 6986-2022")</f>
        <v/>
      </c>
      <c r="Y444">
        <f>HYPERLINK("https://klasma.github.io/Logging_1783/tillsynsmail/A 6986-2022 tillsynsbegäran mail.docx", "A 6986-2022")</f>
        <v/>
      </c>
    </row>
    <row r="445" ht="15" customHeight="1">
      <c r="A445" t="inlineStr">
        <is>
          <t>A 58014-2024</t>
        </is>
      </c>
      <c r="B445" s="1" t="n">
        <v>45631</v>
      </c>
      <c r="C445" s="1" t="n">
        <v>45932</v>
      </c>
      <c r="D445" t="inlineStr">
        <is>
          <t>VÄRMLANDS LÄN</t>
        </is>
      </c>
      <c r="E445" t="inlineStr">
        <is>
          <t>TORSBY</t>
        </is>
      </c>
      <c r="G445" t="n">
        <v>2.2</v>
      </c>
      <c r="H445" t="n">
        <v>0</v>
      </c>
      <c r="I445" t="n">
        <v>1</v>
      </c>
      <c r="J445" t="n">
        <v>0</v>
      </c>
      <c r="K445" t="n">
        <v>0</v>
      </c>
      <c r="L445" t="n">
        <v>0</v>
      </c>
      <c r="M445" t="n">
        <v>0</v>
      </c>
      <c r="N445" t="n">
        <v>0</v>
      </c>
      <c r="O445" t="n">
        <v>0</v>
      </c>
      <c r="P445" t="n">
        <v>0</v>
      </c>
      <c r="Q445" t="n">
        <v>1</v>
      </c>
      <c r="R445" s="2" t="inlineStr">
        <is>
          <t>Kattfotslav</t>
        </is>
      </c>
      <c r="S445">
        <f>HYPERLINK("https://klasma.github.io/Logging_1737/artfynd/A 58014-2024 artfynd.xlsx", "A 58014-2024")</f>
        <v/>
      </c>
      <c r="T445">
        <f>HYPERLINK("https://klasma.github.io/Logging_1737/kartor/A 58014-2024 karta.png", "A 58014-2024")</f>
        <v/>
      </c>
      <c r="V445">
        <f>HYPERLINK("https://klasma.github.io/Logging_1737/klagomål/A 58014-2024 FSC-klagomål.docx", "A 58014-2024")</f>
        <v/>
      </c>
      <c r="W445">
        <f>HYPERLINK("https://klasma.github.io/Logging_1737/klagomålsmail/A 58014-2024 FSC-klagomål mail.docx", "A 58014-2024")</f>
        <v/>
      </c>
      <c r="X445">
        <f>HYPERLINK("https://klasma.github.io/Logging_1737/tillsyn/A 58014-2024 tillsynsbegäran.docx", "A 58014-2024")</f>
        <v/>
      </c>
      <c r="Y445">
        <f>HYPERLINK("https://klasma.github.io/Logging_1737/tillsynsmail/A 58014-2024 tillsynsbegäran mail.docx", "A 58014-2024")</f>
        <v/>
      </c>
    </row>
    <row r="446" ht="15" customHeight="1">
      <c r="A446" t="inlineStr">
        <is>
          <t>A 8363-2025</t>
        </is>
      </c>
      <c r="B446" s="1" t="n">
        <v>45708</v>
      </c>
      <c r="C446" s="1" t="n">
        <v>45932</v>
      </c>
      <c r="D446" t="inlineStr">
        <is>
          <t>VÄRMLANDS LÄN</t>
        </is>
      </c>
      <c r="E446" t="inlineStr">
        <is>
          <t>GRUMS</t>
        </is>
      </c>
      <c r="G446" t="n">
        <v>1.7</v>
      </c>
      <c r="H446" t="n">
        <v>0</v>
      </c>
      <c r="I446" t="n">
        <v>1</v>
      </c>
      <c r="J446" t="n">
        <v>0</v>
      </c>
      <c r="K446" t="n">
        <v>0</v>
      </c>
      <c r="L446" t="n">
        <v>0</v>
      </c>
      <c r="M446" t="n">
        <v>0</v>
      </c>
      <c r="N446" t="n">
        <v>0</v>
      </c>
      <c r="O446" t="n">
        <v>0</v>
      </c>
      <c r="P446" t="n">
        <v>0</v>
      </c>
      <c r="Q446" t="n">
        <v>1</v>
      </c>
      <c r="R446" s="2" t="inlineStr">
        <is>
          <t>Mandelriska</t>
        </is>
      </c>
      <c r="S446">
        <f>HYPERLINK("https://klasma.github.io/Logging_1764/artfynd/A 8363-2025 artfynd.xlsx", "A 8363-2025")</f>
        <v/>
      </c>
      <c r="T446">
        <f>HYPERLINK("https://klasma.github.io/Logging_1764/kartor/A 8363-2025 karta.png", "A 8363-2025")</f>
        <v/>
      </c>
      <c r="V446">
        <f>HYPERLINK("https://klasma.github.io/Logging_1764/klagomål/A 8363-2025 FSC-klagomål.docx", "A 8363-2025")</f>
        <v/>
      </c>
      <c r="W446">
        <f>HYPERLINK("https://klasma.github.io/Logging_1764/klagomålsmail/A 8363-2025 FSC-klagomål mail.docx", "A 8363-2025")</f>
        <v/>
      </c>
      <c r="X446">
        <f>HYPERLINK("https://klasma.github.io/Logging_1764/tillsyn/A 8363-2025 tillsynsbegäran.docx", "A 8363-2025")</f>
        <v/>
      </c>
      <c r="Y446">
        <f>HYPERLINK("https://klasma.github.io/Logging_1764/tillsynsmail/A 8363-2025 tillsynsbegäran mail.docx", "A 8363-2025")</f>
        <v/>
      </c>
    </row>
    <row r="447" ht="15" customHeight="1">
      <c r="A447" t="inlineStr">
        <is>
          <t>A 5779-2025</t>
        </is>
      </c>
      <c r="B447" s="1" t="n">
        <v>45694.62826388889</v>
      </c>
      <c r="C447" s="1" t="n">
        <v>45932</v>
      </c>
      <c r="D447" t="inlineStr">
        <is>
          <t>VÄRMLANDS LÄN</t>
        </is>
      </c>
      <c r="E447" t="inlineStr">
        <is>
          <t>ARVIKA</t>
        </is>
      </c>
      <c r="F447" t="inlineStr">
        <is>
          <t>Bergvik skog väst AB</t>
        </is>
      </c>
      <c r="G447" t="n">
        <v>10.8</v>
      </c>
      <c r="H447" t="n">
        <v>1</v>
      </c>
      <c r="I447" t="n">
        <v>0</v>
      </c>
      <c r="J447" t="n">
        <v>0</v>
      </c>
      <c r="K447" t="n">
        <v>0</v>
      </c>
      <c r="L447" t="n">
        <v>0</v>
      </c>
      <c r="M447" t="n">
        <v>0</v>
      </c>
      <c r="N447" t="n">
        <v>0</v>
      </c>
      <c r="O447" t="n">
        <v>0</v>
      </c>
      <c r="P447" t="n">
        <v>0</v>
      </c>
      <c r="Q447" t="n">
        <v>1</v>
      </c>
      <c r="R447" s="2" t="inlineStr">
        <is>
          <t>Blåsippa</t>
        </is>
      </c>
      <c r="S447">
        <f>HYPERLINK("https://klasma.github.io/Logging_1784/artfynd/A 5779-2025 artfynd.xlsx", "A 5779-2025")</f>
        <v/>
      </c>
      <c r="T447">
        <f>HYPERLINK("https://klasma.github.io/Logging_1784/kartor/A 5779-2025 karta.png", "A 5779-2025")</f>
        <v/>
      </c>
      <c r="V447">
        <f>HYPERLINK("https://klasma.github.io/Logging_1784/klagomål/A 5779-2025 FSC-klagomål.docx", "A 5779-2025")</f>
        <v/>
      </c>
      <c r="W447">
        <f>HYPERLINK("https://klasma.github.io/Logging_1784/klagomålsmail/A 5779-2025 FSC-klagomål mail.docx", "A 5779-2025")</f>
        <v/>
      </c>
      <c r="X447">
        <f>HYPERLINK("https://klasma.github.io/Logging_1784/tillsyn/A 5779-2025 tillsynsbegäran.docx", "A 5779-2025")</f>
        <v/>
      </c>
      <c r="Y447">
        <f>HYPERLINK("https://klasma.github.io/Logging_1784/tillsynsmail/A 5779-2025 tillsynsbegäran mail.docx", "A 5779-2025")</f>
        <v/>
      </c>
    </row>
    <row r="448" ht="15" customHeight="1">
      <c r="A448" t="inlineStr">
        <is>
          <t>A 8048-2021</t>
        </is>
      </c>
      <c r="B448" s="1" t="n">
        <v>44243</v>
      </c>
      <c r="C448" s="1" t="n">
        <v>45932</v>
      </c>
      <c r="D448" t="inlineStr">
        <is>
          <t>VÄRMLANDS LÄN</t>
        </is>
      </c>
      <c r="E448" t="inlineStr">
        <is>
          <t>STORFORS</t>
        </is>
      </c>
      <c r="G448" t="n">
        <v>11.1</v>
      </c>
      <c r="H448" t="n">
        <v>0</v>
      </c>
      <c r="I448" t="n">
        <v>1</v>
      </c>
      <c r="J448" t="n">
        <v>0</v>
      </c>
      <c r="K448" t="n">
        <v>0</v>
      </c>
      <c r="L448" t="n">
        <v>0</v>
      </c>
      <c r="M448" t="n">
        <v>0</v>
      </c>
      <c r="N448" t="n">
        <v>0</v>
      </c>
      <c r="O448" t="n">
        <v>0</v>
      </c>
      <c r="P448" t="n">
        <v>0</v>
      </c>
      <c r="Q448" t="n">
        <v>1</v>
      </c>
      <c r="R448" s="2" t="inlineStr">
        <is>
          <t>Korallblylav</t>
        </is>
      </c>
      <c r="S448">
        <f>HYPERLINK("https://klasma.github.io/Logging_1760/artfynd/A 8048-2021 artfynd.xlsx", "A 8048-2021")</f>
        <v/>
      </c>
      <c r="T448">
        <f>HYPERLINK("https://klasma.github.io/Logging_1760/kartor/A 8048-2021 karta.png", "A 8048-2021")</f>
        <v/>
      </c>
      <c r="V448">
        <f>HYPERLINK("https://klasma.github.io/Logging_1760/klagomål/A 8048-2021 FSC-klagomål.docx", "A 8048-2021")</f>
        <v/>
      </c>
      <c r="W448">
        <f>HYPERLINK("https://klasma.github.io/Logging_1760/klagomålsmail/A 8048-2021 FSC-klagomål mail.docx", "A 8048-2021")</f>
        <v/>
      </c>
      <c r="X448">
        <f>HYPERLINK("https://klasma.github.io/Logging_1760/tillsyn/A 8048-2021 tillsynsbegäran.docx", "A 8048-2021")</f>
        <v/>
      </c>
      <c r="Y448">
        <f>HYPERLINK("https://klasma.github.io/Logging_1760/tillsynsmail/A 8048-2021 tillsynsbegäran mail.docx", "A 8048-2021")</f>
        <v/>
      </c>
    </row>
    <row r="449" ht="15" customHeight="1">
      <c r="A449" t="inlineStr">
        <is>
          <t>A 2212-2025</t>
        </is>
      </c>
      <c r="B449" s="1" t="n">
        <v>45673</v>
      </c>
      <c r="C449" s="1" t="n">
        <v>45932</v>
      </c>
      <c r="D449" t="inlineStr">
        <is>
          <t>VÄRMLANDS LÄN</t>
        </is>
      </c>
      <c r="E449" t="inlineStr">
        <is>
          <t>ÅRJÄNG</t>
        </is>
      </c>
      <c r="G449" t="n">
        <v>10.7</v>
      </c>
      <c r="H449" t="n">
        <v>0</v>
      </c>
      <c r="I449" t="n">
        <v>1</v>
      </c>
      <c r="J449" t="n">
        <v>0</v>
      </c>
      <c r="K449" t="n">
        <v>0</v>
      </c>
      <c r="L449" t="n">
        <v>0</v>
      </c>
      <c r="M449" t="n">
        <v>0</v>
      </c>
      <c r="N449" t="n">
        <v>0</v>
      </c>
      <c r="O449" t="n">
        <v>0</v>
      </c>
      <c r="P449" t="n">
        <v>0</v>
      </c>
      <c r="Q449" t="n">
        <v>1</v>
      </c>
      <c r="R449" s="2" t="inlineStr">
        <is>
          <t>Bårdlav</t>
        </is>
      </c>
      <c r="S449">
        <f>HYPERLINK("https://klasma.github.io/Logging_1765/artfynd/A 2212-2025 artfynd.xlsx", "A 2212-2025")</f>
        <v/>
      </c>
      <c r="T449">
        <f>HYPERLINK("https://klasma.github.io/Logging_1765/kartor/A 2212-2025 karta.png", "A 2212-2025")</f>
        <v/>
      </c>
      <c r="V449">
        <f>HYPERLINK("https://klasma.github.io/Logging_1765/klagomål/A 2212-2025 FSC-klagomål.docx", "A 2212-2025")</f>
        <v/>
      </c>
      <c r="W449">
        <f>HYPERLINK("https://klasma.github.io/Logging_1765/klagomålsmail/A 2212-2025 FSC-klagomål mail.docx", "A 2212-2025")</f>
        <v/>
      </c>
      <c r="X449">
        <f>HYPERLINK("https://klasma.github.io/Logging_1765/tillsyn/A 2212-2025 tillsynsbegäran.docx", "A 2212-2025")</f>
        <v/>
      </c>
      <c r="Y449">
        <f>HYPERLINK("https://klasma.github.io/Logging_1765/tillsynsmail/A 2212-2025 tillsynsbegäran mail.docx", "A 2212-2025")</f>
        <v/>
      </c>
    </row>
    <row r="450" ht="15" customHeight="1">
      <c r="A450" t="inlineStr">
        <is>
          <t>A 44111-2023</t>
        </is>
      </c>
      <c r="B450" s="1" t="n">
        <v>45188</v>
      </c>
      <c r="C450" s="1" t="n">
        <v>45932</v>
      </c>
      <c r="D450" t="inlineStr">
        <is>
          <t>VÄRMLANDS LÄN</t>
        </is>
      </c>
      <c r="E450" t="inlineStr">
        <is>
          <t>MUNKFORS</t>
        </is>
      </c>
      <c r="G450" t="n">
        <v>7</v>
      </c>
      <c r="H450" t="n">
        <v>0</v>
      </c>
      <c r="I450" t="n">
        <v>0</v>
      </c>
      <c r="J450" t="n">
        <v>1</v>
      </c>
      <c r="K450" t="n">
        <v>0</v>
      </c>
      <c r="L450" t="n">
        <v>0</v>
      </c>
      <c r="M450" t="n">
        <v>0</v>
      </c>
      <c r="N450" t="n">
        <v>0</v>
      </c>
      <c r="O450" t="n">
        <v>1</v>
      </c>
      <c r="P450" t="n">
        <v>0</v>
      </c>
      <c r="Q450" t="n">
        <v>1</v>
      </c>
      <c r="R450" s="2" t="inlineStr">
        <is>
          <t>Bågsäv</t>
        </is>
      </c>
      <c r="S450">
        <f>HYPERLINK("https://klasma.github.io/Logging_1762/artfynd/A 44111-2023 artfynd.xlsx", "A 44111-2023")</f>
        <v/>
      </c>
      <c r="T450">
        <f>HYPERLINK("https://klasma.github.io/Logging_1762/kartor/A 44111-2023 karta.png", "A 44111-2023")</f>
        <v/>
      </c>
      <c r="V450">
        <f>HYPERLINK("https://klasma.github.io/Logging_1762/klagomål/A 44111-2023 FSC-klagomål.docx", "A 44111-2023")</f>
        <v/>
      </c>
      <c r="W450">
        <f>HYPERLINK("https://klasma.github.io/Logging_1762/klagomålsmail/A 44111-2023 FSC-klagomål mail.docx", "A 44111-2023")</f>
        <v/>
      </c>
      <c r="X450">
        <f>HYPERLINK("https://klasma.github.io/Logging_1762/tillsyn/A 44111-2023 tillsynsbegäran.docx", "A 44111-2023")</f>
        <v/>
      </c>
      <c r="Y450">
        <f>HYPERLINK("https://klasma.github.io/Logging_1762/tillsynsmail/A 44111-2023 tillsynsbegäran mail.docx", "A 44111-2023")</f>
        <v/>
      </c>
    </row>
    <row r="451" ht="15" customHeight="1">
      <c r="A451" t="inlineStr">
        <is>
          <t>A 54160-2020</t>
        </is>
      </c>
      <c r="B451" s="1" t="n">
        <v>44125</v>
      </c>
      <c r="C451" s="1" t="n">
        <v>45932</v>
      </c>
      <c r="D451" t="inlineStr">
        <is>
          <t>VÄRMLANDS LÄN</t>
        </is>
      </c>
      <c r="E451" t="inlineStr">
        <is>
          <t>SUNNE</t>
        </is>
      </c>
      <c r="G451" t="n">
        <v>4.1</v>
      </c>
      <c r="H451" t="n">
        <v>1</v>
      </c>
      <c r="I451" t="n">
        <v>1</v>
      </c>
      <c r="J451" t="n">
        <v>0</v>
      </c>
      <c r="K451" t="n">
        <v>0</v>
      </c>
      <c r="L451" t="n">
        <v>0</v>
      </c>
      <c r="M451" t="n">
        <v>0</v>
      </c>
      <c r="N451" t="n">
        <v>0</v>
      </c>
      <c r="O451" t="n">
        <v>0</v>
      </c>
      <c r="P451" t="n">
        <v>0</v>
      </c>
      <c r="Q451" t="n">
        <v>1</v>
      </c>
      <c r="R451" s="2" t="inlineStr">
        <is>
          <t>Skogsknipprot</t>
        </is>
      </c>
      <c r="S451">
        <f>HYPERLINK("https://klasma.github.io/Logging_1766/artfynd/A 54160-2020 artfynd.xlsx", "A 54160-2020")</f>
        <v/>
      </c>
      <c r="T451">
        <f>HYPERLINK("https://klasma.github.io/Logging_1766/kartor/A 54160-2020 karta.png", "A 54160-2020")</f>
        <v/>
      </c>
      <c r="V451">
        <f>HYPERLINK("https://klasma.github.io/Logging_1766/klagomål/A 54160-2020 FSC-klagomål.docx", "A 54160-2020")</f>
        <v/>
      </c>
      <c r="W451">
        <f>HYPERLINK("https://klasma.github.io/Logging_1766/klagomålsmail/A 54160-2020 FSC-klagomål mail.docx", "A 54160-2020")</f>
        <v/>
      </c>
      <c r="X451">
        <f>HYPERLINK("https://klasma.github.io/Logging_1766/tillsyn/A 54160-2020 tillsynsbegäran.docx", "A 54160-2020")</f>
        <v/>
      </c>
      <c r="Y451">
        <f>HYPERLINK("https://klasma.github.io/Logging_1766/tillsynsmail/A 54160-2020 tillsynsbegäran mail.docx", "A 54160-2020")</f>
        <v/>
      </c>
    </row>
    <row r="452" ht="15" customHeight="1">
      <c r="A452" t="inlineStr">
        <is>
          <t>A 14342-2025</t>
        </is>
      </c>
      <c r="B452" s="1" t="n">
        <v>45741</v>
      </c>
      <c r="C452" s="1" t="n">
        <v>45932</v>
      </c>
      <c r="D452" t="inlineStr">
        <is>
          <t>VÄRMLANDS LÄN</t>
        </is>
      </c>
      <c r="E452" t="inlineStr">
        <is>
          <t>ARVIKA</t>
        </is>
      </c>
      <c r="G452" t="n">
        <v>5.8</v>
      </c>
      <c r="H452" t="n">
        <v>0</v>
      </c>
      <c r="I452" t="n">
        <v>0</v>
      </c>
      <c r="J452" t="n">
        <v>1</v>
      </c>
      <c r="K452" t="n">
        <v>0</v>
      </c>
      <c r="L452" t="n">
        <v>0</v>
      </c>
      <c r="M452" t="n">
        <v>0</v>
      </c>
      <c r="N452" t="n">
        <v>0</v>
      </c>
      <c r="O452" t="n">
        <v>1</v>
      </c>
      <c r="P452" t="n">
        <v>0</v>
      </c>
      <c r="Q452" t="n">
        <v>1</v>
      </c>
      <c r="R452" s="2" t="inlineStr">
        <is>
          <t>Motaggsvamp</t>
        </is>
      </c>
      <c r="S452">
        <f>HYPERLINK("https://klasma.github.io/Logging_1784/artfynd/A 14342-2025 artfynd.xlsx", "A 14342-2025")</f>
        <v/>
      </c>
      <c r="T452">
        <f>HYPERLINK("https://klasma.github.io/Logging_1784/kartor/A 14342-2025 karta.png", "A 14342-2025")</f>
        <v/>
      </c>
      <c r="V452">
        <f>HYPERLINK("https://klasma.github.io/Logging_1784/klagomål/A 14342-2025 FSC-klagomål.docx", "A 14342-2025")</f>
        <v/>
      </c>
      <c r="W452">
        <f>HYPERLINK("https://klasma.github.io/Logging_1784/klagomålsmail/A 14342-2025 FSC-klagomål mail.docx", "A 14342-2025")</f>
        <v/>
      </c>
      <c r="X452">
        <f>HYPERLINK("https://klasma.github.io/Logging_1784/tillsyn/A 14342-2025 tillsynsbegäran.docx", "A 14342-2025")</f>
        <v/>
      </c>
      <c r="Y452">
        <f>HYPERLINK("https://klasma.github.io/Logging_1784/tillsynsmail/A 14342-2025 tillsynsbegäran mail.docx", "A 14342-2025")</f>
        <v/>
      </c>
    </row>
    <row r="453" ht="15" customHeight="1">
      <c r="A453" t="inlineStr">
        <is>
          <t>A 33758-2021</t>
        </is>
      </c>
      <c r="B453" s="1" t="n">
        <v>44378</v>
      </c>
      <c r="C453" s="1" t="n">
        <v>45932</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65851-2020</t>
        </is>
      </c>
      <c r="B454" s="1" t="n">
        <v>44174</v>
      </c>
      <c r="C454" s="1" t="n">
        <v>45932</v>
      </c>
      <c r="D454" t="inlineStr">
        <is>
          <t>VÄRMLANDS LÄN</t>
        </is>
      </c>
      <c r="E454" t="inlineStr">
        <is>
          <t>KARLSTAD</t>
        </is>
      </c>
      <c r="F454" t="inlineStr">
        <is>
          <t>Bergvik skog väst AB</t>
        </is>
      </c>
      <c r="G454" t="n">
        <v>3.3</v>
      </c>
      <c r="H454" t="n">
        <v>0</v>
      </c>
      <c r="I454" t="n">
        <v>0</v>
      </c>
      <c r="J454" t="n">
        <v>0</v>
      </c>
      <c r="K454" t="n">
        <v>0</v>
      </c>
      <c r="L454" t="n">
        <v>0</v>
      </c>
      <c r="M454" t="n">
        <v>1</v>
      </c>
      <c r="N454" t="n">
        <v>0</v>
      </c>
      <c r="O454" t="n">
        <v>1</v>
      </c>
      <c r="P454" t="n">
        <v>1</v>
      </c>
      <c r="Q454" t="n">
        <v>1</v>
      </c>
      <c r="R454" s="2" t="inlineStr">
        <is>
          <t>Skogsalm</t>
        </is>
      </c>
      <c r="S454">
        <f>HYPERLINK("https://klasma.github.io/Logging_1780/artfynd/A 65851-2020 artfynd.xlsx", "A 65851-2020")</f>
        <v/>
      </c>
      <c r="T454">
        <f>HYPERLINK("https://klasma.github.io/Logging_1780/kartor/A 65851-2020 karta.png", "A 65851-2020")</f>
        <v/>
      </c>
      <c r="V454">
        <f>HYPERLINK("https://klasma.github.io/Logging_1780/klagomål/A 65851-2020 FSC-klagomål.docx", "A 65851-2020")</f>
        <v/>
      </c>
      <c r="W454">
        <f>HYPERLINK("https://klasma.github.io/Logging_1780/klagomålsmail/A 65851-2020 FSC-klagomål mail.docx", "A 65851-2020")</f>
        <v/>
      </c>
      <c r="X454">
        <f>HYPERLINK("https://klasma.github.io/Logging_1780/tillsyn/A 65851-2020 tillsynsbegäran.docx", "A 65851-2020")</f>
        <v/>
      </c>
      <c r="Y454">
        <f>HYPERLINK("https://klasma.github.io/Logging_1780/tillsynsmail/A 65851-2020 tillsynsbegäran mail.docx", "A 65851-2020")</f>
        <v/>
      </c>
    </row>
    <row r="455" ht="15" customHeight="1">
      <c r="A455" t="inlineStr">
        <is>
          <t>A 42249-2025</t>
        </is>
      </c>
      <c r="B455" s="1" t="n">
        <v>45904.58084490741</v>
      </c>
      <c r="C455" s="1" t="n">
        <v>45932</v>
      </c>
      <c r="D455" t="inlineStr">
        <is>
          <t>VÄRMLANDS LÄN</t>
        </is>
      </c>
      <c r="E455" t="inlineStr">
        <is>
          <t>HAGFORS</t>
        </is>
      </c>
      <c r="F455" t="inlineStr">
        <is>
          <t>Bergvik skog väst AB</t>
        </is>
      </c>
      <c r="G455" t="n">
        <v>4.1</v>
      </c>
      <c r="H455" t="n">
        <v>0</v>
      </c>
      <c r="I455" t="n">
        <v>0</v>
      </c>
      <c r="J455" t="n">
        <v>1</v>
      </c>
      <c r="K455" t="n">
        <v>0</v>
      </c>
      <c r="L455" t="n">
        <v>0</v>
      </c>
      <c r="M455" t="n">
        <v>0</v>
      </c>
      <c r="N455" t="n">
        <v>0</v>
      </c>
      <c r="O455" t="n">
        <v>1</v>
      </c>
      <c r="P455" t="n">
        <v>0</v>
      </c>
      <c r="Q455" t="n">
        <v>1</v>
      </c>
      <c r="R455" s="2" t="inlineStr">
        <is>
          <t>Dvärgbägarlav</t>
        </is>
      </c>
      <c r="S455">
        <f>HYPERLINK("https://klasma.github.io/Logging_1783/artfynd/A 42249-2025 artfynd.xlsx", "A 42249-2025")</f>
        <v/>
      </c>
      <c r="T455">
        <f>HYPERLINK("https://klasma.github.io/Logging_1783/kartor/A 42249-2025 karta.png", "A 42249-2025")</f>
        <v/>
      </c>
      <c r="V455">
        <f>HYPERLINK("https://klasma.github.io/Logging_1783/klagomål/A 42249-2025 FSC-klagomål.docx", "A 42249-2025")</f>
        <v/>
      </c>
      <c r="W455">
        <f>HYPERLINK("https://klasma.github.io/Logging_1783/klagomålsmail/A 42249-2025 FSC-klagomål mail.docx", "A 42249-2025")</f>
        <v/>
      </c>
      <c r="X455">
        <f>HYPERLINK("https://klasma.github.io/Logging_1783/tillsyn/A 42249-2025 tillsynsbegäran.docx", "A 42249-2025")</f>
        <v/>
      </c>
      <c r="Y455">
        <f>HYPERLINK("https://klasma.github.io/Logging_1783/tillsynsmail/A 42249-2025 tillsynsbegäran mail.docx", "A 42249-2025")</f>
        <v/>
      </c>
    </row>
    <row r="456" ht="15" customHeight="1">
      <c r="A456" t="inlineStr">
        <is>
          <t>A 11933-2025</t>
        </is>
      </c>
      <c r="B456" s="1" t="n">
        <v>45728</v>
      </c>
      <c r="C456" s="1" t="n">
        <v>45932</v>
      </c>
      <c r="D456" t="inlineStr">
        <is>
          <t>VÄRMLANDS LÄN</t>
        </is>
      </c>
      <c r="E456" t="inlineStr">
        <is>
          <t>SÄFFLE</t>
        </is>
      </c>
      <c r="G456" t="n">
        <v>1.9</v>
      </c>
      <c r="H456" t="n">
        <v>0</v>
      </c>
      <c r="I456" t="n">
        <v>0</v>
      </c>
      <c r="J456" t="n">
        <v>1</v>
      </c>
      <c r="K456" t="n">
        <v>0</v>
      </c>
      <c r="L456" t="n">
        <v>0</v>
      </c>
      <c r="M456" t="n">
        <v>0</v>
      </c>
      <c r="N456" t="n">
        <v>0</v>
      </c>
      <c r="O456" t="n">
        <v>1</v>
      </c>
      <c r="P456" t="n">
        <v>0</v>
      </c>
      <c r="Q456" t="n">
        <v>1</v>
      </c>
      <c r="R456" s="2" t="inlineStr">
        <is>
          <t>Skogsklocka</t>
        </is>
      </c>
      <c r="S456">
        <f>HYPERLINK("https://klasma.github.io/Logging_1785/artfynd/A 11933-2025 artfynd.xlsx", "A 11933-2025")</f>
        <v/>
      </c>
      <c r="T456">
        <f>HYPERLINK("https://klasma.github.io/Logging_1785/kartor/A 11933-2025 karta.png", "A 11933-2025")</f>
        <v/>
      </c>
      <c r="V456">
        <f>HYPERLINK("https://klasma.github.io/Logging_1785/klagomål/A 11933-2025 FSC-klagomål.docx", "A 11933-2025")</f>
        <v/>
      </c>
      <c r="W456">
        <f>HYPERLINK("https://klasma.github.io/Logging_1785/klagomålsmail/A 11933-2025 FSC-klagomål mail.docx", "A 11933-2025")</f>
        <v/>
      </c>
      <c r="X456">
        <f>HYPERLINK("https://klasma.github.io/Logging_1785/tillsyn/A 11933-2025 tillsynsbegäran.docx", "A 11933-2025")</f>
        <v/>
      </c>
      <c r="Y456">
        <f>HYPERLINK("https://klasma.github.io/Logging_1785/tillsynsmail/A 11933-2025 tillsynsbegäran mail.docx", "A 11933-2025")</f>
        <v/>
      </c>
    </row>
    <row r="457" ht="15" customHeight="1">
      <c r="A457" t="inlineStr">
        <is>
          <t>A 35077-2024</t>
        </is>
      </c>
      <c r="B457" s="1" t="n">
        <v>45527</v>
      </c>
      <c r="C457" s="1" t="n">
        <v>45932</v>
      </c>
      <c r="D457" t="inlineStr">
        <is>
          <t>VÄRMLANDS LÄN</t>
        </is>
      </c>
      <c r="E457" t="inlineStr">
        <is>
          <t>GRUMS</t>
        </is>
      </c>
      <c r="G457" t="n">
        <v>2.1</v>
      </c>
      <c r="H457" t="n">
        <v>1</v>
      </c>
      <c r="I457" t="n">
        <v>0</v>
      </c>
      <c r="J457" t="n">
        <v>0</v>
      </c>
      <c r="K457" t="n">
        <v>1</v>
      </c>
      <c r="L457" t="n">
        <v>0</v>
      </c>
      <c r="M457" t="n">
        <v>0</v>
      </c>
      <c r="N457" t="n">
        <v>0</v>
      </c>
      <c r="O457" t="n">
        <v>1</v>
      </c>
      <c r="P457" t="n">
        <v>1</v>
      </c>
      <c r="Q457" t="n">
        <v>1</v>
      </c>
      <c r="R457" s="2" t="inlineStr">
        <is>
          <t>Knärot</t>
        </is>
      </c>
      <c r="S457">
        <f>HYPERLINK("https://klasma.github.io/Logging_1764/artfynd/A 35077-2024 artfynd.xlsx", "A 35077-2024")</f>
        <v/>
      </c>
      <c r="T457">
        <f>HYPERLINK("https://klasma.github.io/Logging_1764/kartor/A 35077-2024 karta.png", "A 35077-2024")</f>
        <v/>
      </c>
      <c r="U457">
        <f>HYPERLINK("https://klasma.github.io/Logging_1764/knärot/A 35077-2024 karta knärot.png", "A 35077-2024")</f>
        <v/>
      </c>
      <c r="V457">
        <f>HYPERLINK("https://klasma.github.io/Logging_1764/klagomål/A 35077-2024 FSC-klagomål.docx", "A 35077-2024")</f>
        <v/>
      </c>
      <c r="W457">
        <f>HYPERLINK("https://klasma.github.io/Logging_1764/klagomålsmail/A 35077-2024 FSC-klagomål mail.docx", "A 35077-2024")</f>
        <v/>
      </c>
      <c r="X457">
        <f>HYPERLINK("https://klasma.github.io/Logging_1764/tillsyn/A 35077-2024 tillsynsbegäran.docx", "A 35077-2024")</f>
        <v/>
      </c>
      <c r="Y457">
        <f>HYPERLINK("https://klasma.github.io/Logging_1764/tillsynsmail/A 35077-2024 tillsynsbegäran mail.docx", "A 35077-2024")</f>
        <v/>
      </c>
    </row>
    <row r="458" ht="15" customHeight="1">
      <c r="A458" t="inlineStr">
        <is>
          <t>A 25276-2025</t>
        </is>
      </c>
      <c r="B458" s="1" t="n">
        <v>45800</v>
      </c>
      <c r="C458" s="1" t="n">
        <v>45932</v>
      </c>
      <c r="D458" t="inlineStr">
        <is>
          <t>VÄRMLANDS LÄN</t>
        </is>
      </c>
      <c r="E458" t="inlineStr">
        <is>
          <t>TORSBY</t>
        </is>
      </c>
      <c r="G458" t="n">
        <v>27.6</v>
      </c>
      <c r="H458" t="n">
        <v>0</v>
      </c>
      <c r="I458" t="n">
        <v>0</v>
      </c>
      <c r="J458" t="n">
        <v>1</v>
      </c>
      <c r="K458" t="n">
        <v>0</v>
      </c>
      <c r="L458" t="n">
        <v>0</v>
      </c>
      <c r="M458" t="n">
        <v>0</v>
      </c>
      <c r="N458" t="n">
        <v>0</v>
      </c>
      <c r="O458" t="n">
        <v>1</v>
      </c>
      <c r="P458" t="n">
        <v>0</v>
      </c>
      <c r="Q458" t="n">
        <v>1</v>
      </c>
      <c r="R458" s="2" t="inlineStr">
        <is>
          <t>Lunglav</t>
        </is>
      </c>
      <c r="S458">
        <f>HYPERLINK("https://klasma.github.io/Logging_1737/artfynd/A 25276-2025 artfynd.xlsx", "A 25276-2025")</f>
        <v/>
      </c>
      <c r="T458">
        <f>HYPERLINK("https://klasma.github.io/Logging_1737/kartor/A 25276-2025 karta.png", "A 25276-2025")</f>
        <v/>
      </c>
      <c r="V458">
        <f>HYPERLINK("https://klasma.github.io/Logging_1737/klagomål/A 25276-2025 FSC-klagomål.docx", "A 25276-2025")</f>
        <v/>
      </c>
      <c r="W458">
        <f>HYPERLINK("https://klasma.github.io/Logging_1737/klagomålsmail/A 25276-2025 FSC-klagomål mail.docx", "A 25276-2025")</f>
        <v/>
      </c>
      <c r="X458">
        <f>HYPERLINK("https://klasma.github.io/Logging_1737/tillsyn/A 25276-2025 tillsynsbegäran.docx", "A 25276-2025")</f>
        <v/>
      </c>
      <c r="Y458">
        <f>HYPERLINK("https://klasma.github.io/Logging_1737/tillsynsmail/A 25276-2025 tillsynsbegäran mail.docx", "A 25276-2025")</f>
        <v/>
      </c>
    </row>
    <row r="459" ht="15" customHeight="1">
      <c r="A459" t="inlineStr">
        <is>
          <t>A 11682-2022</t>
        </is>
      </c>
      <c r="B459" s="1" t="n">
        <v>44631</v>
      </c>
      <c r="C459" s="1" t="n">
        <v>45932</v>
      </c>
      <c r="D459" t="inlineStr">
        <is>
          <t>VÄRMLANDS LÄN</t>
        </is>
      </c>
      <c r="E459" t="inlineStr">
        <is>
          <t>ÅRJÄNG</t>
        </is>
      </c>
      <c r="G459" t="n">
        <v>19.9</v>
      </c>
      <c r="H459" t="n">
        <v>0</v>
      </c>
      <c r="I459" t="n">
        <v>0</v>
      </c>
      <c r="J459" t="n">
        <v>1</v>
      </c>
      <c r="K459" t="n">
        <v>0</v>
      </c>
      <c r="L459" t="n">
        <v>0</v>
      </c>
      <c r="M459" t="n">
        <v>0</v>
      </c>
      <c r="N459" t="n">
        <v>0</v>
      </c>
      <c r="O459" t="n">
        <v>1</v>
      </c>
      <c r="P459" t="n">
        <v>0</v>
      </c>
      <c r="Q459" t="n">
        <v>1</v>
      </c>
      <c r="R459" s="2" t="inlineStr">
        <is>
          <t>Skogsklocka</t>
        </is>
      </c>
      <c r="S459">
        <f>HYPERLINK("https://klasma.github.io/Logging_1765/artfynd/A 11682-2022 artfynd.xlsx", "A 11682-2022")</f>
        <v/>
      </c>
      <c r="T459">
        <f>HYPERLINK("https://klasma.github.io/Logging_1765/kartor/A 11682-2022 karta.png", "A 11682-2022")</f>
        <v/>
      </c>
      <c r="V459">
        <f>HYPERLINK("https://klasma.github.io/Logging_1765/klagomål/A 11682-2022 FSC-klagomål.docx", "A 11682-2022")</f>
        <v/>
      </c>
      <c r="W459">
        <f>HYPERLINK("https://klasma.github.io/Logging_1765/klagomålsmail/A 11682-2022 FSC-klagomål mail.docx", "A 11682-2022")</f>
        <v/>
      </c>
      <c r="X459">
        <f>HYPERLINK("https://klasma.github.io/Logging_1765/tillsyn/A 11682-2022 tillsynsbegäran.docx", "A 11682-2022")</f>
        <v/>
      </c>
      <c r="Y459">
        <f>HYPERLINK("https://klasma.github.io/Logging_1765/tillsynsmail/A 11682-2022 tillsynsbegäran mail.docx", "A 11682-2022")</f>
        <v/>
      </c>
    </row>
    <row r="460" ht="15" customHeight="1">
      <c r="A460" t="inlineStr">
        <is>
          <t>A 4394-2022</t>
        </is>
      </c>
      <c r="B460" s="1" t="n">
        <v>44589</v>
      </c>
      <c r="C460" s="1" t="n">
        <v>45932</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39317-2025</t>
        </is>
      </c>
      <c r="B461" s="1" t="n">
        <v>45889</v>
      </c>
      <c r="C461" s="1" t="n">
        <v>45932</v>
      </c>
      <c r="D461" t="inlineStr">
        <is>
          <t>VÄRMLANDS LÄN</t>
        </is>
      </c>
      <c r="E461" t="inlineStr">
        <is>
          <t>SÄFFLE</t>
        </is>
      </c>
      <c r="G461" t="n">
        <v>5.9</v>
      </c>
      <c r="H461" t="n">
        <v>0</v>
      </c>
      <c r="I461" t="n">
        <v>0</v>
      </c>
      <c r="J461" t="n">
        <v>0</v>
      </c>
      <c r="K461" t="n">
        <v>0</v>
      </c>
      <c r="L461" t="n">
        <v>0</v>
      </c>
      <c r="M461" t="n">
        <v>1</v>
      </c>
      <c r="N461" t="n">
        <v>0</v>
      </c>
      <c r="O461" t="n">
        <v>1</v>
      </c>
      <c r="P461" t="n">
        <v>1</v>
      </c>
      <c r="Q461" t="n">
        <v>1</v>
      </c>
      <c r="R461" s="2" t="inlineStr">
        <is>
          <t>Skogsalm</t>
        </is>
      </c>
      <c r="S461">
        <f>HYPERLINK("https://klasma.github.io/Logging_1785/artfynd/A 39317-2025 artfynd.xlsx", "A 39317-2025")</f>
        <v/>
      </c>
      <c r="T461">
        <f>HYPERLINK("https://klasma.github.io/Logging_1785/kartor/A 39317-2025 karta.png", "A 39317-2025")</f>
        <v/>
      </c>
      <c r="V461">
        <f>HYPERLINK("https://klasma.github.io/Logging_1785/klagomål/A 39317-2025 FSC-klagomål.docx", "A 39317-2025")</f>
        <v/>
      </c>
      <c r="W461">
        <f>HYPERLINK("https://klasma.github.io/Logging_1785/klagomålsmail/A 39317-2025 FSC-klagomål mail.docx", "A 39317-2025")</f>
        <v/>
      </c>
      <c r="X461">
        <f>HYPERLINK("https://klasma.github.io/Logging_1785/tillsyn/A 39317-2025 tillsynsbegäran.docx", "A 39317-2025")</f>
        <v/>
      </c>
      <c r="Y461">
        <f>HYPERLINK("https://klasma.github.io/Logging_1785/tillsynsmail/A 39317-2025 tillsynsbegäran mail.docx", "A 39317-2025")</f>
        <v/>
      </c>
    </row>
    <row r="462" ht="15" customHeight="1">
      <c r="A462" t="inlineStr">
        <is>
          <t>A 47476-2025</t>
        </is>
      </c>
      <c r="B462" s="1" t="n">
        <v>45930.67951388889</v>
      </c>
      <c r="C462" s="1" t="n">
        <v>45932</v>
      </c>
      <c r="D462" t="inlineStr">
        <is>
          <t>VÄRMLANDS LÄN</t>
        </is>
      </c>
      <c r="E462" t="inlineStr">
        <is>
          <t>ÅRJÄNG</t>
        </is>
      </c>
      <c r="F462" t="inlineStr">
        <is>
          <t>Kyrkan</t>
        </is>
      </c>
      <c r="G462" t="n">
        <v>6.5</v>
      </c>
      <c r="H462" t="n">
        <v>1</v>
      </c>
      <c r="I462" t="n">
        <v>0</v>
      </c>
      <c r="J462" t="n">
        <v>0</v>
      </c>
      <c r="K462" t="n">
        <v>0</v>
      </c>
      <c r="L462" t="n">
        <v>0</v>
      </c>
      <c r="M462" t="n">
        <v>0</v>
      </c>
      <c r="N462" t="n">
        <v>0</v>
      </c>
      <c r="O462" t="n">
        <v>0</v>
      </c>
      <c r="P462" t="n">
        <v>0</v>
      </c>
      <c r="Q462" t="n">
        <v>1</v>
      </c>
      <c r="R462" s="2" t="inlineStr">
        <is>
          <t>Fläcknycklar</t>
        </is>
      </c>
      <c r="S462">
        <f>HYPERLINK("https://klasma.github.io/Logging_1765/artfynd/A 47476-2025 artfynd.xlsx", "A 47476-2025")</f>
        <v/>
      </c>
      <c r="T462">
        <f>HYPERLINK("https://klasma.github.io/Logging_1765/kartor/A 47476-2025 karta.png", "A 47476-2025")</f>
        <v/>
      </c>
      <c r="V462">
        <f>HYPERLINK("https://klasma.github.io/Logging_1765/klagomål/A 47476-2025 FSC-klagomål.docx", "A 47476-2025")</f>
        <v/>
      </c>
      <c r="W462">
        <f>HYPERLINK("https://klasma.github.io/Logging_1765/klagomålsmail/A 47476-2025 FSC-klagomål mail.docx", "A 47476-2025")</f>
        <v/>
      </c>
      <c r="X462">
        <f>HYPERLINK("https://klasma.github.io/Logging_1765/tillsyn/A 47476-2025 tillsynsbegäran.docx", "A 47476-2025")</f>
        <v/>
      </c>
      <c r="Y462">
        <f>HYPERLINK("https://klasma.github.io/Logging_1765/tillsynsmail/A 47476-2025 tillsynsbegäran mail.docx", "A 47476-2025")</f>
        <v/>
      </c>
    </row>
    <row r="463" ht="15" customHeight="1">
      <c r="A463" t="inlineStr">
        <is>
          <t>A 40033-2024</t>
        </is>
      </c>
      <c r="B463" s="1" t="n">
        <v>45553</v>
      </c>
      <c r="C463" s="1" t="n">
        <v>45932</v>
      </c>
      <c r="D463" t="inlineStr">
        <is>
          <t>VÄRMLANDS LÄN</t>
        </is>
      </c>
      <c r="E463" t="inlineStr">
        <is>
          <t>TORSBY</t>
        </is>
      </c>
      <c r="G463" t="n">
        <v>6.2</v>
      </c>
      <c r="H463" t="n">
        <v>0</v>
      </c>
      <c r="I463" t="n">
        <v>0</v>
      </c>
      <c r="J463" t="n">
        <v>1</v>
      </c>
      <c r="K463" t="n">
        <v>0</v>
      </c>
      <c r="L463" t="n">
        <v>0</v>
      </c>
      <c r="M463" t="n">
        <v>0</v>
      </c>
      <c r="N463" t="n">
        <v>0</v>
      </c>
      <c r="O463" t="n">
        <v>1</v>
      </c>
      <c r="P463" t="n">
        <v>0</v>
      </c>
      <c r="Q463" t="n">
        <v>1</v>
      </c>
      <c r="R463" s="2" t="inlineStr">
        <is>
          <t>Violettgrå tagellav</t>
        </is>
      </c>
      <c r="S463">
        <f>HYPERLINK("https://klasma.github.io/Logging_1737/artfynd/A 40033-2024 artfynd.xlsx", "A 40033-2024")</f>
        <v/>
      </c>
      <c r="T463">
        <f>HYPERLINK("https://klasma.github.io/Logging_1737/kartor/A 40033-2024 karta.png", "A 40033-2024")</f>
        <v/>
      </c>
      <c r="V463">
        <f>HYPERLINK("https://klasma.github.io/Logging_1737/klagomål/A 40033-2024 FSC-klagomål.docx", "A 40033-2024")</f>
        <v/>
      </c>
      <c r="W463">
        <f>HYPERLINK("https://klasma.github.io/Logging_1737/klagomålsmail/A 40033-2024 FSC-klagomål mail.docx", "A 40033-2024")</f>
        <v/>
      </c>
      <c r="X463">
        <f>HYPERLINK("https://klasma.github.io/Logging_1737/tillsyn/A 40033-2024 tillsynsbegäran.docx", "A 40033-2024")</f>
        <v/>
      </c>
      <c r="Y463">
        <f>HYPERLINK("https://klasma.github.io/Logging_1737/tillsynsmail/A 40033-2024 tillsynsbegäran mail.docx", "A 40033-2024")</f>
        <v/>
      </c>
    </row>
    <row r="464" ht="15" customHeight="1">
      <c r="A464" t="inlineStr">
        <is>
          <t>A 24618-2022</t>
        </is>
      </c>
      <c r="B464" s="1" t="n">
        <v>44727</v>
      </c>
      <c r="C464" s="1" t="n">
        <v>45932</v>
      </c>
      <c r="D464" t="inlineStr">
        <is>
          <t>VÄRMLANDS LÄN</t>
        </is>
      </c>
      <c r="E464" t="inlineStr">
        <is>
          <t>HAMMARÖ</t>
        </is>
      </c>
      <c r="F464" t="inlineStr">
        <is>
          <t>Kommuner</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HYPERLINK("https://klasma.github.io/Logging_1761/artfynd/A 24618-2022 artfynd.xlsx", "A 24618-2022")</f>
        <v/>
      </c>
      <c r="T464">
        <f>HYPERLINK("https://klasma.github.io/Logging_1761/kartor/A 24618-2022 karta.png", "A 24618-2022")</f>
        <v/>
      </c>
      <c r="U464">
        <f>HYPERLINK("https://klasma.github.io/Logging_1761/knärot/A 24618-2022 karta knärot.png", "A 24618-2022")</f>
        <v/>
      </c>
      <c r="V464">
        <f>HYPERLINK("https://klasma.github.io/Logging_1761/klagomål/A 24618-2022 FSC-klagomål.docx", "A 24618-2022")</f>
        <v/>
      </c>
      <c r="W464">
        <f>HYPERLINK("https://klasma.github.io/Logging_1761/klagomålsmail/A 24618-2022 FSC-klagomål mail.docx", "A 24618-2022")</f>
        <v/>
      </c>
      <c r="X464">
        <f>HYPERLINK("https://klasma.github.io/Logging_1761/tillsyn/A 24618-2022 tillsynsbegäran.docx", "A 24618-2022")</f>
        <v/>
      </c>
      <c r="Y464">
        <f>HYPERLINK("https://klasma.github.io/Logging_1761/tillsynsmail/A 24618-2022 tillsynsbegäran mail.docx", "A 24618-2022")</f>
        <v/>
      </c>
    </row>
    <row r="465" ht="15" customHeight="1">
      <c r="A465" t="inlineStr">
        <is>
          <t>A 39681-2023</t>
        </is>
      </c>
      <c r="B465" s="1" t="n">
        <v>45167</v>
      </c>
      <c r="C465" s="1" t="n">
        <v>45932</v>
      </c>
      <c r="D465" t="inlineStr">
        <is>
          <t>VÄRMLANDS LÄN</t>
        </is>
      </c>
      <c r="E465" t="inlineStr">
        <is>
          <t>TORSBY</t>
        </is>
      </c>
      <c r="G465" t="n">
        <v>5.2</v>
      </c>
      <c r="H465" t="n">
        <v>0</v>
      </c>
      <c r="I465" t="n">
        <v>0</v>
      </c>
      <c r="J465" t="n">
        <v>1</v>
      </c>
      <c r="K465" t="n">
        <v>0</v>
      </c>
      <c r="L465" t="n">
        <v>0</v>
      </c>
      <c r="M465" t="n">
        <v>0</v>
      </c>
      <c r="N465" t="n">
        <v>0</v>
      </c>
      <c r="O465" t="n">
        <v>1</v>
      </c>
      <c r="P465" t="n">
        <v>0</v>
      </c>
      <c r="Q465" t="n">
        <v>1</v>
      </c>
      <c r="R465" s="2" t="inlineStr">
        <is>
          <t>Garnlav</t>
        </is>
      </c>
      <c r="S465">
        <f>HYPERLINK("https://klasma.github.io/Logging_1737/artfynd/A 39681-2023 artfynd.xlsx", "A 39681-2023")</f>
        <v/>
      </c>
      <c r="T465">
        <f>HYPERLINK("https://klasma.github.io/Logging_1737/kartor/A 39681-2023 karta.png", "A 39681-2023")</f>
        <v/>
      </c>
      <c r="V465">
        <f>HYPERLINK("https://klasma.github.io/Logging_1737/klagomål/A 39681-2023 FSC-klagomål.docx", "A 39681-2023")</f>
        <v/>
      </c>
      <c r="W465">
        <f>HYPERLINK("https://klasma.github.io/Logging_1737/klagomålsmail/A 39681-2023 FSC-klagomål mail.docx", "A 39681-2023")</f>
        <v/>
      </c>
      <c r="X465">
        <f>HYPERLINK("https://klasma.github.io/Logging_1737/tillsyn/A 39681-2023 tillsynsbegäran.docx", "A 39681-2023")</f>
        <v/>
      </c>
      <c r="Y465">
        <f>HYPERLINK("https://klasma.github.io/Logging_1737/tillsynsmail/A 39681-2023 tillsynsbegäran mail.docx", "A 39681-2023")</f>
        <v/>
      </c>
    </row>
    <row r="466" ht="15" customHeight="1">
      <c r="A466" t="inlineStr">
        <is>
          <t>A 36385-2025</t>
        </is>
      </c>
      <c r="B466" s="1" t="n">
        <v>45868</v>
      </c>
      <c r="C466" s="1" t="n">
        <v>45932</v>
      </c>
      <c r="D466" t="inlineStr">
        <is>
          <t>VÄRMLANDS LÄN</t>
        </is>
      </c>
      <c r="E466" t="inlineStr">
        <is>
          <t>ÅRJÄNG</t>
        </is>
      </c>
      <c r="G466" t="n">
        <v>2.9</v>
      </c>
      <c r="H466" t="n">
        <v>0</v>
      </c>
      <c r="I466" t="n">
        <v>1</v>
      </c>
      <c r="J466" t="n">
        <v>0</v>
      </c>
      <c r="K466" t="n">
        <v>0</v>
      </c>
      <c r="L466" t="n">
        <v>0</v>
      </c>
      <c r="M466" t="n">
        <v>0</v>
      </c>
      <c r="N466" t="n">
        <v>0</v>
      </c>
      <c r="O466" t="n">
        <v>0</v>
      </c>
      <c r="P466" t="n">
        <v>0</v>
      </c>
      <c r="Q466" t="n">
        <v>1</v>
      </c>
      <c r="R466" s="2" t="inlineStr">
        <is>
          <t>Grönpyrola</t>
        </is>
      </c>
      <c r="S466">
        <f>HYPERLINK("https://klasma.github.io/Logging_1765/artfynd/A 36385-2025 artfynd.xlsx", "A 36385-2025")</f>
        <v/>
      </c>
      <c r="T466">
        <f>HYPERLINK("https://klasma.github.io/Logging_1765/kartor/A 36385-2025 karta.png", "A 36385-2025")</f>
        <v/>
      </c>
      <c r="V466">
        <f>HYPERLINK("https://klasma.github.io/Logging_1765/klagomål/A 36385-2025 FSC-klagomål.docx", "A 36385-2025")</f>
        <v/>
      </c>
      <c r="W466">
        <f>HYPERLINK("https://klasma.github.io/Logging_1765/klagomålsmail/A 36385-2025 FSC-klagomål mail.docx", "A 36385-2025")</f>
        <v/>
      </c>
      <c r="X466">
        <f>HYPERLINK("https://klasma.github.io/Logging_1765/tillsyn/A 36385-2025 tillsynsbegäran.docx", "A 36385-2025")</f>
        <v/>
      </c>
      <c r="Y466">
        <f>HYPERLINK("https://klasma.github.io/Logging_1765/tillsynsmail/A 36385-2025 tillsynsbegäran mail.docx", "A 36385-2025")</f>
        <v/>
      </c>
    </row>
    <row r="467" ht="15" customHeight="1">
      <c r="A467" t="inlineStr">
        <is>
          <t>A 12740-2024</t>
        </is>
      </c>
      <c r="B467" s="1" t="n">
        <v>45384</v>
      </c>
      <c r="C467" s="1" t="n">
        <v>45932</v>
      </c>
      <c r="D467" t="inlineStr">
        <is>
          <t>VÄRMLANDS LÄN</t>
        </is>
      </c>
      <c r="E467" t="inlineStr">
        <is>
          <t>SÄFFLE</t>
        </is>
      </c>
      <c r="G467" t="n">
        <v>3.7</v>
      </c>
      <c r="H467" t="n">
        <v>0</v>
      </c>
      <c r="I467" t="n">
        <v>0</v>
      </c>
      <c r="J467" t="n">
        <v>1</v>
      </c>
      <c r="K467" t="n">
        <v>0</v>
      </c>
      <c r="L467" t="n">
        <v>0</v>
      </c>
      <c r="M467" t="n">
        <v>0</v>
      </c>
      <c r="N467" t="n">
        <v>0</v>
      </c>
      <c r="O467" t="n">
        <v>1</v>
      </c>
      <c r="P467" t="n">
        <v>0</v>
      </c>
      <c r="Q467" t="n">
        <v>1</v>
      </c>
      <c r="R467" s="2" t="inlineStr">
        <is>
          <t>Gullklöver</t>
        </is>
      </c>
      <c r="S467">
        <f>HYPERLINK("https://klasma.github.io/Logging_1785/artfynd/A 12740-2024 artfynd.xlsx", "A 12740-2024")</f>
        <v/>
      </c>
      <c r="T467">
        <f>HYPERLINK("https://klasma.github.io/Logging_1785/kartor/A 12740-2024 karta.png", "A 12740-2024")</f>
        <v/>
      </c>
      <c r="V467">
        <f>HYPERLINK("https://klasma.github.io/Logging_1785/klagomål/A 12740-2024 FSC-klagomål.docx", "A 12740-2024")</f>
        <v/>
      </c>
      <c r="W467">
        <f>HYPERLINK("https://klasma.github.io/Logging_1785/klagomålsmail/A 12740-2024 FSC-klagomål mail.docx", "A 12740-2024")</f>
        <v/>
      </c>
      <c r="X467">
        <f>HYPERLINK("https://klasma.github.io/Logging_1785/tillsyn/A 12740-2024 tillsynsbegäran.docx", "A 12740-2024")</f>
        <v/>
      </c>
      <c r="Y467">
        <f>HYPERLINK("https://klasma.github.io/Logging_1785/tillsynsmail/A 12740-2024 tillsynsbegäran mail.docx", "A 12740-2024")</f>
        <v/>
      </c>
    </row>
    <row r="468" ht="15" customHeight="1">
      <c r="A468" t="inlineStr">
        <is>
          <t>A 8165-2025</t>
        </is>
      </c>
      <c r="B468" s="1" t="n">
        <v>45708.35282407407</v>
      </c>
      <c r="C468" s="1" t="n">
        <v>45932</v>
      </c>
      <c r="D468" t="inlineStr">
        <is>
          <t>VÄRMLANDS LÄN</t>
        </is>
      </c>
      <c r="E468" t="inlineStr">
        <is>
          <t>ARVIKA</t>
        </is>
      </c>
      <c r="G468" t="n">
        <v>6.3</v>
      </c>
      <c r="H468" t="n">
        <v>1</v>
      </c>
      <c r="I468" t="n">
        <v>0</v>
      </c>
      <c r="J468" t="n">
        <v>0</v>
      </c>
      <c r="K468" t="n">
        <v>1</v>
      </c>
      <c r="L468" t="n">
        <v>0</v>
      </c>
      <c r="M468" t="n">
        <v>0</v>
      </c>
      <c r="N468" t="n">
        <v>0</v>
      </c>
      <c r="O468" t="n">
        <v>1</v>
      </c>
      <c r="P468" t="n">
        <v>1</v>
      </c>
      <c r="Q468" t="n">
        <v>1</v>
      </c>
      <c r="R468" s="2" t="inlineStr">
        <is>
          <t>Knärot</t>
        </is>
      </c>
      <c r="S468">
        <f>HYPERLINK("https://klasma.github.io/Logging_1784/artfynd/A 8165-2025 artfynd.xlsx", "A 8165-2025")</f>
        <v/>
      </c>
      <c r="T468">
        <f>HYPERLINK("https://klasma.github.io/Logging_1784/kartor/A 8165-2025 karta.png", "A 8165-2025")</f>
        <v/>
      </c>
      <c r="U468">
        <f>HYPERLINK("https://klasma.github.io/Logging_1784/knärot/A 8165-2025 karta knärot.png", "A 8165-2025")</f>
        <v/>
      </c>
      <c r="V468">
        <f>HYPERLINK("https://klasma.github.io/Logging_1784/klagomål/A 8165-2025 FSC-klagomål.docx", "A 8165-2025")</f>
        <v/>
      </c>
      <c r="W468">
        <f>HYPERLINK("https://klasma.github.io/Logging_1784/klagomålsmail/A 8165-2025 FSC-klagomål mail.docx", "A 8165-2025")</f>
        <v/>
      </c>
      <c r="X468">
        <f>HYPERLINK("https://klasma.github.io/Logging_1784/tillsyn/A 8165-2025 tillsynsbegäran.docx", "A 8165-2025")</f>
        <v/>
      </c>
      <c r="Y468">
        <f>HYPERLINK("https://klasma.github.io/Logging_1784/tillsynsmail/A 8165-2025 tillsynsbegäran mail.docx", "A 8165-2025")</f>
        <v/>
      </c>
    </row>
    <row r="469" ht="15" customHeight="1">
      <c r="A469" t="inlineStr">
        <is>
          <t>A 42500-2022</t>
        </is>
      </c>
      <c r="B469" s="1" t="n">
        <v>44831</v>
      </c>
      <c r="C469" s="1" t="n">
        <v>45932</v>
      </c>
      <c r="D469" t="inlineStr">
        <is>
          <t>VÄRMLANDS LÄN</t>
        </is>
      </c>
      <c r="E469" t="inlineStr">
        <is>
          <t>TORSBY</t>
        </is>
      </c>
      <c r="F469" t="inlineStr">
        <is>
          <t>Kommuner</t>
        </is>
      </c>
      <c r="G469" t="n">
        <v>2.3</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42500-2022 artfynd.xlsx", "A 42500-2022")</f>
        <v/>
      </c>
      <c r="T469">
        <f>HYPERLINK("https://klasma.github.io/Logging_1737/kartor/A 42500-2022 karta.png", "A 42500-2022")</f>
        <v/>
      </c>
      <c r="U469">
        <f>HYPERLINK("https://klasma.github.io/Logging_1737/knärot/A 42500-2022 karta knärot.png", "A 42500-2022")</f>
        <v/>
      </c>
      <c r="V469">
        <f>HYPERLINK("https://klasma.github.io/Logging_1737/klagomål/A 42500-2022 FSC-klagomål.docx", "A 42500-2022")</f>
        <v/>
      </c>
      <c r="W469">
        <f>HYPERLINK("https://klasma.github.io/Logging_1737/klagomålsmail/A 42500-2022 FSC-klagomål mail.docx", "A 42500-2022")</f>
        <v/>
      </c>
      <c r="X469">
        <f>HYPERLINK("https://klasma.github.io/Logging_1737/tillsyn/A 42500-2022 tillsynsbegäran.docx", "A 42500-2022")</f>
        <v/>
      </c>
      <c r="Y469">
        <f>HYPERLINK("https://klasma.github.io/Logging_1737/tillsynsmail/A 42500-2022 tillsynsbegäran mail.docx", "A 42500-2022")</f>
        <v/>
      </c>
    </row>
    <row r="470" ht="15" customHeight="1">
      <c r="A470" t="inlineStr">
        <is>
          <t>A 5726-2025</t>
        </is>
      </c>
      <c r="B470" s="1" t="n">
        <v>45694</v>
      </c>
      <c r="C470" s="1" t="n">
        <v>45932</v>
      </c>
      <c r="D470" t="inlineStr">
        <is>
          <t>VÄRMLANDS LÄN</t>
        </is>
      </c>
      <c r="E470" t="inlineStr">
        <is>
          <t>TORSBY</t>
        </is>
      </c>
      <c r="G470" t="n">
        <v>3.5</v>
      </c>
      <c r="H470" t="n">
        <v>0</v>
      </c>
      <c r="I470" t="n">
        <v>1</v>
      </c>
      <c r="J470" t="n">
        <v>0</v>
      </c>
      <c r="K470" t="n">
        <v>0</v>
      </c>
      <c r="L470" t="n">
        <v>0</v>
      </c>
      <c r="M470" t="n">
        <v>0</v>
      </c>
      <c r="N470" t="n">
        <v>0</v>
      </c>
      <c r="O470" t="n">
        <v>0</v>
      </c>
      <c r="P470" t="n">
        <v>0</v>
      </c>
      <c r="Q470" t="n">
        <v>1</v>
      </c>
      <c r="R470" s="2" t="inlineStr">
        <is>
          <t>Vedticka</t>
        </is>
      </c>
      <c r="S470">
        <f>HYPERLINK("https://klasma.github.io/Logging_1737/artfynd/A 5726-2025 artfynd.xlsx", "A 5726-2025")</f>
        <v/>
      </c>
      <c r="T470">
        <f>HYPERLINK("https://klasma.github.io/Logging_1737/kartor/A 5726-2025 karta.png", "A 5726-2025")</f>
        <v/>
      </c>
      <c r="V470">
        <f>HYPERLINK("https://klasma.github.io/Logging_1737/klagomål/A 5726-2025 FSC-klagomål.docx", "A 5726-2025")</f>
        <v/>
      </c>
      <c r="W470">
        <f>HYPERLINK("https://klasma.github.io/Logging_1737/klagomålsmail/A 5726-2025 FSC-klagomål mail.docx", "A 5726-2025")</f>
        <v/>
      </c>
      <c r="X470">
        <f>HYPERLINK("https://klasma.github.io/Logging_1737/tillsyn/A 5726-2025 tillsynsbegäran.docx", "A 5726-2025")</f>
        <v/>
      </c>
      <c r="Y470">
        <f>HYPERLINK("https://klasma.github.io/Logging_1737/tillsynsmail/A 5726-2025 tillsynsbegäran mail.docx", "A 5726-2025")</f>
        <v/>
      </c>
    </row>
    <row r="471" ht="15" customHeight="1">
      <c r="A471" t="inlineStr">
        <is>
          <t>A 43852-2025</t>
        </is>
      </c>
      <c r="B471" s="1" t="n">
        <v>45912.64041666667</v>
      </c>
      <c r="C471" s="1" t="n">
        <v>45932</v>
      </c>
      <c r="D471" t="inlineStr">
        <is>
          <t>VÄRMLANDS LÄN</t>
        </is>
      </c>
      <c r="E471" t="inlineStr">
        <is>
          <t>SÄFFLE</t>
        </is>
      </c>
      <c r="G471" t="n">
        <v>1.2</v>
      </c>
      <c r="H471" t="n">
        <v>0</v>
      </c>
      <c r="I471" t="n">
        <v>1</v>
      </c>
      <c r="J471" t="n">
        <v>0</v>
      </c>
      <c r="K471" t="n">
        <v>0</v>
      </c>
      <c r="L471" t="n">
        <v>0</v>
      </c>
      <c r="M471" t="n">
        <v>0</v>
      </c>
      <c r="N471" t="n">
        <v>0</v>
      </c>
      <c r="O471" t="n">
        <v>0</v>
      </c>
      <c r="P471" t="n">
        <v>0</v>
      </c>
      <c r="Q471" t="n">
        <v>1</v>
      </c>
      <c r="R471" s="2" t="inlineStr">
        <is>
          <t>Springkorn</t>
        </is>
      </c>
      <c r="S471">
        <f>HYPERLINK("https://klasma.github.io/Logging_1785/artfynd/A 43852-2025 artfynd.xlsx", "A 43852-2025")</f>
        <v/>
      </c>
      <c r="T471">
        <f>HYPERLINK("https://klasma.github.io/Logging_1785/kartor/A 43852-2025 karta.png", "A 43852-2025")</f>
        <v/>
      </c>
      <c r="V471">
        <f>HYPERLINK("https://klasma.github.io/Logging_1785/klagomål/A 43852-2025 FSC-klagomål.docx", "A 43852-2025")</f>
        <v/>
      </c>
      <c r="W471">
        <f>HYPERLINK("https://klasma.github.io/Logging_1785/klagomålsmail/A 43852-2025 FSC-klagomål mail.docx", "A 43852-2025")</f>
        <v/>
      </c>
      <c r="X471">
        <f>HYPERLINK("https://klasma.github.io/Logging_1785/tillsyn/A 43852-2025 tillsynsbegäran.docx", "A 43852-2025")</f>
        <v/>
      </c>
      <c r="Y471">
        <f>HYPERLINK("https://klasma.github.io/Logging_1785/tillsynsmail/A 43852-2025 tillsynsbegäran mail.docx", "A 43852-2025")</f>
        <v/>
      </c>
    </row>
    <row r="472" ht="15" customHeight="1">
      <c r="A472" t="inlineStr">
        <is>
          <t>A 538-2024</t>
        </is>
      </c>
      <c r="B472" s="1" t="n">
        <v>45299</v>
      </c>
      <c r="C472" s="1" t="n">
        <v>45932</v>
      </c>
      <c r="D472" t="inlineStr">
        <is>
          <t>VÄRMLANDS LÄN</t>
        </is>
      </c>
      <c r="E472" t="inlineStr">
        <is>
          <t>SUNNE</t>
        </is>
      </c>
      <c r="G472" t="n">
        <v>3.1</v>
      </c>
      <c r="H472" t="n">
        <v>0</v>
      </c>
      <c r="I472" t="n">
        <v>0</v>
      </c>
      <c r="J472" t="n">
        <v>1</v>
      </c>
      <c r="K472" t="n">
        <v>0</v>
      </c>
      <c r="L472" t="n">
        <v>0</v>
      </c>
      <c r="M472" t="n">
        <v>0</v>
      </c>
      <c r="N472" t="n">
        <v>0</v>
      </c>
      <c r="O472" t="n">
        <v>1</v>
      </c>
      <c r="P472" t="n">
        <v>0</v>
      </c>
      <c r="Q472" t="n">
        <v>1</v>
      </c>
      <c r="R472" s="2" t="inlineStr">
        <is>
          <t>Garnlav</t>
        </is>
      </c>
      <c r="S472">
        <f>HYPERLINK("https://klasma.github.io/Logging_1766/artfynd/A 538-2024 artfynd.xlsx", "A 538-2024")</f>
        <v/>
      </c>
      <c r="T472">
        <f>HYPERLINK("https://klasma.github.io/Logging_1766/kartor/A 538-2024 karta.png", "A 538-2024")</f>
        <v/>
      </c>
      <c r="V472">
        <f>HYPERLINK("https://klasma.github.io/Logging_1766/klagomål/A 538-2024 FSC-klagomål.docx", "A 538-2024")</f>
        <v/>
      </c>
      <c r="W472">
        <f>HYPERLINK("https://klasma.github.io/Logging_1766/klagomålsmail/A 538-2024 FSC-klagomål mail.docx", "A 538-2024")</f>
        <v/>
      </c>
      <c r="X472">
        <f>HYPERLINK("https://klasma.github.io/Logging_1766/tillsyn/A 538-2024 tillsynsbegäran.docx", "A 538-2024")</f>
        <v/>
      </c>
      <c r="Y472">
        <f>HYPERLINK("https://klasma.github.io/Logging_1766/tillsynsmail/A 538-2024 tillsynsbegäran mail.docx", "A 538-2024")</f>
        <v/>
      </c>
    </row>
    <row r="473" ht="15" customHeight="1">
      <c r="A473" t="inlineStr">
        <is>
          <t>A 10814-2023</t>
        </is>
      </c>
      <c r="B473" s="1" t="n">
        <v>44990.38050925926</v>
      </c>
      <c r="C473" s="1" t="n">
        <v>45932</v>
      </c>
      <c r="D473" t="inlineStr">
        <is>
          <t>VÄRMLANDS LÄN</t>
        </is>
      </c>
      <c r="E473" t="inlineStr">
        <is>
          <t>ARVIKA</t>
        </is>
      </c>
      <c r="G473" t="n">
        <v>5.6</v>
      </c>
      <c r="H473" t="n">
        <v>0</v>
      </c>
      <c r="I473" t="n">
        <v>0</v>
      </c>
      <c r="J473" t="n">
        <v>0</v>
      </c>
      <c r="K473" t="n">
        <v>0</v>
      </c>
      <c r="L473" t="n">
        <v>1</v>
      </c>
      <c r="M473" t="n">
        <v>0</v>
      </c>
      <c r="N473" t="n">
        <v>0</v>
      </c>
      <c r="O473" t="n">
        <v>1</v>
      </c>
      <c r="P473" t="n">
        <v>1</v>
      </c>
      <c r="Q473" t="n">
        <v>1</v>
      </c>
      <c r="R473" s="2" t="inlineStr">
        <is>
          <t>Ryl</t>
        </is>
      </c>
      <c r="S473">
        <f>HYPERLINK("https://klasma.github.io/Logging_1784/artfynd/A 10814-2023 artfynd.xlsx", "A 10814-2023")</f>
        <v/>
      </c>
      <c r="T473">
        <f>HYPERLINK("https://klasma.github.io/Logging_1784/kartor/A 10814-2023 karta.png", "A 10814-2023")</f>
        <v/>
      </c>
      <c r="V473">
        <f>HYPERLINK("https://klasma.github.io/Logging_1784/klagomål/A 10814-2023 FSC-klagomål.docx", "A 10814-2023")</f>
        <v/>
      </c>
      <c r="W473">
        <f>HYPERLINK("https://klasma.github.io/Logging_1784/klagomålsmail/A 10814-2023 FSC-klagomål mail.docx", "A 10814-2023")</f>
        <v/>
      </c>
      <c r="X473">
        <f>HYPERLINK("https://klasma.github.io/Logging_1784/tillsyn/A 10814-2023 tillsynsbegäran.docx", "A 10814-2023")</f>
        <v/>
      </c>
      <c r="Y473">
        <f>HYPERLINK("https://klasma.github.io/Logging_1784/tillsynsmail/A 10814-2023 tillsynsbegäran mail.docx", "A 10814-2023")</f>
        <v/>
      </c>
    </row>
    <row r="474" ht="15" customHeight="1">
      <c r="A474" t="inlineStr">
        <is>
          <t>A 42668-2025</t>
        </is>
      </c>
      <c r="B474" s="1" t="n">
        <v>45907</v>
      </c>
      <c r="C474" s="1" t="n">
        <v>45932</v>
      </c>
      <c r="D474" t="inlineStr">
        <is>
          <t>VÄRMLANDS LÄN</t>
        </is>
      </c>
      <c r="E474" t="inlineStr">
        <is>
          <t>KIL</t>
        </is>
      </c>
      <c r="F474" t="inlineStr">
        <is>
          <t>Kyrkan</t>
        </is>
      </c>
      <c r="G474" t="n">
        <v>11</v>
      </c>
      <c r="H474" t="n">
        <v>0</v>
      </c>
      <c r="I474" t="n">
        <v>1</v>
      </c>
      <c r="J474" t="n">
        <v>0</v>
      </c>
      <c r="K474" t="n">
        <v>0</v>
      </c>
      <c r="L474" t="n">
        <v>0</v>
      </c>
      <c r="M474" t="n">
        <v>0</v>
      </c>
      <c r="N474" t="n">
        <v>0</v>
      </c>
      <c r="O474" t="n">
        <v>0</v>
      </c>
      <c r="P474" t="n">
        <v>0</v>
      </c>
      <c r="Q474" t="n">
        <v>1</v>
      </c>
      <c r="R474" s="2" t="inlineStr">
        <is>
          <t>Kambräken</t>
        </is>
      </c>
      <c r="S474">
        <f>HYPERLINK("https://klasma.github.io/Logging_1715/artfynd/A 42668-2025 artfynd.xlsx", "A 42668-2025")</f>
        <v/>
      </c>
      <c r="T474">
        <f>HYPERLINK("https://klasma.github.io/Logging_1715/kartor/A 42668-2025 karta.png", "A 42668-2025")</f>
        <v/>
      </c>
      <c r="V474">
        <f>HYPERLINK("https://klasma.github.io/Logging_1715/klagomål/A 42668-2025 FSC-klagomål.docx", "A 42668-2025")</f>
        <v/>
      </c>
      <c r="W474">
        <f>HYPERLINK("https://klasma.github.io/Logging_1715/klagomålsmail/A 42668-2025 FSC-klagomål mail.docx", "A 42668-2025")</f>
        <v/>
      </c>
      <c r="X474">
        <f>HYPERLINK("https://klasma.github.io/Logging_1715/tillsyn/A 42668-2025 tillsynsbegäran.docx", "A 42668-2025")</f>
        <v/>
      </c>
      <c r="Y474">
        <f>HYPERLINK("https://klasma.github.io/Logging_1715/tillsynsmail/A 42668-2025 tillsynsbegäran mail.docx", "A 42668-2025")</f>
        <v/>
      </c>
    </row>
    <row r="475" ht="15" customHeight="1">
      <c r="A475" t="inlineStr">
        <is>
          <t>A 40521-2025</t>
        </is>
      </c>
      <c r="B475" s="1" t="n">
        <v>45896</v>
      </c>
      <c r="C475" s="1" t="n">
        <v>45932</v>
      </c>
      <c r="D475" t="inlineStr">
        <is>
          <t>VÄRMLANDS LÄN</t>
        </is>
      </c>
      <c r="E475" t="inlineStr">
        <is>
          <t>GRUMS</t>
        </is>
      </c>
      <c r="G475" t="n">
        <v>2.6</v>
      </c>
      <c r="H475" t="n">
        <v>1</v>
      </c>
      <c r="I475" t="n">
        <v>0</v>
      </c>
      <c r="J475" t="n">
        <v>0</v>
      </c>
      <c r="K475" t="n">
        <v>0</v>
      </c>
      <c r="L475" t="n">
        <v>0</v>
      </c>
      <c r="M475" t="n">
        <v>0</v>
      </c>
      <c r="N475" t="n">
        <v>0</v>
      </c>
      <c r="O475" t="n">
        <v>0</v>
      </c>
      <c r="P475" t="n">
        <v>0</v>
      </c>
      <c r="Q475" t="n">
        <v>1</v>
      </c>
      <c r="R475" s="2" t="inlineStr">
        <is>
          <t>Fläcknycklar</t>
        </is>
      </c>
      <c r="S475">
        <f>HYPERLINK("https://klasma.github.io/Logging_1764/artfynd/A 40521-2025 artfynd.xlsx", "A 40521-2025")</f>
        <v/>
      </c>
      <c r="T475">
        <f>HYPERLINK("https://klasma.github.io/Logging_1764/kartor/A 40521-2025 karta.png", "A 40521-2025")</f>
        <v/>
      </c>
      <c r="V475">
        <f>HYPERLINK("https://klasma.github.io/Logging_1764/klagomål/A 40521-2025 FSC-klagomål.docx", "A 40521-2025")</f>
        <v/>
      </c>
      <c r="W475">
        <f>HYPERLINK("https://klasma.github.io/Logging_1764/klagomålsmail/A 40521-2025 FSC-klagomål mail.docx", "A 40521-2025")</f>
        <v/>
      </c>
      <c r="X475">
        <f>HYPERLINK("https://klasma.github.io/Logging_1764/tillsyn/A 40521-2025 tillsynsbegäran.docx", "A 40521-2025")</f>
        <v/>
      </c>
      <c r="Y475">
        <f>HYPERLINK("https://klasma.github.io/Logging_1764/tillsynsmail/A 40521-2025 tillsynsbegäran mail.docx", "A 40521-2025")</f>
        <v/>
      </c>
    </row>
    <row r="476" ht="15" customHeight="1">
      <c r="A476" t="inlineStr">
        <is>
          <t>A 15219-2025</t>
        </is>
      </c>
      <c r="B476" s="1" t="n">
        <v>45744.58121527778</v>
      </c>
      <c r="C476" s="1" t="n">
        <v>45932</v>
      </c>
      <c r="D476" t="inlineStr">
        <is>
          <t>VÄRMLANDS LÄN</t>
        </is>
      </c>
      <c r="E476" t="inlineStr">
        <is>
          <t>HAGFORS</t>
        </is>
      </c>
      <c r="F476" t="inlineStr">
        <is>
          <t>Bergvik skog väst AB</t>
        </is>
      </c>
      <c r="G476" t="n">
        <v>15.8</v>
      </c>
      <c r="H476" t="n">
        <v>0</v>
      </c>
      <c r="I476" t="n">
        <v>0</v>
      </c>
      <c r="J476" t="n">
        <v>0</v>
      </c>
      <c r="K476" t="n">
        <v>1</v>
      </c>
      <c r="L476" t="n">
        <v>0</v>
      </c>
      <c r="M476" t="n">
        <v>0</v>
      </c>
      <c r="N476" t="n">
        <v>0</v>
      </c>
      <c r="O476" t="n">
        <v>1</v>
      </c>
      <c r="P476" t="n">
        <v>1</v>
      </c>
      <c r="Q476" t="n">
        <v>1</v>
      </c>
      <c r="R476" s="2" t="inlineStr">
        <is>
          <t>Borsttagging</t>
        </is>
      </c>
      <c r="S476">
        <f>HYPERLINK("https://klasma.github.io/Logging_1783/artfynd/A 15219-2025 artfynd.xlsx", "A 15219-2025")</f>
        <v/>
      </c>
      <c r="T476">
        <f>HYPERLINK("https://klasma.github.io/Logging_1783/kartor/A 15219-2025 karta.png", "A 15219-2025")</f>
        <v/>
      </c>
      <c r="V476">
        <f>HYPERLINK("https://klasma.github.io/Logging_1783/klagomål/A 15219-2025 FSC-klagomål.docx", "A 15219-2025")</f>
        <v/>
      </c>
      <c r="W476">
        <f>HYPERLINK("https://klasma.github.io/Logging_1783/klagomålsmail/A 15219-2025 FSC-klagomål mail.docx", "A 15219-2025")</f>
        <v/>
      </c>
      <c r="X476">
        <f>HYPERLINK("https://klasma.github.io/Logging_1783/tillsyn/A 15219-2025 tillsynsbegäran.docx", "A 15219-2025")</f>
        <v/>
      </c>
      <c r="Y476">
        <f>HYPERLINK("https://klasma.github.io/Logging_1783/tillsynsmail/A 15219-2025 tillsynsbegäran mail.docx", "A 15219-2025")</f>
        <v/>
      </c>
    </row>
    <row r="477" ht="15" customHeight="1">
      <c r="A477" t="inlineStr">
        <is>
          <t>A 66053-2021</t>
        </is>
      </c>
      <c r="B477" s="1" t="n">
        <v>44517.63174768518</v>
      </c>
      <c r="C477" s="1" t="n">
        <v>45932</v>
      </c>
      <c r="D477" t="inlineStr">
        <is>
          <t>VÄRMLANDS LÄN</t>
        </is>
      </c>
      <c r="E477" t="inlineStr">
        <is>
          <t>GRUMS</t>
        </is>
      </c>
      <c r="G477" t="n">
        <v>1.4</v>
      </c>
      <c r="H477" t="n">
        <v>0</v>
      </c>
      <c r="I477" t="n">
        <v>1</v>
      </c>
      <c r="J477" t="n">
        <v>0</v>
      </c>
      <c r="K477" t="n">
        <v>0</v>
      </c>
      <c r="L477" t="n">
        <v>0</v>
      </c>
      <c r="M477" t="n">
        <v>0</v>
      </c>
      <c r="N477" t="n">
        <v>0</v>
      </c>
      <c r="O477" t="n">
        <v>0</v>
      </c>
      <c r="P477" t="n">
        <v>0</v>
      </c>
      <c r="Q477" t="n">
        <v>1</v>
      </c>
      <c r="R477" s="2" t="inlineStr">
        <is>
          <t>Björksplintborre</t>
        </is>
      </c>
      <c r="S477">
        <f>HYPERLINK("https://klasma.github.io/Logging_1764/artfynd/A 66053-2021 artfynd.xlsx", "A 66053-2021")</f>
        <v/>
      </c>
      <c r="T477">
        <f>HYPERLINK("https://klasma.github.io/Logging_1764/kartor/A 66053-2021 karta.png", "A 66053-2021")</f>
        <v/>
      </c>
      <c r="V477">
        <f>HYPERLINK("https://klasma.github.io/Logging_1764/klagomål/A 66053-2021 FSC-klagomål.docx", "A 66053-2021")</f>
        <v/>
      </c>
      <c r="W477">
        <f>HYPERLINK("https://klasma.github.io/Logging_1764/klagomålsmail/A 66053-2021 FSC-klagomål mail.docx", "A 66053-2021")</f>
        <v/>
      </c>
      <c r="X477">
        <f>HYPERLINK("https://klasma.github.io/Logging_1764/tillsyn/A 66053-2021 tillsynsbegäran.docx", "A 66053-2021")</f>
        <v/>
      </c>
      <c r="Y477">
        <f>HYPERLINK("https://klasma.github.io/Logging_1764/tillsynsmail/A 66053-2021 tillsynsbegäran mail.docx", "A 66053-2021")</f>
        <v/>
      </c>
    </row>
    <row r="478" ht="15" customHeight="1">
      <c r="A478" t="inlineStr">
        <is>
          <t>A 37210-2025</t>
        </is>
      </c>
      <c r="B478" s="1" t="n">
        <v>45875</v>
      </c>
      <c r="C478" s="1" t="n">
        <v>45932</v>
      </c>
      <c r="D478" t="inlineStr">
        <is>
          <t>VÄRMLANDS LÄN</t>
        </is>
      </c>
      <c r="E478" t="inlineStr">
        <is>
          <t>FILIPSTAD</t>
        </is>
      </c>
      <c r="F478" t="inlineStr">
        <is>
          <t>Bergvik skog väst AB</t>
        </is>
      </c>
      <c r="G478" t="n">
        <v>9.9</v>
      </c>
      <c r="H478" t="n">
        <v>0</v>
      </c>
      <c r="I478" t="n">
        <v>0</v>
      </c>
      <c r="J478" t="n">
        <v>1</v>
      </c>
      <c r="K478" t="n">
        <v>0</v>
      </c>
      <c r="L478" t="n">
        <v>0</v>
      </c>
      <c r="M478" t="n">
        <v>0</v>
      </c>
      <c r="N478" t="n">
        <v>0</v>
      </c>
      <c r="O478" t="n">
        <v>1</v>
      </c>
      <c r="P478" t="n">
        <v>0</v>
      </c>
      <c r="Q478" t="n">
        <v>1</v>
      </c>
      <c r="R478" s="2" t="inlineStr">
        <is>
          <t>Garnlav</t>
        </is>
      </c>
      <c r="S478">
        <f>HYPERLINK("https://klasma.github.io/Logging_1782/artfynd/A 37210-2025 artfynd.xlsx", "A 37210-2025")</f>
        <v/>
      </c>
      <c r="T478">
        <f>HYPERLINK("https://klasma.github.io/Logging_1782/kartor/A 37210-2025 karta.png", "A 37210-2025")</f>
        <v/>
      </c>
      <c r="V478">
        <f>HYPERLINK("https://klasma.github.io/Logging_1782/klagomål/A 37210-2025 FSC-klagomål.docx", "A 37210-2025")</f>
        <v/>
      </c>
      <c r="W478">
        <f>HYPERLINK("https://klasma.github.io/Logging_1782/klagomålsmail/A 37210-2025 FSC-klagomål mail.docx", "A 37210-2025")</f>
        <v/>
      </c>
      <c r="X478">
        <f>HYPERLINK("https://klasma.github.io/Logging_1782/tillsyn/A 37210-2025 tillsynsbegäran.docx", "A 37210-2025")</f>
        <v/>
      </c>
      <c r="Y478">
        <f>HYPERLINK("https://klasma.github.io/Logging_1782/tillsynsmail/A 37210-2025 tillsynsbegäran mail.docx", "A 37210-2025")</f>
        <v/>
      </c>
    </row>
    <row r="479" ht="15" customHeight="1">
      <c r="A479" t="inlineStr">
        <is>
          <t>A 8525-2023</t>
        </is>
      </c>
      <c r="B479" s="1" t="n">
        <v>44977</v>
      </c>
      <c r="C479" s="1" t="n">
        <v>45932</v>
      </c>
      <c r="D479" t="inlineStr">
        <is>
          <t>VÄRMLANDS LÄN</t>
        </is>
      </c>
      <c r="E479" t="inlineStr">
        <is>
          <t>ARVIKA</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HYPERLINK("https://klasma.github.io/Logging_1784/artfynd/A 8525-2023 artfynd.xlsx", "A 8525-2023")</f>
        <v/>
      </c>
      <c r="T479">
        <f>HYPERLINK("https://klasma.github.io/Logging_1784/kartor/A 8525-2023 karta.png", "A 8525-2023")</f>
        <v/>
      </c>
      <c r="U479">
        <f>HYPERLINK("https://klasma.github.io/Logging_1784/knärot/A 8525-2023 karta knärot.png", "A 8525-2023")</f>
        <v/>
      </c>
      <c r="V479">
        <f>HYPERLINK("https://klasma.github.io/Logging_1784/klagomål/A 8525-2023 FSC-klagomål.docx", "A 8525-2023")</f>
        <v/>
      </c>
      <c r="W479">
        <f>HYPERLINK("https://klasma.github.io/Logging_1784/klagomålsmail/A 8525-2023 FSC-klagomål mail.docx", "A 8525-2023")</f>
        <v/>
      </c>
      <c r="X479">
        <f>HYPERLINK("https://klasma.github.io/Logging_1784/tillsyn/A 8525-2023 tillsynsbegäran.docx", "A 8525-2023")</f>
        <v/>
      </c>
      <c r="Y479">
        <f>HYPERLINK("https://klasma.github.io/Logging_1784/tillsynsmail/A 8525-2023 tillsynsbegäran mail.docx", "A 8525-2023")</f>
        <v/>
      </c>
    </row>
    <row r="480" ht="15" customHeight="1">
      <c r="A480" t="inlineStr">
        <is>
          <t>A 37327-2025</t>
        </is>
      </c>
      <c r="B480" s="1" t="n">
        <v>45876.64902777778</v>
      </c>
      <c r="C480" s="1" t="n">
        <v>45932</v>
      </c>
      <c r="D480" t="inlineStr">
        <is>
          <t>VÄRMLANDS LÄN</t>
        </is>
      </c>
      <c r="E480" t="inlineStr">
        <is>
          <t>TORSBY</t>
        </is>
      </c>
      <c r="G480" t="n">
        <v>2</v>
      </c>
      <c r="H480" t="n">
        <v>0</v>
      </c>
      <c r="I480" t="n">
        <v>0</v>
      </c>
      <c r="J480" t="n">
        <v>1</v>
      </c>
      <c r="K480" t="n">
        <v>0</v>
      </c>
      <c r="L480" t="n">
        <v>0</v>
      </c>
      <c r="M480" t="n">
        <v>0</v>
      </c>
      <c r="N480" t="n">
        <v>0</v>
      </c>
      <c r="O480" t="n">
        <v>1</v>
      </c>
      <c r="P480" t="n">
        <v>0</v>
      </c>
      <c r="Q480" t="n">
        <v>1</v>
      </c>
      <c r="R480" s="2" t="inlineStr">
        <is>
          <t>Garnlav</t>
        </is>
      </c>
      <c r="S480">
        <f>HYPERLINK("https://klasma.github.io/Logging_1737/artfynd/A 37327-2025 artfynd.xlsx", "A 37327-2025")</f>
        <v/>
      </c>
      <c r="T480">
        <f>HYPERLINK("https://klasma.github.io/Logging_1737/kartor/A 37327-2025 karta.png", "A 37327-2025")</f>
        <v/>
      </c>
      <c r="V480">
        <f>HYPERLINK("https://klasma.github.io/Logging_1737/klagomål/A 37327-2025 FSC-klagomål.docx", "A 37327-2025")</f>
        <v/>
      </c>
      <c r="W480">
        <f>HYPERLINK("https://klasma.github.io/Logging_1737/klagomålsmail/A 37327-2025 FSC-klagomål mail.docx", "A 37327-2025")</f>
        <v/>
      </c>
      <c r="X480">
        <f>HYPERLINK("https://klasma.github.io/Logging_1737/tillsyn/A 37327-2025 tillsynsbegäran.docx", "A 37327-2025")</f>
        <v/>
      </c>
      <c r="Y480">
        <f>HYPERLINK("https://klasma.github.io/Logging_1737/tillsynsmail/A 37327-2025 tillsynsbegäran mail.docx", "A 37327-2025")</f>
        <v/>
      </c>
    </row>
    <row r="481" ht="15" customHeight="1">
      <c r="A481" t="inlineStr">
        <is>
          <t>A 34188-2021</t>
        </is>
      </c>
      <c r="B481" s="1" t="n">
        <v>44379</v>
      </c>
      <c r="C481" s="1" t="n">
        <v>45932</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14002-2022</t>
        </is>
      </c>
      <c r="B482" s="1" t="n">
        <v>44650</v>
      </c>
      <c r="C482" s="1" t="n">
        <v>45932</v>
      </c>
      <c r="D482" t="inlineStr">
        <is>
          <t>VÄRMLANDS LÄN</t>
        </is>
      </c>
      <c r="E482" t="inlineStr">
        <is>
          <t>KARLSTAD</t>
        </is>
      </c>
      <c r="G482" t="n">
        <v>2.3</v>
      </c>
      <c r="H482" t="n">
        <v>1</v>
      </c>
      <c r="I482" t="n">
        <v>0</v>
      </c>
      <c r="J482" t="n">
        <v>0</v>
      </c>
      <c r="K482" t="n">
        <v>1</v>
      </c>
      <c r="L482" t="n">
        <v>0</v>
      </c>
      <c r="M482" t="n">
        <v>0</v>
      </c>
      <c r="N482" t="n">
        <v>0</v>
      </c>
      <c r="O482" t="n">
        <v>1</v>
      </c>
      <c r="P482" t="n">
        <v>1</v>
      </c>
      <c r="Q482" t="n">
        <v>1</v>
      </c>
      <c r="R482" s="2" t="inlineStr">
        <is>
          <t>Knärot</t>
        </is>
      </c>
      <c r="S482">
        <f>HYPERLINK("https://klasma.github.io/Logging_1780/artfynd/A 14002-2022 artfynd.xlsx", "A 14002-2022")</f>
        <v/>
      </c>
      <c r="T482">
        <f>HYPERLINK("https://klasma.github.io/Logging_1780/kartor/A 14002-2022 karta.png", "A 14002-2022")</f>
        <v/>
      </c>
      <c r="U482">
        <f>HYPERLINK("https://klasma.github.io/Logging_1780/knärot/A 14002-2022 karta knärot.png", "A 14002-2022")</f>
        <v/>
      </c>
      <c r="V482">
        <f>HYPERLINK("https://klasma.github.io/Logging_1780/klagomål/A 14002-2022 FSC-klagomål.docx", "A 14002-2022")</f>
        <v/>
      </c>
      <c r="W482">
        <f>HYPERLINK("https://klasma.github.io/Logging_1780/klagomålsmail/A 14002-2022 FSC-klagomål mail.docx", "A 14002-2022")</f>
        <v/>
      </c>
      <c r="X482">
        <f>HYPERLINK("https://klasma.github.io/Logging_1780/tillsyn/A 14002-2022 tillsynsbegäran.docx", "A 14002-2022")</f>
        <v/>
      </c>
      <c r="Y482">
        <f>HYPERLINK("https://klasma.github.io/Logging_1780/tillsynsmail/A 14002-2022 tillsynsbegäran mail.docx", "A 14002-2022")</f>
        <v/>
      </c>
    </row>
    <row r="483" ht="15" customHeight="1">
      <c r="A483" t="inlineStr">
        <is>
          <t>A 60280-2024</t>
        </is>
      </c>
      <c r="B483" s="1" t="n">
        <v>45642.91010416667</v>
      </c>
      <c r="C483" s="1" t="n">
        <v>45932</v>
      </c>
      <c r="D483" t="inlineStr">
        <is>
          <t>VÄRMLANDS LÄN</t>
        </is>
      </c>
      <c r="E483" t="inlineStr">
        <is>
          <t>KARLSTAD</t>
        </is>
      </c>
      <c r="G483" t="n">
        <v>5</v>
      </c>
      <c r="H483" t="n">
        <v>1</v>
      </c>
      <c r="I483" t="n">
        <v>0</v>
      </c>
      <c r="J483" t="n">
        <v>0</v>
      </c>
      <c r="K483" t="n">
        <v>0</v>
      </c>
      <c r="L483" t="n">
        <v>1</v>
      </c>
      <c r="M483" t="n">
        <v>0</v>
      </c>
      <c r="N483" t="n">
        <v>0</v>
      </c>
      <c r="O483" t="n">
        <v>1</v>
      </c>
      <c r="P483" t="n">
        <v>1</v>
      </c>
      <c r="Q483" t="n">
        <v>1</v>
      </c>
      <c r="R483" s="2" t="inlineStr">
        <is>
          <t>Grönfink</t>
        </is>
      </c>
      <c r="S483">
        <f>HYPERLINK("https://klasma.github.io/Logging_1780/artfynd/A 60280-2024 artfynd.xlsx", "A 60280-2024")</f>
        <v/>
      </c>
      <c r="T483">
        <f>HYPERLINK("https://klasma.github.io/Logging_1780/kartor/A 60280-2024 karta.png", "A 60280-2024")</f>
        <v/>
      </c>
      <c r="V483">
        <f>HYPERLINK("https://klasma.github.io/Logging_1780/klagomål/A 60280-2024 FSC-klagomål.docx", "A 60280-2024")</f>
        <v/>
      </c>
      <c r="W483">
        <f>HYPERLINK("https://klasma.github.io/Logging_1780/klagomålsmail/A 60280-2024 FSC-klagomål mail.docx", "A 60280-2024")</f>
        <v/>
      </c>
      <c r="X483">
        <f>HYPERLINK("https://klasma.github.io/Logging_1780/tillsyn/A 60280-2024 tillsynsbegäran.docx", "A 60280-2024")</f>
        <v/>
      </c>
      <c r="Y483">
        <f>HYPERLINK("https://klasma.github.io/Logging_1780/tillsynsmail/A 60280-2024 tillsynsbegäran mail.docx", "A 60280-2024")</f>
        <v/>
      </c>
      <c r="Z483">
        <f>HYPERLINK("https://klasma.github.io/Logging_1780/fåglar/A 60280-2024 prioriterade fågelarter.docx", "A 60280-2024")</f>
        <v/>
      </c>
    </row>
    <row r="484" ht="15" customHeight="1">
      <c r="A484" t="inlineStr">
        <is>
          <t>A 37373-2025</t>
        </is>
      </c>
      <c r="B484" s="1" t="n">
        <v>45877</v>
      </c>
      <c r="C484" s="1" t="n">
        <v>45932</v>
      </c>
      <c r="D484" t="inlineStr">
        <is>
          <t>VÄRMLANDS LÄN</t>
        </is>
      </c>
      <c r="E484" t="inlineStr">
        <is>
          <t>EDA</t>
        </is>
      </c>
      <c r="G484" t="n">
        <v>14</v>
      </c>
      <c r="H484" t="n">
        <v>1</v>
      </c>
      <c r="I484" t="n">
        <v>0</v>
      </c>
      <c r="J484" t="n">
        <v>0</v>
      </c>
      <c r="K484" t="n">
        <v>1</v>
      </c>
      <c r="L484" t="n">
        <v>0</v>
      </c>
      <c r="M484" t="n">
        <v>0</v>
      </c>
      <c r="N484" t="n">
        <v>0</v>
      </c>
      <c r="O484" t="n">
        <v>1</v>
      </c>
      <c r="P484" t="n">
        <v>1</v>
      </c>
      <c r="Q484" t="n">
        <v>1</v>
      </c>
      <c r="R484" s="2" t="inlineStr">
        <is>
          <t>Knärot</t>
        </is>
      </c>
      <c r="S484">
        <f>HYPERLINK("https://klasma.github.io/Logging_1730/artfynd/A 37373-2025 artfynd.xlsx", "A 37373-2025")</f>
        <v/>
      </c>
      <c r="T484">
        <f>HYPERLINK("https://klasma.github.io/Logging_1730/kartor/A 37373-2025 karta.png", "A 37373-2025")</f>
        <v/>
      </c>
      <c r="U484">
        <f>HYPERLINK("https://klasma.github.io/Logging_1730/knärot/A 37373-2025 karta knärot.png", "A 37373-2025")</f>
        <v/>
      </c>
      <c r="V484">
        <f>HYPERLINK("https://klasma.github.io/Logging_1730/klagomål/A 37373-2025 FSC-klagomål.docx", "A 37373-2025")</f>
        <v/>
      </c>
      <c r="W484">
        <f>HYPERLINK("https://klasma.github.io/Logging_1730/klagomålsmail/A 37373-2025 FSC-klagomål mail.docx", "A 37373-2025")</f>
        <v/>
      </c>
      <c r="X484">
        <f>HYPERLINK("https://klasma.github.io/Logging_1730/tillsyn/A 37373-2025 tillsynsbegäran.docx", "A 37373-2025")</f>
        <v/>
      </c>
      <c r="Y484">
        <f>HYPERLINK("https://klasma.github.io/Logging_1730/tillsynsmail/A 37373-2025 tillsynsbegäran mail.docx", "A 37373-2025")</f>
        <v/>
      </c>
    </row>
    <row r="485" ht="15" customHeight="1">
      <c r="A485" t="inlineStr">
        <is>
          <t>A 61004-2023</t>
        </is>
      </c>
      <c r="B485" s="1" t="n">
        <v>45261</v>
      </c>
      <c r="C485" s="1" t="n">
        <v>45932</v>
      </c>
      <c r="D485" t="inlineStr">
        <is>
          <t>VÄRMLANDS LÄN</t>
        </is>
      </c>
      <c r="E485" t="inlineStr">
        <is>
          <t>ARVIKA</t>
        </is>
      </c>
      <c r="G485" t="n">
        <v>3.6</v>
      </c>
      <c r="H485" t="n">
        <v>1</v>
      </c>
      <c r="I485" t="n">
        <v>0</v>
      </c>
      <c r="J485" t="n">
        <v>0</v>
      </c>
      <c r="K485" t="n">
        <v>1</v>
      </c>
      <c r="L485" t="n">
        <v>0</v>
      </c>
      <c r="M485" t="n">
        <v>0</v>
      </c>
      <c r="N485" t="n">
        <v>0</v>
      </c>
      <c r="O485" t="n">
        <v>1</v>
      </c>
      <c r="P485" t="n">
        <v>1</v>
      </c>
      <c r="Q485" t="n">
        <v>1</v>
      </c>
      <c r="R485" s="2" t="inlineStr">
        <is>
          <t>Knärot</t>
        </is>
      </c>
      <c r="S485">
        <f>HYPERLINK("https://klasma.github.io/Logging_1784/artfynd/A 61004-2023 artfynd.xlsx", "A 61004-2023")</f>
        <v/>
      </c>
      <c r="T485">
        <f>HYPERLINK("https://klasma.github.io/Logging_1784/kartor/A 61004-2023 karta.png", "A 61004-2023")</f>
        <v/>
      </c>
      <c r="U485">
        <f>HYPERLINK("https://klasma.github.io/Logging_1784/knärot/A 61004-2023 karta knärot.png", "A 61004-2023")</f>
        <v/>
      </c>
      <c r="V485">
        <f>HYPERLINK("https://klasma.github.io/Logging_1784/klagomål/A 61004-2023 FSC-klagomål.docx", "A 61004-2023")</f>
        <v/>
      </c>
      <c r="W485">
        <f>HYPERLINK("https://klasma.github.io/Logging_1784/klagomålsmail/A 61004-2023 FSC-klagomål mail.docx", "A 61004-2023")</f>
        <v/>
      </c>
      <c r="X485">
        <f>HYPERLINK("https://klasma.github.io/Logging_1784/tillsyn/A 61004-2023 tillsynsbegäran.docx", "A 61004-2023")</f>
        <v/>
      </c>
      <c r="Y485">
        <f>HYPERLINK("https://klasma.github.io/Logging_1784/tillsynsmail/A 61004-2023 tillsynsbegäran mail.docx", "A 61004-2023")</f>
        <v/>
      </c>
    </row>
    <row r="486" ht="15" customHeight="1">
      <c r="A486" t="inlineStr">
        <is>
          <t>A 49724-2023</t>
        </is>
      </c>
      <c r="B486" s="1" t="n">
        <v>45208</v>
      </c>
      <c r="C486" s="1" t="n">
        <v>45932</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Garnlav</t>
        </is>
      </c>
      <c r="S486">
        <f>HYPERLINK("https://klasma.github.io/Logging_1737/artfynd/A 49724-2023 artfynd.xlsx", "A 49724-2023")</f>
        <v/>
      </c>
      <c r="T486">
        <f>HYPERLINK("https://klasma.github.io/Logging_1737/kartor/A 49724-2023 karta.png", "A 49724-2023")</f>
        <v/>
      </c>
      <c r="V486">
        <f>HYPERLINK("https://klasma.github.io/Logging_1737/klagomål/A 49724-2023 FSC-klagomål.docx", "A 49724-2023")</f>
        <v/>
      </c>
      <c r="W486">
        <f>HYPERLINK("https://klasma.github.io/Logging_1737/klagomålsmail/A 49724-2023 FSC-klagomål mail.docx", "A 49724-2023")</f>
        <v/>
      </c>
      <c r="X486">
        <f>HYPERLINK("https://klasma.github.io/Logging_1737/tillsyn/A 49724-2023 tillsynsbegäran.docx", "A 49724-2023")</f>
        <v/>
      </c>
      <c r="Y486">
        <f>HYPERLINK("https://klasma.github.io/Logging_1737/tillsynsmail/A 49724-2023 tillsynsbegäran mail.docx", "A 49724-2023")</f>
        <v/>
      </c>
    </row>
    <row r="487" ht="15" customHeight="1">
      <c r="A487" t="inlineStr">
        <is>
          <t>A 45714-2025</t>
        </is>
      </c>
      <c r="B487" s="1" t="n">
        <v>45923</v>
      </c>
      <c r="C487" s="1" t="n">
        <v>45932</v>
      </c>
      <c r="D487" t="inlineStr">
        <is>
          <t>VÄRMLANDS LÄN</t>
        </is>
      </c>
      <c r="E487" t="inlineStr">
        <is>
          <t>FILIPSTAD</t>
        </is>
      </c>
      <c r="F487" t="inlineStr">
        <is>
          <t>Bergvik skog väst AB</t>
        </is>
      </c>
      <c r="G487" t="n">
        <v>2.5</v>
      </c>
      <c r="H487" t="n">
        <v>0</v>
      </c>
      <c r="I487" t="n">
        <v>0</v>
      </c>
      <c r="J487" t="n">
        <v>1</v>
      </c>
      <c r="K487" t="n">
        <v>0</v>
      </c>
      <c r="L487" t="n">
        <v>0</v>
      </c>
      <c r="M487" t="n">
        <v>0</v>
      </c>
      <c r="N487" t="n">
        <v>0</v>
      </c>
      <c r="O487" t="n">
        <v>1</v>
      </c>
      <c r="P487" t="n">
        <v>0</v>
      </c>
      <c r="Q487" t="n">
        <v>1</v>
      </c>
      <c r="R487" s="2" t="inlineStr">
        <is>
          <t>Brunklöver</t>
        </is>
      </c>
      <c r="S487">
        <f>HYPERLINK("https://klasma.github.io/Logging_1782/artfynd/A 45714-2025 artfynd.xlsx", "A 45714-2025")</f>
        <v/>
      </c>
      <c r="T487">
        <f>HYPERLINK("https://klasma.github.io/Logging_1782/kartor/A 45714-2025 karta.png", "A 45714-2025")</f>
        <v/>
      </c>
      <c r="V487">
        <f>HYPERLINK("https://klasma.github.io/Logging_1782/klagomål/A 45714-2025 FSC-klagomål.docx", "A 45714-2025")</f>
        <v/>
      </c>
      <c r="W487">
        <f>HYPERLINK("https://klasma.github.io/Logging_1782/klagomålsmail/A 45714-2025 FSC-klagomål mail.docx", "A 45714-2025")</f>
        <v/>
      </c>
      <c r="X487">
        <f>HYPERLINK("https://klasma.github.io/Logging_1782/tillsyn/A 45714-2025 tillsynsbegäran.docx", "A 45714-2025")</f>
        <v/>
      </c>
      <c r="Y487">
        <f>HYPERLINK("https://klasma.github.io/Logging_1782/tillsynsmail/A 45714-2025 tillsynsbegäran mail.docx", "A 45714-2025")</f>
        <v/>
      </c>
    </row>
    <row r="488" ht="15" customHeight="1">
      <c r="A488" t="inlineStr">
        <is>
          <t>A 37699-2025</t>
        </is>
      </c>
      <c r="B488" s="1" t="n">
        <v>45880</v>
      </c>
      <c r="C488" s="1" t="n">
        <v>45932</v>
      </c>
      <c r="D488" t="inlineStr">
        <is>
          <t>VÄRMLANDS LÄN</t>
        </is>
      </c>
      <c r="E488" t="inlineStr">
        <is>
          <t>TORSBY</t>
        </is>
      </c>
      <c r="G488" t="n">
        <v>1.8</v>
      </c>
      <c r="H488" t="n">
        <v>1</v>
      </c>
      <c r="I488" t="n">
        <v>0</v>
      </c>
      <c r="J488" t="n">
        <v>0</v>
      </c>
      <c r="K488" t="n">
        <v>1</v>
      </c>
      <c r="L488" t="n">
        <v>0</v>
      </c>
      <c r="M488" t="n">
        <v>0</v>
      </c>
      <c r="N488" t="n">
        <v>0</v>
      </c>
      <c r="O488" t="n">
        <v>1</v>
      </c>
      <c r="P488" t="n">
        <v>1</v>
      </c>
      <c r="Q488" t="n">
        <v>1</v>
      </c>
      <c r="R488" s="2" t="inlineStr">
        <is>
          <t>Bombmurkla</t>
        </is>
      </c>
      <c r="S488">
        <f>HYPERLINK("https://klasma.github.io/Logging_1737/artfynd/A 37699-2025 artfynd.xlsx", "A 37699-2025")</f>
        <v/>
      </c>
      <c r="T488">
        <f>HYPERLINK("https://klasma.github.io/Logging_1737/kartor/A 37699-2025 karta.png", "A 37699-2025")</f>
        <v/>
      </c>
      <c r="V488">
        <f>HYPERLINK("https://klasma.github.io/Logging_1737/klagomål/A 37699-2025 FSC-klagomål.docx", "A 37699-2025")</f>
        <v/>
      </c>
      <c r="W488">
        <f>HYPERLINK("https://klasma.github.io/Logging_1737/klagomålsmail/A 37699-2025 FSC-klagomål mail.docx", "A 37699-2025")</f>
        <v/>
      </c>
      <c r="X488">
        <f>HYPERLINK("https://klasma.github.io/Logging_1737/tillsyn/A 37699-2025 tillsynsbegäran.docx", "A 37699-2025")</f>
        <v/>
      </c>
      <c r="Y488">
        <f>HYPERLINK("https://klasma.github.io/Logging_1737/tillsynsmail/A 37699-2025 tillsynsbegäran mail.docx", "A 37699-2025")</f>
        <v/>
      </c>
    </row>
    <row r="489" ht="15" customHeight="1">
      <c r="A489" t="inlineStr">
        <is>
          <t>A 19026-2024</t>
        </is>
      </c>
      <c r="B489" s="1" t="n">
        <v>45427</v>
      </c>
      <c r="C489" s="1" t="n">
        <v>45932</v>
      </c>
      <c r="D489" t="inlineStr">
        <is>
          <t>VÄRMLANDS LÄN</t>
        </is>
      </c>
      <c r="E489" t="inlineStr">
        <is>
          <t>ARVIKA</t>
        </is>
      </c>
      <c r="F489" t="inlineStr">
        <is>
          <t>Bergvik skog väst AB</t>
        </is>
      </c>
      <c r="G489" t="n">
        <v>1.1</v>
      </c>
      <c r="H489" t="n">
        <v>0</v>
      </c>
      <c r="I489" t="n">
        <v>1</v>
      </c>
      <c r="J489" t="n">
        <v>0</v>
      </c>
      <c r="K489" t="n">
        <v>0</v>
      </c>
      <c r="L489" t="n">
        <v>0</v>
      </c>
      <c r="M489" t="n">
        <v>0</v>
      </c>
      <c r="N489" t="n">
        <v>0</v>
      </c>
      <c r="O489" t="n">
        <v>0</v>
      </c>
      <c r="P489" t="n">
        <v>0</v>
      </c>
      <c r="Q489" t="n">
        <v>1</v>
      </c>
      <c r="R489" s="2" t="inlineStr">
        <is>
          <t>Blomkålssvamp</t>
        </is>
      </c>
      <c r="S489">
        <f>HYPERLINK("https://klasma.github.io/Logging_1784/artfynd/A 19026-2024 artfynd.xlsx", "A 19026-2024")</f>
        <v/>
      </c>
      <c r="T489">
        <f>HYPERLINK("https://klasma.github.io/Logging_1784/kartor/A 19026-2024 karta.png", "A 19026-2024")</f>
        <v/>
      </c>
      <c r="V489">
        <f>HYPERLINK("https://klasma.github.io/Logging_1784/klagomål/A 19026-2024 FSC-klagomål.docx", "A 19026-2024")</f>
        <v/>
      </c>
      <c r="W489">
        <f>HYPERLINK("https://klasma.github.io/Logging_1784/klagomålsmail/A 19026-2024 FSC-klagomål mail.docx", "A 19026-2024")</f>
        <v/>
      </c>
      <c r="X489">
        <f>HYPERLINK("https://klasma.github.io/Logging_1784/tillsyn/A 19026-2024 tillsynsbegäran.docx", "A 19026-2024")</f>
        <v/>
      </c>
      <c r="Y489">
        <f>HYPERLINK("https://klasma.github.io/Logging_1784/tillsynsmail/A 19026-2024 tillsynsbegäran mail.docx", "A 19026-2024")</f>
        <v/>
      </c>
    </row>
    <row r="490" ht="15" customHeight="1">
      <c r="A490" t="inlineStr">
        <is>
          <t>A 37548-2025</t>
        </is>
      </c>
      <c r="B490" s="1" t="n">
        <v>45879</v>
      </c>
      <c r="C490" s="1" t="n">
        <v>45932</v>
      </c>
      <c r="D490" t="inlineStr">
        <is>
          <t>VÄRMLANDS LÄN</t>
        </is>
      </c>
      <c r="E490" t="inlineStr">
        <is>
          <t>TORSBY</t>
        </is>
      </c>
      <c r="G490" t="n">
        <v>9.5</v>
      </c>
      <c r="H490" t="n">
        <v>1</v>
      </c>
      <c r="I490" t="n">
        <v>0</v>
      </c>
      <c r="J490" t="n">
        <v>1</v>
      </c>
      <c r="K490" t="n">
        <v>0</v>
      </c>
      <c r="L490" t="n">
        <v>0</v>
      </c>
      <c r="M490" t="n">
        <v>0</v>
      </c>
      <c r="N490" t="n">
        <v>0</v>
      </c>
      <c r="O490" t="n">
        <v>1</v>
      </c>
      <c r="P490" t="n">
        <v>0</v>
      </c>
      <c r="Q490" t="n">
        <v>1</v>
      </c>
      <c r="R490" s="2" t="inlineStr">
        <is>
          <t>Talltita</t>
        </is>
      </c>
      <c r="S490">
        <f>HYPERLINK("https://klasma.github.io/Logging_1737/artfynd/A 37548-2025 artfynd.xlsx", "A 37548-2025")</f>
        <v/>
      </c>
      <c r="T490">
        <f>HYPERLINK("https://klasma.github.io/Logging_1737/kartor/A 37548-2025 karta.png", "A 37548-2025")</f>
        <v/>
      </c>
      <c r="V490">
        <f>HYPERLINK("https://klasma.github.io/Logging_1737/klagomål/A 37548-2025 FSC-klagomål.docx", "A 37548-2025")</f>
        <v/>
      </c>
      <c r="W490">
        <f>HYPERLINK("https://klasma.github.io/Logging_1737/klagomålsmail/A 37548-2025 FSC-klagomål mail.docx", "A 37548-2025")</f>
        <v/>
      </c>
      <c r="X490">
        <f>HYPERLINK("https://klasma.github.io/Logging_1737/tillsyn/A 37548-2025 tillsynsbegäran.docx", "A 37548-2025")</f>
        <v/>
      </c>
      <c r="Y490">
        <f>HYPERLINK("https://klasma.github.io/Logging_1737/tillsynsmail/A 37548-2025 tillsynsbegäran mail.docx", "A 37548-2025")</f>
        <v/>
      </c>
      <c r="Z490">
        <f>HYPERLINK("https://klasma.github.io/Logging_1737/fåglar/A 37548-2025 prioriterade fågelarter.docx", "A 37548-2025")</f>
        <v/>
      </c>
    </row>
    <row r="491" ht="15" customHeight="1">
      <c r="A491" t="inlineStr">
        <is>
          <t>A 45407-2025</t>
        </is>
      </c>
      <c r="B491" s="1" t="n">
        <v>45922.43200231482</v>
      </c>
      <c r="C491" s="1" t="n">
        <v>45932</v>
      </c>
      <c r="D491" t="inlineStr">
        <is>
          <t>VÄRMLANDS LÄN</t>
        </is>
      </c>
      <c r="E491" t="inlineStr">
        <is>
          <t>HAMMARÖ</t>
        </is>
      </c>
      <c r="G491" t="n">
        <v>11.6</v>
      </c>
      <c r="H491" t="n">
        <v>1</v>
      </c>
      <c r="I491" t="n">
        <v>0</v>
      </c>
      <c r="J491" t="n">
        <v>0</v>
      </c>
      <c r="K491" t="n">
        <v>0</v>
      </c>
      <c r="L491" t="n">
        <v>0</v>
      </c>
      <c r="M491" t="n">
        <v>0</v>
      </c>
      <c r="N491" t="n">
        <v>0</v>
      </c>
      <c r="O491" t="n">
        <v>0</v>
      </c>
      <c r="P491" t="n">
        <v>0</v>
      </c>
      <c r="Q491" t="n">
        <v>1</v>
      </c>
      <c r="R491" s="2" t="inlineStr">
        <is>
          <t>Vanlig padda</t>
        </is>
      </c>
      <c r="S491">
        <f>HYPERLINK("https://klasma.github.io/Logging_1761/artfynd/A 45407-2025 artfynd.xlsx", "A 45407-2025")</f>
        <v/>
      </c>
      <c r="T491">
        <f>HYPERLINK("https://klasma.github.io/Logging_1761/kartor/A 45407-2025 karta.png", "A 45407-2025")</f>
        <v/>
      </c>
      <c r="V491">
        <f>HYPERLINK("https://klasma.github.io/Logging_1761/klagomål/A 45407-2025 FSC-klagomål.docx", "A 45407-2025")</f>
        <v/>
      </c>
      <c r="W491">
        <f>HYPERLINK("https://klasma.github.io/Logging_1761/klagomålsmail/A 45407-2025 FSC-klagomål mail.docx", "A 45407-2025")</f>
        <v/>
      </c>
      <c r="X491">
        <f>HYPERLINK("https://klasma.github.io/Logging_1761/tillsyn/A 45407-2025 tillsynsbegäran.docx", "A 45407-2025")</f>
        <v/>
      </c>
      <c r="Y491">
        <f>HYPERLINK("https://klasma.github.io/Logging_1761/tillsynsmail/A 45407-2025 tillsynsbegäran mail.docx", "A 45407-2025")</f>
        <v/>
      </c>
    </row>
    <row r="492" ht="15" customHeight="1">
      <c r="A492" t="inlineStr">
        <is>
          <t>A 45781-2025</t>
        </is>
      </c>
      <c r="B492" s="1" t="n">
        <v>45923.55023148148</v>
      </c>
      <c r="C492" s="1" t="n">
        <v>45932</v>
      </c>
      <c r="D492" t="inlineStr">
        <is>
          <t>VÄRMLANDS LÄN</t>
        </is>
      </c>
      <c r="E492" t="inlineStr">
        <is>
          <t>FILIPSTAD</t>
        </is>
      </c>
      <c r="F492" t="inlineStr">
        <is>
          <t>Bergvik skog väst AB</t>
        </is>
      </c>
      <c r="G492" t="n">
        <v>2.6</v>
      </c>
      <c r="H492" t="n">
        <v>0</v>
      </c>
      <c r="I492" t="n">
        <v>0</v>
      </c>
      <c r="J492" t="n">
        <v>1</v>
      </c>
      <c r="K492" t="n">
        <v>0</v>
      </c>
      <c r="L492" t="n">
        <v>0</v>
      </c>
      <c r="M492" t="n">
        <v>0</v>
      </c>
      <c r="N492" t="n">
        <v>0</v>
      </c>
      <c r="O492" t="n">
        <v>1</v>
      </c>
      <c r="P492" t="n">
        <v>0</v>
      </c>
      <c r="Q492" t="n">
        <v>1</v>
      </c>
      <c r="R492" s="2" t="inlineStr">
        <is>
          <t>Brunklöver</t>
        </is>
      </c>
      <c r="S492">
        <f>HYPERLINK("https://klasma.github.io/Logging_1782/artfynd/A 45781-2025 artfynd.xlsx", "A 45781-2025")</f>
        <v/>
      </c>
      <c r="T492">
        <f>HYPERLINK("https://klasma.github.io/Logging_1782/kartor/A 45781-2025 karta.png", "A 45781-2025")</f>
        <v/>
      </c>
      <c r="V492">
        <f>HYPERLINK("https://klasma.github.io/Logging_1782/klagomål/A 45781-2025 FSC-klagomål.docx", "A 45781-2025")</f>
        <v/>
      </c>
      <c r="W492">
        <f>HYPERLINK("https://klasma.github.io/Logging_1782/klagomålsmail/A 45781-2025 FSC-klagomål mail.docx", "A 45781-2025")</f>
        <v/>
      </c>
      <c r="X492">
        <f>HYPERLINK("https://klasma.github.io/Logging_1782/tillsyn/A 45781-2025 tillsynsbegäran.docx", "A 45781-2025")</f>
        <v/>
      </c>
      <c r="Y492">
        <f>HYPERLINK("https://klasma.github.io/Logging_1782/tillsynsmail/A 45781-2025 tillsynsbegäran mail.docx", "A 45781-2025")</f>
        <v/>
      </c>
    </row>
    <row r="493" ht="15" customHeight="1">
      <c r="A493" t="inlineStr">
        <is>
          <t>A 44018-2025</t>
        </is>
      </c>
      <c r="B493" s="1" t="n">
        <v>45915</v>
      </c>
      <c r="C493" s="1" t="n">
        <v>45932</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Gammelgransskål</t>
        </is>
      </c>
      <c r="S493">
        <f>HYPERLINK("https://klasma.github.io/Logging_1737/artfynd/A 44018-2025 artfynd.xlsx", "A 44018-2025")</f>
        <v/>
      </c>
      <c r="T493">
        <f>HYPERLINK("https://klasma.github.io/Logging_1737/kartor/A 44018-2025 karta.png", "A 44018-2025")</f>
        <v/>
      </c>
      <c r="V493">
        <f>HYPERLINK("https://klasma.github.io/Logging_1737/klagomål/A 44018-2025 FSC-klagomål.docx", "A 44018-2025")</f>
        <v/>
      </c>
      <c r="W493">
        <f>HYPERLINK("https://klasma.github.io/Logging_1737/klagomålsmail/A 44018-2025 FSC-klagomål mail.docx", "A 44018-2025")</f>
        <v/>
      </c>
      <c r="X493">
        <f>HYPERLINK("https://klasma.github.io/Logging_1737/tillsyn/A 44018-2025 tillsynsbegäran.docx", "A 44018-2025")</f>
        <v/>
      </c>
      <c r="Y493">
        <f>HYPERLINK("https://klasma.github.io/Logging_1737/tillsynsmail/A 44018-2025 tillsynsbegäran mail.docx", "A 44018-2025")</f>
        <v/>
      </c>
    </row>
    <row r="494" ht="15" customHeight="1">
      <c r="A494" t="inlineStr">
        <is>
          <t>A 54042-2021</t>
        </is>
      </c>
      <c r="B494" s="1" t="n">
        <v>44470</v>
      </c>
      <c r="C494" s="1" t="n">
        <v>45932</v>
      </c>
      <c r="D494" t="inlineStr">
        <is>
          <t>VÄRMLANDS LÄN</t>
        </is>
      </c>
      <c r="E494" t="inlineStr">
        <is>
          <t>GRUMS</t>
        </is>
      </c>
      <c r="G494" t="n">
        <v>7.8</v>
      </c>
      <c r="H494" t="n">
        <v>1</v>
      </c>
      <c r="I494" t="n">
        <v>0</v>
      </c>
      <c r="J494" t="n">
        <v>1</v>
      </c>
      <c r="K494" t="n">
        <v>0</v>
      </c>
      <c r="L494" t="n">
        <v>0</v>
      </c>
      <c r="M494" t="n">
        <v>0</v>
      </c>
      <c r="N494" t="n">
        <v>0</v>
      </c>
      <c r="O494" t="n">
        <v>1</v>
      </c>
      <c r="P494" t="n">
        <v>0</v>
      </c>
      <c r="Q494" t="n">
        <v>1</v>
      </c>
      <c r="R494" s="2" t="inlineStr">
        <is>
          <t>Spillkråka</t>
        </is>
      </c>
      <c r="S494">
        <f>HYPERLINK("https://klasma.github.io/Logging_1764/artfynd/A 54042-2021 artfynd.xlsx", "A 54042-2021")</f>
        <v/>
      </c>
      <c r="T494">
        <f>HYPERLINK("https://klasma.github.io/Logging_1764/kartor/A 54042-2021 karta.png", "A 54042-2021")</f>
        <v/>
      </c>
      <c r="V494">
        <f>HYPERLINK("https://klasma.github.io/Logging_1764/klagomål/A 54042-2021 FSC-klagomål.docx", "A 54042-2021")</f>
        <v/>
      </c>
      <c r="W494">
        <f>HYPERLINK("https://klasma.github.io/Logging_1764/klagomålsmail/A 54042-2021 FSC-klagomål mail.docx", "A 54042-2021")</f>
        <v/>
      </c>
      <c r="X494">
        <f>HYPERLINK("https://klasma.github.io/Logging_1764/tillsyn/A 54042-2021 tillsynsbegäran.docx", "A 54042-2021")</f>
        <v/>
      </c>
      <c r="Y494">
        <f>HYPERLINK("https://klasma.github.io/Logging_1764/tillsynsmail/A 54042-2021 tillsynsbegäran mail.docx", "A 54042-2021")</f>
        <v/>
      </c>
      <c r="Z494">
        <f>HYPERLINK("https://klasma.github.io/Logging_1764/fåglar/A 54042-2021 prioriterade fågelarter.docx", "A 54042-2021")</f>
        <v/>
      </c>
    </row>
    <row r="495" ht="15" customHeight="1">
      <c r="A495" t="inlineStr">
        <is>
          <t>A 37700-2025</t>
        </is>
      </c>
      <c r="B495" s="1" t="n">
        <v>45880</v>
      </c>
      <c r="C495" s="1" t="n">
        <v>45932</v>
      </c>
      <c r="D495" t="inlineStr">
        <is>
          <t>VÄRMLANDS LÄN</t>
        </is>
      </c>
      <c r="E495" t="inlineStr">
        <is>
          <t>GRUMS</t>
        </is>
      </c>
      <c r="G495" t="n">
        <v>3</v>
      </c>
      <c r="H495" t="n">
        <v>1</v>
      </c>
      <c r="I495" t="n">
        <v>0</v>
      </c>
      <c r="J495" t="n">
        <v>0</v>
      </c>
      <c r="K495" t="n">
        <v>0</v>
      </c>
      <c r="L495" t="n">
        <v>0</v>
      </c>
      <c r="M495" t="n">
        <v>0</v>
      </c>
      <c r="N495" t="n">
        <v>0</v>
      </c>
      <c r="O495" t="n">
        <v>0</v>
      </c>
      <c r="P495" t="n">
        <v>0</v>
      </c>
      <c r="Q495" t="n">
        <v>1</v>
      </c>
      <c r="R495" s="2" t="inlineStr">
        <is>
          <t>Revlummer</t>
        </is>
      </c>
      <c r="S495">
        <f>HYPERLINK("https://klasma.github.io/Logging_1764/artfynd/A 37700-2025 artfynd.xlsx", "A 37700-2025")</f>
        <v/>
      </c>
      <c r="T495">
        <f>HYPERLINK("https://klasma.github.io/Logging_1764/kartor/A 37700-2025 karta.png", "A 37700-2025")</f>
        <v/>
      </c>
      <c r="V495">
        <f>HYPERLINK("https://klasma.github.io/Logging_1764/klagomål/A 37700-2025 FSC-klagomål.docx", "A 37700-2025")</f>
        <v/>
      </c>
      <c r="W495">
        <f>HYPERLINK("https://klasma.github.io/Logging_1764/klagomålsmail/A 37700-2025 FSC-klagomål mail.docx", "A 37700-2025")</f>
        <v/>
      </c>
      <c r="X495">
        <f>HYPERLINK("https://klasma.github.io/Logging_1764/tillsyn/A 37700-2025 tillsynsbegäran.docx", "A 37700-2025")</f>
        <v/>
      </c>
      <c r="Y495">
        <f>HYPERLINK("https://klasma.github.io/Logging_1764/tillsynsmail/A 37700-2025 tillsynsbegäran mail.docx", "A 37700-2025")</f>
        <v/>
      </c>
    </row>
    <row r="496" ht="15" customHeight="1">
      <c r="A496" t="inlineStr">
        <is>
          <t>A 45230-2025</t>
        </is>
      </c>
      <c r="B496" s="1" t="n">
        <v>45919</v>
      </c>
      <c r="C496" s="1" t="n">
        <v>45932</v>
      </c>
      <c r="D496" t="inlineStr">
        <is>
          <t>VÄRMLANDS LÄN</t>
        </is>
      </c>
      <c r="E496" t="inlineStr">
        <is>
          <t>ÅRJÄNG</t>
        </is>
      </c>
      <c r="F496" t="inlineStr">
        <is>
          <t>Bergvik skog väst AB</t>
        </is>
      </c>
      <c r="G496" t="n">
        <v>4.6</v>
      </c>
      <c r="H496" t="n">
        <v>1</v>
      </c>
      <c r="I496" t="n">
        <v>0</v>
      </c>
      <c r="J496" t="n">
        <v>0</v>
      </c>
      <c r="K496" t="n">
        <v>0</v>
      </c>
      <c r="L496" t="n">
        <v>0</v>
      </c>
      <c r="M496" t="n">
        <v>0</v>
      </c>
      <c r="N496" t="n">
        <v>0</v>
      </c>
      <c r="O496" t="n">
        <v>0</v>
      </c>
      <c r="P496" t="n">
        <v>0</v>
      </c>
      <c r="Q496" t="n">
        <v>1</v>
      </c>
      <c r="R496" s="2" t="inlineStr">
        <is>
          <t>Mattlummer</t>
        </is>
      </c>
      <c r="S496">
        <f>HYPERLINK("https://klasma.github.io/Logging_1765/artfynd/A 45230-2025 artfynd.xlsx", "A 45230-2025")</f>
        <v/>
      </c>
      <c r="T496">
        <f>HYPERLINK("https://klasma.github.io/Logging_1765/kartor/A 45230-2025 karta.png", "A 45230-2025")</f>
        <v/>
      </c>
      <c r="V496">
        <f>HYPERLINK("https://klasma.github.io/Logging_1765/klagomål/A 45230-2025 FSC-klagomål.docx", "A 45230-2025")</f>
        <v/>
      </c>
      <c r="W496">
        <f>HYPERLINK("https://klasma.github.io/Logging_1765/klagomålsmail/A 45230-2025 FSC-klagomål mail.docx", "A 45230-2025")</f>
        <v/>
      </c>
      <c r="X496">
        <f>HYPERLINK("https://klasma.github.io/Logging_1765/tillsyn/A 45230-2025 tillsynsbegäran.docx", "A 45230-2025")</f>
        <v/>
      </c>
      <c r="Y496">
        <f>HYPERLINK("https://klasma.github.io/Logging_1765/tillsynsmail/A 45230-2025 tillsynsbegäran mail.docx", "A 45230-2025")</f>
        <v/>
      </c>
    </row>
    <row r="497" ht="15" customHeight="1">
      <c r="A497" t="inlineStr">
        <is>
          <t>A 16391-2023</t>
        </is>
      </c>
      <c r="B497" s="1" t="n">
        <v>45029.35077546296</v>
      </c>
      <c r="C497" s="1" t="n">
        <v>45932</v>
      </c>
      <c r="D497" t="inlineStr">
        <is>
          <t>VÄRMLANDS LÄN</t>
        </is>
      </c>
      <c r="E497" t="inlineStr">
        <is>
          <t>ARVIKA</t>
        </is>
      </c>
      <c r="G497" t="n">
        <v>0.9</v>
      </c>
      <c r="H497" t="n">
        <v>0</v>
      </c>
      <c r="I497" t="n">
        <v>0</v>
      </c>
      <c r="J497" t="n">
        <v>0</v>
      </c>
      <c r="K497" t="n">
        <v>0</v>
      </c>
      <c r="L497" t="n">
        <v>1</v>
      </c>
      <c r="M497" t="n">
        <v>0</v>
      </c>
      <c r="N497" t="n">
        <v>0</v>
      </c>
      <c r="O497" t="n">
        <v>1</v>
      </c>
      <c r="P497" t="n">
        <v>1</v>
      </c>
      <c r="Q497" t="n">
        <v>1</v>
      </c>
      <c r="R497" s="2" t="inlineStr">
        <is>
          <t>Kulfibbla</t>
        </is>
      </c>
      <c r="S497">
        <f>HYPERLINK("https://klasma.github.io/Logging_1784/artfynd/A 16391-2023 artfynd.xlsx", "A 16391-2023")</f>
        <v/>
      </c>
      <c r="T497">
        <f>HYPERLINK("https://klasma.github.io/Logging_1784/kartor/A 16391-2023 karta.png", "A 16391-2023")</f>
        <v/>
      </c>
      <c r="V497">
        <f>HYPERLINK("https://klasma.github.io/Logging_1784/klagomål/A 16391-2023 FSC-klagomål.docx", "A 16391-2023")</f>
        <v/>
      </c>
      <c r="W497">
        <f>HYPERLINK("https://klasma.github.io/Logging_1784/klagomålsmail/A 16391-2023 FSC-klagomål mail.docx", "A 16391-2023")</f>
        <v/>
      </c>
      <c r="X497">
        <f>HYPERLINK("https://klasma.github.io/Logging_1784/tillsyn/A 16391-2023 tillsynsbegäran.docx", "A 16391-2023")</f>
        <v/>
      </c>
      <c r="Y497">
        <f>HYPERLINK("https://klasma.github.io/Logging_1784/tillsynsmail/A 16391-2023 tillsynsbegäran mail.docx", "A 16391-2023")</f>
        <v/>
      </c>
    </row>
    <row r="498" ht="15" customHeight="1">
      <c r="A498" t="inlineStr">
        <is>
          <t>A 38015-2025</t>
        </is>
      </c>
      <c r="B498" s="1" t="n">
        <v>45882</v>
      </c>
      <c r="C498" s="1" t="n">
        <v>45932</v>
      </c>
      <c r="D498" t="inlineStr">
        <is>
          <t>VÄRMLANDS LÄN</t>
        </is>
      </c>
      <c r="E498" t="inlineStr">
        <is>
          <t>TORSBY</t>
        </is>
      </c>
      <c r="F498" t="inlineStr">
        <is>
          <t>Bergvik skog väst AB</t>
        </is>
      </c>
      <c r="G498" t="n">
        <v>5</v>
      </c>
      <c r="H498" t="n">
        <v>0</v>
      </c>
      <c r="I498" t="n">
        <v>0</v>
      </c>
      <c r="J498" t="n">
        <v>1</v>
      </c>
      <c r="K498" t="n">
        <v>0</v>
      </c>
      <c r="L498" t="n">
        <v>0</v>
      </c>
      <c r="M498" t="n">
        <v>0</v>
      </c>
      <c r="N498" t="n">
        <v>0</v>
      </c>
      <c r="O498" t="n">
        <v>1</v>
      </c>
      <c r="P498" t="n">
        <v>0</v>
      </c>
      <c r="Q498" t="n">
        <v>1</v>
      </c>
      <c r="R498" s="2" t="inlineStr">
        <is>
          <t>Mörk kolflarnlav</t>
        </is>
      </c>
      <c r="S498">
        <f>HYPERLINK("https://klasma.github.io/Logging_1737/artfynd/A 38015-2025 artfynd.xlsx", "A 38015-2025")</f>
        <v/>
      </c>
      <c r="T498">
        <f>HYPERLINK("https://klasma.github.io/Logging_1737/kartor/A 38015-2025 karta.png", "A 38015-2025")</f>
        <v/>
      </c>
      <c r="V498">
        <f>HYPERLINK("https://klasma.github.io/Logging_1737/klagomål/A 38015-2025 FSC-klagomål.docx", "A 38015-2025")</f>
        <v/>
      </c>
      <c r="W498">
        <f>HYPERLINK("https://klasma.github.io/Logging_1737/klagomålsmail/A 38015-2025 FSC-klagomål mail.docx", "A 38015-2025")</f>
        <v/>
      </c>
      <c r="X498">
        <f>HYPERLINK("https://klasma.github.io/Logging_1737/tillsyn/A 38015-2025 tillsynsbegäran.docx", "A 38015-2025")</f>
        <v/>
      </c>
      <c r="Y498">
        <f>HYPERLINK("https://klasma.github.io/Logging_1737/tillsynsmail/A 38015-2025 tillsynsbegäran mail.docx", "A 38015-2025")</f>
        <v/>
      </c>
    </row>
    <row r="499" ht="15" customHeight="1">
      <c r="A499" t="inlineStr">
        <is>
          <t>A 11880-2025</t>
        </is>
      </c>
      <c r="B499" s="1" t="n">
        <v>45728.4462037037</v>
      </c>
      <c r="C499" s="1" t="n">
        <v>45932</v>
      </c>
      <c r="D499" t="inlineStr">
        <is>
          <t>VÄRMLANDS LÄN</t>
        </is>
      </c>
      <c r="E499" t="inlineStr">
        <is>
          <t>ÅRJÄNG</t>
        </is>
      </c>
      <c r="F499" t="inlineStr">
        <is>
          <t>Övriga Aktiebolag</t>
        </is>
      </c>
      <c r="G499" t="n">
        <v>4.8</v>
      </c>
      <c r="H499" t="n">
        <v>0</v>
      </c>
      <c r="I499" t="n">
        <v>0</v>
      </c>
      <c r="J499" t="n">
        <v>1</v>
      </c>
      <c r="K499" t="n">
        <v>0</v>
      </c>
      <c r="L499" t="n">
        <v>0</v>
      </c>
      <c r="M499" t="n">
        <v>0</v>
      </c>
      <c r="N499" t="n">
        <v>0</v>
      </c>
      <c r="O499" t="n">
        <v>1</v>
      </c>
      <c r="P499" t="n">
        <v>0</v>
      </c>
      <c r="Q499" t="n">
        <v>1</v>
      </c>
      <c r="R499" s="2" t="inlineStr">
        <is>
          <t>Lunglav</t>
        </is>
      </c>
      <c r="S499">
        <f>HYPERLINK("https://klasma.github.io/Logging_1765/artfynd/A 11880-2025 artfynd.xlsx", "A 11880-2025")</f>
        <v/>
      </c>
      <c r="T499">
        <f>HYPERLINK("https://klasma.github.io/Logging_1765/kartor/A 11880-2025 karta.png", "A 11880-2025")</f>
        <v/>
      </c>
      <c r="V499">
        <f>HYPERLINK("https://klasma.github.io/Logging_1765/klagomål/A 11880-2025 FSC-klagomål.docx", "A 11880-2025")</f>
        <v/>
      </c>
      <c r="W499">
        <f>HYPERLINK("https://klasma.github.io/Logging_1765/klagomålsmail/A 11880-2025 FSC-klagomål mail.docx", "A 11880-2025")</f>
        <v/>
      </c>
      <c r="X499">
        <f>HYPERLINK("https://klasma.github.io/Logging_1765/tillsyn/A 11880-2025 tillsynsbegäran.docx", "A 11880-2025")</f>
        <v/>
      </c>
      <c r="Y499">
        <f>HYPERLINK("https://klasma.github.io/Logging_1765/tillsynsmail/A 11880-2025 tillsynsbegäran mail.docx", "A 11880-2025")</f>
        <v/>
      </c>
    </row>
    <row r="500" ht="15" customHeight="1">
      <c r="A500" t="inlineStr">
        <is>
          <t>A 41526-2023</t>
        </is>
      </c>
      <c r="B500" s="1" t="n">
        <v>45175</v>
      </c>
      <c r="C500" s="1" t="n">
        <v>45932</v>
      </c>
      <c r="D500" t="inlineStr">
        <is>
          <t>VÄRMLANDS LÄN</t>
        </is>
      </c>
      <c r="E500" t="inlineStr">
        <is>
          <t>KIL</t>
        </is>
      </c>
      <c r="F500" t="inlineStr">
        <is>
          <t>Kyrkan</t>
        </is>
      </c>
      <c r="G500" t="n">
        <v>1.1</v>
      </c>
      <c r="H500" t="n">
        <v>1</v>
      </c>
      <c r="I500" t="n">
        <v>0</v>
      </c>
      <c r="J500" t="n">
        <v>0</v>
      </c>
      <c r="K500" t="n">
        <v>0</v>
      </c>
      <c r="L500" t="n">
        <v>0</v>
      </c>
      <c r="M500" t="n">
        <v>0</v>
      </c>
      <c r="N500" t="n">
        <v>0</v>
      </c>
      <c r="O500" t="n">
        <v>0</v>
      </c>
      <c r="P500" t="n">
        <v>0</v>
      </c>
      <c r="Q500" t="n">
        <v>1</v>
      </c>
      <c r="R500" s="2" t="inlineStr">
        <is>
          <t>Hökuggla</t>
        </is>
      </c>
      <c r="S500">
        <f>HYPERLINK("https://klasma.github.io/Logging_1715/artfynd/A 41526-2023 artfynd.xlsx", "A 41526-2023")</f>
        <v/>
      </c>
      <c r="T500">
        <f>HYPERLINK("https://klasma.github.io/Logging_1715/kartor/A 41526-2023 karta.png", "A 41526-2023")</f>
        <v/>
      </c>
      <c r="V500">
        <f>HYPERLINK("https://klasma.github.io/Logging_1715/klagomål/A 41526-2023 FSC-klagomål.docx", "A 41526-2023")</f>
        <v/>
      </c>
      <c r="W500">
        <f>HYPERLINK("https://klasma.github.io/Logging_1715/klagomålsmail/A 41526-2023 FSC-klagomål mail.docx", "A 41526-2023")</f>
        <v/>
      </c>
      <c r="X500">
        <f>HYPERLINK("https://klasma.github.io/Logging_1715/tillsyn/A 41526-2023 tillsynsbegäran.docx", "A 41526-2023")</f>
        <v/>
      </c>
      <c r="Y500">
        <f>HYPERLINK("https://klasma.github.io/Logging_1715/tillsynsmail/A 41526-2023 tillsynsbegäran mail.docx", "A 41526-2023")</f>
        <v/>
      </c>
      <c r="Z500">
        <f>HYPERLINK("https://klasma.github.io/Logging_1715/fåglar/A 41526-2023 prioriterade fågelarter.docx", "A 41526-2023")</f>
        <v/>
      </c>
    </row>
    <row r="501" ht="15" customHeight="1">
      <c r="A501" t="inlineStr">
        <is>
          <t>A 12593-2024</t>
        </is>
      </c>
      <c r="B501" s="1" t="n">
        <v>45380</v>
      </c>
      <c r="C501" s="1" t="n">
        <v>45932</v>
      </c>
      <c r="D501" t="inlineStr">
        <is>
          <t>VÄRMLANDS LÄN</t>
        </is>
      </c>
      <c r="E501" t="inlineStr">
        <is>
          <t>KRISTINEHAMN</t>
        </is>
      </c>
      <c r="G501" t="n">
        <v>5.9</v>
      </c>
      <c r="H501" t="n">
        <v>1</v>
      </c>
      <c r="I501" t="n">
        <v>0</v>
      </c>
      <c r="J501" t="n">
        <v>0</v>
      </c>
      <c r="K501" t="n">
        <v>1</v>
      </c>
      <c r="L501" t="n">
        <v>0</v>
      </c>
      <c r="M501" t="n">
        <v>0</v>
      </c>
      <c r="N501" t="n">
        <v>0</v>
      </c>
      <c r="O501" t="n">
        <v>1</v>
      </c>
      <c r="P501" t="n">
        <v>1</v>
      </c>
      <c r="Q501" t="n">
        <v>1</v>
      </c>
      <c r="R501" s="2" t="inlineStr">
        <is>
          <t>Bombmurkla</t>
        </is>
      </c>
      <c r="S501">
        <f>HYPERLINK("https://klasma.github.io/Logging_1781/artfynd/A 12593-2024 artfynd.xlsx", "A 12593-2024")</f>
        <v/>
      </c>
      <c r="T501">
        <f>HYPERLINK("https://klasma.github.io/Logging_1781/kartor/A 12593-2024 karta.png", "A 12593-2024")</f>
        <v/>
      </c>
      <c r="V501">
        <f>HYPERLINK("https://klasma.github.io/Logging_1781/klagomål/A 12593-2024 FSC-klagomål.docx", "A 12593-2024")</f>
        <v/>
      </c>
      <c r="W501">
        <f>HYPERLINK("https://klasma.github.io/Logging_1781/klagomålsmail/A 12593-2024 FSC-klagomål mail.docx", "A 12593-2024")</f>
        <v/>
      </c>
      <c r="X501">
        <f>HYPERLINK("https://klasma.github.io/Logging_1781/tillsyn/A 12593-2024 tillsynsbegäran.docx", "A 12593-2024")</f>
        <v/>
      </c>
      <c r="Y501">
        <f>HYPERLINK("https://klasma.github.io/Logging_1781/tillsynsmail/A 12593-2024 tillsynsbegäran mail.docx", "A 12593-2024")</f>
        <v/>
      </c>
    </row>
    <row r="502" ht="15" customHeight="1">
      <c r="A502" t="inlineStr">
        <is>
          <t>A 47146-2025</t>
        </is>
      </c>
      <c r="B502" s="1" t="n">
        <v>45929</v>
      </c>
      <c r="C502" s="1" t="n">
        <v>45932</v>
      </c>
      <c r="D502" t="inlineStr">
        <is>
          <t>VÄRMLANDS LÄN</t>
        </is>
      </c>
      <c r="E502" t="inlineStr">
        <is>
          <t>GRUMS</t>
        </is>
      </c>
      <c r="F502" t="inlineStr">
        <is>
          <t>Bergvik skog väst AB</t>
        </is>
      </c>
      <c r="G502" t="n">
        <v>7</v>
      </c>
      <c r="H502" t="n">
        <v>1</v>
      </c>
      <c r="I502" t="n">
        <v>0</v>
      </c>
      <c r="J502" t="n">
        <v>1</v>
      </c>
      <c r="K502" t="n">
        <v>0</v>
      </c>
      <c r="L502" t="n">
        <v>0</v>
      </c>
      <c r="M502" t="n">
        <v>0</v>
      </c>
      <c r="N502" t="n">
        <v>0</v>
      </c>
      <c r="O502" t="n">
        <v>1</v>
      </c>
      <c r="P502" t="n">
        <v>0</v>
      </c>
      <c r="Q502" t="n">
        <v>1</v>
      </c>
      <c r="R502" s="2" t="inlineStr">
        <is>
          <t>Duvhök</t>
        </is>
      </c>
      <c r="S502">
        <f>HYPERLINK("https://klasma.github.io/Logging_1764/artfynd/A 47146-2025 artfynd.xlsx", "A 47146-2025")</f>
        <v/>
      </c>
      <c r="T502">
        <f>HYPERLINK("https://klasma.github.io/Logging_1764/kartor/A 47146-2025 karta.png", "A 47146-2025")</f>
        <v/>
      </c>
      <c r="V502">
        <f>HYPERLINK("https://klasma.github.io/Logging_1764/klagomål/A 47146-2025 FSC-klagomål.docx", "A 47146-2025")</f>
        <v/>
      </c>
      <c r="W502">
        <f>HYPERLINK("https://klasma.github.io/Logging_1764/klagomålsmail/A 47146-2025 FSC-klagomål mail.docx", "A 47146-2025")</f>
        <v/>
      </c>
      <c r="X502">
        <f>HYPERLINK("https://klasma.github.io/Logging_1764/tillsyn/A 47146-2025 tillsynsbegäran.docx", "A 47146-2025")</f>
        <v/>
      </c>
      <c r="Y502">
        <f>HYPERLINK("https://klasma.github.io/Logging_1764/tillsynsmail/A 47146-2025 tillsynsbegäran mail.docx", "A 47146-2025")</f>
        <v/>
      </c>
      <c r="Z502">
        <f>HYPERLINK("https://klasma.github.io/Logging_1764/fåglar/A 47146-2025 prioriterade fågelarter.docx", "A 47146-2025")</f>
        <v/>
      </c>
    </row>
    <row r="503" ht="15" customHeight="1">
      <c r="A503" t="inlineStr">
        <is>
          <t>A 62010-2022</t>
        </is>
      </c>
      <c r="B503" s="1" t="n">
        <v>44914</v>
      </c>
      <c r="C503" s="1" t="n">
        <v>45932</v>
      </c>
      <c r="D503" t="inlineStr">
        <is>
          <t>VÄRMLANDS LÄN</t>
        </is>
      </c>
      <c r="E503" t="inlineStr">
        <is>
          <t>KIL</t>
        </is>
      </c>
      <c r="G503" t="n">
        <v>7.8</v>
      </c>
      <c r="H503" t="n">
        <v>0</v>
      </c>
      <c r="I503" t="n">
        <v>1</v>
      </c>
      <c r="J503" t="n">
        <v>0</v>
      </c>
      <c r="K503" t="n">
        <v>0</v>
      </c>
      <c r="L503" t="n">
        <v>0</v>
      </c>
      <c r="M503" t="n">
        <v>0</v>
      </c>
      <c r="N503" t="n">
        <v>0</v>
      </c>
      <c r="O503" t="n">
        <v>0</v>
      </c>
      <c r="P503" t="n">
        <v>0</v>
      </c>
      <c r="Q503" t="n">
        <v>1</v>
      </c>
      <c r="R503" s="2" t="inlineStr">
        <is>
          <t>Ögonpyrola</t>
        </is>
      </c>
      <c r="S503">
        <f>HYPERLINK("https://klasma.github.io/Logging_1715/artfynd/A 62010-2022 artfynd.xlsx", "A 62010-2022")</f>
        <v/>
      </c>
      <c r="T503">
        <f>HYPERLINK("https://klasma.github.io/Logging_1715/kartor/A 62010-2022 karta.png", "A 62010-2022")</f>
        <v/>
      </c>
      <c r="V503">
        <f>HYPERLINK("https://klasma.github.io/Logging_1715/klagomål/A 62010-2022 FSC-klagomål.docx", "A 62010-2022")</f>
        <v/>
      </c>
      <c r="W503">
        <f>HYPERLINK("https://klasma.github.io/Logging_1715/klagomålsmail/A 62010-2022 FSC-klagomål mail.docx", "A 62010-2022")</f>
        <v/>
      </c>
      <c r="X503">
        <f>HYPERLINK("https://klasma.github.io/Logging_1715/tillsyn/A 62010-2022 tillsynsbegäran.docx", "A 62010-2022")</f>
        <v/>
      </c>
      <c r="Y503">
        <f>HYPERLINK("https://klasma.github.io/Logging_1715/tillsynsmail/A 62010-2022 tillsynsbegäran mail.docx", "A 62010-2022")</f>
        <v/>
      </c>
    </row>
    <row r="504" ht="15" customHeight="1">
      <c r="A504" t="inlineStr">
        <is>
          <t>A 47699-2022</t>
        </is>
      </c>
      <c r="B504" s="1" t="n">
        <v>44854</v>
      </c>
      <c r="C504" s="1" t="n">
        <v>45932</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9055-2025</t>
        </is>
      </c>
      <c r="B505" s="1" t="n">
        <v>45713</v>
      </c>
      <c r="C505" s="1" t="n">
        <v>45932</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6966-2025</t>
        </is>
      </c>
      <c r="B506" s="1" t="n">
        <v>45701</v>
      </c>
      <c r="C506" s="1" t="n">
        <v>45932</v>
      </c>
      <c r="D506" t="inlineStr">
        <is>
          <t>VÄRMLANDS LÄN</t>
        </is>
      </c>
      <c r="E506" t="inlineStr">
        <is>
          <t>ARVIKA</t>
        </is>
      </c>
      <c r="G506" t="n">
        <v>1.9</v>
      </c>
      <c r="H506" t="n">
        <v>1</v>
      </c>
      <c r="I506" t="n">
        <v>0</v>
      </c>
      <c r="J506" t="n">
        <v>0</v>
      </c>
      <c r="K506" t="n">
        <v>1</v>
      </c>
      <c r="L506" t="n">
        <v>0</v>
      </c>
      <c r="M506" t="n">
        <v>0</v>
      </c>
      <c r="N506" t="n">
        <v>0</v>
      </c>
      <c r="O506" t="n">
        <v>1</v>
      </c>
      <c r="P506" t="n">
        <v>1</v>
      </c>
      <c r="Q506" t="n">
        <v>1</v>
      </c>
      <c r="R506" s="2" t="inlineStr">
        <is>
          <t>Knärot</t>
        </is>
      </c>
      <c r="S506">
        <f>HYPERLINK("https://klasma.github.io/Logging_1784/artfynd/A 6966-2025 artfynd.xlsx", "A 6966-2025")</f>
        <v/>
      </c>
      <c r="T506">
        <f>HYPERLINK("https://klasma.github.io/Logging_1784/kartor/A 6966-2025 karta.png", "A 6966-2025")</f>
        <v/>
      </c>
      <c r="U506">
        <f>HYPERLINK("https://klasma.github.io/Logging_1784/knärot/A 6966-2025 karta knärot.png", "A 6966-2025")</f>
        <v/>
      </c>
      <c r="V506">
        <f>HYPERLINK("https://klasma.github.io/Logging_1784/klagomål/A 6966-2025 FSC-klagomål.docx", "A 6966-2025")</f>
        <v/>
      </c>
      <c r="W506">
        <f>HYPERLINK("https://klasma.github.io/Logging_1784/klagomålsmail/A 6966-2025 FSC-klagomål mail.docx", "A 6966-2025")</f>
        <v/>
      </c>
      <c r="X506">
        <f>HYPERLINK("https://klasma.github.io/Logging_1784/tillsyn/A 6966-2025 tillsynsbegäran.docx", "A 6966-2025")</f>
        <v/>
      </c>
      <c r="Y506">
        <f>HYPERLINK("https://klasma.github.io/Logging_1784/tillsynsmail/A 6966-2025 tillsynsbegäran mail.docx", "A 6966-2025")</f>
        <v/>
      </c>
    </row>
    <row r="507" ht="15" customHeight="1">
      <c r="A507" t="inlineStr">
        <is>
          <t>A 14768-2025</t>
        </is>
      </c>
      <c r="B507" s="1" t="n">
        <v>45742.68377314815</v>
      </c>
      <c r="C507" s="1" t="n">
        <v>45932</v>
      </c>
      <c r="D507" t="inlineStr">
        <is>
          <t>VÄRMLANDS LÄN</t>
        </is>
      </c>
      <c r="E507" t="inlineStr">
        <is>
          <t>ARVIKA</t>
        </is>
      </c>
      <c r="G507" t="n">
        <v>11.7</v>
      </c>
      <c r="H507" t="n">
        <v>1</v>
      </c>
      <c r="I507" t="n">
        <v>0</v>
      </c>
      <c r="J507" t="n">
        <v>0</v>
      </c>
      <c r="K507" t="n">
        <v>0</v>
      </c>
      <c r="L507" t="n">
        <v>0</v>
      </c>
      <c r="M507" t="n">
        <v>0</v>
      </c>
      <c r="N507" t="n">
        <v>0</v>
      </c>
      <c r="O507" t="n">
        <v>0</v>
      </c>
      <c r="P507" t="n">
        <v>0</v>
      </c>
      <c r="Q507" t="n">
        <v>1</v>
      </c>
      <c r="R507" s="2" t="inlineStr">
        <is>
          <t>Kungsfågel</t>
        </is>
      </c>
      <c r="S507">
        <f>HYPERLINK("https://klasma.github.io/Logging_1784/artfynd/A 14768-2025 artfynd.xlsx", "A 14768-2025")</f>
        <v/>
      </c>
      <c r="T507">
        <f>HYPERLINK("https://klasma.github.io/Logging_1784/kartor/A 14768-2025 karta.png", "A 14768-2025")</f>
        <v/>
      </c>
      <c r="V507">
        <f>HYPERLINK("https://klasma.github.io/Logging_1784/klagomål/A 14768-2025 FSC-klagomål.docx", "A 14768-2025")</f>
        <v/>
      </c>
      <c r="W507">
        <f>HYPERLINK("https://klasma.github.io/Logging_1784/klagomålsmail/A 14768-2025 FSC-klagomål mail.docx", "A 14768-2025")</f>
        <v/>
      </c>
      <c r="X507">
        <f>HYPERLINK("https://klasma.github.io/Logging_1784/tillsyn/A 14768-2025 tillsynsbegäran.docx", "A 14768-2025")</f>
        <v/>
      </c>
      <c r="Y507">
        <f>HYPERLINK("https://klasma.github.io/Logging_1784/tillsynsmail/A 14768-2025 tillsynsbegäran mail.docx", "A 14768-2025")</f>
        <v/>
      </c>
      <c r="Z507">
        <f>HYPERLINK("https://klasma.github.io/Logging_1784/fåglar/A 14768-2025 prioriterade fågelarter.docx", "A 14768-2025")</f>
        <v/>
      </c>
    </row>
    <row r="508" ht="15" customHeight="1">
      <c r="A508" t="inlineStr">
        <is>
          <t>A 7593-2025</t>
        </is>
      </c>
      <c r="B508" s="1" t="n">
        <v>45705</v>
      </c>
      <c r="C508" s="1" t="n">
        <v>45932</v>
      </c>
      <c r="D508" t="inlineStr">
        <is>
          <t>VÄRMLANDS LÄN</t>
        </is>
      </c>
      <c r="E508" t="inlineStr">
        <is>
          <t>HAMMARÖ</t>
        </is>
      </c>
      <c r="G508" t="n">
        <v>1.3</v>
      </c>
      <c r="H508" t="n">
        <v>1</v>
      </c>
      <c r="I508" t="n">
        <v>0</v>
      </c>
      <c r="J508" t="n">
        <v>0</v>
      </c>
      <c r="K508" t="n">
        <v>0</v>
      </c>
      <c r="L508" t="n">
        <v>0</v>
      </c>
      <c r="M508" t="n">
        <v>0</v>
      </c>
      <c r="N508" t="n">
        <v>0</v>
      </c>
      <c r="O508" t="n">
        <v>0</v>
      </c>
      <c r="P508" t="n">
        <v>0</v>
      </c>
      <c r="Q508" t="n">
        <v>1</v>
      </c>
      <c r="R508" s="2" t="inlineStr">
        <is>
          <t>Trollpipistrell</t>
        </is>
      </c>
      <c r="S508">
        <f>HYPERLINK("https://klasma.github.io/Logging_1761/artfynd/A 7593-2025 artfynd.xlsx", "A 7593-2025")</f>
        <v/>
      </c>
      <c r="T508">
        <f>HYPERLINK("https://klasma.github.io/Logging_1761/kartor/A 7593-2025 karta.png", "A 7593-2025")</f>
        <v/>
      </c>
      <c r="V508">
        <f>HYPERLINK("https://klasma.github.io/Logging_1761/klagomål/A 7593-2025 FSC-klagomål.docx", "A 7593-2025")</f>
        <v/>
      </c>
      <c r="W508">
        <f>HYPERLINK("https://klasma.github.io/Logging_1761/klagomålsmail/A 7593-2025 FSC-klagomål mail.docx", "A 7593-2025")</f>
        <v/>
      </c>
      <c r="X508">
        <f>HYPERLINK("https://klasma.github.io/Logging_1761/tillsyn/A 7593-2025 tillsynsbegäran.docx", "A 7593-2025")</f>
        <v/>
      </c>
      <c r="Y508">
        <f>HYPERLINK("https://klasma.github.io/Logging_1761/tillsynsmail/A 7593-2025 tillsynsbegäran mail.docx", "A 7593-2025")</f>
        <v/>
      </c>
    </row>
    <row r="509" ht="15" customHeight="1">
      <c r="A509" t="inlineStr">
        <is>
          <t>A 14114-2022</t>
        </is>
      </c>
      <c r="B509" s="1" t="n">
        <v>44651.3877199074</v>
      </c>
      <c r="C509" s="1" t="n">
        <v>45932</v>
      </c>
      <c r="D509" t="inlineStr">
        <is>
          <t>VÄRMLANDS LÄN</t>
        </is>
      </c>
      <c r="E509" t="inlineStr">
        <is>
          <t>FORSHAGA</t>
        </is>
      </c>
      <c r="F509" t="inlineStr">
        <is>
          <t>Bergvik skog väst AB</t>
        </is>
      </c>
      <c r="G509" t="n">
        <v>25.1</v>
      </c>
      <c r="H509" t="n">
        <v>0</v>
      </c>
      <c r="I509" t="n">
        <v>0</v>
      </c>
      <c r="J509" t="n">
        <v>1</v>
      </c>
      <c r="K509" t="n">
        <v>0</v>
      </c>
      <c r="L509" t="n">
        <v>0</v>
      </c>
      <c r="M509" t="n">
        <v>0</v>
      </c>
      <c r="N509" t="n">
        <v>0</v>
      </c>
      <c r="O509" t="n">
        <v>1</v>
      </c>
      <c r="P509" t="n">
        <v>0</v>
      </c>
      <c r="Q509" t="n">
        <v>1</v>
      </c>
      <c r="R509" s="2" t="inlineStr">
        <is>
          <t>Sotnätfjäril</t>
        </is>
      </c>
      <c r="S509">
        <f>HYPERLINK("https://klasma.github.io/Logging_1763/artfynd/A 14114-2022 artfynd.xlsx", "A 14114-2022")</f>
        <v/>
      </c>
      <c r="T509">
        <f>HYPERLINK("https://klasma.github.io/Logging_1763/kartor/A 14114-2022 karta.png", "A 14114-2022")</f>
        <v/>
      </c>
      <c r="V509">
        <f>HYPERLINK("https://klasma.github.io/Logging_1763/klagomål/A 14114-2022 FSC-klagomål.docx", "A 14114-2022")</f>
        <v/>
      </c>
      <c r="W509">
        <f>HYPERLINK("https://klasma.github.io/Logging_1763/klagomålsmail/A 14114-2022 FSC-klagomål mail.docx", "A 14114-2022")</f>
        <v/>
      </c>
      <c r="X509">
        <f>HYPERLINK("https://klasma.github.io/Logging_1763/tillsyn/A 14114-2022 tillsynsbegäran.docx", "A 14114-2022")</f>
        <v/>
      </c>
      <c r="Y509">
        <f>HYPERLINK("https://klasma.github.io/Logging_1763/tillsynsmail/A 14114-2022 tillsynsbegäran mail.docx", "A 14114-2022")</f>
        <v/>
      </c>
    </row>
    <row r="510" ht="15" customHeight="1">
      <c r="A510" t="inlineStr">
        <is>
          <t>A 30550-2023</t>
        </is>
      </c>
      <c r="B510" s="1" t="n">
        <v>45111</v>
      </c>
      <c r="C510" s="1" t="n">
        <v>45932</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30550-2023 artfynd.xlsx", "A 30550-2023")</f>
        <v/>
      </c>
      <c r="T510">
        <f>HYPERLINK("https://klasma.github.io/Logging_1765/kartor/A 30550-2023 karta.png", "A 30550-2023")</f>
        <v/>
      </c>
      <c r="V510">
        <f>HYPERLINK("https://klasma.github.io/Logging_1765/klagomål/A 30550-2023 FSC-klagomål.docx", "A 30550-2023")</f>
        <v/>
      </c>
      <c r="W510">
        <f>HYPERLINK("https://klasma.github.io/Logging_1765/klagomålsmail/A 30550-2023 FSC-klagomål mail.docx", "A 30550-2023")</f>
        <v/>
      </c>
      <c r="X510">
        <f>HYPERLINK("https://klasma.github.io/Logging_1765/tillsyn/A 30550-2023 tillsynsbegäran.docx", "A 30550-2023")</f>
        <v/>
      </c>
      <c r="Y510">
        <f>HYPERLINK("https://klasma.github.io/Logging_1765/tillsynsmail/A 30550-2023 tillsynsbegäran mail.docx", "A 30550-2023")</f>
        <v/>
      </c>
    </row>
    <row r="511" ht="15" customHeight="1">
      <c r="A511" t="inlineStr">
        <is>
          <t>A 16572-2022</t>
        </is>
      </c>
      <c r="B511" s="1" t="n">
        <v>44672</v>
      </c>
      <c r="C511" s="1" t="n">
        <v>45932</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Skogsklocka</t>
        </is>
      </c>
      <c r="S511">
        <f>HYPERLINK("https://klasma.github.io/Logging_1737/artfynd/A 16572-2022 artfynd.xlsx", "A 16572-2022")</f>
        <v/>
      </c>
      <c r="T511">
        <f>HYPERLINK("https://klasma.github.io/Logging_1737/kartor/A 16572-2022 karta.png", "A 16572-2022")</f>
        <v/>
      </c>
      <c r="V511">
        <f>HYPERLINK("https://klasma.github.io/Logging_1737/klagomål/A 16572-2022 FSC-klagomål.docx", "A 16572-2022")</f>
        <v/>
      </c>
      <c r="W511">
        <f>HYPERLINK("https://klasma.github.io/Logging_1737/klagomålsmail/A 16572-2022 FSC-klagomål mail.docx", "A 16572-2022")</f>
        <v/>
      </c>
      <c r="X511">
        <f>HYPERLINK("https://klasma.github.io/Logging_1737/tillsyn/A 16572-2022 tillsynsbegäran.docx", "A 16572-2022")</f>
        <v/>
      </c>
      <c r="Y511">
        <f>HYPERLINK("https://klasma.github.io/Logging_1737/tillsynsmail/A 16572-2022 tillsynsbegäran mail.docx", "A 16572-2022")</f>
        <v/>
      </c>
    </row>
    <row r="512" ht="15" customHeight="1">
      <c r="A512" t="inlineStr">
        <is>
          <t>A 16786-2025</t>
        </is>
      </c>
      <c r="B512" s="1" t="n">
        <v>45754</v>
      </c>
      <c r="C512" s="1" t="n">
        <v>45932</v>
      </c>
      <c r="D512" t="inlineStr">
        <is>
          <t>VÄRMLANDS LÄN</t>
        </is>
      </c>
      <c r="E512" t="inlineStr">
        <is>
          <t>STORFORS</t>
        </is>
      </c>
      <c r="F512" t="inlineStr">
        <is>
          <t>Bergvik skog väst AB</t>
        </is>
      </c>
      <c r="G512" t="n">
        <v>2.2</v>
      </c>
      <c r="H512" t="n">
        <v>0</v>
      </c>
      <c r="I512" t="n">
        <v>0</v>
      </c>
      <c r="J512" t="n">
        <v>1</v>
      </c>
      <c r="K512" t="n">
        <v>0</v>
      </c>
      <c r="L512" t="n">
        <v>0</v>
      </c>
      <c r="M512" t="n">
        <v>0</v>
      </c>
      <c r="N512" t="n">
        <v>0</v>
      </c>
      <c r="O512" t="n">
        <v>1</v>
      </c>
      <c r="P512" t="n">
        <v>0</v>
      </c>
      <c r="Q512" t="n">
        <v>1</v>
      </c>
      <c r="R512" s="2" t="inlineStr">
        <is>
          <t>Igelkott</t>
        </is>
      </c>
      <c r="S512">
        <f>HYPERLINK("https://klasma.github.io/Logging_1760/artfynd/A 16786-2025 artfynd.xlsx", "A 16786-2025")</f>
        <v/>
      </c>
      <c r="T512">
        <f>HYPERLINK("https://klasma.github.io/Logging_1760/kartor/A 16786-2025 karta.png", "A 16786-2025")</f>
        <v/>
      </c>
      <c r="V512">
        <f>HYPERLINK("https://klasma.github.io/Logging_1760/klagomål/A 16786-2025 FSC-klagomål.docx", "A 16786-2025")</f>
        <v/>
      </c>
      <c r="W512">
        <f>HYPERLINK("https://klasma.github.io/Logging_1760/klagomålsmail/A 16786-2025 FSC-klagomål mail.docx", "A 16786-2025")</f>
        <v/>
      </c>
      <c r="X512">
        <f>HYPERLINK("https://klasma.github.io/Logging_1760/tillsyn/A 16786-2025 tillsynsbegäran.docx", "A 16786-2025")</f>
        <v/>
      </c>
      <c r="Y512">
        <f>HYPERLINK("https://klasma.github.io/Logging_1760/tillsynsmail/A 16786-2025 tillsynsbegäran mail.docx", "A 16786-2025")</f>
        <v/>
      </c>
    </row>
    <row r="513" ht="15" customHeight="1">
      <c r="A513" t="inlineStr">
        <is>
          <t>A 19971-2025</t>
        </is>
      </c>
      <c r="B513" s="1" t="n">
        <v>45771</v>
      </c>
      <c r="C513" s="1" t="n">
        <v>45932</v>
      </c>
      <c r="D513" t="inlineStr">
        <is>
          <t>VÄRMLANDS LÄN</t>
        </is>
      </c>
      <c r="E513" t="inlineStr">
        <is>
          <t>KRISTINEHAMN</t>
        </is>
      </c>
      <c r="G513" t="n">
        <v>3.5</v>
      </c>
      <c r="H513" t="n">
        <v>1</v>
      </c>
      <c r="I513" t="n">
        <v>0</v>
      </c>
      <c r="J513" t="n">
        <v>1</v>
      </c>
      <c r="K513" t="n">
        <v>0</v>
      </c>
      <c r="L513" t="n">
        <v>0</v>
      </c>
      <c r="M513" t="n">
        <v>0</v>
      </c>
      <c r="N513" t="n">
        <v>0</v>
      </c>
      <c r="O513" t="n">
        <v>1</v>
      </c>
      <c r="P513" t="n">
        <v>0</v>
      </c>
      <c r="Q513" t="n">
        <v>1</v>
      </c>
      <c r="R513" s="2" t="inlineStr">
        <is>
          <t>Utter</t>
        </is>
      </c>
      <c r="S513">
        <f>HYPERLINK("https://klasma.github.io/Logging_1781/artfynd/A 19971-2025 artfynd.xlsx", "A 19971-2025")</f>
        <v/>
      </c>
      <c r="T513">
        <f>HYPERLINK("https://klasma.github.io/Logging_1781/kartor/A 19971-2025 karta.png", "A 19971-2025")</f>
        <v/>
      </c>
      <c r="V513">
        <f>HYPERLINK("https://klasma.github.io/Logging_1781/klagomål/A 19971-2025 FSC-klagomål.docx", "A 19971-2025")</f>
        <v/>
      </c>
      <c r="W513">
        <f>HYPERLINK("https://klasma.github.io/Logging_1781/klagomålsmail/A 19971-2025 FSC-klagomål mail.docx", "A 19971-2025")</f>
        <v/>
      </c>
      <c r="X513">
        <f>HYPERLINK("https://klasma.github.io/Logging_1781/tillsyn/A 19971-2025 tillsynsbegäran.docx", "A 19971-2025")</f>
        <v/>
      </c>
      <c r="Y513">
        <f>HYPERLINK("https://klasma.github.io/Logging_1781/tillsynsmail/A 19971-2025 tillsynsbegäran mail.docx", "A 19971-2025")</f>
        <v/>
      </c>
    </row>
    <row r="514" ht="15" customHeight="1">
      <c r="A514" t="inlineStr">
        <is>
          <t>A 23275-2021</t>
        </is>
      </c>
      <c r="B514" s="1" t="n">
        <v>44333</v>
      </c>
      <c r="C514" s="1" t="n">
        <v>45932</v>
      </c>
      <c r="D514" t="inlineStr">
        <is>
          <t>VÄRMLANDS LÄN</t>
        </is>
      </c>
      <c r="E514" t="inlineStr">
        <is>
          <t>STORFORS</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1526-2021</t>
        </is>
      </c>
      <c r="B515" s="1" t="n">
        <v>44209</v>
      </c>
      <c r="C515" s="1" t="n">
        <v>45932</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42411-2022</t>
        </is>
      </c>
      <c r="B516" s="1" t="n">
        <v>44831</v>
      </c>
      <c r="C516" s="1" t="n">
        <v>45932</v>
      </c>
      <c r="D516" t="inlineStr">
        <is>
          <t>VÄRMLANDS LÄN</t>
        </is>
      </c>
      <c r="E516" t="inlineStr">
        <is>
          <t>KRISTINEHAMN</t>
        </is>
      </c>
      <c r="G516" t="n">
        <v>2.8</v>
      </c>
      <c r="H516" t="n">
        <v>0</v>
      </c>
      <c r="I516" t="n">
        <v>0</v>
      </c>
      <c r="J516" t="n">
        <v>0</v>
      </c>
      <c r="K516" t="n">
        <v>0</v>
      </c>
      <c r="L516" t="n">
        <v>0</v>
      </c>
      <c r="M516" t="n">
        <v>0</v>
      </c>
      <c r="N516" t="n">
        <v>0</v>
      </c>
      <c r="O516" t="n">
        <v>0</v>
      </c>
      <c r="P516" t="n">
        <v>0</v>
      </c>
      <c r="Q516" t="n">
        <v>0</v>
      </c>
      <c r="R516" s="2" t="inlineStr"/>
    </row>
    <row r="517" ht="15" customHeight="1">
      <c r="A517" t="inlineStr">
        <is>
          <t>A 48827-2022</t>
        </is>
      </c>
      <c r="B517" s="1" t="n">
        <v>44859.64771990741</v>
      </c>
      <c r="C517" s="1" t="n">
        <v>45932</v>
      </c>
      <c r="D517" t="inlineStr">
        <is>
          <t>VÄRMLANDS LÄN</t>
        </is>
      </c>
      <c r="E517" t="inlineStr">
        <is>
          <t>ARVIKA</t>
        </is>
      </c>
      <c r="G517" t="n">
        <v>1.4</v>
      </c>
      <c r="H517" t="n">
        <v>0</v>
      </c>
      <c r="I517" t="n">
        <v>0</v>
      </c>
      <c r="J517" t="n">
        <v>0</v>
      </c>
      <c r="K517" t="n">
        <v>0</v>
      </c>
      <c r="L517" t="n">
        <v>0</v>
      </c>
      <c r="M517" t="n">
        <v>0</v>
      </c>
      <c r="N517" t="n">
        <v>0</v>
      </c>
      <c r="O517" t="n">
        <v>0</v>
      </c>
      <c r="P517" t="n">
        <v>0</v>
      </c>
      <c r="Q517" t="n">
        <v>0</v>
      </c>
      <c r="R517" s="2" t="inlineStr"/>
    </row>
    <row r="518" ht="15" customHeight="1">
      <c r="A518" t="inlineStr">
        <is>
          <t>A 48833-2022</t>
        </is>
      </c>
      <c r="B518" s="1" t="n">
        <v>44859</v>
      </c>
      <c r="C518" s="1" t="n">
        <v>45932</v>
      </c>
      <c r="D518" t="inlineStr">
        <is>
          <t>VÄRMLANDS LÄN</t>
        </is>
      </c>
      <c r="E518" t="inlineStr">
        <is>
          <t>ARVIKA</t>
        </is>
      </c>
      <c r="G518" t="n">
        <v>1.1</v>
      </c>
      <c r="H518" t="n">
        <v>0</v>
      </c>
      <c r="I518" t="n">
        <v>0</v>
      </c>
      <c r="J518" t="n">
        <v>0</v>
      </c>
      <c r="K518" t="n">
        <v>0</v>
      </c>
      <c r="L518" t="n">
        <v>0</v>
      </c>
      <c r="M518" t="n">
        <v>0</v>
      </c>
      <c r="N518" t="n">
        <v>0</v>
      </c>
      <c r="O518" t="n">
        <v>0</v>
      </c>
      <c r="P518" t="n">
        <v>0</v>
      </c>
      <c r="Q518" t="n">
        <v>0</v>
      </c>
      <c r="R518" s="2" t="inlineStr"/>
    </row>
    <row r="519" ht="15" customHeight="1">
      <c r="A519" t="inlineStr">
        <is>
          <t>A 59808-2020</t>
        </is>
      </c>
      <c r="B519" s="1" t="n">
        <v>44151</v>
      </c>
      <c r="C519" s="1" t="n">
        <v>45932</v>
      </c>
      <c r="D519" t="inlineStr">
        <is>
          <t>VÄRMLANDS LÄN</t>
        </is>
      </c>
      <c r="E519" t="inlineStr">
        <is>
          <t>SUNNE</t>
        </is>
      </c>
      <c r="G519" t="n">
        <v>4.5</v>
      </c>
      <c r="H519" t="n">
        <v>0</v>
      </c>
      <c r="I519" t="n">
        <v>0</v>
      </c>
      <c r="J519" t="n">
        <v>0</v>
      </c>
      <c r="K519" t="n">
        <v>0</v>
      </c>
      <c r="L519" t="n">
        <v>0</v>
      </c>
      <c r="M519" t="n">
        <v>0</v>
      </c>
      <c r="N519" t="n">
        <v>0</v>
      </c>
      <c r="O519" t="n">
        <v>0</v>
      </c>
      <c r="P519" t="n">
        <v>0</v>
      </c>
      <c r="Q519" t="n">
        <v>0</v>
      </c>
      <c r="R519" s="2" t="inlineStr"/>
    </row>
    <row r="520" ht="15" customHeight="1">
      <c r="A520" t="inlineStr">
        <is>
          <t>A 59849-2020</t>
        </is>
      </c>
      <c r="B520" s="1" t="n">
        <v>44151</v>
      </c>
      <c r="C520" s="1" t="n">
        <v>45932</v>
      </c>
      <c r="D520" t="inlineStr">
        <is>
          <t>VÄRMLANDS LÄN</t>
        </is>
      </c>
      <c r="E520" t="inlineStr">
        <is>
          <t>FILIPSTAD</t>
        </is>
      </c>
      <c r="G520" t="n">
        <v>6.5</v>
      </c>
      <c r="H520" t="n">
        <v>0</v>
      </c>
      <c r="I520" t="n">
        <v>0</v>
      </c>
      <c r="J520" t="n">
        <v>0</v>
      </c>
      <c r="K520" t="n">
        <v>0</v>
      </c>
      <c r="L520" t="n">
        <v>0</v>
      </c>
      <c r="M520" t="n">
        <v>0</v>
      </c>
      <c r="N520" t="n">
        <v>0</v>
      </c>
      <c r="O520" t="n">
        <v>0</v>
      </c>
      <c r="P520" t="n">
        <v>0</v>
      </c>
      <c r="Q520" t="n">
        <v>0</v>
      </c>
      <c r="R520" s="2" t="inlineStr"/>
    </row>
    <row r="521" ht="15" customHeight="1">
      <c r="A521" t="inlineStr">
        <is>
          <t>A 56124-2022</t>
        </is>
      </c>
      <c r="B521" s="1" t="n">
        <v>44889.68322916667</v>
      </c>
      <c r="C521" s="1" t="n">
        <v>45932</v>
      </c>
      <c r="D521" t="inlineStr">
        <is>
          <t>VÄRMLANDS LÄN</t>
        </is>
      </c>
      <c r="E521" t="inlineStr">
        <is>
          <t>EDA</t>
        </is>
      </c>
      <c r="G521" t="n">
        <v>0.6</v>
      </c>
      <c r="H521" t="n">
        <v>0</v>
      </c>
      <c r="I521" t="n">
        <v>0</v>
      </c>
      <c r="J521" t="n">
        <v>0</v>
      </c>
      <c r="K521" t="n">
        <v>0</v>
      </c>
      <c r="L521" t="n">
        <v>0</v>
      </c>
      <c r="M521" t="n">
        <v>0</v>
      </c>
      <c r="N521" t="n">
        <v>0</v>
      </c>
      <c r="O521" t="n">
        <v>0</v>
      </c>
      <c r="P521" t="n">
        <v>0</v>
      </c>
      <c r="Q521" t="n">
        <v>0</v>
      </c>
      <c r="R521" s="2" t="inlineStr"/>
    </row>
    <row r="522" ht="15" customHeight="1">
      <c r="A522" t="inlineStr">
        <is>
          <t>A 7727-2021</t>
        </is>
      </c>
      <c r="B522" s="1" t="n">
        <v>44242</v>
      </c>
      <c r="C522" s="1" t="n">
        <v>45932</v>
      </c>
      <c r="D522" t="inlineStr">
        <is>
          <t>VÄRMLANDS LÄN</t>
        </is>
      </c>
      <c r="E522" t="inlineStr">
        <is>
          <t>ARVIKA</t>
        </is>
      </c>
      <c r="G522" t="n">
        <v>0.3</v>
      </c>
      <c r="H522" t="n">
        <v>0</v>
      </c>
      <c r="I522" t="n">
        <v>0</v>
      </c>
      <c r="J522" t="n">
        <v>0</v>
      </c>
      <c r="K522" t="n">
        <v>0</v>
      </c>
      <c r="L522" t="n">
        <v>0</v>
      </c>
      <c r="M522" t="n">
        <v>0</v>
      </c>
      <c r="N522" t="n">
        <v>0</v>
      </c>
      <c r="O522" t="n">
        <v>0</v>
      </c>
      <c r="P522" t="n">
        <v>0</v>
      </c>
      <c r="Q522" t="n">
        <v>0</v>
      </c>
      <c r="R522" s="2" t="inlineStr"/>
    </row>
    <row r="523" ht="15" customHeight="1">
      <c r="A523" t="inlineStr">
        <is>
          <t>A 59800-2020</t>
        </is>
      </c>
      <c r="B523" s="1" t="n">
        <v>44151</v>
      </c>
      <c r="C523" s="1" t="n">
        <v>45932</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63224-2020</t>
        </is>
      </c>
      <c r="B524" s="1" t="n">
        <v>44163</v>
      </c>
      <c r="C524" s="1" t="n">
        <v>45932</v>
      </c>
      <c r="D524" t="inlineStr">
        <is>
          <t>VÄRMLANDS LÄN</t>
        </is>
      </c>
      <c r="E524" t="inlineStr">
        <is>
          <t>FILIPSTAD</t>
        </is>
      </c>
      <c r="G524" t="n">
        <v>9.9</v>
      </c>
      <c r="H524" t="n">
        <v>0</v>
      </c>
      <c r="I524" t="n">
        <v>0</v>
      </c>
      <c r="J524" t="n">
        <v>0</v>
      </c>
      <c r="K524" t="n">
        <v>0</v>
      </c>
      <c r="L524" t="n">
        <v>0</v>
      </c>
      <c r="M524" t="n">
        <v>0</v>
      </c>
      <c r="N524" t="n">
        <v>0</v>
      </c>
      <c r="O524" t="n">
        <v>0</v>
      </c>
      <c r="P524" t="n">
        <v>0</v>
      </c>
      <c r="Q524" t="n">
        <v>0</v>
      </c>
      <c r="R524" s="2" t="inlineStr"/>
    </row>
    <row r="525" ht="15" customHeight="1">
      <c r="A525" t="inlineStr">
        <is>
          <t>A 62566-2020</t>
        </is>
      </c>
      <c r="B525" s="1" t="n">
        <v>44160</v>
      </c>
      <c r="C525" s="1" t="n">
        <v>45932</v>
      </c>
      <c r="D525" t="inlineStr">
        <is>
          <t>VÄRMLANDS LÄN</t>
        </is>
      </c>
      <c r="E525" t="inlineStr">
        <is>
          <t>ARVIKA</t>
        </is>
      </c>
      <c r="G525" t="n">
        <v>7.4</v>
      </c>
      <c r="H525" t="n">
        <v>0</v>
      </c>
      <c r="I525" t="n">
        <v>0</v>
      </c>
      <c r="J525" t="n">
        <v>0</v>
      </c>
      <c r="K525" t="n">
        <v>0</v>
      </c>
      <c r="L525" t="n">
        <v>0</v>
      </c>
      <c r="M525" t="n">
        <v>0</v>
      </c>
      <c r="N525" t="n">
        <v>0</v>
      </c>
      <c r="O525" t="n">
        <v>0</v>
      </c>
      <c r="P525" t="n">
        <v>0</v>
      </c>
      <c r="Q525" t="n">
        <v>0</v>
      </c>
      <c r="R525" s="2" t="inlineStr"/>
    </row>
    <row r="526" ht="15" customHeight="1">
      <c r="A526" t="inlineStr">
        <is>
          <t>A 62608-2020</t>
        </is>
      </c>
      <c r="B526" s="1" t="n">
        <v>44161</v>
      </c>
      <c r="C526" s="1" t="n">
        <v>45932</v>
      </c>
      <c r="D526" t="inlineStr">
        <is>
          <t>VÄRMLANDS LÄN</t>
        </is>
      </c>
      <c r="E526" t="inlineStr">
        <is>
          <t>HAMMARÖ</t>
        </is>
      </c>
      <c r="F526" t="inlineStr">
        <is>
          <t>Kommuner</t>
        </is>
      </c>
      <c r="G526" t="n">
        <v>0.5</v>
      </c>
      <c r="H526" t="n">
        <v>0</v>
      </c>
      <c r="I526" t="n">
        <v>0</v>
      </c>
      <c r="J526" t="n">
        <v>0</v>
      </c>
      <c r="K526" t="n">
        <v>0</v>
      </c>
      <c r="L526" t="n">
        <v>0</v>
      </c>
      <c r="M526" t="n">
        <v>0</v>
      </c>
      <c r="N526" t="n">
        <v>0</v>
      </c>
      <c r="O526" t="n">
        <v>0</v>
      </c>
      <c r="P526" t="n">
        <v>0</v>
      </c>
      <c r="Q526" t="n">
        <v>0</v>
      </c>
      <c r="R526" s="2" t="inlineStr"/>
    </row>
    <row r="527" ht="15" customHeight="1">
      <c r="A527" t="inlineStr">
        <is>
          <t>A 52482-2020</t>
        </is>
      </c>
      <c r="B527" s="1" t="n">
        <v>44118.57927083333</v>
      </c>
      <c r="C527" s="1" t="n">
        <v>45932</v>
      </c>
      <c r="D527" t="inlineStr">
        <is>
          <t>VÄRMLANDS LÄN</t>
        </is>
      </c>
      <c r="E527" t="inlineStr">
        <is>
          <t>GRUMS</t>
        </is>
      </c>
      <c r="G527" t="n">
        <v>1.5</v>
      </c>
      <c r="H527" t="n">
        <v>0</v>
      </c>
      <c r="I527" t="n">
        <v>0</v>
      </c>
      <c r="J527" t="n">
        <v>0</v>
      </c>
      <c r="K527" t="n">
        <v>0</v>
      </c>
      <c r="L527" t="n">
        <v>0</v>
      </c>
      <c r="M527" t="n">
        <v>0</v>
      </c>
      <c r="N527" t="n">
        <v>0</v>
      </c>
      <c r="O527" t="n">
        <v>0</v>
      </c>
      <c r="P527" t="n">
        <v>0</v>
      </c>
      <c r="Q527" t="n">
        <v>0</v>
      </c>
      <c r="R527" s="2" t="inlineStr"/>
    </row>
    <row r="528" ht="15" customHeight="1">
      <c r="A528" t="inlineStr">
        <is>
          <t>A 42739-2022</t>
        </is>
      </c>
      <c r="B528" s="1" t="n">
        <v>44832.45053240741</v>
      </c>
      <c r="C528" s="1" t="n">
        <v>45932</v>
      </c>
      <c r="D528" t="inlineStr">
        <is>
          <t>VÄRMLANDS LÄN</t>
        </is>
      </c>
      <c r="E528" t="inlineStr">
        <is>
          <t>HAGFORS</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52826-2022</t>
        </is>
      </c>
      <c r="B529" s="1" t="n">
        <v>44875.45353009259</v>
      </c>
      <c r="C529" s="1" t="n">
        <v>45932</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56867-2020</t>
        </is>
      </c>
      <c r="B530" s="1" t="n">
        <v>44131</v>
      </c>
      <c r="C530" s="1" t="n">
        <v>45932</v>
      </c>
      <c r="D530" t="inlineStr">
        <is>
          <t>VÄRMLANDS LÄN</t>
        </is>
      </c>
      <c r="E530" t="inlineStr">
        <is>
          <t>EDA</t>
        </is>
      </c>
      <c r="G530" t="n">
        <v>1.3</v>
      </c>
      <c r="H530" t="n">
        <v>0</v>
      </c>
      <c r="I530" t="n">
        <v>0</v>
      </c>
      <c r="J530" t="n">
        <v>0</v>
      </c>
      <c r="K530" t="n">
        <v>0</v>
      </c>
      <c r="L530" t="n">
        <v>0</v>
      </c>
      <c r="M530" t="n">
        <v>0</v>
      </c>
      <c r="N530" t="n">
        <v>0</v>
      </c>
      <c r="O530" t="n">
        <v>0</v>
      </c>
      <c r="P530" t="n">
        <v>0</v>
      </c>
      <c r="Q530" t="n">
        <v>0</v>
      </c>
      <c r="R530" s="2" t="inlineStr"/>
    </row>
    <row r="531" ht="15" customHeight="1">
      <c r="A531" t="inlineStr">
        <is>
          <t>A 56146-2020</t>
        </is>
      </c>
      <c r="B531" s="1" t="n">
        <v>44133</v>
      </c>
      <c r="C531" s="1" t="n">
        <v>45932</v>
      </c>
      <c r="D531" t="inlineStr">
        <is>
          <t>VÄRMLANDS LÄN</t>
        </is>
      </c>
      <c r="E531" t="inlineStr">
        <is>
          <t>KRISTINEHAMN</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68462-2020</t>
        </is>
      </c>
      <c r="B532" s="1" t="n">
        <v>44186</v>
      </c>
      <c r="C532" s="1" t="n">
        <v>45932</v>
      </c>
      <c r="D532" t="inlineStr">
        <is>
          <t>VÄRMLANDS LÄN</t>
        </is>
      </c>
      <c r="E532" t="inlineStr">
        <is>
          <t>SUNNE</t>
        </is>
      </c>
      <c r="G532" t="n">
        <v>1.1</v>
      </c>
      <c r="H532" t="n">
        <v>0</v>
      </c>
      <c r="I532" t="n">
        <v>0</v>
      </c>
      <c r="J532" t="n">
        <v>0</v>
      </c>
      <c r="K532" t="n">
        <v>0</v>
      </c>
      <c r="L532" t="n">
        <v>0</v>
      </c>
      <c r="M532" t="n">
        <v>0</v>
      </c>
      <c r="N532" t="n">
        <v>0</v>
      </c>
      <c r="O532" t="n">
        <v>0</v>
      </c>
      <c r="P532" t="n">
        <v>0</v>
      </c>
      <c r="Q532" t="n">
        <v>0</v>
      </c>
      <c r="R532" s="2" t="inlineStr"/>
    </row>
    <row r="533" ht="15" customHeight="1">
      <c r="A533" t="inlineStr">
        <is>
          <t>A 16689-2021</t>
        </is>
      </c>
      <c r="B533" s="1" t="n">
        <v>44294.59744212963</v>
      </c>
      <c r="C533" s="1" t="n">
        <v>45932</v>
      </c>
      <c r="D533" t="inlineStr">
        <is>
          <t>VÄRMLANDS LÄN</t>
        </is>
      </c>
      <c r="E533" t="inlineStr">
        <is>
          <t>ÅRJÄNG</t>
        </is>
      </c>
      <c r="G533" t="n">
        <v>0.6</v>
      </c>
      <c r="H533" t="n">
        <v>0</v>
      </c>
      <c r="I533" t="n">
        <v>0</v>
      </c>
      <c r="J533" t="n">
        <v>0</v>
      </c>
      <c r="K533" t="n">
        <v>0</v>
      </c>
      <c r="L533" t="n">
        <v>0</v>
      </c>
      <c r="M533" t="n">
        <v>0</v>
      </c>
      <c r="N533" t="n">
        <v>0</v>
      </c>
      <c r="O533" t="n">
        <v>0</v>
      </c>
      <c r="P533" t="n">
        <v>0</v>
      </c>
      <c r="Q533" t="n">
        <v>0</v>
      </c>
      <c r="R533" s="2" t="inlineStr"/>
    </row>
    <row r="534" ht="15" customHeight="1">
      <c r="A534" t="inlineStr">
        <is>
          <t>A 57037-2020</t>
        </is>
      </c>
      <c r="B534" s="1" t="n">
        <v>44137</v>
      </c>
      <c r="C534" s="1" t="n">
        <v>45932</v>
      </c>
      <c r="D534" t="inlineStr">
        <is>
          <t>VÄRMLANDS LÄN</t>
        </is>
      </c>
      <c r="E534" t="inlineStr">
        <is>
          <t>SÄFFLE</t>
        </is>
      </c>
      <c r="G534" t="n">
        <v>1.9</v>
      </c>
      <c r="H534" t="n">
        <v>0</v>
      </c>
      <c r="I534" t="n">
        <v>0</v>
      </c>
      <c r="J534" t="n">
        <v>0</v>
      </c>
      <c r="K534" t="n">
        <v>0</v>
      </c>
      <c r="L534" t="n">
        <v>0</v>
      </c>
      <c r="M534" t="n">
        <v>0</v>
      </c>
      <c r="N534" t="n">
        <v>0</v>
      </c>
      <c r="O534" t="n">
        <v>0</v>
      </c>
      <c r="P534" t="n">
        <v>0</v>
      </c>
      <c r="Q534" t="n">
        <v>0</v>
      </c>
      <c r="R534" s="2" t="inlineStr"/>
    </row>
    <row r="535" ht="15" customHeight="1">
      <c r="A535" t="inlineStr">
        <is>
          <t>A 8228-2021</t>
        </is>
      </c>
      <c r="B535" s="1" t="n">
        <v>44243</v>
      </c>
      <c r="C535" s="1" t="n">
        <v>45932</v>
      </c>
      <c r="D535" t="inlineStr">
        <is>
          <t>VÄRMLANDS LÄN</t>
        </is>
      </c>
      <c r="E535" t="inlineStr">
        <is>
          <t>KARLSTAD</t>
        </is>
      </c>
      <c r="G535" t="n">
        <v>4.4</v>
      </c>
      <c r="H535" t="n">
        <v>0</v>
      </c>
      <c r="I535" t="n">
        <v>0</v>
      </c>
      <c r="J535" t="n">
        <v>0</v>
      </c>
      <c r="K535" t="n">
        <v>0</v>
      </c>
      <c r="L535" t="n">
        <v>0</v>
      </c>
      <c r="M535" t="n">
        <v>0</v>
      </c>
      <c r="N535" t="n">
        <v>0</v>
      </c>
      <c r="O535" t="n">
        <v>0</v>
      </c>
      <c r="P535" t="n">
        <v>0</v>
      </c>
      <c r="Q535" t="n">
        <v>0</v>
      </c>
      <c r="R535" s="2" t="inlineStr"/>
    </row>
    <row r="536" ht="15" customHeight="1">
      <c r="A536" t="inlineStr">
        <is>
          <t>A 8230-2021</t>
        </is>
      </c>
      <c r="B536" s="1" t="n">
        <v>44243</v>
      </c>
      <c r="C536" s="1" t="n">
        <v>45932</v>
      </c>
      <c r="D536" t="inlineStr">
        <is>
          <t>VÄRMLANDS LÄN</t>
        </is>
      </c>
      <c r="E536" t="inlineStr">
        <is>
          <t>KARLSTAD</t>
        </is>
      </c>
      <c r="G536" t="n">
        <v>2.4</v>
      </c>
      <c r="H536" t="n">
        <v>0</v>
      </c>
      <c r="I536" t="n">
        <v>0</v>
      </c>
      <c r="J536" t="n">
        <v>0</v>
      </c>
      <c r="K536" t="n">
        <v>0</v>
      </c>
      <c r="L536" t="n">
        <v>0</v>
      </c>
      <c r="M536" t="n">
        <v>0</v>
      </c>
      <c r="N536" t="n">
        <v>0</v>
      </c>
      <c r="O536" t="n">
        <v>0</v>
      </c>
      <c r="P536" t="n">
        <v>0</v>
      </c>
      <c r="Q536" t="n">
        <v>0</v>
      </c>
      <c r="R536" s="2" t="inlineStr"/>
    </row>
    <row r="537" ht="15" customHeight="1">
      <c r="A537" t="inlineStr">
        <is>
          <t>A 16890-2021</t>
        </is>
      </c>
      <c r="B537" s="1" t="n">
        <v>44295</v>
      </c>
      <c r="C537" s="1" t="n">
        <v>45932</v>
      </c>
      <c r="D537" t="inlineStr">
        <is>
          <t>VÄRMLANDS LÄN</t>
        </is>
      </c>
      <c r="E537" t="inlineStr">
        <is>
          <t>HAMMARÖ</t>
        </is>
      </c>
      <c r="G537" t="n">
        <v>1.7</v>
      </c>
      <c r="H537" t="n">
        <v>0</v>
      </c>
      <c r="I537" t="n">
        <v>0</v>
      </c>
      <c r="J537" t="n">
        <v>0</v>
      </c>
      <c r="K537" t="n">
        <v>0</v>
      </c>
      <c r="L537" t="n">
        <v>0</v>
      </c>
      <c r="M537" t="n">
        <v>0</v>
      </c>
      <c r="N537" t="n">
        <v>0</v>
      </c>
      <c r="O537" t="n">
        <v>0</v>
      </c>
      <c r="P537" t="n">
        <v>0</v>
      </c>
      <c r="Q537" t="n">
        <v>0</v>
      </c>
      <c r="R537" s="2" t="inlineStr"/>
    </row>
    <row r="538" ht="15" customHeight="1">
      <c r="A538" t="inlineStr">
        <is>
          <t>A 69492-2020</t>
        </is>
      </c>
      <c r="B538" s="1" t="n">
        <v>44194</v>
      </c>
      <c r="C538" s="1" t="n">
        <v>45932</v>
      </c>
      <c r="D538" t="inlineStr">
        <is>
          <t>VÄRMLANDS LÄN</t>
        </is>
      </c>
      <c r="E538" t="inlineStr">
        <is>
          <t>KRISTINEHAMN</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57230-2020</t>
        </is>
      </c>
      <c r="B539" s="1" t="n">
        <v>44139</v>
      </c>
      <c r="C539" s="1" t="n">
        <v>45932</v>
      </c>
      <c r="D539" t="inlineStr">
        <is>
          <t>VÄRMLANDS LÄN</t>
        </is>
      </c>
      <c r="E539" t="inlineStr">
        <is>
          <t>SÄFFLE</t>
        </is>
      </c>
      <c r="G539" t="n">
        <v>0.7</v>
      </c>
      <c r="H539" t="n">
        <v>0</v>
      </c>
      <c r="I539" t="n">
        <v>0</v>
      </c>
      <c r="J539" t="n">
        <v>0</v>
      </c>
      <c r="K539" t="n">
        <v>0</v>
      </c>
      <c r="L539" t="n">
        <v>0</v>
      </c>
      <c r="M539" t="n">
        <v>0</v>
      </c>
      <c r="N539" t="n">
        <v>0</v>
      </c>
      <c r="O539" t="n">
        <v>0</v>
      </c>
      <c r="P539" t="n">
        <v>0</v>
      </c>
      <c r="Q539" t="n">
        <v>0</v>
      </c>
      <c r="R539" s="2" t="inlineStr"/>
    </row>
    <row r="540" ht="15" customHeight="1">
      <c r="A540" t="inlineStr">
        <is>
          <t>A 23643-2021</t>
        </is>
      </c>
      <c r="B540" s="1" t="n">
        <v>44334</v>
      </c>
      <c r="C540" s="1" t="n">
        <v>45932</v>
      </c>
      <c r="D540" t="inlineStr">
        <is>
          <t>VÄRMLANDS LÄN</t>
        </is>
      </c>
      <c r="E540" t="inlineStr">
        <is>
          <t>ARVIKA</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18661-2021</t>
        </is>
      </c>
      <c r="B541" s="1" t="n">
        <v>44306</v>
      </c>
      <c r="C541" s="1" t="n">
        <v>45932</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49900-2020</t>
        </is>
      </c>
      <c r="B542" s="1" t="n">
        <v>44108.82474537037</v>
      </c>
      <c r="C542" s="1" t="n">
        <v>45932</v>
      </c>
      <c r="D542" t="inlineStr">
        <is>
          <t>VÄRMLANDS LÄN</t>
        </is>
      </c>
      <c r="E542" t="inlineStr">
        <is>
          <t>SUNNE</t>
        </is>
      </c>
      <c r="G542" t="n">
        <v>1.4</v>
      </c>
      <c r="H542" t="n">
        <v>0</v>
      </c>
      <c r="I542" t="n">
        <v>0</v>
      </c>
      <c r="J542" t="n">
        <v>0</v>
      </c>
      <c r="K542" t="n">
        <v>0</v>
      </c>
      <c r="L542" t="n">
        <v>0</v>
      </c>
      <c r="M542" t="n">
        <v>0</v>
      </c>
      <c r="N542" t="n">
        <v>0</v>
      </c>
      <c r="O542" t="n">
        <v>0</v>
      </c>
      <c r="P542" t="n">
        <v>0</v>
      </c>
      <c r="Q542" t="n">
        <v>0</v>
      </c>
      <c r="R542" s="2" t="inlineStr"/>
    </row>
    <row r="543" ht="15" customHeight="1">
      <c r="A543" t="inlineStr">
        <is>
          <t>A 18499-2021</t>
        </is>
      </c>
      <c r="B543" s="1" t="n">
        <v>44306</v>
      </c>
      <c r="C543" s="1" t="n">
        <v>45932</v>
      </c>
      <c r="D543" t="inlineStr">
        <is>
          <t>VÄRMLANDS LÄN</t>
        </is>
      </c>
      <c r="E543" t="inlineStr">
        <is>
          <t>SUNNE</t>
        </is>
      </c>
      <c r="G543" t="n">
        <v>5.8</v>
      </c>
      <c r="H543" t="n">
        <v>0</v>
      </c>
      <c r="I543" t="n">
        <v>0</v>
      </c>
      <c r="J543" t="n">
        <v>0</v>
      </c>
      <c r="K543" t="n">
        <v>0</v>
      </c>
      <c r="L543" t="n">
        <v>0</v>
      </c>
      <c r="M543" t="n">
        <v>0</v>
      </c>
      <c r="N543" t="n">
        <v>0</v>
      </c>
      <c r="O543" t="n">
        <v>0</v>
      </c>
      <c r="P543" t="n">
        <v>0</v>
      </c>
      <c r="Q543" t="n">
        <v>0</v>
      </c>
      <c r="R543" s="2" t="inlineStr"/>
    </row>
    <row r="544" ht="15" customHeight="1">
      <c r="A544" t="inlineStr">
        <is>
          <t>A 49902-2020</t>
        </is>
      </c>
      <c r="B544" s="1" t="n">
        <v>44108.83018518519</v>
      </c>
      <c r="C544" s="1" t="n">
        <v>45932</v>
      </c>
      <c r="D544" t="inlineStr">
        <is>
          <t>VÄRMLANDS LÄN</t>
        </is>
      </c>
      <c r="E544" t="inlineStr">
        <is>
          <t>SUNNE</t>
        </is>
      </c>
      <c r="G544" t="n">
        <v>1.6</v>
      </c>
      <c r="H544" t="n">
        <v>0</v>
      </c>
      <c r="I544" t="n">
        <v>0</v>
      </c>
      <c r="J544" t="n">
        <v>0</v>
      </c>
      <c r="K544" t="n">
        <v>0</v>
      </c>
      <c r="L544" t="n">
        <v>0</v>
      </c>
      <c r="M544" t="n">
        <v>0</v>
      </c>
      <c r="N544" t="n">
        <v>0</v>
      </c>
      <c r="O544" t="n">
        <v>0</v>
      </c>
      <c r="P544" t="n">
        <v>0</v>
      </c>
      <c r="Q544" t="n">
        <v>0</v>
      </c>
      <c r="R544" s="2" t="inlineStr"/>
    </row>
    <row r="545" ht="15" customHeight="1">
      <c r="A545" t="inlineStr">
        <is>
          <t>A 55433-2020</t>
        </is>
      </c>
      <c r="B545" s="1" t="n">
        <v>44130</v>
      </c>
      <c r="C545" s="1" t="n">
        <v>45932</v>
      </c>
      <c r="D545" t="inlineStr">
        <is>
          <t>VÄRMLANDS LÄN</t>
        </is>
      </c>
      <c r="E545" t="inlineStr">
        <is>
          <t>KARLSTAD</t>
        </is>
      </c>
      <c r="G545" t="n">
        <v>2.5</v>
      </c>
      <c r="H545" t="n">
        <v>0</v>
      </c>
      <c r="I545" t="n">
        <v>0</v>
      </c>
      <c r="J545" t="n">
        <v>0</v>
      </c>
      <c r="K545" t="n">
        <v>0</v>
      </c>
      <c r="L545" t="n">
        <v>0</v>
      </c>
      <c r="M545" t="n">
        <v>0</v>
      </c>
      <c r="N545" t="n">
        <v>0</v>
      </c>
      <c r="O545" t="n">
        <v>0</v>
      </c>
      <c r="P545" t="n">
        <v>0</v>
      </c>
      <c r="Q545" t="n">
        <v>0</v>
      </c>
      <c r="R545" s="2" t="inlineStr"/>
    </row>
    <row r="546" ht="15" customHeight="1">
      <c r="A546" t="inlineStr">
        <is>
          <t>A 19974-2021</t>
        </is>
      </c>
      <c r="B546" s="1" t="n">
        <v>44313.66451388889</v>
      </c>
      <c r="C546" s="1" t="n">
        <v>45932</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28529-2021</t>
        </is>
      </c>
      <c r="B547" s="1" t="n">
        <v>44356.64039351852</v>
      </c>
      <c r="C547" s="1" t="n">
        <v>45932</v>
      </c>
      <c r="D547" t="inlineStr">
        <is>
          <t>VÄRMLANDS LÄN</t>
        </is>
      </c>
      <c r="E547" t="inlineStr">
        <is>
          <t>KRISTINEHAMN</t>
        </is>
      </c>
      <c r="G547" t="n">
        <v>3.5</v>
      </c>
      <c r="H547" t="n">
        <v>0</v>
      </c>
      <c r="I547" t="n">
        <v>0</v>
      </c>
      <c r="J547" t="n">
        <v>0</v>
      </c>
      <c r="K547" t="n">
        <v>0</v>
      </c>
      <c r="L547" t="n">
        <v>0</v>
      </c>
      <c r="M547" t="n">
        <v>0</v>
      </c>
      <c r="N547" t="n">
        <v>0</v>
      </c>
      <c r="O547" t="n">
        <v>0</v>
      </c>
      <c r="P547" t="n">
        <v>0</v>
      </c>
      <c r="Q547" t="n">
        <v>0</v>
      </c>
      <c r="R547" s="2" t="inlineStr"/>
    </row>
    <row r="548" ht="15" customHeight="1">
      <c r="A548" t="inlineStr">
        <is>
          <t>A 29253-2021</t>
        </is>
      </c>
      <c r="B548" s="1" t="n">
        <v>44358</v>
      </c>
      <c r="C548" s="1" t="n">
        <v>45932</v>
      </c>
      <c r="D548" t="inlineStr">
        <is>
          <t>VÄRMLANDS LÄN</t>
        </is>
      </c>
      <c r="E548" t="inlineStr">
        <is>
          <t>KARLSTAD</t>
        </is>
      </c>
      <c r="G548" t="n">
        <v>1</v>
      </c>
      <c r="H548" t="n">
        <v>0</v>
      </c>
      <c r="I548" t="n">
        <v>0</v>
      </c>
      <c r="J548" t="n">
        <v>0</v>
      </c>
      <c r="K548" t="n">
        <v>0</v>
      </c>
      <c r="L548" t="n">
        <v>0</v>
      </c>
      <c r="M548" t="n">
        <v>0</v>
      </c>
      <c r="N548" t="n">
        <v>0</v>
      </c>
      <c r="O548" t="n">
        <v>0</v>
      </c>
      <c r="P548" t="n">
        <v>0</v>
      </c>
      <c r="Q548" t="n">
        <v>0</v>
      </c>
      <c r="R548" s="2" t="inlineStr"/>
    </row>
    <row r="549" ht="15" customHeight="1">
      <c r="A549" t="inlineStr">
        <is>
          <t>A 55071-2020</t>
        </is>
      </c>
      <c r="B549" s="1" t="n">
        <v>44130</v>
      </c>
      <c r="C549" s="1" t="n">
        <v>45932</v>
      </c>
      <c r="D549" t="inlineStr">
        <is>
          <t>VÄRMLANDS LÄN</t>
        </is>
      </c>
      <c r="E549" t="inlineStr">
        <is>
          <t>STORFORS</t>
        </is>
      </c>
      <c r="G549" t="n">
        <v>1.8</v>
      </c>
      <c r="H549" t="n">
        <v>0</v>
      </c>
      <c r="I549" t="n">
        <v>0</v>
      </c>
      <c r="J549" t="n">
        <v>0</v>
      </c>
      <c r="K549" t="n">
        <v>0</v>
      </c>
      <c r="L549" t="n">
        <v>0</v>
      </c>
      <c r="M549" t="n">
        <v>0</v>
      </c>
      <c r="N549" t="n">
        <v>0</v>
      </c>
      <c r="O549" t="n">
        <v>0</v>
      </c>
      <c r="P549" t="n">
        <v>0</v>
      </c>
      <c r="Q549" t="n">
        <v>0</v>
      </c>
      <c r="R549" s="2" t="inlineStr"/>
    </row>
    <row r="550" ht="15" customHeight="1">
      <c r="A550" t="inlineStr">
        <is>
          <t>A 50668-2020</t>
        </is>
      </c>
      <c r="B550" s="1" t="n">
        <v>44111</v>
      </c>
      <c r="C550" s="1" t="n">
        <v>45932</v>
      </c>
      <c r="D550" t="inlineStr">
        <is>
          <t>VÄRMLANDS LÄN</t>
        </is>
      </c>
      <c r="E550" t="inlineStr">
        <is>
          <t>KRISTINEHAMN</t>
        </is>
      </c>
      <c r="G550" t="n">
        <v>1.5</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45932</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60277-2020</t>
        </is>
      </c>
      <c r="B552" s="1" t="n">
        <v>44151</v>
      </c>
      <c r="C552" s="1" t="n">
        <v>45932</v>
      </c>
      <c r="D552" t="inlineStr">
        <is>
          <t>VÄRMLANDS LÄN</t>
        </is>
      </c>
      <c r="E552" t="inlineStr">
        <is>
          <t>ARVIKA</t>
        </is>
      </c>
      <c r="G552" t="n">
        <v>1.4</v>
      </c>
      <c r="H552" t="n">
        <v>0</v>
      </c>
      <c r="I552" t="n">
        <v>0</v>
      </c>
      <c r="J552" t="n">
        <v>0</v>
      </c>
      <c r="K552" t="n">
        <v>0</v>
      </c>
      <c r="L552" t="n">
        <v>0</v>
      </c>
      <c r="M552" t="n">
        <v>0</v>
      </c>
      <c r="N552" t="n">
        <v>0</v>
      </c>
      <c r="O552" t="n">
        <v>0</v>
      </c>
      <c r="P552" t="n">
        <v>0</v>
      </c>
      <c r="Q552" t="n">
        <v>0</v>
      </c>
      <c r="R552" s="2" t="inlineStr"/>
    </row>
    <row r="553" ht="15" customHeight="1">
      <c r="A553" t="inlineStr">
        <is>
          <t>A 60912-2020</t>
        </is>
      </c>
      <c r="B553" s="1" t="n">
        <v>44152</v>
      </c>
      <c r="C553" s="1" t="n">
        <v>45932</v>
      </c>
      <c r="D553" t="inlineStr">
        <is>
          <t>VÄRMLANDS LÄN</t>
        </is>
      </c>
      <c r="E553" t="inlineStr">
        <is>
          <t>FILIPSTAD</t>
        </is>
      </c>
      <c r="G553" t="n">
        <v>12.6</v>
      </c>
      <c r="H553" t="n">
        <v>0</v>
      </c>
      <c r="I553" t="n">
        <v>0</v>
      </c>
      <c r="J553" t="n">
        <v>0</v>
      </c>
      <c r="K553" t="n">
        <v>0</v>
      </c>
      <c r="L553" t="n">
        <v>0</v>
      </c>
      <c r="M553" t="n">
        <v>0</v>
      </c>
      <c r="N553" t="n">
        <v>0</v>
      </c>
      <c r="O553" t="n">
        <v>0</v>
      </c>
      <c r="P553" t="n">
        <v>0</v>
      </c>
      <c r="Q553" t="n">
        <v>0</v>
      </c>
      <c r="R553" s="2" t="inlineStr"/>
    </row>
    <row r="554" ht="15" customHeight="1">
      <c r="A554" t="inlineStr">
        <is>
          <t>A 54331-2020</t>
        </is>
      </c>
      <c r="B554" s="1" t="n">
        <v>44124</v>
      </c>
      <c r="C554" s="1" t="n">
        <v>45932</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58481-2020</t>
        </is>
      </c>
      <c r="B555" s="1" t="n">
        <v>44144</v>
      </c>
      <c r="C555" s="1" t="n">
        <v>45932</v>
      </c>
      <c r="D555" t="inlineStr">
        <is>
          <t>VÄRMLANDS LÄN</t>
        </is>
      </c>
      <c r="E555" t="inlineStr">
        <is>
          <t>HAGFORS</t>
        </is>
      </c>
      <c r="G555" t="n">
        <v>2.6</v>
      </c>
      <c r="H555" t="n">
        <v>0</v>
      </c>
      <c r="I555" t="n">
        <v>0</v>
      </c>
      <c r="J555" t="n">
        <v>0</v>
      </c>
      <c r="K555" t="n">
        <v>0</v>
      </c>
      <c r="L555" t="n">
        <v>0</v>
      </c>
      <c r="M555" t="n">
        <v>0</v>
      </c>
      <c r="N555" t="n">
        <v>0</v>
      </c>
      <c r="O555" t="n">
        <v>0</v>
      </c>
      <c r="P555" t="n">
        <v>0</v>
      </c>
      <c r="Q555" t="n">
        <v>0</v>
      </c>
      <c r="R555" s="2" t="inlineStr"/>
    </row>
    <row r="556" ht="15" customHeight="1">
      <c r="A556" t="inlineStr">
        <is>
          <t>A 55903-2020</t>
        </is>
      </c>
      <c r="B556" s="1" t="n">
        <v>44132</v>
      </c>
      <c r="C556" s="1" t="n">
        <v>45932</v>
      </c>
      <c r="D556" t="inlineStr">
        <is>
          <t>VÄRMLANDS LÄN</t>
        </is>
      </c>
      <c r="E556" t="inlineStr">
        <is>
          <t>ARVIKA</t>
        </is>
      </c>
      <c r="G556" t="n">
        <v>1.2</v>
      </c>
      <c r="H556" t="n">
        <v>0</v>
      </c>
      <c r="I556" t="n">
        <v>0</v>
      </c>
      <c r="J556" t="n">
        <v>0</v>
      </c>
      <c r="K556" t="n">
        <v>0</v>
      </c>
      <c r="L556" t="n">
        <v>0</v>
      </c>
      <c r="M556" t="n">
        <v>0</v>
      </c>
      <c r="N556" t="n">
        <v>0</v>
      </c>
      <c r="O556" t="n">
        <v>0</v>
      </c>
      <c r="P556" t="n">
        <v>0</v>
      </c>
      <c r="Q556" t="n">
        <v>0</v>
      </c>
      <c r="R556" s="2" t="inlineStr"/>
    </row>
    <row r="557" ht="15" customHeight="1">
      <c r="A557" t="inlineStr">
        <is>
          <t>A 57994-2020</t>
        </is>
      </c>
      <c r="B557" s="1" t="n">
        <v>44144.30429398148</v>
      </c>
      <c r="C557" s="1" t="n">
        <v>45932</v>
      </c>
      <c r="D557" t="inlineStr">
        <is>
          <t>VÄRMLANDS LÄN</t>
        </is>
      </c>
      <c r="E557" t="inlineStr">
        <is>
          <t>EDA</t>
        </is>
      </c>
      <c r="G557" t="n">
        <v>1.2</v>
      </c>
      <c r="H557" t="n">
        <v>0</v>
      </c>
      <c r="I557" t="n">
        <v>0</v>
      </c>
      <c r="J557" t="n">
        <v>0</v>
      </c>
      <c r="K557" t="n">
        <v>0</v>
      </c>
      <c r="L557" t="n">
        <v>0</v>
      </c>
      <c r="M557" t="n">
        <v>0</v>
      </c>
      <c r="N557" t="n">
        <v>0</v>
      </c>
      <c r="O557" t="n">
        <v>0</v>
      </c>
      <c r="P557" t="n">
        <v>0</v>
      </c>
      <c r="Q557" t="n">
        <v>0</v>
      </c>
      <c r="R557" s="2" t="inlineStr"/>
    </row>
    <row r="558" ht="15" customHeight="1">
      <c r="A558" t="inlineStr">
        <is>
          <t>A 21660-2021</t>
        </is>
      </c>
      <c r="B558" s="1" t="n">
        <v>44322</v>
      </c>
      <c r="C558" s="1" t="n">
        <v>45932</v>
      </c>
      <c r="D558" t="inlineStr">
        <is>
          <t>VÄRMLANDS LÄN</t>
        </is>
      </c>
      <c r="E558" t="inlineStr">
        <is>
          <t>SÄFFLE</t>
        </is>
      </c>
      <c r="G558" t="n">
        <v>2.7</v>
      </c>
      <c r="H558" t="n">
        <v>0</v>
      </c>
      <c r="I558" t="n">
        <v>0</v>
      </c>
      <c r="J558" t="n">
        <v>0</v>
      </c>
      <c r="K558" t="n">
        <v>0</v>
      </c>
      <c r="L558" t="n">
        <v>0</v>
      </c>
      <c r="M558" t="n">
        <v>0</v>
      </c>
      <c r="N558" t="n">
        <v>0</v>
      </c>
      <c r="O558" t="n">
        <v>0</v>
      </c>
      <c r="P558" t="n">
        <v>0</v>
      </c>
      <c r="Q558" t="n">
        <v>0</v>
      </c>
      <c r="R558" s="2" t="inlineStr"/>
    </row>
    <row r="559" ht="15" customHeight="1">
      <c r="A559" t="inlineStr">
        <is>
          <t>A 53806-2020</t>
        </is>
      </c>
      <c r="B559" s="1" t="n">
        <v>44124</v>
      </c>
      <c r="C559" s="1" t="n">
        <v>45932</v>
      </c>
      <c r="D559" t="inlineStr">
        <is>
          <t>VÄRMLANDS LÄN</t>
        </is>
      </c>
      <c r="E559" t="inlineStr">
        <is>
          <t>MUNKFORS</t>
        </is>
      </c>
      <c r="G559" t="n">
        <v>2.6</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45932</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39789-2021</t>
        </is>
      </c>
      <c r="B561" s="1" t="n">
        <v>44417</v>
      </c>
      <c r="C561" s="1" t="n">
        <v>45932</v>
      </c>
      <c r="D561" t="inlineStr">
        <is>
          <t>VÄRMLANDS LÄN</t>
        </is>
      </c>
      <c r="E561" t="inlineStr">
        <is>
          <t>HAGFORS</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58687-2020</t>
        </is>
      </c>
      <c r="B562" s="1" t="n">
        <v>44146</v>
      </c>
      <c r="C562" s="1" t="n">
        <v>45932</v>
      </c>
      <c r="D562" t="inlineStr">
        <is>
          <t>VÄRMLANDS LÄN</t>
        </is>
      </c>
      <c r="E562" t="inlineStr">
        <is>
          <t>ARVIKA</t>
        </is>
      </c>
      <c r="G562" t="n">
        <v>0.9</v>
      </c>
      <c r="H562" t="n">
        <v>0</v>
      </c>
      <c r="I562" t="n">
        <v>0</v>
      </c>
      <c r="J562" t="n">
        <v>0</v>
      </c>
      <c r="K562" t="n">
        <v>0</v>
      </c>
      <c r="L562" t="n">
        <v>0</v>
      </c>
      <c r="M562" t="n">
        <v>0</v>
      </c>
      <c r="N562" t="n">
        <v>0</v>
      </c>
      <c r="O562" t="n">
        <v>0</v>
      </c>
      <c r="P562" t="n">
        <v>0</v>
      </c>
      <c r="Q562" t="n">
        <v>0</v>
      </c>
      <c r="R562" s="2" t="inlineStr"/>
    </row>
    <row r="563" ht="15" customHeight="1">
      <c r="A563" t="inlineStr">
        <is>
          <t>A 8132-2021</t>
        </is>
      </c>
      <c r="B563" s="1" t="n">
        <v>44244</v>
      </c>
      <c r="C563" s="1" t="n">
        <v>45932</v>
      </c>
      <c r="D563" t="inlineStr">
        <is>
          <t>VÄRMLANDS LÄN</t>
        </is>
      </c>
      <c r="E563" t="inlineStr">
        <is>
          <t>EDA</t>
        </is>
      </c>
      <c r="G563" t="n">
        <v>2.4</v>
      </c>
      <c r="H563" t="n">
        <v>0</v>
      </c>
      <c r="I563" t="n">
        <v>0</v>
      </c>
      <c r="J563" t="n">
        <v>0</v>
      </c>
      <c r="K563" t="n">
        <v>0</v>
      </c>
      <c r="L563" t="n">
        <v>0</v>
      </c>
      <c r="M563" t="n">
        <v>0</v>
      </c>
      <c r="N563" t="n">
        <v>0</v>
      </c>
      <c r="O563" t="n">
        <v>0</v>
      </c>
      <c r="P563" t="n">
        <v>0</v>
      </c>
      <c r="Q563" t="n">
        <v>0</v>
      </c>
      <c r="R563" s="2" t="inlineStr"/>
    </row>
    <row r="564" ht="15" customHeight="1">
      <c r="A564" t="inlineStr">
        <is>
          <t>A 67027-2020</t>
        </is>
      </c>
      <c r="B564" s="1" t="n">
        <v>44180</v>
      </c>
      <c r="C564" s="1" t="n">
        <v>45932</v>
      </c>
      <c r="D564" t="inlineStr">
        <is>
          <t>VÄRMLANDS LÄN</t>
        </is>
      </c>
      <c r="E564" t="inlineStr">
        <is>
          <t>FORSHAGA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27641-2021</t>
        </is>
      </c>
      <c r="B565" s="1" t="n">
        <v>44354</v>
      </c>
      <c r="C565" s="1" t="n">
        <v>45932</v>
      </c>
      <c r="D565" t="inlineStr">
        <is>
          <t>VÄRMLANDS LÄN</t>
        </is>
      </c>
      <c r="E565" t="inlineStr">
        <is>
          <t>SÄFFLE</t>
        </is>
      </c>
      <c r="G565" t="n">
        <v>3.8</v>
      </c>
      <c r="H565" t="n">
        <v>0</v>
      </c>
      <c r="I565" t="n">
        <v>0</v>
      </c>
      <c r="J565" t="n">
        <v>0</v>
      </c>
      <c r="K565" t="n">
        <v>0</v>
      </c>
      <c r="L565" t="n">
        <v>0</v>
      </c>
      <c r="M565" t="n">
        <v>0</v>
      </c>
      <c r="N565" t="n">
        <v>0</v>
      </c>
      <c r="O565" t="n">
        <v>0</v>
      </c>
      <c r="P565" t="n">
        <v>0</v>
      </c>
      <c r="Q565" t="n">
        <v>0</v>
      </c>
      <c r="R565" s="2" t="inlineStr"/>
    </row>
    <row r="566" ht="15" customHeight="1">
      <c r="A566" t="inlineStr">
        <is>
          <t>A 15854-2021</t>
        </is>
      </c>
      <c r="B566" s="1" t="n">
        <v>44286</v>
      </c>
      <c r="C566" s="1" t="n">
        <v>45932</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23048-2021</t>
        </is>
      </c>
      <c r="B567" s="1" t="n">
        <v>44329</v>
      </c>
      <c r="C567" s="1" t="n">
        <v>45932</v>
      </c>
      <c r="D567" t="inlineStr">
        <is>
          <t>VÄRMLANDS LÄN</t>
        </is>
      </c>
      <c r="E567" t="inlineStr">
        <is>
          <t>EDA</t>
        </is>
      </c>
      <c r="G567" t="n">
        <v>1.8</v>
      </c>
      <c r="H567" t="n">
        <v>0</v>
      </c>
      <c r="I567" t="n">
        <v>0</v>
      </c>
      <c r="J567" t="n">
        <v>0</v>
      </c>
      <c r="K567" t="n">
        <v>0</v>
      </c>
      <c r="L567" t="n">
        <v>0</v>
      </c>
      <c r="M567" t="n">
        <v>0</v>
      </c>
      <c r="N567" t="n">
        <v>0</v>
      </c>
      <c r="O567" t="n">
        <v>0</v>
      </c>
      <c r="P567" t="n">
        <v>0</v>
      </c>
      <c r="Q567" t="n">
        <v>0</v>
      </c>
      <c r="R567" s="2" t="inlineStr"/>
    </row>
    <row r="568" ht="15" customHeight="1">
      <c r="A568" t="inlineStr">
        <is>
          <t>A 23053-2021</t>
        </is>
      </c>
      <c r="B568" s="1" t="n">
        <v>44329.58090277778</v>
      </c>
      <c r="C568" s="1" t="n">
        <v>45932</v>
      </c>
      <c r="D568" t="inlineStr">
        <is>
          <t>VÄRMLANDS LÄN</t>
        </is>
      </c>
      <c r="E568" t="inlineStr">
        <is>
          <t>EDA</t>
        </is>
      </c>
      <c r="G568" t="n">
        <v>6.2</v>
      </c>
      <c r="H568" t="n">
        <v>0</v>
      </c>
      <c r="I568" t="n">
        <v>0</v>
      </c>
      <c r="J568" t="n">
        <v>0</v>
      </c>
      <c r="K568" t="n">
        <v>0</v>
      </c>
      <c r="L568" t="n">
        <v>0</v>
      </c>
      <c r="M568" t="n">
        <v>0</v>
      </c>
      <c r="N568" t="n">
        <v>0</v>
      </c>
      <c r="O568" t="n">
        <v>0</v>
      </c>
      <c r="P568" t="n">
        <v>0</v>
      </c>
      <c r="Q568" t="n">
        <v>0</v>
      </c>
      <c r="R568" s="2" t="inlineStr"/>
    </row>
    <row r="569" ht="15" customHeight="1">
      <c r="A569" t="inlineStr">
        <is>
          <t>A 23054-2021</t>
        </is>
      </c>
      <c r="B569" s="1" t="n">
        <v>44329.58292824074</v>
      </c>
      <c r="C569" s="1" t="n">
        <v>45932</v>
      </c>
      <c r="D569" t="inlineStr">
        <is>
          <t>VÄRMLANDS LÄN</t>
        </is>
      </c>
      <c r="E569" t="inlineStr">
        <is>
          <t>EDA</t>
        </is>
      </c>
      <c r="G569" t="n">
        <v>0.7</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45932</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30479-2021</t>
        </is>
      </c>
      <c r="B571" s="1" t="n">
        <v>44364</v>
      </c>
      <c r="C571" s="1" t="n">
        <v>45932</v>
      </c>
      <c r="D571" t="inlineStr">
        <is>
          <t>VÄRMLANDS LÄN</t>
        </is>
      </c>
      <c r="E571" t="inlineStr">
        <is>
          <t>ARVIKA</t>
        </is>
      </c>
      <c r="G571" t="n">
        <v>3</v>
      </c>
      <c r="H571" t="n">
        <v>0</v>
      </c>
      <c r="I571" t="n">
        <v>0</v>
      </c>
      <c r="J571" t="n">
        <v>0</v>
      </c>
      <c r="K571" t="n">
        <v>0</v>
      </c>
      <c r="L571" t="n">
        <v>0</v>
      </c>
      <c r="M571" t="n">
        <v>0</v>
      </c>
      <c r="N571" t="n">
        <v>0</v>
      </c>
      <c r="O571" t="n">
        <v>0</v>
      </c>
      <c r="P571" t="n">
        <v>0</v>
      </c>
      <c r="Q571" t="n">
        <v>0</v>
      </c>
      <c r="R571" s="2" t="inlineStr"/>
    </row>
    <row r="572" ht="15" customHeight="1">
      <c r="A572" t="inlineStr">
        <is>
          <t>A 4160-2021</t>
        </is>
      </c>
      <c r="B572" s="1" t="n">
        <v>44223.39358796296</v>
      </c>
      <c r="C572" s="1" t="n">
        <v>45932</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14808-2021</t>
        </is>
      </c>
      <c r="B573" s="1" t="n">
        <v>44280.67996527778</v>
      </c>
      <c r="C573" s="1" t="n">
        <v>45932</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64216-2020</t>
        </is>
      </c>
      <c r="B574" s="1" t="n">
        <v>44168</v>
      </c>
      <c r="C574" s="1" t="n">
        <v>45932</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66966-2020</t>
        </is>
      </c>
      <c r="B575" s="1" t="n">
        <v>44175</v>
      </c>
      <c r="C575" s="1" t="n">
        <v>45932</v>
      </c>
      <c r="D575" t="inlineStr">
        <is>
          <t>VÄRMLANDS LÄN</t>
        </is>
      </c>
      <c r="E575" t="inlineStr">
        <is>
          <t>SÄFFLE</t>
        </is>
      </c>
      <c r="G575" t="n">
        <v>3</v>
      </c>
      <c r="H575" t="n">
        <v>0</v>
      </c>
      <c r="I575" t="n">
        <v>0</v>
      </c>
      <c r="J575" t="n">
        <v>0</v>
      </c>
      <c r="K575" t="n">
        <v>0</v>
      </c>
      <c r="L575" t="n">
        <v>0</v>
      </c>
      <c r="M575" t="n">
        <v>0</v>
      </c>
      <c r="N575" t="n">
        <v>0</v>
      </c>
      <c r="O575" t="n">
        <v>0</v>
      </c>
      <c r="P575" t="n">
        <v>0</v>
      </c>
      <c r="Q575" t="n">
        <v>0</v>
      </c>
      <c r="R575" s="2" t="inlineStr"/>
    </row>
    <row r="576" ht="15" customHeight="1">
      <c r="A576" t="inlineStr">
        <is>
          <t>A 50439-2020</t>
        </is>
      </c>
      <c r="B576" s="1" t="n">
        <v>44110</v>
      </c>
      <c r="C576" s="1" t="n">
        <v>45932</v>
      </c>
      <c r="D576" t="inlineStr">
        <is>
          <t>VÄRMLANDS LÄN</t>
        </is>
      </c>
      <c r="E576" t="inlineStr">
        <is>
          <t>EDA</t>
        </is>
      </c>
      <c r="G576" t="n">
        <v>1.6</v>
      </c>
      <c r="H576" t="n">
        <v>0</v>
      </c>
      <c r="I576" t="n">
        <v>0</v>
      </c>
      <c r="J576" t="n">
        <v>0</v>
      </c>
      <c r="K576" t="n">
        <v>0</v>
      </c>
      <c r="L576" t="n">
        <v>0</v>
      </c>
      <c r="M576" t="n">
        <v>0</v>
      </c>
      <c r="N576" t="n">
        <v>0</v>
      </c>
      <c r="O576" t="n">
        <v>0</v>
      </c>
      <c r="P576" t="n">
        <v>0</v>
      </c>
      <c r="Q576" t="n">
        <v>0</v>
      </c>
      <c r="R576" s="2" t="inlineStr"/>
    </row>
    <row r="577" ht="15" customHeight="1">
      <c r="A577" t="inlineStr">
        <is>
          <t>A 50448-2020</t>
        </is>
      </c>
      <c r="B577" s="1" t="n">
        <v>44110</v>
      </c>
      <c r="C577" s="1" t="n">
        <v>45932</v>
      </c>
      <c r="D577" t="inlineStr">
        <is>
          <t>VÄRMLANDS LÄN</t>
        </is>
      </c>
      <c r="E577" t="inlineStr">
        <is>
          <t>SUNNE</t>
        </is>
      </c>
      <c r="G577" t="n">
        <v>1</v>
      </c>
      <c r="H577" t="n">
        <v>0</v>
      </c>
      <c r="I577" t="n">
        <v>0</v>
      </c>
      <c r="J577" t="n">
        <v>0</v>
      </c>
      <c r="K577" t="n">
        <v>0</v>
      </c>
      <c r="L577" t="n">
        <v>0</v>
      </c>
      <c r="M577" t="n">
        <v>0</v>
      </c>
      <c r="N577" t="n">
        <v>0</v>
      </c>
      <c r="O577" t="n">
        <v>0</v>
      </c>
      <c r="P577" t="n">
        <v>0</v>
      </c>
      <c r="Q577" t="n">
        <v>0</v>
      </c>
      <c r="R577" s="2" t="inlineStr"/>
    </row>
    <row r="578" ht="15" customHeight="1">
      <c r="A578" t="inlineStr">
        <is>
          <t>A 51105-2021</t>
        </is>
      </c>
      <c r="B578" s="1" t="n">
        <v>44461</v>
      </c>
      <c r="C578" s="1" t="n">
        <v>45932</v>
      </c>
      <c r="D578" t="inlineStr">
        <is>
          <t>VÄRMLANDS LÄN</t>
        </is>
      </c>
      <c r="E578" t="inlineStr">
        <is>
          <t>EDA</t>
        </is>
      </c>
      <c r="G578" t="n">
        <v>1.1</v>
      </c>
      <c r="H578" t="n">
        <v>0</v>
      </c>
      <c r="I578" t="n">
        <v>0</v>
      </c>
      <c r="J578" t="n">
        <v>0</v>
      </c>
      <c r="K578" t="n">
        <v>0</v>
      </c>
      <c r="L578" t="n">
        <v>0</v>
      </c>
      <c r="M578" t="n">
        <v>0</v>
      </c>
      <c r="N578" t="n">
        <v>0</v>
      </c>
      <c r="O578" t="n">
        <v>0</v>
      </c>
      <c r="P578" t="n">
        <v>0</v>
      </c>
      <c r="Q578" t="n">
        <v>0</v>
      </c>
      <c r="R578" s="2" t="inlineStr"/>
    </row>
    <row r="579" ht="15" customHeight="1">
      <c r="A579" t="inlineStr">
        <is>
          <t>A 60907-2020</t>
        </is>
      </c>
      <c r="B579" s="1" t="n">
        <v>44154</v>
      </c>
      <c r="C579" s="1" t="n">
        <v>45932</v>
      </c>
      <c r="D579" t="inlineStr">
        <is>
          <t>VÄRMLANDS LÄN</t>
        </is>
      </c>
      <c r="E579" t="inlineStr">
        <is>
          <t>SUNNE</t>
        </is>
      </c>
      <c r="G579" t="n">
        <v>6.7</v>
      </c>
      <c r="H579" t="n">
        <v>0</v>
      </c>
      <c r="I579" t="n">
        <v>0</v>
      </c>
      <c r="J579" t="n">
        <v>0</v>
      </c>
      <c r="K579" t="n">
        <v>0</v>
      </c>
      <c r="L579" t="n">
        <v>0</v>
      </c>
      <c r="M579" t="n">
        <v>0</v>
      </c>
      <c r="N579" t="n">
        <v>0</v>
      </c>
      <c r="O579" t="n">
        <v>0</v>
      </c>
      <c r="P579" t="n">
        <v>0</v>
      </c>
      <c r="Q579" t="n">
        <v>0</v>
      </c>
      <c r="R579" s="2" t="inlineStr"/>
    </row>
    <row r="580" ht="15" customHeight="1">
      <c r="A580" t="inlineStr">
        <is>
          <t>A 21206-2021</t>
        </is>
      </c>
      <c r="B580" s="1" t="n">
        <v>44320.49087962963</v>
      </c>
      <c r="C580" s="1" t="n">
        <v>45932</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21233-2021</t>
        </is>
      </c>
      <c r="B581" s="1" t="n">
        <v>44314</v>
      </c>
      <c r="C581" s="1" t="n">
        <v>45932</v>
      </c>
      <c r="D581" t="inlineStr">
        <is>
          <t>VÄRMLANDS LÄN</t>
        </is>
      </c>
      <c r="E581" t="inlineStr">
        <is>
          <t>KIL</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15912-2021</t>
        </is>
      </c>
      <c r="B582" s="1" t="n">
        <v>44287</v>
      </c>
      <c r="C582" s="1" t="n">
        <v>45932</v>
      </c>
      <c r="D582" t="inlineStr">
        <is>
          <t>VÄRMLANDS LÄN</t>
        </is>
      </c>
      <c r="E582" t="inlineStr">
        <is>
          <t>ARVIKA</t>
        </is>
      </c>
      <c r="G582" t="n">
        <v>0.8</v>
      </c>
      <c r="H582" t="n">
        <v>0</v>
      </c>
      <c r="I582" t="n">
        <v>0</v>
      </c>
      <c r="J582" t="n">
        <v>0</v>
      </c>
      <c r="K582" t="n">
        <v>0</v>
      </c>
      <c r="L582" t="n">
        <v>0</v>
      </c>
      <c r="M582" t="n">
        <v>0</v>
      </c>
      <c r="N582" t="n">
        <v>0</v>
      </c>
      <c r="O582" t="n">
        <v>0</v>
      </c>
      <c r="P582" t="n">
        <v>0</v>
      </c>
      <c r="Q582" t="n">
        <v>0</v>
      </c>
      <c r="R582" s="2" t="inlineStr"/>
    </row>
    <row r="583" ht="15" customHeight="1">
      <c r="A583" t="inlineStr">
        <is>
          <t>A 10322-2021</t>
        </is>
      </c>
      <c r="B583" s="1" t="n">
        <v>44257</v>
      </c>
      <c r="C583" s="1" t="n">
        <v>45932</v>
      </c>
      <c r="D583" t="inlineStr">
        <is>
          <t>VÄRMLANDS LÄN</t>
        </is>
      </c>
      <c r="E583" t="inlineStr">
        <is>
          <t>EDA</t>
        </is>
      </c>
      <c r="G583" t="n">
        <v>0.4</v>
      </c>
      <c r="H583" t="n">
        <v>0</v>
      </c>
      <c r="I583" t="n">
        <v>0</v>
      </c>
      <c r="J583" t="n">
        <v>0</v>
      </c>
      <c r="K583" t="n">
        <v>0</v>
      </c>
      <c r="L583" t="n">
        <v>0</v>
      </c>
      <c r="M583" t="n">
        <v>0</v>
      </c>
      <c r="N583" t="n">
        <v>0</v>
      </c>
      <c r="O583" t="n">
        <v>0</v>
      </c>
      <c r="P583" t="n">
        <v>0</v>
      </c>
      <c r="Q583" t="n">
        <v>0</v>
      </c>
      <c r="R583" s="2" t="inlineStr"/>
    </row>
    <row r="584" ht="15" customHeight="1">
      <c r="A584" t="inlineStr">
        <is>
          <t>A 4110-2021</t>
        </is>
      </c>
      <c r="B584" s="1" t="n">
        <v>44222</v>
      </c>
      <c r="C584" s="1" t="n">
        <v>45932</v>
      </c>
      <c r="D584" t="inlineStr">
        <is>
          <t>VÄRMLANDS LÄN</t>
        </is>
      </c>
      <c r="E584" t="inlineStr">
        <is>
          <t>GRUMS</t>
        </is>
      </c>
      <c r="G584" t="n">
        <v>3.1</v>
      </c>
      <c r="H584" t="n">
        <v>0</v>
      </c>
      <c r="I584" t="n">
        <v>0</v>
      </c>
      <c r="J584" t="n">
        <v>0</v>
      </c>
      <c r="K584" t="n">
        <v>0</v>
      </c>
      <c r="L584" t="n">
        <v>0</v>
      </c>
      <c r="M584" t="n">
        <v>0</v>
      </c>
      <c r="N584" t="n">
        <v>0</v>
      </c>
      <c r="O584" t="n">
        <v>0</v>
      </c>
      <c r="P584" t="n">
        <v>0</v>
      </c>
      <c r="Q584" t="n">
        <v>0</v>
      </c>
      <c r="R584" s="2" t="inlineStr"/>
    </row>
    <row r="585" ht="15" customHeight="1">
      <c r="A585" t="inlineStr">
        <is>
          <t>A 63415-2020</t>
        </is>
      </c>
      <c r="B585" s="1" t="n">
        <v>44165</v>
      </c>
      <c r="C585" s="1" t="n">
        <v>45932</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2991-2021</t>
        </is>
      </c>
      <c r="B586" s="1" t="n">
        <v>44216</v>
      </c>
      <c r="C586" s="1" t="n">
        <v>45932</v>
      </c>
      <c r="D586" t="inlineStr">
        <is>
          <t>VÄRMLANDS LÄN</t>
        </is>
      </c>
      <c r="E586" t="inlineStr">
        <is>
          <t>HAGFORS</t>
        </is>
      </c>
      <c r="F586" t="inlineStr">
        <is>
          <t>Bergvik skog väst AB</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36418-2021</t>
        </is>
      </c>
      <c r="B587" s="1" t="n">
        <v>44375</v>
      </c>
      <c r="C587" s="1" t="n">
        <v>45932</v>
      </c>
      <c r="D587" t="inlineStr">
        <is>
          <t>VÄRMLANDS LÄN</t>
        </is>
      </c>
      <c r="E587" t="inlineStr">
        <is>
          <t>EDA</t>
        </is>
      </c>
      <c r="G587" t="n">
        <v>1.7</v>
      </c>
      <c r="H587" t="n">
        <v>0</v>
      </c>
      <c r="I587" t="n">
        <v>0</v>
      </c>
      <c r="J587" t="n">
        <v>0</v>
      </c>
      <c r="K587" t="n">
        <v>0</v>
      </c>
      <c r="L587" t="n">
        <v>0</v>
      </c>
      <c r="M587" t="n">
        <v>0</v>
      </c>
      <c r="N587" t="n">
        <v>0</v>
      </c>
      <c r="O587" t="n">
        <v>0</v>
      </c>
      <c r="P587" t="n">
        <v>0</v>
      </c>
      <c r="Q587" t="n">
        <v>0</v>
      </c>
      <c r="R587" s="2" t="inlineStr"/>
    </row>
    <row r="588" ht="15" customHeight="1">
      <c r="A588" t="inlineStr">
        <is>
          <t>A 19486-2021</t>
        </is>
      </c>
      <c r="B588" s="1" t="n">
        <v>44312.32493055556</v>
      </c>
      <c r="C588" s="1" t="n">
        <v>45932</v>
      </c>
      <c r="D588" t="inlineStr">
        <is>
          <t>VÄRMLANDS LÄN</t>
        </is>
      </c>
      <c r="E588" t="inlineStr">
        <is>
          <t>ARVIKA</t>
        </is>
      </c>
      <c r="G588" t="n">
        <v>1.4</v>
      </c>
      <c r="H588" t="n">
        <v>0</v>
      </c>
      <c r="I588" t="n">
        <v>0</v>
      </c>
      <c r="J588" t="n">
        <v>0</v>
      </c>
      <c r="K588" t="n">
        <v>0</v>
      </c>
      <c r="L588" t="n">
        <v>0</v>
      </c>
      <c r="M588" t="n">
        <v>0</v>
      </c>
      <c r="N588" t="n">
        <v>0</v>
      </c>
      <c r="O588" t="n">
        <v>0</v>
      </c>
      <c r="P588" t="n">
        <v>0</v>
      </c>
      <c r="Q588" t="n">
        <v>0</v>
      </c>
      <c r="R588" s="2" t="inlineStr"/>
    </row>
    <row r="589" ht="15" customHeight="1">
      <c r="A589" t="inlineStr">
        <is>
          <t>A 18033-2021</t>
        </is>
      </c>
      <c r="B589" s="1" t="n">
        <v>44302</v>
      </c>
      <c r="C589" s="1" t="n">
        <v>45932</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60453-2020</t>
        </is>
      </c>
      <c r="B590" s="1" t="n">
        <v>44153</v>
      </c>
      <c r="C590" s="1" t="n">
        <v>45932</v>
      </c>
      <c r="D590" t="inlineStr">
        <is>
          <t>VÄRMLANDS LÄN</t>
        </is>
      </c>
      <c r="E590" t="inlineStr">
        <is>
          <t>SUNNE</t>
        </is>
      </c>
      <c r="G590" t="n">
        <v>3.3</v>
      </c>
      <c r="H590" t="n">
        <v>0</v>
      </c>
      <c r="I590" t="n">
        <v>0</v>
      </c>
      <c r="J590" t="n">
        <v>0</v>
      </c>
      <c r="K590" t="n">
        <v>0</v>
      </c>
      <c r="L590" t="n">
        <v>0</v>
      </c>
      <c r="M590" t="n">
        <v>0</v>
      </c>
      <c r="N590" t="n">
        <v>0</v>
      </c>
      <c r="O590" t="n">
        <v>0</v>
      </c>
      <c r="P590" t="n">
        <v>0</v>
      </c>
      <c r="Q590" t="n">
        <v>0</v>
      </c>
      <c r="R590" s="2" t="inlineStr"/>
    </row>
    <row r="591" ht="15" customHeight="1">
      <c r="A591" t="inlineStr">
        <is>
          <t>A 64553-2021</t>
        </is>
      </c>
      <c r="B591" s="1" t="n">
        <v>44511.6452199074</v>
      </c>
      <c r="C591" s="1" t="n">
        <v>45932</v>
      </c>
      <c r="D591" t="inlineStr">
        <is>
          <t>VÄRMLANDS LÄN</t>
        </is>
      </c>
      <c r="E591" t="inlineStr">
        <is>
          <t>KIL</t>
        </is>
      </c>
      <c r="G591" t="n">
        <v>0.2</v>
      </c>
      <c r="H591" t="n">
        <v>0</v>
      </c>
      <c r="I591" t="n">
        <v>0</v>
      </c>
      <c r="J591" t="n">
        <v>0</v>
      </c>
      <c r="K591" t="n">
        <v>0</v>
      </c>
      <c r="L591" t="n">
        <v>0</v>
      </c>
      <c r="M591" t="n">
        <v>0</v>
      </c>
      <c r="N591" t="n">
        <v>0</v>
      </c>
      <c r="O591" t="n">
        <v>0</v>
      </c>
      <c r="P591" t="n">
        <v>0</v>
      </c>
      <c r="Q591" t="n">
        <v>0</v>
      </c>
      <c r="R591" s="2" t="inlineStr"/>
    </row>
    <row r="592" ht="15" customHeight="1">
      <c r="A592" t="inlineStr">
        <is>
          <t>A 64576-2021</t>
        </is>
      </c>
      <c r="B592" s="1" t="n">
        <v>44511.66700231482</v>
      </c>
      <c r="C592" s="1" t="n">
        <v>45932</v>
      </c>
      <c r="D592" t="inlineStr">
        <is>
          <t>VÄRMLANDS LÄN</t>
        </is>
      </c>
      <c r="E592" t="inlineStr">
        <is>
          <t>ARVIKA</t>
        </is>
      </c>
      <c r="G592" t="n">
        <v>2.5</v>
      </c>
      <c r="H592" t="n">
        <v>0</v>
      </c>
      <c r="I592" t="n">
        <v>0</v>
      </c>
      <c r="J592" t="n">
        <v>0</v>
      </c>
      <c r="K592" t="n">
        <v>0</v>
      </c>
      <c r="L592" t="n">
        <v>0</v>
      </c>
      <c r="M592" t="n">
        <v>0</v>
      </c>
      <c r="N592" t="n">
        <v>0</v>
      </c>
      <c r="O592" t="n">
        <v>0</v>
      </c>
      <c r="P592" t="n">
        <v>0</v>
      </c>
      <c r="Q592" t="n">
        <v>0</v>
      </c>
      <c r="R592" s="2" t="inlineStr"/>
    </row>
    <row r="593" ht="15" customHeight="1">
      <c r="A593" t="inlineStr">
        <is>
          <t>A 24492-2021</t>
        </is>
      </c>
      <c r="B593" s="1" t="n">
        <v>44337</v>
      </c>
      <c r="C593" s="1" t="n">
        <v>45932</v>
      </c>
      <c r="D593" t="inlineStr">
        <is>
          <t>VÄRMLANDS LÄN</t>
        </is>
      </c>
      <c r="E593" t="inlineStr">
        <is>
          <t>HAGFORS</t>
        </is>
      </c>
      <c r="G593" t="n">
        <v>1.4</v>
      </c>
      <c r="H593" t="n">
        <v>0</v>
      </c>
      <c r="I593" t="n">
        <v>0</v>
      </c>
      <c r="J593" t="n">
        <v>0</v>
      </c>
      <c r="K593" t="n">
        <v>0</v>
      </c>
      <c r="L593" t="n">
        <v>0</v>
      </c>
      <c r="M593" t="n">
        <v>0</v>
      </c>
      <c r="N593" t="n">
        <v>0</v>
      </c>
      <c r="O593" t="n">
        <v>0</v>
      </c>
      <c r="P593" t="n">
        <v>0</v>
      </c>
      <c r="Q593" t="n">
        <v>0</v>
      </c>
      <c r="R593" s="2" t="inlineStr"/>
    </row>
    <row r="594" ht="15" customHeight="1">
      <c r="A594" t="inlineStr">
        <is>
          <t>A 64801-2021</t>
        </is>
      </c>
      <c r="B594" s="1" t="n">
        <v>44512.50644675926</v>
      </c>
      <c r="C594" s="1" t="n">
        <v>45932</v>
      </c>
      <c r="D594" t="inlineStr">
        <is>
          <t>VÄRMLANDS LÄN</t>
        </is>
      </c>
      <c r="E594" t="inlineStr">
        <is>
          <t>SÄFFLE</t>
        </is>
      </c>
      <c r="G594" t="n">
        <v>5.5</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45932</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45932</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3301-2022</t>
        </is>
      </c>
      <c r="B597" s="1" t="n">
        <v>44584.92440972223</v>
      </c>
      <c r="C597" s="1" t="n">
        <v>45932</v>
      </c>
      <c r="D597" t="inlineStr">
        <is>
          <t>VÄRMLANDS LÄN</t>
        </is>
      </c>
      <c r="E597" t="inlineStr">
        <is>
          <t>KRISTINEHAMN</t>
        </is>
      </c>
      <c r="G597" t="n">
        <v>6.1</v>
      </c>
      <c r="H597" t="n">
        <v>0</v>
      </c>
      <c r="I597" t="n">
        <v>0</v>
      </c>
      <c r="J597" t="n">
        <v>0</v>
      </c>
      <c r="K597" t="n">
        <v>0</v>
      </c>
      <c r="L597" t="n">
        <v>0</v>
      </c>
      <c r="M597" t="n">
        <v>0</v>
      </c>
      <c r="N597" t="n">
        <v>0</v>
      </c>
      <c r="O597" t="n">
        <v>0</v>
      </c>
      <c r="P597" t="n">
        <v>0</v>
      </c>
      <c r="Q597" t="n">
        <v>0</v>
      </c>
      <c r="R597" s="2" t="inlineStr"/>
    </row>
    <row r="598" ht="15" customHeight="1">
      <c r="A598" t="inlineStr">
        <is>
          <t>A 8482-2022</t>
        </is>
      </c>
      <c r="B598" s="1" t="n">
        <v>44613</v>
      </c>
      <c r="C598" s="1" t="n">
        <v>45932</v>
      </c>
      <c r="D598" t="inlineStr">
        <is>
          <t>VÄRMLANDS LÄN</t>
        </is>
      </c>
      <c r="E598" t="inlineStr">
        <is>
          <t>FILIPSTAD</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45932</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45932</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15419-2022</t>
        </is>
      </c>
      <c r="B601" s="1" t="n">
        <v>44659</v>
      </c>
      <c r="C601" s="1" t="n">
        <v>45932</v>
      </c>
      <c r="D601" t="inlineStr">
        <is>
          <t>VÄRMLANDS LÄN</t>
        </is>
      </c>
      <c r="E601" t="inlineStr">
        <is>
          <t>KRISTINEHAMN</t>
        </is>
      </c>
      <c r="G601" t="n">
        <v>0.6</v>
      </c>
      <c r="H601" t="n">
        <v>0</v>
      </c>
      <c r="I601" t="n">
        <v>0</v>
      </c>
      <c r="J601" t="n">
        <v>0</v>
      </c>
      <c r="K601" t="n">
        <v>0</v>
      </c>
      <c r="L601" t="n">
        <v>0</v>
      </c>
      <c r="M601" t="n">
        <v>0</v>
      </c>
      <c r="N601" t="n">
        <v>0</v>
      </c>
      <c r="O601" t="n">
        <v>0</v>
      </c>
      <c r="P601" t="n">
        <v>0</v>
      </c>
      <c r="Q601" t="n">
        <v>0</v>
      </c>
      <c r="R601" s="2" t="inlineStr"/>
    </row>
    <row r="602" ht="15" customHeight="1">
      <c r="A602" t="inlineStr">
        <is>
          <t>A 31996-2021</t>
        </is>
      </c>
      <c r="B602" s="1" t="n">
        <v>44370</v>
      </c>
      <c r="C602" s="1" t="n">
        <v>45932</v>
      </c>
      <c r="D602" t="inlineStr">
        <is>
          <t>VÄRMLANDS LÄN</t>
        </is>
      </c>
      <c r="E602" t="inlineStr">
        <is>
          <t>ARVIKA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47642-2021</t>
        </is>
      </c>
      <c r="B603" s="1" t="n">
        <v>44448.39857638889</v>
      </c>
      <c r="C603" s="1" t="n">
        <v>45932</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64805-2021</t>
        </is>
      </c>
      <c r="B604" s="1" t="n">
        <v>44512.51515046296</v>
      </c>
      <c r="C604" s="1" t="n">
        <v>45932</v>
      </c>
      <c r="D604" t="inlineStr">
        <is>
          <t>VÄRMLANDS LÄN</t>
        </is>
      </c>
      <c r="E604" t="inlineStr">
        <is>
          <t>SÄFFLE</t>
        </is>
      </c>
      <c r="G604" t="n">
        <v>0.5</v>
      </c>
      <c r="H604" t="n">
        <v>0</v>
      </c>
      <c r="I604" t="n">
        <v>0</v>
      </c>
      <c r="J604" t="n">
        <v>0</v>
      </c>
      <c r="K604" t="n">
        <v>0</v>
      </c>
      <c r="L604" t="n">
        <v>0</v>
      </c>
      <c r="M604" t="n">
        <v>0</v>
      </c>
      <c r="N604" t="n">
        <v>0</v>
      </c>
      <c r="O604" t="n">
        <v>0</v>
      </c>
      <c r="P604" t="n">
        <v>0</v>
      </c>
      <c r="Q604" t="n">
        <v>0</v>
      </c>
      <c r="R604" s="2" t="inlineStr"/>
    </row>
    <row r="605" ht="15" customHeight="1">
      <c r="A605" t="inlineStr">
        <is>
          <t>A 5836-2022</t>
        </is>
      </c>
      <c r="B605" s="1" t="n">
        <v>44596.60835648148</v>
      </c>
      <c r="C605" s="1" t="n">
        <v>45932</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45932</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23042-2021</t>
        </is>
      </c>
      <c r="B607" s="1" t="n">
        <v>44329</v>
      </c>
      <c r="C607" s="1" t="n">
        <v>45932</v>
      </c>
      <c r="D607" t="inlineStr">
        <is>
          <t>VÄRMLANDS LÄN</t>
        </is>
      </c>
      <c r="E607" t="inlineStr">
        <is>
          <t>ÅRJÄNG</t>
        </is>
      </c>
      <c r="G607" t="n">
        <v>7.7</v>
      </c>
      <c r="H607" t="n">
        <v>0</v>
      </c>
      <c r="I607" t="n">
        <v>0</v>
      </c>
      <c r="J607" t="n">
        <v>0</v>
      </c>
      <c r="K607" t="n">
        <v>0</v>
      </c>
      <c r="L607" t="n">
        <v>0</v>
      </c>
      <c r="M607" t="n">
        <v>0</v>
      </c>
      <c r="N607" t="n">
        <v>0</v>
      </c>
      <c r="O607" t="n">
        <v>0</v>
      </c>
      <c r="P607" t="n">
        <v>0</v>
      </c>
      <c r="Q607" t="n">
        <v>0</v>
      </c>
      <c r="R607" s="2" t="inlineStr"/>
    </row>
    <row r="608" ht="15" customHeight="1">
      <c r="A608" t="inlineStr">
        <is>
          <t>A 23049-2021</t>
        </is>
      </c>
      <c r="B608" s="1" t="n">
        <v>44329.56554398148</v>
      </c>
      <c r="C608" s="1" t="n">
        <v>45932</v>
      </c>
      <c r="D608" t="inlineStr">
        <is>
          <t>VÄRMLANDS LÄN</t>
        </is>
      </c>
      <c r="E608" t="inlineStr">
        <is>
          <t>FORSHAGA</t>
        </is>
      </c>
      <c r="G608" t="n">
        <v>2.3</v>
      </c>
      <c r="H608" t="n">
        <v>0</v>
      </c>
      <c r="I608" t="n">
        <v>0</v>
      </c>
      <c r="J608" t="n">
        <v>0</v>
      </c>
      <c r="K608" t="n">
        <v>0</v>
      </c>
      <c r="L608" t="n">
        <v>0</v>
      </c>
      <c r="M608" t="n">
        <v>0</v>
      </c>
      <c r="N608" t="n">
        <v>0</v>
      </c>
      <c r="O608" t="n">
        <v>0</v>
      </c>
      <c r="P608" t="n">
        <v>0</v>
      </c>
      <c r="Q608" t="n">
        <v>0</v>
      </c>
      <c r="R608" s="2" t="inlineStr"/>
    </row>
    <row r="609" ht="15" customHeight="1">
      <c r="A609" t="inlineStr">
        <is>
          <t>A 23051-2021</t>
        </is>
      </c>
      <c r="B609" s="1" t="n">
        <v>44329.57322916666</v>
      </c>
      <c r="C609" s="1" t="n">
        <v>45932</v>
      </c>
      <c r="D609" t="inlineStr">
        <is>
          <t>VÄRMLANDS LÄN</t>
        </is>
      </c>
      <c r="E609" t="inlineStr">
        <is>
          <t>EDA</t>
        </is>
      </c>
      <c r="G609" t="n">
        <v>6.7</v>
      </c>
      <c r="H609" t="n">
        <v>0</v>
      </c>
      <c r="I609" t="n">
        <v>0</v>
      </c>
      <c r="J609" t="n">
        <v>0</v>
      </c>
      <c r="K609" t="n">
        <v>0</v>
      </c>
      <c r="L609" t="n">
        <v>0</v>
      </c>
      <c r="M609" t="n">
        <v>0</v>
      </c>
      <c r="N609" t="n">
        <v>0</v>
      </c>
      <c r="O609" t="n">
        <v>0</v>
      </c>
      <c r="P609" t="n">
        <v>0</v>
      </c>
      <c r="Q609" t="n">
        <v>0</v>
      </c>
      <c r="R609" s="2" t="inlineStr"/>
    </row>
    <row r="610" ht="15" customHeight="1">
      <c r="A610" t="inlineStr">
        <is>
          <t>A 16874-2022</t>
        </is>
      </c>
      <c r="B610" s="1" t="n">
        <v>44675.64548611111</v>
      </c>
      <c r="C610" s="1" t="n">
        <v>45932</v>
      </c>
      <c r="D610" t="inlineStr">
        <is>
          <t>VÄRMLANDS LÄN</t>
        </is>
      </c>
      <c r="E610" t="inlineStr">
        <is>
          <t>KIL</t>
        </is>
      </c>
      <c r="G610" t="n">
        <v>3.3</v>
      </c>
      <c r="H610" t="n">
        <v>0</v>
      </c>
      <c r="I610" t="n">
        <v>0</v>
      </c>
      <c r="J610" t="n">
        <v>0</v>
      </c>
      <c r="K610" t="n">
        <v>0</v>
      </c>
      <c r="L610" t="n">
        <v>0</v>
      </c>
      <c r="M610" t="n">
        <v>0</v>
      </c>
      <c r="N610" t="n">
        <v>0</v>
      </c>
      <c r="O610" t="n">
        <v>0</v>
      </c>
      <c r="P610" t="n">
        <v>0</v>
      </c>
      <c r="Q610" t="n">
        <v>0</v>
      </c>
      <c r="R610" s="2" t="inlineStr"/>
    </row>
    <row r="611" ht="15" customHeight="1">
      <c r="A611" t="inlineStr">
        <is>
          <t>A 19776-2022</t>
        </is>
      </c>
      <c r="B611" s="1" t="n">
        <v>44694</v>
      </c>
      <c r="C611" s="1" t="n">
        <v>45932</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45932</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45932</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45932</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45932</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48324-2021</t>
        </is>
      </c>
      <c r="B616" s="1" t="n">
        <v>44450.85431712963</v>
      </c>
      <c r="C616" s="1" t="n">
        <v>45932</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40843-2021</t>
        </is>
      </c>
      <c r="B617" s="1" t="n">
        <v>44421</v>
      </c>
      <c r="C617" s="1" t="n">
        <v>45932</v>
      </c>
      <c r="D617" t="inlineStr">
        <is>
          <t>VÄRMLANDS LÄN</t>
        </is>
      </c>
      <c r="E617" t="inlineStr">
        <is>
          <t>HAGFORS</t>
        </is>
      </c>
      <c r="G617" t="n">
        <v>0.8</v>
      </c>
      <c r="H617" t="n">
        <v>0</v>
      </c>
      <c r="I617" t="n">
        <v>0</v>
      </c>
      <c r="J617" t="n">
        <v>0</v>
      </c>
      <c r="K617" t="n">
        <v>0</v>
      </c>
      <c r="L617" t="n">
        <v>0</v>
      </c>
      <c r="M617" t="n">
        <v>0</v>
      </c>
      <c r="N617" t="n">
        <v>0</v>
      </c>
      <c r="O617" t="n">
        <v>0</v>
      </c>
      <c r="P617" t="n">
        <v>0</v>
      </c>
      <c r="Q617" t="n">
        <v>0</v>
      </c>
      <c r="R617" s="2" t="inlineStr"/>
    </row>
    <row r="618" ht="15" customHeight="1">
      <c r="A618" t="inlineStr">
        <is>
          <t>A 43048-2021</t>
        </is>
      </c>
      <c r="B618" s="1" t="n">
        <v>44431</v>
      </c>
      <c r="C618" s="1" t="n">
        <v>45932</v>
      </c>
      <c r="D618" t="inlineStr">
        <is>
          <t>VÄRMLANDS LÄN</t>
        </is>
      </c>
      <c r="E618" t="inlineStr">
        <is>
          <t>SUNNE</t>
        </is>
      </c>
      <c r="G618" t="n">
        <v>1.1</v>
      </c>
      <c r="H618" t="n">
        <v>0</v>
      </c>
      <c r="I618" t="n">
        <v>0</v>
      </c>
      <c r="J618" t="n">
        <v>0</v>
      </c>
      <c r="K618" t="n">
        <v>0</v>
      </c>
      <c r="L618" t="n">
        <v>0</v>
      </c>
      <c r="M618" t="n">
        <v>0</v>
      </c>
      <c r="N618" t="n">
        <v>0</v>
      </c>
      <c r="O618" t="n">
        <v>0</v>
      </c>
      <c r="P618" t="n">
        <v>0</v>
      </c>
      <c r="Q618" t="n">
        <v>0</v>
      </c>
      <c r="R618" s="2" t="inlineStr"/>
    </row>
    <row r="619" ht="15" customHeight="1">
      <c r="A619" t="inlineStr">
        <is>
          <t>A 59751-2020</t>
        </is>
      </c>
      <c r="B619" s="1" t="n">
        <v>44151</v>
      </c>
      <c r="C619" s="1" t="n">
        <v>45932</v>
      </c>
      <c r="D619" t="inlineStr">
        <is>
          <t>VÄRMLANDS LÄN</t>
        </is>
      </c>
      <c r="E619" t="inlineStr">
        <is>
          <t>SUNNE</t>
        </is>
      </c>
      <c r="G619" t="n">
        <v>2.1</v>
      </c>
      <c r="H619" t="n">
        <v>0</v>
      </c>
      <c r="I619" t="n">
        <v>0</v>
      </c>
      <c r="J619" t="n">
        <v>0</v>
      </c>
      <c r="K619" t="n">
        <v>0</v>
      </c>
      <c r="L619" t="n">
        <v>0</v>
      </c>
      <c r="M619" t="n">
        <v>0</v>
      </c>
      <c r="N619" t="n">
        <v>0</v>
      </c>
      <c r="O619" t="n">
        <v>0</v>
      </c>
      <c r="P619" t="n">
        <v>0</v>
      </c>
      <c r="Q619" t="n">
        <v>0</v>
      </c>
      <c r="R619" s="2" t="inlineStr"/>
    </row>
    <row r="620" ht="15" customHeight="1">
      <c r="A620" t="inlineStr">
        <is>
          <t>A 59756-2020</t>
        </is>
      </c>
      <c r="B620" s="1" t="n">
        <v>44151.45070601852</v>
      </c>
      <c r="C620" s="1" t="n">
        <v>45932</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11585-2022</t>
        </is>
      </c>
      <c r="B621" s="1" t="n">
        <v>44631</v>
      </c>
      <c r="C621" s="1" t="n">
        <v>45932</v>
      </c>
      <c r="D621" t="inlineStr">
        <is>
          <t>VÄRMLANDS LÄN</t>
        </is>
      </c>
      <c r="E621" t="inlineStr">
        <is>
          <t>ÅRJÄNG</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69373-2021</t>
        </is>
      </c>
      <c r="B622" s="1" t="n">
        <v>44531.55833333333</v>
      </c>
      <c r="C622" s="1" t="n">
        <v>45932</v>
      </c>
      <c r="D622" t="inlineStr">
        <is>
          <t>VÄRMLANDS LÄN</t>
        </is>
      </c>
      <c r="E622" t="inlineStr">
        <is>
          <t>SUNNE</t>
        </is>
      </c>
      <c r="G622" t="n">
        <v>1.3</v>
      </c>
      <c r="H622" t="n">
        <v>0</v>
      </c>
      <c r="I622" t="n">
        <v>0</v>
      </c>
      <c r="J622" t="n">
        <v>0</v>
      </c>
      <c r="K622" t="n">
        <v>0</v>
      </c>
      <c r="L622" t="n">
        <v>0</v>
      </c>
      <c r="M622" t="n">
        <v>0</v>
      </c>
      <c r="N622" t="n">
        <v>0</v>
      </c>
      <c r="O622" t="n">
        <v>0</v>
      </c>
      <c r="P622" t="n">
        <v>0</v>
      </c>
      <c r="Q622" t="n">
        <v>0</v>
      </c>
      <c r="R622" s="2" t="inlineStr"/>
    </row>
    <row r="623" ht="15" customHeight="1">
      <c r="A623" t="inlineStr">
        <is>
          <t>A 35407-2021</t>
        </is>
      </c>
      <c r="B623" s="1" t="n">
        <v>44385.41387731482</v>
      </c>
      <c r="C623" s="1" t="n">
        <v>45932</v>
      </c>
      <c r="D623" t="inlineStr">
        <is>
          <t>VÄRMLANDS LÄN</t>
        </is>
      </c>
      <c r="E623" t="inlineStr">
        <is>
          <t>SÄFFLE</t>
        </is>
      </c>
      <c r="G623" t="n">
        <v>2.2</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45932</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45932</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4587-2022</t>
        </is>
      </c>
      <c r="B626" s="1" t="n">
        <v>44591.92083333333</v>
      </c>
      <c r="C626" s="1" t="n">
        <v>45932</v>
      </c>
      <c r="D626" t="inlineStr">
        <is>
          <t>VÄRMLANDS LÄN</t>
        </is>
      </c>
      <c r="E626" t="inlineStr">
        <is>
          <t>SUNNE</t>
        </is>
      </c>
      <c r="G626" t="n">
        <v>0.7</v>
      </c>
      <c r="H626" t="n">
        <v>0</v>
      </c>
      <c r="I626" t="n">
        <v>0</v>
      </c>
      <c r="J626" t="n">
        <v>0</v>
      </c>
      <c r="K626" t="n">
        <v>0</v>
      </c>
      <c r="L626" t="n">
        <v>0</v>
      </c>
      <c r="M626" t="n">
        <v>0</v>
      </c>
      <c r="N626" t="n">
        <v>0</v>
      </c>
      <c r="O626" t="n">
        <v>0</v>
      </c>
      <c r="P626" t="n">
        <v>0</v>
      </c>
      <c r="Q626" t="n">
        <v>0</v>
      </c>
      <c r="R626" s="2" t="inlineStr"/>
    </row>
    <row r="627" ht="15" customHeight="1">
      <c r="A627" t="inlineStr">
        <is>
          <t>A 59627-2021</t>
        </is>
      </c>
      <c r="B627" s="1" t="n">
        <v>44491</v>
      </c>
      <c r="C627" s="1" t="n">
        <v>45932</v>
      </c>
      <c r="D627" t="inlineStr">
        <is>
          <t>VÄRMLANDS LÄN</t>
        </is>
      </c>
      <c r="E627" t="inlineStr">
        <is>
          <t>KARLSTAD</t>
        </is>
      </c>
      <c r="G627" t="n">
        <v>3.4</v>
      </c>
      <c r="H627" t="n">
        <v>0</v>
      </c>
      <c r="I627" t="n">
        <v>0</v>
      </c>
      <c r="J627" t="n">
        <v>0</v>
      </c>
      <c r="K627" t="n">
        <v>0</v>
      </c>
      <c r="L627" t="n">
        <v>0</v>
      </c>
      <c r="M627" t="n">
        <v>0</v>
      </c>
      <c r="N627" t="n">
        <v>0</v>
      </c>
      <c r="O627" t="n">
        <v>0</v>
      </c>
      <c r="P627" t="n">
        <v>0</v>
      </c>
      <c r="Q627" t="n">
        <v>0</v>
      </c>
      <c r="R627" s="2" t="inlineStr"/>
    </row>
    <row r="628" ht="15" customHeight="1">
      <c r="A628" t="inlineStr">
        <is>
          <t>A 51174-2021</t>
        </is>
      </c>
      <c r="B628" s="1" t="n">
        <v>44461</v>
      </c>
      <c r="C628" s="1" t="n">
        <v>45932</v>
      </c>
      <c r="D628" t="inlineStr">
        <is>
          <t>VÄRMLANDS LÄN</t>
        </is>
      </c>
      <c r="E628" t="inlineStr">
        <is>
          <t>KIL</t>
        </is>
      </c>
      <c r="G628" t="n">
        <v>1.3</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45932</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45932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45932</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45932</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45932</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45932</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45932</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44149-2022</t>
        </is>
      </c>
      <c r="B636" s="1" t="n">
        <v>44839</v>
      </c>
      <c r="C636" s="1" t="n">
        <v>45932</v>
      </c>
      <c r="D636" t="inlineStr">
        <is>
          <t>VÄRMLANDS LÄN</t>
        </is>
      </c>
      <c r="E636" t="inlineStr">
        <is>
          <t>TORSBY</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60955-2020</t>
        </is>
      </c>
      <c r="B637" s="1" t="n">
        <v>44154</v>
      </c>
      <c r="C637" s="1" t="n">
        <v>45932</v>
      </c>
      <c r="D637" t="inlineStr">
        <is>
          <t>VÄRMLANDS LÄN</t>
        </is>
      </c>
      <c r="E637" t="inlineStr">
        <is>
          <t>ARVIKA</t>
        </is>
      </c>
      <c r="G637" t="n">
        <v>1.4</v>
      </c>
      <c r="H637" t="n">
        <v>0</v>
      </c>
      <c r="I637" t="n">
        <v>0</v>
      </c>
      <c r="J637" t="n">
        <v>0</v>
      </c>
      <c r="K637" t="n">
        <v>0</v>
      </c>
      <c r="L637" t="n">
        <v>0</v>
      </c>
      <c r="M637" t="n">
        <v>0</v>
      </c>
      <c r="N637" t="n">
        <v>0</v>
      </c>
      <c r="O637" t="n">
        <v>0</v>
      </c>
      <c r="P637" t="n">
        <v>0</v>
      </c>
      <c r="Q637" t="n">
        <v>0</v>
      </c>
      <c r="R637" s="2" t="inlineStr"/>
    </row>
    <row r="638" ht="15" customHeight="1">
      <c r="A638" t="inlineStr">
        <is>
          <t>A 40298-2021</t>
        </is>
      </c>
      <c r="B638" s="1" t="n">
        <v>44417</v>
      </c>
      <c r="C638" s="1" t="n">
        <v>45932</v>
      </c>
      <c r="D638" t="inlineStr">
        <is>
          <t>VÄRMLANDS LÄN</t>
        </is>
      </c>
      <c r="E638" t="inlineStr">
        <is>
          <t>SUNNE</t>
        </is>
      </c>
      <c r="G638" t="n">
        <v>2.2</v>
      </c>
      <c r="H638" t="n">
        <v>0</v>
      </c>
      <c r="I638" t="n">
        <v>0</v>
      </c>
      <c r="J638" t="n">
        <v>0</v>
      </c>
      <c r="K638" t="n">
        <v>0</v>
      </c>
      <c r="L638" t="n">
        <v>0</v>
      </c>
      <c r="M638" t="n">
        <v>0</v>
      </c>
      <c r="N638" t="n">
        <v>0</v>
      </c>
      <c r="O638" t="n">
        <v>0</v>
      </c>
      <c r="P638" t="n">
        <v>0</v>
      </c>
      <c r="Q638" t="n">
        <v>0</v>
      </c>
      <c r="R638" s="2" t="inlineStr"/>
    </row>
    <row r="639" ht="15" customHeight="1">
      <c r="A639" t="inlineStr">
        <is>
          <t>A 40303-2021</t>
        </is>
      </c>
      <c r="B639" s="1" t="n">
        <v>44417</v>
      </c>
      <c r="C639" s="1" t="n">
        <v>45932</v>
      </c>
      <c r="D639" t="inlineStr">
        <is>
          <t>VÄRMLANDS LÄN</t>
        </is>
      </c>
      <c r="E639" t="inlineStr">
        <is>
          <t>SUNNE</t>
        </is>
      </c>
      <c r="G639" t="n">
        <v>7.8</v>
      </c>
      <c r="H639" t="n">
        <v>0</v>
      </c>
      <c r="I639" t="n">
        <v>0</v>
      </c>
      <c r="J639" t="n">
        <v>0</v>
      </c>
      <c r="K639" t="n">
        <v>0</v>
      </c>
      <c r="L639" t="n">
        <v>0</v>
      </c>
      <c r="M639" t="n">
        <v>0</v>
      </c>
      <c r="N639" t="n">
        <v>0</v>
      </c>
      <c r="O639" t="n">
        <v>0</v>
      </c>
      <c r="P639" t="n">
        <v>0</v>
      </c>
      <c r="Q639" t="n">
        <v>0</v>
      </c>
      <c r="R639" s="2" t="inlineStr"/>
    </row>
    <row r="640" ht="15" customHeight="1">
      <c r="A640" t="inlineStr">
        <is>
          <t>A 2214-2021</t>
        </is>
      </c>
      <c r="B640" s="1" t="n">
        <v>44211</v>
      </c>
      <c r="C640" s="1" t="n">
        <v>45932</v>
      </c>
      <c r="D640" t="inlineStr">
        <is>
          <t>VÄRMLANDS LÄN</t>
        </is>
      </c>
      <c r="E640" t="inlineStr">
        <is>
          <t>ARVIKA</t>
        </is>
      </c>
      <c r="G640" t="n">
        <v>0.7</v>
      </c>
      <c r="H640" t="n">
        <v>0</v>
      </c>
      <c r="I640" t="n">
        <v>0</v>
      </c>
      <c r="J640" t="n">
        <v>0</v>
      </c>
      <c r="K640" t="n">
        <v>0</v>
      </c>
      <c r="L640" t="n">
        <v>0</v>
      </c>
      <c r="M640" t="n">
        <v>0</v>
      </c>
      <c r="N640" t="n">
        <v>0</v>
      </c>
      <c r="O640" t="n">
        <v>0</v>
      </c>
      <c r="P640" t="n">
        <v>0</v>
      </c>
      <c r="Q640" t="n">
        <v>0</v>
      </c>
      <c r="R640" s="2" t="inlineStr"/>
    </row>
    <row r="641" ht="15" customHeight="1">
      <c r="A641" t="inlineStr">
        <is>
          <t>A 2225-2021</t>
        </is>
      </c>
      <c r="B641" s="1" t="n">
        <v>44211</v>
      </c>
      <c r="C641" s="1" t="n">
        <v>45932</v>
      </c>
      <c r="D641" t="inlineStr">
        <is>
          <t>VÄRMLANDS LÄN</t>
        </is>
      </c>
      <c r="E641" t="inlineStr">
        <is>
          <t>SUNNE</t>
        </is>
      </c>
      <c r="G641" t="n">
        <v>2.8</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45932</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45932</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45932</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45932</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1544-2021</t>
        </is>
      </c>
      <c r="B646" s="1" t="n">
        <v>44209</v>
      </c>
      <c r="C646" s="1" t="n">
        <v>45932</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45932</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45932</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45932</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45932</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43578-2021</t>
        </is>
      </c>
      <c r="B651" s="1" t="n">
        <v>44433</v>
      </c>
      <c r="C651" s="1" t="n">
        <v>45932</v>
      </c>
      <c r="D651" t="inlineStr">
        <is>
          <t>VÄRMLANDS LÄN</t>
        </is>
      </c>
      <c r="E651" t="inlineStr">
        <is>
          <t>ÅRJÄNG</t>
        </is>
      </c>
      <c r="G651" t="n">
        <v>6.3</v>
      </c>
      <c r="H651" t="n">
        <v>0</v>
      </c>
      <c r="I651" t="n">
        <v>0</v>
      </c>
      <c r="J651" t="n">
        <v>0</v>
      </c>
      <c r="K651" t="n">
        <v>0</v>
      </c>
      <c r="L651" t="n">
        <v>0</v>
      </c>
      <c r="M651" t="n">
        <v>0</v>
      </c>
      <c r="N651" t="n">
        <v>0</v>
      </c>
      <c r="O651" t="n">
        <v>0</v>
      </c>
      <c r="P651" t="n">
        <v>0</v>
      </c>
      <c r="Q651" t="n">
        <v>0</v>
      </c>
      <c r="R651" s="2" t="inlineStr"/>
    </row>
    <row r="652" ht="15" customHeight="1">
      <c r="A652" t="inlineStr">
        <is>
          <t>A 57476-2021</t>
        </is>
      </c>
      <c r="B652" s="1" t="n">
        <v>44483</v>
      </c>
      <c r="C652" s="1" t="n">
        <v>45932</v>
      </c>
      <c r="D652" t="inlineStr">
        <is>
          <t>VÄRMLANDS LÄN</t>
        </is>
      </c>
      <c r="E652" t="inlineStr">
        <is>
          <t>KARLSTAD</t>
        </is>
      </c>
      <c r="F652" t="inlineStr">
        <is>
          <t>Kommuner</t>
        </is>
      </c>
      <c r="G652" t="n">
        <v>1.1</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45932</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45932</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45932</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35517-2021</t>
        </is>
      </c>
      <c r="B656" s="1" t="n">
        <v>44385</v>
      </c>
      <c r="C656" s="1" t="n">
        <v>45932</v>
      </c>
      <c r="D656" t="inlineStr">
        <is>
          <t>VÄRMLANDS LÄN</t>
        </is>
      </c>
      <c r="E656" t="inlineStr">
        <is>
          <t>ARVIKA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45932</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28983-2021</t>
        </is>
      </c>
      <c r="B658" s="1" t="n">
        <v>44358.42180555555</v>
      </c>
      <c r="C658" s="1" t="n">
        <v>45932</v>
      </c>
      <c r="D658" t="inlineStr">
        <is>
          <t>VÄRMLANDS LÄN</t>
        </is>
      </c>
      <c r="E658" t="inlineStr">
        <is>
          <t>KARLSTAD</t>
        </is>
      </c>
      <c r="G658" t="n">
        <v>10.5</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45932</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13166-2022</t>
        </is>
      </c>
      <c r="B660" s="1" t="n">
        <v>44643</v>
      </c>
      <c r="C660" s="1" t="n">
        <v>45932</v>
      </c>
      <c r="D660" t="inlineStr">
        <is>
          <t>VÄRMLANDS LÄN</t>
        </is>
      </c>
      <c r="E660" t="inlineStr">
        <is>
          <t>ÅRJÄNG</t>
        </is>
      </c>
      <c r="G660" t="n">
        <v>7.3</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45932</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45932</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43022-2022</t>
        </is>
      </c>
      <c r="B663" s="1" t="n">
        <v>44833.56670138889</v>
      </c>
      <c r="C663" s="1" t="n">
        <v>45932</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30734-2022</t>
        </is>
      </c>
      <c r="B664" s="1" t="n">
        <v>44764</v>
      </c>
      <c r="C664" s="1" t="n">
        <v>45932</v>
      </c>
      <c r="D664" t="inlineStr">
        <is>
          <t>VÄRMLANDS LÄN</t>
        </is>
      </c>
      <c r="E664" t="inlineStr">
        <is>
          <t>SUNNE</t>
        </is>
      </c>
      <c r="G664" t="n">
        <v>1.9</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45932</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3397-2022</t>
        </is>
      </c>
      <c r="B666" s="1" t="n">
        <v>44585</v>
      </c>
      <c r="C666" s="1" t="n">
        <v>45932</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44792-2021</t>
        </is>
      </c>
      <c r="B667" s="1" t="n">
        <v>44438</v>
      </c>
      <c r="C667" s="1" t="n">
        <v>45932</v>
      </c>
      <c r="D667" t="inlineStr">
        <is>
          <t>VÄRMLANDS LÄN</t>
        </is>
      </c>
      <c r="E667" t="inlineStr">
        <is>
          <t>SUNNE</t>
        </is>
      </c>
      <c r="G667" t="n">
        <v>2.1</v>
      </c>
      <c r="H667" t="n">
        <v>0</v>
      </c>
      <c r="I667" t="n">
        <v>0</v>
      </c>
      <c r="J667" t="n">
        <v>0</v>
      </c>
      <c r="K667" t="n">
        <v>0</v>
      </c>
      <c r="L667" t="n">
        <v>0</v>
      </c>
      <c r="M667" t="n">
        <v>0</v>
      </c>
      <c r="N667" t="n">
        <v>0</v>
      </c>
      <c r="O667" t="n">
        <v>0</v>
      </c>
      <c r="P667" t="n">
        <v>0</v>
      </c>
      <c r="Q667" t="n">
        <v>0</v>
      </c>
      <c r="R667" s="2" t="inlineStr"/>
    </row>
    <row r="668" ht="15" customHeight="1">
      <c r="A668" t="inlineStr">
        <is>
          <t>A 36422-2022</t>
        </is>
      </c>
      <c r="B668" s="1" t="n">
        <v>44804</v>
      </c>
      <c r="C668" s="1" t="n">
        <v>45932</v>
      </c>
      <c r="D668" t="inlineStr">
        <is>
          <t>VÄRMLANDS LÄN</t>
        </is>
      </c>
      <c r="E668" t="inlineStr">
        <is>
          <t>KARLSTAD</t>
        </is>
      </c>
      <c r="G668" t="n">
        <v>6.5</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45932</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45932</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45932</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45932</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45932</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2672-2021</t>
        </is>
      </c>
      <c r="B674" s="1" t="n">
        <v>44214</v>
      </c>
      <c r="C674" s="1" t="n">
        <v>45932</v>
      </c>
      <c r="D674" t="inlineStr">
        <is>
          <t>VÄRMLANDS LÄN</t>
        </is>
      </c>
      <c r="E674" t="inlineStr">
        <is>
          <t>FILIPSTAD</t>
        </is>
      </c>
      <c r="G674" t="n">
        <v>1</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45932</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45932</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45932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45932</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72412-2021</t>
        </is>
      </c>
      <c r="B679" s="1" t="n">
        <v>44545</v>
      </c>
      <c r="C679" s="1" t="n">
        <v>45932</v>
      </c>
      <c r="D679" t="inlineStr">
        <is>
          <t>VÄRMLANDS LÄN</t>
        </is>
      </c>
      <c r="E679" t="inlineStr">
        <is>
          <t>HAGFORS</t>
        </is>
      </c>
      <c r="G679" t="n">
        <v>1.6</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45932</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45932</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45932</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45932</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69520-2020</t>
        </is>
      </c>
      <c r="B684" s="1" t="n">
        <v>44194</v>
      </c>
      <c r="C684" s="1" t="n">
        <v>45932</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45932</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45932</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45932</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45932</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65950-2020</t>
        </is>
      </c>
      <c r="B689" s="1" t="n">
        <v>44175</v>
      </c>
      <c r="C689" s="1" t="n">
        <v>45932</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63574-2021</t>
        </is>
      </c>
      <c r="B690" s="1" t="n">
        <v>44508.87096064815</v>
      </c>
      <c r="C690" s="1" t="n">
        <v>45932</v>
      </c>
      <c r="D690" t="inlineStr">
        <is>
          <t>VÄRMLANDS LÄN</t>
        </is>
      </c>
      <c r="E690" t="inlineStr">
        <is>
          <t>SUNNE</t>
        </is>
      </c>
      <c r="G690" t="n">
        <v>1.1</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45932</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49705-2022</t>
        </is>
      </c>
      <c r="B692" s="1" t="n">
        <v>44859</v>
      </c>
      <c r="C692" s="1" t="n">
        <v>45932</v>
      </c>
      <c r="D692" t="inlineStr">
        <is>
          <t>VÄRMLANDS LÄN</t>
        </is>
      </c>
      <c r="E692" t="inlineStr">
        <is>
          <t>SUNNE</t>
        </is>
      </c>
      <c r="F692" t="inlineStr">
        <is>
          <t>Kyrkan</t>
        </is>
      </c>
      <c r="G692" t="n">
        <v>2.9</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45932</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45932</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45932</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45932</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45932</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4238-2021</t>
        </is>
      </c>
      <c r="B698" s="1" t="n">
        <v>44223</v>
      </c>
      <c r="C698" s="1" t="n">
        <v>45932</v>
      </c>
      <c r="D698" t="inlineStr">
        <is>
          <t>VÄRMLANDS LÄN</t>
        </is>
      </c>
      <c r="E698" t="inlineStr">
        <is>
          <t>KIL</t>
        </is>
      </c>
      <c r="G698" t="n">
        <v>0.4</v>
      </c>
      <c r="H698" t="n">
        <v>0</v>
      </c>
      <c r="I698" t="n">
        <v>0</v>
      </c>
      <c r="J698" t="n">
        <v>0</v>
      </c>
      <c r="K698" t="n">
        <v>0</v>
      </c>
      <c r="L698" t="n">
        <v>0</v>
      </c>
      <c r="M698" t="n">
        <v>0</v>
      </c>
      <c r="N698" t="n">
        <v>0</v>
      </c>
      <c r="O698" t="n">
        <v>0</v>
      </c>
      <c r="P698" t="n">
        <v>0</v>
      </c>
      <c r="Q698" t="n">
        <v>0</v>
      </c>
      <c r="R698" s="2" t="inlineStr"/>
    </row>
    <row r="699" ht="15" customHeight="1">
      <c r="A699" t="inlineStr">
        <is>
          <t>A 4266-2021</t>
        </is>
      </c>
      <c r="B699" s="1" t="n">
        <v>44221</v>
      </c>
      <c r="C699" s="1" t="n">
        <v>45932</v>
      </c>
      <c r="D699" t="inlineStr">
        <is>
          <t>VÄRMLANDS LÄN</t>
        </is>
      </c>
      <c r="E699" t="inlineStr">
        <is>
          <t>SÄFFLE</t>
        </is>
      </c>
      <c r="G699" t="n">
        <v>4.7</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45932</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12892-2021</t>
        </is>
      </c>
      <c r="B701" s="1" t="n">
        <v>44271</v>
      </c>
      <c r="C701" s="1" t="n">
        <v>45932</v>
      </c>
      <c r="D701" t="inlineStr">
        <is>
          <t>VÄRMLANDS LÄN</t>
        </is>
      </c>
      <c r="E701" t="inlineStr">
        <is>
          <t>EDA</t>
        </is>
      </c>
      <c r="G701" t="n">
        <v>2.2</v>
      </c>
      <c r="H701" t="n">
        <v>0</v>
      </c>
      <c r="I701" t="n">
        <v>0</v>
      </c>
      <c r="J701" t="n">
        <v>0</v>
      </c>
      <c r="K701" t="n">
        <v>0</v>
      </c>
      <c r="L701" t="n">
        <v>0</v>
      </c>
      <c r="M701" t="n">
        <v>0</v>
      </c>
      <c r="N701" t="n">
        <v>0</v>
      </c>
      <c r="O701" t="n">
        <v>0</v>
      </c>
      <c r="P701" t="n">
        <v>0</v>
      </c>
      <c r="Q701" t="n">
        <v>0</v>
      </c>
      <c r="R701" s="2" t="inlineStr"/>
    </row>
    <row r="702" ht="15" customHeight="1">
      <c r="A702" t="inlineStr">
        <is>
          <t>A 69584-2020</t>
        </is>
      </c>
      <c r="B702" s="1" t="n">
        <v>44195</v>
      </c>
      <c r="C702" s="1" t="n">
        <v>45932</v>
      </c>
      <c r="D702" t="inlineStr">
        <is>
          <t>VÄRMLANDS LÄN</t>
        </is>
      </c>
      <c r="E702" t="inlineStr">
        <is>
          <t>ÅRJÄNG</t>
        </is>
      </c>
      <c r="G702" t="n">
        <v>0.3</v>
      </c>
      <c r="H702" t="n">
        <v>0</v>
      </c>
      <c r="I702" t="n">
        <v>0</v>
      </c>
      <c r="J702" t="n">
        <v>0</v>
      </c>
      <c r="K702" t="n">
        <v>0</v>
      </c>
      <c r="L702" t="n">
        <v>0</v>
      </c>
      <c r="M702" t="n">
        <v>0</v>
      </c>
      <c r="N702" t="n">
        <v>0</v>
      </c>
      <c r="O702" t="n">
        <v>0</v>
      </c>
      <c r="P702" t="n">
        <v>0</v>
      </c>
      <c r="Q702" t="n">
        <v>0</v>
      </c>
      <c r="R702" s="2" t="inlineStr"/>
    </row>
    <row r="703" ht="15" customHeight="1">
      <c r="A703" t="inlineStr">
        <is>
          <t>A 59506-2020</t>
        </is>
      </c>
      <c r="B703" s="1" t="n">
        <v>44148.58356481481</v>
      </c>
      <c r="C703" s="1" t="n">
        <v>45932</v>
      </c>
      <c r="D703" t="inlineStr">
        <is>
          <t>VÄRMLANDS LÄN</t>
        </is>
      </c>
      <c r="E703" t="inlineStr">
        <is>
          <t>GRUMS</t>
        </is>
      </c>
      <c r="G703" t="n">
        <v>0.9</v>
      </c>
      <c r="H703" t="n">
        <v>0</v>
      </c>
      <c r="I703" t="n">
        <v>0</v>
      </c>
      <c r="J703" t="n">
        <v>0</v>
      </c>
      <c r="K703" t="n">
        <v>0</v>
      </c>
      <c r="L703" t="n">
        <v>0</v>
      </c>
      <c r="M703" t="n">
        <v>0</v>
      </c>
      <c r="N703" t="n">
        <v>0</v>
      </c>
      <c r="O703" t="n">
        <v>0</v>
      </c>
      <c r="P703" t="n">
        <v>0</v>
      </c>
      <c r="Q703" t="n">
        <v>0</v>
      </c>
      <c r="R703" s="2" t="inlineStr"/>
    </row>
    <row r="704" ht="15" customHeight="1">
      <c r="A704" t="inlineStr">
        <is>
          <t>A 69246-2020</t>
        </is>
      </c>
      <c r="B704" s="1" t="n">
        <v>44192.88577546296</v>
      </c>
      <c r="C704" s="1" t="n">
        <v>45932</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45932</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51510-2020</t>
        </is>
      </c>
      <c r="B706" s="1" t="n">
        <v>44113</v>
      </c>
      <c r="C706" s="1" t="n">
        <v>45932</v>
      </c>
      <c r="D706" t="inlineStr">
        <is>
          <t>VÄRMLANDS LÄN</t>
        </is>
      </c>
      <c r="E706" t="inlineStr">
        <is>
          <t>KARLSTAD</t>
        </is>
      </c>
      <c r="F706" t="inlineStr">
        <is>
          <t>Kommuner</t>
        </is>
      </c>
      <c r="G706" t="n">
        <v>3.9</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45932</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45932</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45932</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68209-2021</t>
        </is>
      </c>
      <c r="B710" s="1" t="n">
        <v>44526</v>
      </c>
      <c r="C710" s="1" t="n">
        <v>45932</v>
      </c>
      <c r="D710" t="inlineStr">
        <is>
          <t>VÄRMLANDS LÄN</t>
        </is>
      </c>
      <c r="E710" t="inlineStr">
        <is>
          <t>SUNNE</t>
        </is>
      </c>
      <c r="G710" t="n">
        <v>1.4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45932</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45932</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64051-2021</t>
        </is>
      </c>
      <c r="B713" s="1" t="n">
        <v>44510.37704861111</v>
      </c>
      <c r="C713" s="1" t="n">
        <v>45932</v>
      </c>
      <c r="D713" t="inlineStr">
        <is>
          <t>VÄRMLANDS LÄN</t>
        </is>
      </c>
      <c r="E713" t="inlineStr">
        <is>
          <t>HAGFORS</t>
        </is>
      </c>
      <c r="G713" t="n">
        <v>1.7</v>
      </c>
      <c r="H713" t="n">
        <v>0</v>
      </c>
      <c r="I713" t="n">
        <v>0</v>
      </c>
      <c r="J713" t="n">
        <v>0</v>
      </c>
      <c r="K713" t="n">
        <v>0</v>
      </c>
      <c r="L713" t="n">
        <v>0</v>
      </c>
      <c r="M713" t="n">
        <v>0</v>
      </c>
      <c r="N713" t="n">
        <v>0</v>
      </c>
      <c r="O713" t="n">
        <v>0</v>
      </c>
      <c r="P713" t="n">
        <v>0</v>
      </c>
      <c r="Q713" t="n">
        <v>0</v>
      </c>
      <c r="R713" s="2" t="inlineStr"/>
    </row>
    <row r="714" ht="15" customHeight="1">
      <c r="A714" t="inlineStr">
        <is>
          <t>A 59776-2020</t>
        </is>
      </c>
      <c r="B714" s="1" t="n">
        <v>44151</v>
      </c>
      <c r="C714" s="1" t="n">
        <v>45932</v>
      </c>
      <c r="D714" t="inlineStr">
        <is>
          <t>VÄRMLANDS LÄN</t>
        </is>
      </c>
      <c r="E714" t="inlineStr">
        <is>
          <t>SUNNE</t>
        </is>
      </c>
      <c r="G714" t="n">
        <v>1.8</v>
      </c>
      <c r="H714" t="n">
        <v>0</v>
      </c>
      <c r="I714" t="n">
        <v>0</v>
      </c>
      <c r="J714" t="n">
        <v>0</v>
      </c>
      <c r="K714" t="n">
        <v>0</v>
      </c>
      <c r="L714" t="n">
        <v>0</v>
      </c>
      <c r="M714" t="n">
        <v>0</v>
      </c>
      <c r="N714" t="n">
        <v>0</v>
      </c>
      <c r="O714" t="n">
        <v>0</v>
      </c>
      <c r="P714" t="n">
        <v>0</v>
      </c>
      <c r="Q714" t="n">
        <v>0</v>
      </c>
      <c r="R714" s="2" t="inlineStr"/>
    </row>
    <row r="715" ht="15" customHeight="1">
      <c r="A715" t="inlineStr">
        <is>
          <t>A 59779-2020</t>
        </is>
      </c>
      <c r="B715" s="1" t="n">
        <v>44151</v>
      </c>
      <c r="C715" s="1" t="n">
        <v>45932</v>
      </c>
      <c r="D715" t="inlineStr">
        <is>
          <t>VÄRMLANDS LÄN</t>
        </is>
      </c>
      <c r="E715" t="inlineStr">
        <is>
          <t>ARVIKA</t>
        </is>
      </c>
      <c r="G715" t="n">
        <v>3</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45932</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45932</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45932</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11513-2021</t>
        </is>
      </c>
      <c r="B719" s="1" t="n">
        <v>44264.40421296296</v>
      </c>
      <c r="C719" s="1" t="n">
        <v>45932</v>
      </c>
      <c r="D719" t="inlineStr">
        <is>
          <t>VÄRMLANDS LÄN</t>
        </is>
      </c>
      <c r="E719" t="inlineStr">
        <is>
          <t>SUNNE</t>
        </is>
      </c>
      <c r="G719" t="n">
        <v>1.9</v>
      </c>
      <c r="H719" t="n">
        <v>0</v>
      </c>
      <c r="I719" t="n">
        <v>0</v>
      </c>
      <c r="J719" t="n">
        <v>0</v>
      </c>
      <c r="K719" t="n">
        <v>0</v>
      </c>
      <c r="L719" t="n">
        <v>0</v>
      </c>
      <c r="M719" t="n">
        <v>0</v>
      </c>
      <c r="N719" t="n">
        <v>0</v>
      </c>
      <c r="O719" t="n">
        <v>0</v>
      </c>
      <c r="P719" t="n">
        <v>0</v>
      </c>
      <c r="Q719" t="n">
        <v>0</v>
      </c>
      <c r="R719" s="2" t="inlineStr"/>
    </row>
    <row r="720" ht="15" customHeight="1">
      <c r="A720" t="inlineStr">
        <is>
          <t>A 11156-2021</t>
        </is>
      </c>
      <c r="B720" s="1" t="n">
        <v>44261.8591087963</v>
      </c>
      <c r="C720" s="1" t="n">
        <v>45932</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45932</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45932</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23840-2021</t>
        </is>
      </c>
      <c r="B723" s="1" t="n">
        <v>44335.44357638889</v>
      </c>
      <c r="C723" s="1" t="n">
        <v>45932</v>
      </c>
      <c r="D723" t="inlineStr">
        <is>
          <t>VÄRMLANDS LÄN</t>
        </is>
      </c>
      <c r="E723" t="inlineStr">
        <is>
          <t>MUNKFORS</t>
        </is>
      </c>
      <c r="G723" t="n">
        <v>1.9</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45932</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45932</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61129-2021</t>
        </is>
      </c>
      <c r="B726" s="1" t="n">
        <v>44498</v>
      </c>
      <c r="C726" s="1" t="n">
        <v>45932</v>
      </c>
      <c r="D726" t="inlineStr">
        <is>
          <t>VÄRMLANDS LÄN</t>
        </is>
      </c>
      <c r="E726" t="inlineStr">
        <is>
          <t>ÅRJÄNG</t>
        </is>
      </c>
      <c r="G726" t="n">
        <v>0.5</v>
      </c>
      <c r="H726" t="n">
        <v>0</v>
      </c>
      <c r="I726" t="n">
        <v>0</v>
      </c>
      <c r="J726" t="n">
        <v>0</v>
      </c>
      <c r="K726" t="n">
        <v>0</v>
      </c>
      <c r="L726" t="n">
        <v>0</v>
      </c>
      <c r="M726" t="n">
        <v>0</v>
      </c>
      <c r="N726" t="n">
        <v>0</v>
      </c>
      <c r="O726" t="n">
        <v>0</v>
      </c>
      <c r="P726" t="n">
        <v>0</v>
      </c>
      <c r="Q726" t="n">
        <v>0</v>
      </c>
      <c r="R726" s="2" t="inlineStr"/>
    </row>
    <row r="727" ht="15" customHeight="1">
      <c r="A727" t="inlineStr">
        <is>
          <t>A 61970-2020</t>
        </is>
      </c>
      <c r="B727" s="1" t="n">
        <v>44155</v>
      </c>
      <c r="C727" s="1" t="n">
        <v>45932</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45932</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56979-2020</t>
        </is>
      </c>
      <c r="B729" s="1" t="n">
        <v>44138</v>
      </c>
      <c r="C729" s="1" t="n">
        <v>45932</v>
      </c>
      <c r="D729" t="inlineStr">
        <is>
          <t>VÄRMLANDS LÄN</t>
        </is>
      </c>
      <c r="E729" t="inlineStr">
        <is>
          <t>TORSBY</t>
        </is>
      </c>
      <c r="G729" t="n">
        <v>3.2</v>
      </c>
      <c r="H729" t="n">
        <v>0</v>
      </c>
      <c r="I729" t="n">
        <v>0</v>
      </c>
      <c r="J729" t="n">
        <v>0</v>
      </c>
      <c r="K729" t="n">
        <v>0</v>
      </c>
      <c r="L729" t="n">
        <v>0</v>
      </c>
      <c r="M729" t="n">
        <v>0</v>
      </c>
      <c r="N729" t="n">
        <v>0</v>
      </c>
      <c r="O729" t="n">
        <v>0</v>
      </c>
      <c r="P729" t="n">
        <v>0</v>
      </c>
      <c r="Q729" t="n">
        <v>0</v>
      </c>
      <c r="R729" s="2" t="inlineStr"/>
    </row>
    <row r="730" ht="15" customHeight="1">
      <c r="A730" t="inlineStr">
        <is>
          <t>A 57780-2020</t>
        </is>
      </c>
      <c r="B730" s="1" t="n">
        <v>44141</v>
      </c>
      <c r="C730" s="1" t="n">
        <v>45932</v>
      </c>
      <c r="D730" t="inlineStr">
        <is>
          <t>VÄRMLANDS LÄN</t>
        </is>
      </c>
      <c r="E730" t="inlineStr">
        <is>
          <t>KRISTINEHAMN</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66363-2020</t>
        </is>
      </c>
      <c r="B731" s="1" t="n">
        <v>44176</v>
      </c>
      <c r="C731" s="1" t="n">
        <v>45932</v>
      </c>
      <c r="D731" t="inlineStr">
        <is>
          <t>VÄRMLANDS LÄN</t>
        </is>
      </c>
      <c r="E731" t="inlineStr">
        <is>
          <t>FILIPSTAD</t>
        </is>
      </c>
      <c r="G731" t="n">
        <v>0.6</v>
      </c>
      <c r="H731" t="n">
        <v>0</v>
      </c>
      <c r="I731" t="n">
        <v>0</v>
      </c>
      <c r="J731" t="n">
        <v>0</v>
      </c>
      <c r="K731" t="n">
        <v>0</v>
      </c>
      <c r="L731" t="n">
        <v>0</v>
      </c>
      <c r="M731" t="n">
        <v>0</v>
      </c>
      <c r="N731" t="n">
        <v>0</v>
      </c>
      <c r="O731" t="n">
        <v>0</v>
      </c>
      <c r="P731" t="n">
        <v>0</v>
      </c>
      <c r="Q731" t="n">
        <v>0</v>
      </c>
      <c r="R731" s="2" t="inlineStr"/>
    </row>
    <row r="732" ht="15" customHeight="1">
      <c r="A732" t="inlineStr">
        <is>
          <t>A 7774-2021</t>
        </is>
      </c>
      <c r="B732" s="1" t="n">
        <v>44242</v>
      </c>
      <c r="C732" s="1" t="n">
        <v>45932</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64780-2021</t>
        </is>
      </c>
      <c r="B733" s="1" t="n">
        <v>44512.47925925926</v>
      </c>
      <c r="C733" s="1" t="n">
        <v>45932</v>
      </c>
      <c r="D733" t="inlineStr">
        <is>
          <t>VÄRMLANDS LÄN</t>
        </is>
      </c>
      <c r="E733" t="inlineStr">
        <is>
          <t>TORSBY</t>
        </is>
      </c>
      <c r="G733" t="n">
        <v>2</v>
      </c>
      <c r="H733" t="n">
        <v>0</v>
      </c>
      <c r="I733" t="n">
        <v>0</v>
      </c>
      <c r="J733" t="n">
        <v>0</v>
      </c>
      <c r="K733" t="n">
        <v>0</v>
      </c>
      <c r="L733" t="n">
        <v>0</v>
      </c>
      <c r="M733" t="n">
        <v>0</v>
      </c>
      <c r="N733" t="n">
        <v>0</v>
      </c>
      <c r="O733" t="n">
        <v>0</v>
      </c>
      <c r="P733" t="n">
        <v>0</v>
      </c>
      <c r="Q733" t="n">
        <v>0</v>
      </c>
      <c r="R733" s="2" t="inlineStr"/>
    </row>
    <row r="734" ht="15" customHeight="1">
      <c r="A734" t="inlineStr">
        <is>
          <t>A 22642-2021</t>
        </is>
      </c>
      <c r="B734" s="1" t="n">
        <v>44327.485625</v>
      </c>
      <c r="C734" s="1" t="n">
        <v>45932</v>
      </c>
      <c r="D734" t="inlineStr">
        <is>
          <t>VÄRMLANDS LÄN</t>
        </is>
      </c>
      <c r="E734" t="inlineStr">
        <is>
          <t>HAGFORS</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5057-2022</t>
        </is>
      </c>
      <c r="B735" s="1" t="n">
        <v>44593</v>
      </c>
      <c r="C735" s="1" t="n">
        <v>45932</v>
      </c>
      <c r="D735" t="inlineStr">
        <is>
          <t>VÄRMLANDS LÄN</t>
        </is>
      </c>
      <c r="E735" t="inlineStr">
        <is>
          <t>KARLSTAD</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23786-2021</t>
        </is>
      </c>
      <c r="B736" s="1" t="n">
        <v>44335.30454861111</v>
      </c>
      <c r="C736" s="1" t="n">
        <v>45932</v>
      </c>
      <c r="D736" t="inlineStr">
        <is>
          <t>VÄRMLANDS LÄN</t>
        </is>
      </c>
      <c r="E736" t="inlineStr">
        <is>
          <t>KARLSTAD</t>
        </is>
      </c>
      <c r="G736" t="n">
        <v>1.4</v>
      </c>
      <c r="H736" t="n">
        <v>0</v>
      </c>
      <c r="I736" t="n">
        <v>0</v>
      </c>
      <c r="J736" t="n">
        <v>0</v>
      </c>
      <c r="K736" t="n">
        <v>0</v>
      </c>
      <c r="L736" t="n">
        <v>0</v>
      </c>
      <c r="M736" t="n">
        <v>0</v>
      </c>
      <c r="N736" t="n">
        <v>0</v>
      </c>
      <c r="O736" t="n">
        <v>0</v>
      </c>
      <c r="P736" t="n">
        <v>0</v>
      </c>
      <c r="Q736" t="n">
        <v>0</v>
      </c>
      <c r="R736" s="2" t="inlineStr"/>
    </row>
    <row r="737" ht="15" customHeight="1">
      <c r="A737" t="inlineStr">
        <is>
          <t>A 17664-2021</t>
        </is>
      </c>
      <c r="B737" s="1" t="n">
        <v>44299</v>
      </c>
      <c r="C737" s="1" t="n">
        <v>45932</v>
      </c>
      <c r="D737" t="inlineStr">
        <is>
          <t>VÄRMLANDS LÄN</t>
        </is>
      </c>
      <c r="E737" t="inlineStr">
        <is>
          <t>GRUMS</t>
        </is>
      </c>
      <c r="F737" t="inlineStr">
        <is>
          <t>Bergvik skog väst AB</t>
        </is>
      </c>
      <c r="G737" t="n">
        <v>17.3</v>
      </c>
      <c r="H737" t="n">
        <v>0</v>
      </c>
      <c r="I737" t="n">
        <v>0</v>
      </c>
      <c r="J737" t="n">
        <v>0</v>
      </c>
      <c r="K737" t="n">
        <v>0</v>
      </c>
      <c r="L737" t="n">
        <v>0</v>
      </c>
      <c r="M737" t="n">
        <v>0</v>
      </c>
      <c r="N737" t="n">
        <v>0</v>
      </c>
      <c r="O737" t="n">
        <v>0</v>
      </c>
      <c r="P737" t="n">
        <v>0</v>
      </c>
      <c r="Q737" t="n">
        <v>0</v>
      </c>
      <c r="R737" s="2" t="inlineStr"/>
    </row>
    <row r="738" ht="15" customHeight="1">
      <c r="A738" t="inlineStr">
        <is>
          <t>A 15437-2021</t>
        </is>
      </c>
      <c r="B738" s="1" t="n">
        <v>44285.37357638889</v>
      </c>
      <c r="C738" s="1" t="n">
        <v>45932</v>
      </c>
      <c r="D738" t="inlineStr">
        <is>
          <t>VÄRMLANDS LÄN</t>
        </is>
      </c>
      <c r="E738" t="inlineStr">
        <is>
          <t>KIL</t>
        </is>
      </c>
      <c r="G738" t="n">
        <v>0.5</v>
      </c>
      <c r="H738" t="n">
        <v>0</v>
      </c>
      <c r="I738" t="n">
        <v>0</v>
      </c>
      <c r="J738" t="n">
        <v>0</v>
      </c>
      <c r="K738" t="n">
        <v>0</v>
      </c>
      <c r="L738" t="n">
        <v>0</v>
      </c>
      <c r="M738" t="n">
        <v>0</v>
      </c>
      <c r="N738" t="n">
        <v>0</v>
      </c>
      <c r="O738" t="n">
        <v>0</v>
      </c>
      <c r="P738" t="n">
        <v>0</v>
      </c>
      <c r="Q738" t="n">
        <v>0</v>
      </c>
      <c r="R738" s="2" t="inlineStr"/>
    </row>
    <row r="739" ht="15" customHeight="1">
      <c r="A739" t="inlineStr">
        <is>
          <t>A 57708-2020</t>
        </is>
      </c>
      <c r="B739" s="1" t="n">
        <v>44140</v>
      </c>
      <c r="C739" s="1" t="n">
        <v>45932</v>
      </c>
      <c r="D739" t="inlineStr">
        <is>
          <t>VÄRMLANDS LÄN</t>
        </is>
      </c>
      <c r="E739" t="inlineStr">
        <is>
          <t>GRUMS</t>
        </is>
      </c>
      <c r="G739" t="n">
        <v>1.1</v>
      </c>
      <c r="H739" t="n">
        <v>0</v>
      </c>
      <c r="I739" t="n">
        <v>0</v>
      </c>
      <c r="J739" t="n">
        <v>0</v>
      </c>
      <c r="K739" t="n">
        <v>0</v>
      </c>
      <c r="L739" t="n">
        <v>0</v>
      </c>
      <c r="M739" t="n">
        <v>0</v>
      </c>
      <c r="N739" t="n">
        <v>0</v>
      </c>
      <c r="O739" t="n">
        <v>0</v>
      </c>
      <c r="P739" t="n">
        <v>0</v>
      </c>
      <c r="Q739" t="n">
        <v>0</v>
      </c>
      <c r="R739" s="2" t="inlineStr"/>
    </row>
    <row r="740" ht="15" customHeight="1">
      <c r="A740" t="inlineStr">
        <is>
          <t>A 70832-2021</t>
        </is>
      </c>
      <c r="B740" s="1" t="n">
        <v>44537</v>
      </c>
      <c r="C740" s="1" t="n">
        <v>45932</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45932</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45932</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44370.45907407408</v>
      </c>
      <c r="C743" s="1" t="n">
        <v>45932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45932</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13914-2021</t>
        </is>
      </c>
      <c r="B745" s="1" t="n">
        <v>44277.44908564815</v>
      </c>
      <c r="C745" s="1" t="n">
        <v>45932</v>
      </c>
      <c r="D745" t="inlineStr">
        <is>
          <t>VÄRMLANDS LÄN</t>
        </is>
      </c>
      <c r="E745" t="inlineStr">
        <is>
          <t>KRISTINEHAMN</t>
        </is>
      </c>
      <c r="G745" t="n">
        <v>0.9</v>
      </c>
      <c r="H745" t="n">
        <v>0</v>
      </c>
      <c r="I745" t="n">
        <v>0</v>
      </c>
      <c r="J745" t="n">
        <v>0</v>
      </c>
      <c r="K745" t="n">
        <v>0</v>
      </c>
      <c r="L745" t="n">
        <v>0</v>
      </c>
      <c r="M745" t="n">
        <v>0</v>
      </c>
      <c r="N745" t="n">
        <v>0</v>
      </c>
      <c r="O745" t="n">
        <v>0</v>
      </c>
      <c r="P745" t="n">
        <v>0</v>
      </c>
      <c r="Q745" t="n">
        <v>0</v>
      </c>
      <c r="R745" s="2" t="inlineStr"/>
    </row>
    <row r="746" ht="15" customHeight="1">
      <c r="A746" t="inlineStr">
        <is>
          <t>A 29700-2021</t>
        </is>
      </c>
      <c r="B746" s="1" t="n">
        <v>44362</v>
      </c>
      <c r="C746" s="1" t="n">
        <v>45932</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22971-2021</t>
        </is>
      </c>
      <c r="B747" s="1" t="n">
        <v>44328</v>
      </c>
      <c r="C747" s="1" t="n">
        <v>45932</v>
      </c>
      <c r="D747" t="inlineStr">
        <is>
          <t>VÄRMLANDS LÄN</t>
        </is>
      </c>
      <c r="E747" t="inlineStr">
        <is>
          <t>ARVIKA</t>
        </is>
      </c>
      <c r="G747" t="n">
        <v>0.5</v>
      </c>
      <c r="H747" t="n">
        <v>0</v>
      </c>
      <c r="I747" t="n">
        <v>0</v>
      </c>
      <c r="J747" t="n">
        <v>0</v>
      </c>
      <c r="K747" t="n">
        <v>0</v>
      </c>
      <c r="L747" t="n">
        <v>0</v>
      </c>
      <c r="M747" t="n">
        <v>0</v>
      </c>
      <c r="N747" t="n">
        <v>0</v>
      </c>
      <c r="O747" t="n">
        <v>0</v>
      </c>
      <c r="P747" t="n">
        <v>0</v>
      </c>
      <c r="Q747" t="n">
        <v>0</v>
      </c>
      <c r="R747" s="2" t="inlineStr"/>
    </row>
    <row r="748" ht="15" customHeight="1">
      <c r="A748" t="inlineStr">
        <is>
          <t>A 1048-2021</t>
        </is>
      </c>
      <c r="B748" s="1" t="n">
        <v>44207</v>
      </c>
      <c r="C748" s="1" t="n">
        <v>45932</v>
      </c>
      <c r="D748" t="inlineStr">
        <is>
          <t>VÄRMLANDS LÄN</t>
        </is>
      </c>
      <c r="E748" t="inlineStr">
        <is>
          <t>HAGFORS</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49876-2020</t>
        </is>
      </c>
      <c r="B749" s="1" t="n">
        <v>44107</v>
      </c>
      <c r="C749" s="1" t="n">
        <v>45932</v>
      </c>
      <c r="D749" t="inlineStr">
        <is>
          <t>VÄRMLANDS LÄN</t>
        </is>
      </c>
      <c r="E749" t="inlineStr">
        <is>
          <t>SUNNE</t>
        </is>
      </c>
      <c r="G749" t="n">
        <v>0.3</v>
      </c>
      <c r="H749" t="n">
        <v>0</v>
      </c>
      <c r="I749" t="n">
        <v>0</v>
      </c>
      <c r="J749" t="n">
        <v>0</v>
      </c>
      <c r="K749" t="n">
        <v>0</v>
      </c>
      <c r="L749" t="n">
        <v>0</v>
      </c>
      <c r="M749" t="n">
        <v>0</v>
      </c>
      <c r="N749" t="n">
        <v>0</v>
      </c>
      <c r="O749" t="n">
        <v>0</v>
      </c>
      <c r="P749" t="n">
        <v>0</v>
      </c>
      <c r="Q749" t="n">
        <v>0</v>
      </c>
      <c r="R749" s="2" t="inlineStr"/>
    </row>
    <row r="750" ht="15" customHeight="1">
      <c r="A750" t="inlineStr">
        <is>
          <t>A 20954-2021</t>
        </is>
      </c>
      <c r="B750" s="1" t="n">
        <v>44319.5371875</v>
      </c>
      <c r="C750" s="1" t="n">
        <v>45932</v>
      </c>
      <c r="D750" t="inlineStr">
        <is>
          <t>VÄRMLANDS LÄN</t>
        </is>
      </c>
      <c r="E750" t="inlineStr">
        <is>
          <t>FILIPSTAD</t>
        </is>
      </c>
      <c r="G750" t="n">
        <v>5.1</v>
      </c>
      <c r="H750" t="n">
        <v>0</v>
      </c>
      <c r="I750" t="n">
        <v>0</v>
      </c>
      <c r="J750" t="n">
        <v>0</v>
      </c>
      <c r="K750" t="n">
        <v>0</v>
      </c>
      <c r="L750" t="n">
        <v>0</v>
      </c>
      <c r="M750" t="n">
        <v>0</v>
      </c>
      <c r="N750" t="n">
        <v>0</v>
      </c>
      <c r="O750" t="n">
        <v>0</v>
      </c>
      <c r="P750" t="n">
        <v>0</v>
      </c>
      <c r="Q750" t="n">
        <v>0</v>
      </c>
      <c r="R750" s="2" t="inlineStr"/>
    </row>
    <row r="751" ht="15" customHeight="1">
      <c r="A751" t="inlineStr">
        <is>
          <t>A 68441-2020</t>
        </is>
      </c>
      <c r="B751" s="1" t="n">
        <v>44186</v>
      </c>
      <c r="C751" s="1" t="n">
        <v>45932</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66090-2021</t>
        </is>
      </c>
      <c r="B752" s="1" t="n">
        <v>44517</v>
      </c>
      <c r="C752" s="1" t="n">
        <v>45932</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45932</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22714-2021</t>
        </is>
      </c>
      <c r="B754" s="1" t="n">
        <v>44327.62684027778</v>
      </c>
      <c r="C754" s="1" t="n">
        <v>45932</v>
      </c>
      <c r="D754" t="inlineStr">
        <is>
          <t>VÄRMLANDS LÄN</t>
        </is>
      </c>
      <c r="E754" t="inlineStr">
        <is>
          <t>EDA</t>
        </is>
      </c>
      <c r="F754" t="inlineStr">
        <is>
          <t>Bergvik skog väst AB</t>
        </is>
      </c>
      <c r="G754" t="n">
        <v>14.3</v>
      </c>
      <c r="H754" t="n">
        <v>0</v>
      </c>
      <c r="I754" t="n">
        <v>0</v>
      </c>
      <c r="J754" t="n">
        <v>0</v>
      </c>
      <c r="K754" t="n">
        <v>0</v>
      </c>
      <c r="L754" t="n">
        <v>0</v>
      </c>
      <c r="M754" t="n">
        <v>0</v>
      </c>
      <c r="N754" t="n">
        <v>0</v>
      </c>
      <c r="O754" t="n">
        <v>0</v>
      </c>
      <c r="P754" t="n">
        <v>0</v>
      </c>
      <c r="Q754" t="n">
        <v>0</v>
      </c>
      <c r="R754" s="2" t="inlineStr"/>
    </row>
    <row r="755" ht="15" customHeight="1">
      <c r="A755" t="inlineStr">
        <is>
          <t>A 61638-2021</t>
        </is>
      </c>
      <c r="B755" s="1" t="n">
        <v>44501</v>
      </c>
      <c r="C755" s="1" t="n">
        <v>45932</v>
      </c>
      <c r="D755" t="inlineStr">
        <is>
          <t>VÄRMLANDS LÄN</t>
        </is>
      </c>
      <c r="E755" t="inlineStr">
        <is>
          <t>KIL</t>
        </is>
      </c>
      <c r="G755" t="n">
        <v>1.9</v>
      </c>
      <c r="H755" t="n">
        <v>0</v>
      </c>
      <c r="I755" t="n">
        <v>0</v>
      </c>
      <c r="J755" t="n">
        <v>0</v>
      </c>
      <c r="K755" t="n">
        <v>0</v>
      </c>
      <c r="L755" t="n">
        <v>0</v>
      </c>
      <c r="M755" t="n">
        <v>0</v>
      </c>
      <c r="N755" t="n">
        <v>0</v>
      </c>
      <c r="O755" t="n">
        <v>0</v>
      </c>
      <c r="P755" t="n">
        <v>0</v>
      </c>
      <c r="Q755" t="n">
        <v>0</v>
      </c>
      <c r="R755" s="2" t="inlineStr"/>
    </row>
    <row r="756" ht="15" customHeight="1">
      <c r="A756" t="inlineStr">
        <is>
          <t>A 22565-2021</t>
        </is>
      </c>
      <c r="B756" s="1" t="n">
        <v>44322</v>
      </c>
      <c r="C756" s="1" t="n">
        <v>45932</v>
      </c>
      <c r="D756" t="inlineStr">
        <is>
          <t>VÄRMLANDS LÄN</t>
        </is>
      </c>
      <c r="E756" t="inlineStr">
        <is>
          <t>ARVIKA</t>
        </is>
      </c>
      <c r="G756" t="n">
        <v>3.1</v>
      </c>
      <c r="H756" t="n">
        <v>0</v>
      </c>
      <c r="I756" t="n">
        <v>0</v>
      </c>
      <c r="J756" t="n">
        <v>0</v>
      </c>
      <c r="K756" t="n">
        <v>0</v>
      </c>
      <c r="L756" t="n">
        <v>0</v>
      </c>
      <c r="M756" t="n">
        <v>0</v>
      </c>
      <c r="N756" t="n">
        <v>0</v>
      </c>
      <c r="O756" t="n">
        <v>0</v>
      </c>
      <c r="P756" t="n">
        <v>0</v>
      </c>
      <c r="Q756" t="n">
        <v>0</v>
      </c>
      <c r="R756" s="2" t="inlineStr"/>
    </row>
    <row r="757" ht="15" customHeight="1">
      <c r="A757" t="inlineStr">
        <is>
          <t>A 62603-2021</t>
        </is>
      </c>
      <c r="B757" s="1" t="n">
        <v>44503.67972222222</v>
      </c>
      <c r="C757" s="1" t="n">
        <v>45932</v>
      </c>
      <c r="D757" t="inlineStr">
        <is>
          <t>VÄRMLANDS LÄN</t>
        </is>
      </c>
      <c r="E757" t="inlineStr">
        <is>
          <t>ARVIKA</t>
        </is>
      </c>
      <c r="G757" t="n">
        <v>1.2</v>
      </c>
      <c r="H757" t="n">
        <v>0</v>
      </c>
      <c r="I757" t="n">
        <v>0</v>
      </c>
      <c r="J757" t="n">
        <v>0</v>
      </c>
      <c r="K757" t="n">
        <v>0</v>
      </c>
      <c r="L757" t="n">
        <v>0</v>
      </c>
      <c r="M757" t="n">
        <v>0</v>
      </c>
      <c r="N757" t="n">
        <v>0</v>
      </c>
      <c r="O757" t="n">
        <v>0</v>
      </c>
      <c r="P757" t="n">
        <v>0</v>
      </c>
      <c r="Q757" t="n">
        <v>0</v>
      </c>
      <c r="R757" s="2" t="inlineStr"/>
    </row>
    <row r="758" ht="15" customHeight="1">
      <c r="A758" t="inlineStr">
        <is>
          <t>A 62612-2021</t>
        </is>
      </c>
      <c r="B758" s="1" t="n">
        <v>44503.69513888889</v>
      </c>
      <c r="C758" s="1" t="n">
        <v>45932</v>
      </c>
      <c r="D758" t="inlineStr">
        <is>
          <t>VÄRMLANDS LÄN</t>
        </is>
      </c>
      <c r="E758" t="inlineStr">
        <is>
          <t>ARVIKA</t>
        </is>
      </c>
      <c r="G758" t="n">
        <v>0.7</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45932</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45932</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74059-2021</t>
        </is>
      </c>
      <c r="B761" s="1" t="n">
        <v>44557</v>
      </c>
      <c r="C761" s="1" t="n">
        <v>45932</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74087-2021</t>
        </is>
      </c>
      <c r="B762" s="1" t="n">
        <v>44557.58512731481</v>
      </c>
      <c r="C762" s="1" t="n">
        <v>45932</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34634-2021</t>
        </is>
      </c>
      <c r="B763" s="1" t="n">
        <v>44382</v>
      </c>
      <c r="C763" s="1" t="n">
        <v>45932</v>
      </c>
      <c r="D763" t="inlineStr">
        <is>
          <t>VÄRMLANDS LÄN</t>
        </is>
      </c>
      <c r="E763" t="inlineStr">
        <is>
          <t>STORFORS</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339-2021</t>
        </is>
      </c>
      <c r="B764" s="1" t="n">
        <v>44201</v>
      </c>
      <c r="C764" s="1" t="n">
        <v>45932</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45932</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36643-2021</t>
        </is>
      </c>
      <c r="B766" s="1" t="n">
        <v>44392.32012731482</v>
      </c>
      <c r="C766" s="1" t="n">
        <v>45932</v>
      </c>
      <c r="D766" t="inlineStr">
        <is>
          <t>VÄRMLANDS LÄN</t>
        </is>
      </c>
      <c r="E766" t="inlineStr">
        <is>
          <t>ARVIKA</t>
        </is>
      </c>
      <c r="G766" t="n">
        <v>1.5</v>
      </c>
      <c r="H766" t="n">
        <v>0</v>
      </c>
      <c r="I766" t="n">
        <v>0</v>
      </c>
      <c r="J766" t="n">
        <v>0</v>
      </c>
      <c r="K766" t="n">
        <v>0</v>
      </c>
      <c r="L766" t="n">
        <v>0</v>
      </c>
      <c r="M766" t="n">
        <v>0</v>
      </c>
      <c r="N766" t="n">
        <v>0</v>
      </c>
      <c r="O766" t="n">
        <v>0</v>
      </c>
      <c r="P766" t="n">
        <v>0</v>
      </c>
      <c r="Q766" t="n">
        <v>0</v>
      </c>
      <c r="R766" s="2" t="inlineStr"/>
    </row>
    <row r="767" ht="15" customHeight="1">
      <c r="A767" t="inlineStr">
        <is>
          <t>A 1898-2022</t>
        </is>
      </c>
      <c r="B767" s="1" t="n">
        <v>44575.37143518519</v>
      </c>
      <c r="C767" s="1" t="n">
        <v>45932</v>
      </c>
      <c r="D767" t="inlineStr">
        <is>
          <t>VÄRMLANDS LÄN</t>
        </is>
      </c>
      <c r="E767" t="inlineStr">
        <is>
          <t>GRUMS</t>
        </is>
      </c>
      <c r="G767" t="n">
        <v>1</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45932</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45932</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70254-2021</t>
        </is>
      </c>
      <c r="B770" s="1" t="n">
        <v>44536</v>
      </c>
      <c r="C770" s="1" t="n">
        <v>45932</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53387-2021</t>
        </is>
      </c>
      <c r="B771" s="1" t="n">
        <v>44468</v>
      </c>
      <c r="C771" s="1" t="n">
        <v>45932</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45932</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71485-2021</t>
        </is>
      </c>
      <c r="B773" s="1" t="n">
        <v>44539</v>
      </c>
      <c r="C773" s="1" t="n">
        <v>45932</v>
      </c>
      <c r="D773" t="inlineStr">
        <is>
          <t>VÄRMLANDS LÄN</t>
        </is>
      </c>
      <c r="E773" t="inlineStr">
        <is>
          <t>SUNNE</t>
        </is>
      </c>
      <c r="G773" t="n">
        <v>2</v>
      </c>
      <c r="H773" t="n">
        <v>0</v>
      </c>
      <c r="I773" t="n">
        <v>0</v>
      </c>
      <c r="J773" t="n">
        <v>0</v>
      </c>
      <c r="K773" t="n">
        <v>0</v>
      </c>
      <c r="L773" t="n">
        <v>0</v>
      </c>
      <c r="M773" t="n">
        <v>0</v>
      </c>
      <c r="N773" t="n">
        <v>0</v>
      </c>
      <c r="O773" t="n">
        <v>0</v>
      </c>
      <c r="P773" t="n">
        <v>0</v>
      </c>
      <c r="Q773" t="n">
        <v>0</v>
      </c>
      <c r="R773" s="2" t="inlineStr"/>
    </row>
    <row r="774" ht="15" customHeight="1">
      <c r="A774" t="inlineStr">
        <is>
          <t>A 26377-2021</t>
        </is>
      </c>
      <c r="B774" s="1" t="n">
        <v>44347</v>
      </c>
      <c r="C774" s="1" t="n">
        <v>45932</v>
      </c>
      <c r="D774" t="inlineStr">
        <is>
          <t>VÄRMLANDS LÄN</t>
        </is>
      </c>
      <c r="E774" t="inlineStr">
        <is>
          <t>FILIPSTAD</t>
        </is>
      </c>
      <c r="F774" t="inlineStr">
        <is>
          <t>Bergvik skog väst AB</t>
        </is>
      </c>
      <c r="G774" t="n">
        <v>25.9</v>
      </c>
      <c r="H774" t="n">
        <v>0</v>
      </c>
      <c r="I774" t="n">
        <v>0</v>
      </c>
      <c r="J774" t="n">
        <v>0</v>
      </c>
      <c r="K774" t="n">
        <v>0</v>
      </c>
      <c r="L774" t="n">
        <v>0</v>
      </c>
      <c r="M774" t="n">
        <v>0</v>
      </c>
      <c r="N774" t="n">
        <v>0</v>
      </c>
      <c r="O774" t="n">
        <v>0</v>
      </c>
      <c r="P774" t="n">
        <v>0</v>
      </c>
      <c r="Q774" t="n">
        <v>0</v>
      </c>
      <c r="R774" s="2" t="inlineStr"/>
    </row>
    <row r="775" ht="15" customHeight="1">
      <c r="A775" t="inlineStr">
        <is>
          <t>A 72991-2021</t>
        </is>
      </c>
      <c r="B775" s="1" t="n">
        <v>44549.80984953704</v>
      </c>
      <c r="C775" s="1" t="n">
        <v>45932</v>
      </c>
      <c r="D775" t="inlineStr">
        <is>
          <t>VÄRMLANDS LÄN</t>
        </is>
      </c>
      <c r="E775" t="inlineStr">
        <is>
          <t>FORSHAGA</t>
        </is>
      </c>
      <c r="G775" t="n">
        <v>0.6</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45932</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38510-2021</t>
        </is>
      </c>
      <c r="B777" s="1" t="n">
        <v>44407</v>
      </c>
      <c r="C777" s="1" t="n">
        <v>45932</v>
      </c>
      <c r="D777" t="inlineStr">
        <is>
          <t>VÄRMLANDS LÄN</t>
        </is>
      </c>
      <c r="E777" t="inlineStr">
        <is>
          <t>SUNNE</t>
        </is>
      </c>
      <c r="G777" t="n">
        <v>0.2</v>
      </c>
      <c r="H777" t="n">
        <v>0</v>
      </c>
      <c r="I777" t="n">
        <v>0</v>
      </c>
      <c r="J777" t="n">
        <v>0</v>
      </c>
      <c r="K777" t="n">
        <v>0</v>
      </c>
      <c r="L777" t="n">
        <v>0</v>
      </c>
      <c r="M777" t="n">
        <v>0</v>
      </c>
      <c r="N777" t="n">
        <v>0</v>
      </c>
      <c r="O777" t="n">
        <v>0</v>
      </c>
      <c r="P777" t="n">
        <v>0</v>
      </c>
      <c r="Q777" t="n">
        <v>0</v>
      </c>
      <c r="R777" s="2" t="inlineStr"/>
    </row>
    <row r="778" ht="15" customHeight="1">
      <c r="A778" t="inlineStr">
        <is>
          <t>A 29980-2021</t>
        </is>
      </c>
      <c r="B778" s="1" t="n">
        <v>44363</v>
      </c>
      <c r="C778" s="1" t="n">
        <v>45932</v>
      </c>
      <c r="D778" t="inlineStr">
        <is>
          <t>VÄRMLANDS LÄN</t>
        </is>
      </c>
      <c r="E778" t="inlineStr">
        <is>
          <t>SUNNE</t>
        </is>
      </c>
      <c r="G778" t="n">
        <v>1.1</v>
      </c>
      <c r="H778" t="n">
        <v>0</v>
      </c>
      <c r="I778" t="n">
        <v>0</v>
      </c>
      <c r="J778" t="n">
        <v>0</v>
      </c>
      <c r="K778" t="n">
        <v>0</v>
      </c>
      <c r="L778" t="n">
        <v>0</v>
      </c>
      <c r="M778" t="n">
        <v>0</v>
      </c>
      <c r="N778" t="n">
        <v>0</v>
      </c>
      <c r="O778" t="n">
        <v>0</v>
      </c>
      <c r="P778" t="n">
        <v>0</v>
      </c>
      <c r="Q778" t="n">
        <v>0</v>
      </c>
      <c r="R778" s="2" t="inlineStr"/>
    </row>
    <row r="779" ht="15" customHeight="1">
      <c r="A779" t="inlineStr">
        <is>
          <t>A 40743-2021</t>
        </is>
      </c>
      <c r="B779" s="1" t="n">
        <v>44420</v>
      </c>
      <c r="C779" s="1" t="n">
        <v>45932</v>
      </c>
      <c r="D779" t="inlineStr">
        <is>
          <t>VÄRMLANDS LÄN</t>
        </is>
      </c>
      <c r="E779" t="inlineStr">
        <is>
          <t>ARVIKA</t>
        </is>
      </c>
      <c r="G779" t="n">
        <v>1</v>
      </c>
      <c r="H779" t="n">
        <v>0</v>
      </c>
      <c r="I779" t="n">
        <v>0</v>
      </c>
      <c r="J779" t="n">
        <v>0</v>
      </c>
      <c r="K779" t="n">
        <v>0</v>
      </c>
      <c r="L779" t="n">
        <v>0</v>
      </c>
      <c r="M779" t="n">
        <v>0</v>
      </c>
      <c r="N779" t="n">
        <v>0</v>
      </c>
      <c r="O779" t="n">
        <v>0</v>
      </c>
      <c r="P779" t="n">
        <v>0</v>
      </c>
      <c r="Q779" t="n">
        <v>0</v>
      </c>
      <c r="R779" s="2" t="inlineStr"/>
    </row>
    <row r="780" ht="15" customHeight="1">
      <c r="A780" t="inlineStr">
        <is>
          <t>A 10730-2021</t>
        </is>
      </c>
      <c r="B780" s="1" t="n">
        <v>44258</v>
      </c>
      <c r="C780" s="1" t="n">
        <v>45932</v>
      </c>
      <c r="D780" t="inlineStr">
        <is>
          <t>VÄRMLANDS LÄN</t>
        </is>
      </c>
      <c r="E780" t="inlineStr">
        <is>
          <t>EDA</t>
        </is>
      </c>
      <c r="G780" t="n">
        <v>2.1</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45932</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45932</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2184-2022</t>
        </is>
      </c>
      <c r="B783" s="1" t="n">
        <v>44578</v>
      </c>
      <c r="C783" s="1" t="n">
        <v>45932</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34900-2022</t>
        </is>
      </c>
      <c r="B784" s="1" t="n">
        <v>44796</v>
      </c>
      <c r="C784" s="1" t="n">
        <v>45932</v>
      </c>
      <c r="D784" t="inlineStr">
        <is>
          <t>VÄRMLANDS LÄN</t>
        </is>
      </c>
      <c r="E784" t="inlineStr">
        <is>
          <t>SUNNE</t>
        </is>
      </c>
      <c r="G784" t="n">
        <v>0.9</v>
      </c>
      <c r="H784" t="n">
        <v>0</v>
      </c>
      <c r="I784" t="n">
        <v>0</v>
      </c>
      <c r="J784" t="n">
        <v>0</v>
      </c>
      <c r="K784" t="n">
        <v>0</v>
      </c>
      <c r="L784" t="n">
        <v>0</v>
      </c>
      <c r="M784" t="n">
        <v>0</v>
      </c>
      <c r="N784" t="n">
        <v>0</v>
      </c>
      <c r="O784" t="n">
        <v>0</v>
      </c>
      <c r="P784" t="n">
        <v>0</v>
      </c>
      <c r="Q784" t="n">
        <v>0</v>
      </c>
      <c r="R784" s="2" t="inlineStr"/>
    </row>
    <row r="785" ht="15" customHeight="1">
      <c r="A785" t="inlineStr">
        <is>
          <t>A 11746-2022</t>
        </is>
      </c>
      <c r="B785" s="1" t="n">
        <v>44634</v>
      </c>
      <c r="C785" s="1" t="n">
        <v>45932</v>
      </c>
      <c r="D785" t="inlineStr">
        <is>
          <t>VÄRMLANDS LÄN</t>
        </is>
      </c>
      <c r="E785" t="inlineStr">
        <is>
          <t>KRISTINEHAMN</t>
        </is>
      </c>
      <c r="G785" t="n">
        <v>4.5</v>
      </c>
      <c r="H785" t="n">
        <v>0</v>
      </c>
      <c r="I785" t="n">
        <v>0</v>
      </c>
      <c r="J785" t="n">
        <v>0</v>
      </c>
      <c r="K785" t="n">
        <v>0</v>
      </c>
      <c r="L785" t="n">
        <v>0</v>
      </c>
      <c r="M785" t="n">
        <v>0</v>
      </c>
      <c r="N785" t="n">
        <v>0</v>
      </c>
      <c r="O785" t="n">
        <v>0</v>
      </c>
      <c r="P785" t="n">
        <v>0</v>
      </c>
      <c r="Q785" t="n">
        <v>0</v>
      </c>
      <c r="R785" s="2" t="inlineStr"/>
    </row>
    <row r="786" ht="15" customHeight="1">
      <c r="A786" t="inlineStr">
        <is>
          <t>A 69974-2021</t>
        </is>
      </c>
      <c r="B786" s="1" t="n">
        <v>44533</v>
      </c>
      <c r="C786" s="1" t="n">
        <v>45932</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2107-2021</t>
        </is>
      </c>
      <c r="B787" s="1" t="n">
        <v>44210</v>
      </c>
      <c r="C787" s="1" t="n">
        <v>45932</v>
      </c>
      <c r="D787" t="inlineStr">
        <is>
          <t>VÄRMLANDS LÄN</t>
        </is>
      </c>
      <c r="E787" t="inlineStr">
        <is>
          <t>KRISTINEHAMN</t>
        </is>
      </c>
      <c r="G787" t="n">
        <v>1.2</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45932</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20382-2022</t>
        </is>
      </c>
      <c r="B789" s="1" t="n">
        <v>44699</v>
      </c>
      <c r="C789" s="1" t="n">
        <v>45932</v>
      </c>
      <c r="D789" t="inlineStr">
        <is>
          <t>VÄRMLANDS LÄN</t>
        </is>
      </c>
      <c r="E789" t="inlineStr">
        <is>
          <t>TORSBY</t>
        </is>
      </c>
      <c r="G789" t="n">
        <v>14.3</v>
      </c>
      <c r="H789" t="n">
        <v>0</v>
      </c>
      <c r="I789" t="n">
        <v>0</v>
      </c>
      <c r="J789" t="n">
        <v>0</v>
      </c>
      <c r="K789" t="n">
        <v>0</v>
      </c>
      <c r="L789" t="n">
        <v>0</v>
      </c>
      <c r="M789" t="n">
        <v>0</v>
      </c>
      <c r="N789" t="n">
        <v>0</v>
      </c>
      <c r="O789" t="n">
        <v>0</v>
      </c>
      <c r="P789" t="n">
        <v>0</v>
      </c>
      <c r="Q789" t="n">
        <v>0</v>
      </c>
      <c r="R789" s="2" t="inlineStr"/>
    </row>
    <row r="790" ht="15" customHeight="1">
      <c r="A790" t="inlineStr">
        <is>
          <t>A 2419-2022</t>
        </is>
      </c>
      <c r="B790" s="1" t="n">
        <v>44579</v>
      </c>
      <c r="C790" s="1" t="n">
        <v>45932</v>
      </c>
      <c r="D790" t="inlineStr">
        <is>
          <t>VÄRMLANDS LÄN</t>
        </is>
      </c>
      <c r="E790" t="inlineStr">
        <is>
          <t>HAGFORS</t>
        </is>
      </c>
      <c r="G790" t="n">
        <v>0.6</v>
      </c>
      <c r="H790" t="n">
        <v>0</v>
      </c>
      <c r="I790" t="n">
        <v>0</v>
      </c>
      <c r="J790" t="n">
        <v>0</v>
      </c>
      <c r="K790" t="n">
        <v>0</v>
      </c>
      <c r="L790" t="n">
        <v>0</v>
      </c>
      <c r="M790" t="n">
        <v>0</v>
      </c>
      <c r="N790" t="n">
        <v>0</v>
      </c>
      <c r="O790" t="n">
        <v>0</v>
      </c>
      <c r="P790" t="n">
        <v>0</v>
      </c>
      <c r="Q790" t="n">
        <v>0</v>
      </c>
      <c r="R790" s="2" t="inlineStr"/>
    </row>
    <row r="791" ht="15" customHeight="1">
      <c r="A791" t="inlineStr">
        <is>
          <t>A 3907-2021</t>
        </is>
      </c>
      <c r="B791" s="1" t="n">
        <v>44217</v>
      </c>
      <c r="C791" s="1" t="n">
        <v>45932</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56271-2020</t>
        </is>
      </c>
      <c r="B792" s="1" t="n">
        <v>44134</v>
      </c>
      <c r="C792" s="1" t="n">
        <v>45932</v>
      </c>
      <c r="D792" t="inlineStr">
        <is>
          <t>VÄRMLANDS LÄN</t>
        </is>
      </c>
      <c r="E792" t="inlineStr">
        <is>
          <t>SÄFFLE</t>
        </is>
      </c>
      <c r="G792" t="n">
        <v>6.1</v>
      </c>
      <c r="H792" t="n">
        <v>0</v>
      </c>
      <c r="I792" t="n">
        <v>0</v>
      </c>
      <c r="J792" t="n">
        <v>0</v>
      </c>
      <c r="K792" t="n">
        <v>0</v>
      </c>
      <c r="L792" t="n">
        <v>0</v>
      </c>
      <c r="M792" t="n">
        <v>0</v>
      </c>
      <c r="N792" t="n">
        <v>0</v>
      </c>
      <c r="O792" t="n">
        <v>0</v>
      </c>
      <c r="P792" t="n">
        <v>0</v>
      </c>
      <c r="Q792" t="n">
        <v>0</v>
      </c>
      <c r="R792" s="2" t="inlineStr"/>
    </row>
    <row r="793" ht="15" customHeight="1">
      <c r="A793" t="inlineStr">
        <is>
          <t>A 11934-2022</t>
        </is>
      </c>
      <c r="B793" s="1" t="n">
        <v>44635</v>
      </c>
      <c r="C793" s="1" t="n">
        <v>45932</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5830-2022</t>
        </is>
      </c>
      <c r="B794" s="1" t="n">
        <v>44596.59916666667</v>
      </c>
      <c r="C794" s="1" t="n">
        <v>45932</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4607-2021</t>
        </is>
      </c>
      <c r="B795" s="1" t="n">
        <v>44224</v>
      </c>
      <c r="C795" s="1" t="n">
        <v>45932</v>
      </c>
      <c r="D795" t="inlineStr">
        <is>
          <t>VÄRMLANDS LÄN</t>
        </is>
      </c>
      <c r="E795" t="inlineStr">
        <is>
          <t>ÅRJÄNG</t>
        </is>
      </c>
      <c r="G795" t="n">
        <v>2.9</v>
      </c>
      <c r="H795" t="n">
        <v>0</v>
      </c>
      <c r="I795" t="n">
        <v>0</v>
      </c>
      <c r="J795" t="n">
        <v>0</v>
      </c>
      <c r="K795" t="n">
        <v>0</v>
      </c>
      <c r="L795" t="n">
        <v>0</v>
      </c>
      <c r="M795" t="n">
        <v>0</v>
      </c>
      <c r="N795" t="n">
        <v>0</v>
      </c>
      <c r="O795" t="n">
        <v>0</v>
      </c>
      <c r="P795" t="n">
        <v>0</v>
      </c>
      <c r="Q795" t="n">
        <v>0</v>
      </c>
      <c r="R795" s="2" t="inlineStr"/>
    </row>
    <row r="796" ht="15" customHeight="1">
      <c r="A796" t="inlineStr">
        <is>
          <t>A 65613-2020</t>
        </is>
      </c>
      <c r="B796" s="1" t="n">
        <v>44173</v>
      </c>
      <c r="C796" s="1" t="n">
        <v>45932</v>
      </c>
      <c r="D796" t="inlineStr">
        <is>
          <t>VÄRMLANDS LÄN</t>
        </is>
      </c>
      <c r="E796" t="inlineStr">
        <is>
          <t>EDA</t>
        </is>
      </c>
      <c r="G796" t="n">
        <v>3.2</v>
      </c>
      <c r="H796" t="n">
        <v>0</v>
      </c>
      <c r="I796" t="n">
        <v>0</v>
      </c>
      <c r="J796" t="n">
        <v>0</v>
      </c>
      <c r="K796" t="n">
        <v>0</v>
      </c>
      <c r="L796" t="n">
        <v>0</v>
      </c>
      <c r="M796" t="n">
        <v>0</v>
      </c>
      <c r="N796" t="n">
        <v>0</v>
      </c>
      <c r="O796" t="n">
        <v>0</v>
      </c>
      <c r="P796" t="n">
        <v>0</v>
      </c>
      <c r="Q796" t="n">
        <v>0</v>
      </c>
      <c r="R796" s="2" t="inlineStr"/>
    </row>
    <row r="797" ht="15" customHeight="1">
      <c r="A797" t="inlineStr">
        <is>
          <t>A 15932-2022</t>
        </is>
      </c>
      <c r="B797" s="1" t="n">
        <v>44664</v>
      </c>
      <c r="C797" s="1" t="n">
        <v>45932</v>
      </c>
      <c r="D797" t="inlineStr">
        <is>
          <t>VÄRMLANDS LÄN</t>
        </is>
      </c>
      <c r="E797" t="inlineStr">
        <is>
          <t>FILIPSTAD</t>
        </is>
      </c>
      <c r="F797" t="inlineStr">
        <is>
          <t>Bergvik skog väst AB</t>
        </is>
      </c>
      <c r="G797" t="n">
        <v>11.5</v>
      </c>
      <c r="H797" t="n">
        <v>0</v>
      </c>
      <c r="I797" t="n">
        <v>0</v>
      </c>
      <c r="J797" t="n">
        <v>0</v>
      </c>
      <c r="K797" t="n">
        <v>0</v>
      </c>
      <c r="L797" t="n">
        <v>0</v>
      </c>
      <c r="M797" t="n">
        <v>0</v>
      </c>
      <c r="N797" t="n">
        <v>0</v>
      </c>
      <c r="O797" t="n">
        <v>0</v>
      </c>
      <c r="P797" t="n">
        <v>0</v>
      </c>
      <c r="Q797" t="n">
        <v>0</v>
      </c>
      <c r="R797" s="2" t="inlineStr"/>
    </row>
    <row r="798" ht="15" customHeight="1">
      <c r="A798" t="inlineStr">
        <is>
          <t>A 17352-2022</t>
        </is>
      </c>
      <c r="B798" s="1" t="n">
        <v>44678.5905324074</v>
      </c>
      <c r="C798" s="1" t="n">
        <v>45932</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40355-2021</t>
        </is>
      </c>
      <c r="B799" s="1" t="n">
        <v>44419.58481481481</v>
      </c>
      <c r="C799" s="1" t="n">
        <v>45932</v>
      </c>
      <c r="D799" t="inlineStr">
        <is>
          <t>VÄRMLANDS LÄN</t>
        </is>
      </c>
      <c r="E799" t="inlineStr">
        <is>
          <t>EDA</t>
        </is>
      </c>
      <c r="G799" t="n">
        <v>2.8</v>
      </c>
      <c r="H799" t="n">
        <v>0</v>
      </c>
      <c r="I799" t="n">
        <v>0</v>
      </c>
      <c r="J799" t="n">
        <v>0</v>
      </c>
      <c r="K799" t="n">
        <v>0</v>
      </c>
      <c r="L799" t="n">
        <v>0</v>
      </c>
      <c r="M799" t="n">
        <v>0</v>
      </c>
      <c r="N799" t="n">
        <v>0</v>
      </c>
      <c r="O799" t="n">
        <v>0</v>
      </c>
      <c r="P799" t="n">
        <v>0</v>
      </c>
      <c r="Q799" t="n">
        <v>0</v>
      </c>
      <c r="R799" s="2" t="inlineStr"/>
    </row>
    <row r="800" ht="15" customHeight="1">
      <c r="A800" t="inlineStr">
        <is>
          <t>A 40243-2021</t>
        </is>
      </c>
      <c r="B800" s="1" t="n">
        <v>44419</v>
      </c>
      <c r="C800" s="1" t="n">
        <v>45932</v>
      </c>
      <c r="D800" t="inlineStr">
        <is>
          <t>VÄRMLANDS LÄN</t>
        </is>
      </c>
      <c r="E800" t="inlineStr">
        <is>
          <t>KRISTINEHAMN</t>
        </is>
      </c>
      <c r="G800" t="n">
        <v>3.1</v>
      </c>
      <c r="H800" t="n">
        <v>0</v>
      </c>
      <c r="I800" t="n">
        <v>0</v>
      </c>
      <c r="J800" t="n">
        <v>0</v>
      </c>
      <c r="K800" t="n">
        <v>0</v>
      </c>
      <c r="L800" t="n">
        <v>0</v>
      </c>
      <c r="M800" t="n">
        <v>0</v>
      </c>
      <c r="N800" t="n">
        <v>0</v>
      </c>
      <c r="O800" t="n">
        <v>0</v>
      </c>
      <c r="P800" t="n">
        <v>0</v>
      </c>
      <c r="Q800" t="n">
        <v>0</v>
      </c>
      <c r="R800" s="2" t="inlineStr"/>
    </row>
    <row r="801" ht="15" customHeight="1">
      <c r="A801" t="inlineStr">
        <is>
          <t>A 30450-2022</t>
        </is>
      </c>
      <c r="B801" s="1" t="n">
        <v>44761</v>
      </c>
      <c r="C801" s="1" t="n">
        <v>45932</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9687-2021</t>
        </is>
      </c>
      <c r="B802" s="1" t="n">
        <v>44252.4019212963</v>
      </c>
      <c r="C802" s="1" t="n">
        <v>45932</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37127-2021</t>
        </is>
      </c>
      <c r="B803" s="1" t="n">
        <v>44396</v>
      </c>
      <c r="C803" s="1" t="n">
        <v>45932</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40001-2021</t>
        </is>
      </c>
      <c r="B804" s="1" t="n">
        <v>44417</v>
      </c>
      <c r="C804" s="1" t="n">
        <v>45932</v>
      </c>
      <c r="D804" t="inlineStr">
        <is>
          <t>VÄRMLANDS LÄN</t>
        </is>
      </c>
      <c r="E804" t="inlineStr">
        <is>
          <t>ARVIKA</t>
        </is>
      </c>
      <c r="G804" t="n">
        <v>1.9</v>
      </c>
      <c r="H804" t="n">
        <v>0</v>
      </c>
      <c r="I804" t="n">
        <v>0</v>
      </c>
      <c r="J804" t="n">
        <v>0</v>
      </c>
      <c r="K804" t="n">
        <v>0</v>
      </c>
      <c r="L804" t="n">
        <v>0</v>
      </c>
      <c r="M804" t="n">
        <v>0</v>
      </c>
      <c r="N804" t="n">
        <v>0</v>
      </c>
      <c r="O804" t="n">
        <v>0</v>
      </c>
      <c r="P804" t="n">
        <v>0</v>
      </c>
      <c r="Q804" t="n">
        <v>0</v>
      </c>
      <c r="R804" s="2" t="inlineStr"/>
    </row>
    <row r="805" ht="15" customHeight="1">
      <c r="A805" t="inlineStr">
        <is>
          <t>A 40080-2021</t>
        </is>
      </c>
      <c r="B805" s="1" t="n">
        <v>44418</v>
      </c>
      <c r="C805" s="1" t="n">
        <v>45932</v>
      </c>
      <c r="D805" t="inlineStr">
        <is>
          <t>VÄRMLANDS LÄN</t>
        </is>
      </c>
      <c r="E805" t="inlineStr">
        <is>
          <t>EDA</t>
        </is>
      </c>
      <c r="G805" t="n">
        <v>0.7</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45932</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45932</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2114-2021</t>
        </is>
      </c>
      <c r="B808" s="1" t="n">
        <v>44210</v>
      </c>
      <c r="C808" s="1" t="n">
        <v>45932</v>
      </c>
      <c r="D808" t="inlineStr">
        <is>
          <t>VÄRMLANDS LÄN</t>
        </is>
      </c>
      <c r="E808" t="inlineStr">
        <is>
          <t>KRISTINEHAMN</t>
        </is>
      </c>
      <c r="G808" t="n">
        <v>1.6</v>
      </c>
      <c r="H808" t="n">
        <v>0</v>
      </c>
      <c r="I808" t="n">
        <v>0</v>
      </c>
      <c r="J808" t="n">
        <v>0</v>
      </c>
      <c r="K808" t="n">
        <v>0</v>
      </c>
      <c r="L808" t="n">
        <v>0</v>
      </c>
      <c r="M808" t="n">
        <v>0</v>
      </c>
      <c r="N808" t="n">
        <v>0</v>
      </c>
      <c r="O808" t="n">
        <v>0</v>
      </c>
      <c r="P808" t="n">
        <v>0</v>
      </c>
      <c r="Q808" t="n">
        <v>0</v>
      </c>
      <c r="R808" s="2" t="inlineStr"/>
    </row>
    <row r="809" ht="15" customHeight="1">
      <c r="A809" t="inlineStr">
        <is>
          <t>A 39826-2021</t>
        </is>
      </c>
      <c r="B809" s="1" t="n">
        <v>44417</v>
      </c>
      <c r="C809" s="1" t="n">
        <v>45932</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61868-2020</t>
        </is>
      </c>
      <c r="B810" s="1" t="n">
        <v>44155</v>
      </c>
      <c r="C810" s="1" t="n">
        <v>45932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22150-2022</t>
        </is>
      </c>
      <c r="B811" s="1" t="n">
        <v>44712</v>
      </c>
      <c r="C811" s="1" t="n">
        <v>45932</v>
      </c>
      <c r="D811" t="inlineStr">
        <is>
          <t>VÄRMLANDS LÄN</t>
        </is>
      </c>
      <c r="E811" t="inlineStr">
        <is>
          <t>EDA</t>
        </is>
      </c>
      <c r="G811" t="n">
        <v>6.3</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45932</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37191-2021</t>
        </is>
      </c>
      <c r="B813" s="1" t="n">
        <v>44396.61118055556</v>
      </c>
      <c r="C813" s="1" t="n">
        <v>45932</v>
      </c>
      <c r="D813" t="inlineStr">
        <is>
          <t>VÄRMLANDS LÄN</t>
        </is>
      </c>
      <c r="E813" t="inlineStr">
        <is>
          <t>SUNNE</t>
        </is>
      </c>
      <c r="G813" t="n">
        <v>1.2</v>
      </c>
      <c r="H813" t="n">
        <v>0</v>
      </c>
      <c r="I813" t="n">
        <v>0</v>
      </c>
      <c r="J813" t="n">
        <v>0</v>
      </c>
      <c r="K813" t="n">
        <v>0</v>
      </c>
      <c r="L813" t="n">
        <v>0</v>
      </c>
      <c r="M813" t="n">
        <v>0</v>
      </c>
      <c r="N813" t="n">
        <v>0</v>
      </c>
      <c r="O813" t="n">
        <v>0</v>
      </c>
      <c r="P813" t="n">
        <v>0</v>
      </c>
      <c r="Q813" t="n">
        <v>0</v>
      </c>
      <c r="R813" s="2" t="inlineStr"/>
    </row>
    <row r="814" ht="15" customHeight="1">
      <c r="A814" t="inlineStr">
        <is>
          <t>A 69230-2020</t>
        </is>
      </c>
      <c r="B814" s="1" t="n">
        <v>44192</v>
      </c>
      <c r="C814" s="1" t="n">
        <v>45932</v>
      </c>
      <c r="D814" t="inlineStr">
        <is>
          <t>VÄRMLANDS LÄN</t>
        </is>
      </c>
      <c r="E814" t="inlineStr">
        <is>
          <t>SUNNE</t>
        </is>
      </c>
      <c r="G814" t="n">
        <v>3.5</v>
      </c>
      <c r="H814" t="n">
        <v>0</v>
      </c>
      <c r="I814" t="n">
        <v>0</v>
      </c>
      <c r="J814" t="n">
        <v>0</v>
      </c>
      <c r="K814" t="n">
        <v>0</v>
      </c>
      <c r="L814" t="n">
        <v>0</v>
      </c>
      <c r="M814" t="n">
        <v>0</v>
      </c>
      <c r="N814" t="n">
        <v>0</v>
      </c>
      <c r="O814" t="n">
        <v>0</v>
      </c>
      <c r="P814" t="n">
        <v>0</v>
      </c>
      <c r="Q814" t="n">
        <v>0</v>
      </c>
      <c r="R814" s="2" t="inlineStr"/>
    </row>
    <row r="815" ht="15" customHeight="1">
      <c r="A815" t="inlineStr">
        <is>
          <t>A 69233-2020</t>
        </is>
      </c>
      <c r="B815" s="1" t="n">
        <v>44192</v>
      </c>
      <c r="C815" s="1" t="n">
        <v>45932</v>
      </c>
      <c r="D815" t="inlineStr">
        <is>
          <t>VÄRMLANDS LÄN</t>
        </is>
      </c>
      <c r="E815" t="inlineStr">
        <is>
          <t>SUNNE</t>
        </is>
      </c>
      <c r="G815" t="n">
        <v>0.5</v>
      </c>
      <c r="H815" t="n">
        <v>0</v>
      </c>
      <c r="I815" t="n">
        <v>0</v>
      </c>
      <c r="J815" t="n">
        <v>0</v>
      </c>
      <c r="K815" t="n">
        <v>0</v>
      </c>
      <c r="L815" t="n">
        <v>0</v>
      </c>
      <c r="M815" t="n">
        <v>0</v>
      </c>
      <c r="N815" t="n">
        <v>0</v>
      </c>
      <c r="O815" t="n">
        <v>0</v>
      </c>
      <c r="P815" t="n">
        <v>0</v>
      </c>
      <c r="Q815" t="n">
        <v>0</v>
      </c>
      <c r="R815" s="2" t="inlineStr"/>
    </row>
    <row r="816" ht="15" customHeight="1">
      <c r="A816" t="inlineStr">
        <is>
          <t>A 69367-2020</t>
        </is>
      </c>
      <c r="B816" s="1" t="n">
        <v>44193</v>
      </c>
      <c r="C816" s="1" t="n">
        <v>45932</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10133-2021</t>
        </is>
      </c>
      <c r="B817" s="1" t="n">
        <v>44256</v>
      </c>
      <c r="C817" s="1" t="n">
        <v>45932</v>
      </c>
      <c r="D817" t="inlineStr">
        <is>
          <t>VÄRMLANDS LÄN</t>
        </is>
      </c>
      <c r="E817" t="inlineStr">
        <is>
          <t>TORSBY</t>
        </is>
      </c>
      <c r="G817" t="n">
        <v>5</v>
      </c>
      <c r="H817" t="n">
        <v>0</v>
      </c>
      <c r="I817" t="n">
        <v>0</v>
      </c>
      <c r="J817" t="n">
        <v>0</v>
      </c>
      <c r="K817" t="n">
        <v>0</v>
      </c>
      <c r="L817" t="n">
        <v>0</v>
      </c>
      <c r="M817" t="n">
        <v>0</v>
      </c>
      <c r="N817" t="n">
        <v>0</v>
      </c>
      <c r="O817" t="n">
        <v>0</v>
      </c>
      <c r="P817" t="n">
        <v>0</v>
      </c>
      <c r="Q817" t="n">
        <v>0</v>
      </c>
      <c r="R817" s="2" t="inlineStr"/>
    </row>
    <row r="818" ht="15" customHeight="1">
      <c r="A818" t="inlineStr">
        <is>
          <t>A 6541-2022</t>
        </is>
      </c>
      <c r="B818" s="1" t="n">
        <v>44601.52177083334</v>
      </c>
      <c r="C818" s="1" t="n">
        <v>45932</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16867-2021</t>
        </is>
      </c>
      <c r="B819" s="1" t="n">
        <v>44295.43234953703</v>
      </c>
      <c r="C819" s="1" t="n">
        <v>45932</v>
      </c>
      <c r="D819" t="inlineStr">
        <is>
          <t>VÄRMLANDS LÄN</t>
        </is>
      </c>
      <c r="E819" t="inlineStr">
        <is>
          <t>ARVIKA</t>
        </is>
      </c>
      <c r="G819" t="n">
        <v>1.8</v>
      </c>
      <c r="H819" t="n">
        <v>0</v>
      </c>
      <c r="I819" t="n">
        <v>0</v>
      </c>
      <c r="J819" t="n">
        <v>0</v>
      </c>
      <c r="K819" t="n">
        <v>0</v>
      </c>
      <c r="L819" t="n">
        <v>0</v>
      </c>
      <c r="M819" t="n">
        <v>0</v>
      </c>
      <c r="N819" t="n">
        <v>0</v>
      </c>
      <c r="O819" t="n">
        <v>0</v>
      </c>
      <c r="P819" t="n">
        <v>0</v>
      </c>
      <c r="Q819" t="n">
        <v>0</v>
      </c>
      <c r="R819" s="2" t="inlineStr"/>
    </row>
    <row r="820" ht="15" customHeight="1">
      <c r="A820" t="inlineStr">
        <is>
          <t>A 10157-2021</t>
        </is>
      </c>
      <c r="B820" s="1" t="n">
        <v>44256</v>
      </c>
      <c r="C820" s="1" t="n">
        <v>45932</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45742-2021</t>
        </is>
      </c>
      <c r="B821" s="1" t="n">
        <v>44441</v>
      </c>
      <c r="C821" s="1" t="n">
        <v>45932</v>
      </c>
      <c r="D821" t="inlineStr">
        <is>
          <t>VÄRMLANDS LÄN</t>
        </is>
      </c>
      <c r="E821" t="inlineStr">
        <is>
          <t>FORSHAGA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45932</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9349-2022</t>
        </is>
      </c>
      <c r="B823" s="1" t="n">
        <v>44616</v>
      </c>
      <c r="C823" s="1" t="n">
        <v>45932</v>
      </c>
      <c r="D823" t="inlineStr">
        <is>
          <t>VÄRMLANDS LÄN</t>
        </is>
      </c>
      <c r="E823" t="inlineStr">
        <is>
          <t>FORSHAGA</t>
        </is>
      </c>
      <c r="G823" t="n">
        <v>2.6</v>
      </c>
      <c r="H823" t="n">
        <v>0</v>
      </c>
      <c r="I823" t="n">
        <v>0</v>
      </c>
      <c r="J823" t="n">
        <v>0</v>
      </c>
      <c r="K823" t="n">
        <v>0</v>
      </c>
      <c r="L823" t="n">
        <v>0</v>
      </c>
      <c r="M823" t="n">
        <v>0</v>
      </c>
      <c r="N823" t="n">
        <v>0</v>
      </c>
      <c r="O823" t="n">
        <v>0</v>
      </c>
      <c r="P823" t="n">
        <v>0</v>
      </c>
      <c r="Q823" t="n">
        <v>0</v>
      </c>
      <c r="R823" s="2" t="inlineStr"/>
    </row>
    <row r="824" ht="15" customHeight="1">
      <c r="A824" t="inlineStr">
        <is>
          <t>A 36506-2021</t>
        </is>
      </c>
      <c r="B824" s="1" t="n">
        <v>44391</v>
      </c>
      <c r="C824" s="1" t="n">
        <v>45932</v>
      </c>
      <c r="D824" t="inlineStr">
        <is>
          <t>VÄRMLANDS LÄN</t>
        </is>
      </c>
      <c r="E824" t="inlineStr">
        <is>
          <t>GRUMS</t>
        </is>
      </c>
      <c r="G824" t="n">
        <v>10.7</v>
      </c>
      <c r="H824" t="n">
        <v>0</v>
      </c>
      <c r="I824" t="n">
        <v>0</v>
      </c>
      <c r="J824" t="n">
        <v>0</v>
      </c>
      <c r="K824" t="n">
        <v>0</v>
      </c>
      <c r="L824" t="n">
        <v>0</v>
      </c>
      <c r="M824" t="n">
        <v>0</v>
      </c>
      <c r="N824" t="n">
        <v>0</v>
      </c>
      <c r="O824" t="n">
        <v>0</v>
      </c>
      <c r="P824" t="n">
        <v>0</v>
      </c>
      <c r="Q824" t="n">
        <v>0</v>
      </c>
      <c r="R824" s="2" t="inlineStr"/>
    </row>
    <row r="825" ht="15" customHeight="1">
      <c r="A825" t="inlineStr">
        <is>
          <t>A 46091-2022</t>
        </is>
      </c>
      <c r="B825" s="1" t="n">
        <v>44847</v>
      </c>
      <c r="C825" s="1" t="n">
        <v>45932</v>
      </c>
      <c r="D825" t="inlineStr">
        <is>
          <t>VÄRMLANDS LÄN</t>
        </is>
      </c>
      <c r="E825" t="inlineStr">
        <is>
          <t>ARVIKA</t>
        </is>
      </c>
      <c r="F825" t="inlineStr">
        <is>
          <t>Bergvik skog väst AB</t>
        </is>
      </c>
      <c r="G825" t="n">
        <v>20.9</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45932</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46647-2021</t>
        </is>
      </c>
      <c r="B827" s="1" t="n">
        <v>44445.59856481481</v>
      </c>
      <c r="C827" s="1" t="n">
        <v>45932</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47026-2021</t>
        </is>
      </c>
      <c r="B828" s="1" t="n">
        <v>44446</v>
      </c>
      <c r="C828" s="1" t="n">
        <v>45932</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47230-2021</t>
        </is>
      </c>
      <c r="B829" s="1" t="n">
        <v>44446</v>
      </c>
      <c r="C829" s="1" t="n">
        <v>45932</v>
      </c>
      <c r="D829" t="inlineStr">
        <is>
          <t>VÄRMLANDS LÄN</t>
        </is>
      </c>
      <c r="E829" t="inlineStr">
        <is>
          <t>ÅRJÄNG</t>
        </is>
      </c>
      <c r="G829" t="n">
        <v>6.2</v>
      </c>
      <c r="H829" t="n">
        <v>0</v>
      </c>
      <c r="I829" t="n">
        <v>0</v>
      </c>
      <c r="J829" t="n">
        <v>0</v>
      </c>
      <c r="K829" t="n">
        <v>0</v>
      </c>
      <c r="L829" t="n">
        <v>0</v>
      </c>
      <c r="M829" t="n">
        <v>0</v>
      </c>
      <c r="N829" t="n">
        <v>0</v>
      </c>
      <c r="O829" t="n">
        <v>0</v>
      </c>
      <c r="P829" t="n">
        <v>0</v>
      </c>
      <c r="Q829" t="n">
        <v>0</v>
      </c>
      <c r="R829" s="2" t="inlineStr"/>
    </row>
    <row r="830" ht="15" customHeight="1">
      <c r="A830" t="inlineStr">
        <is>
          <t>A 39572-2021</t>
        </is>
      </c>
      <c r="B830" s="1" t="n">
        <v>44416.77627314815</v>
      </c>
      <c r="C830" s="1" t="n">
        <v>45932</v>
      </c>
      <c r="D830" t="inlineStr">
        <is>
          <t>VÄRMLANDS LÄN</t>
        </is>
      </c>
      <c r="E830" t="inlineStr">
        <is>
          <t>SUNNE</t>
        </is>
      </c>
      <c r="G830" t="n">
        <v>3.6</v>
      </c>
      <c r="H830" t="n">
        <v>0</v>
      </c>
      <c r="I830" t="n">
        <v>0</v>
      </c>
      <c r="J830" t="n">
        <v>0</v>
      </c>
      <c r="K830" t="n">
        <v>0</v>
      </c>
      <c r="L830" t="n">
        <v>0</v>
      </c>
      <c r="M830" t="n">
        <v>0</v>
      </c>
      <c r="N830" t="n">
        <v>0</v>
      </c>
      <c r="O830" t="n">
        <v>0</v>
      </c>
      <c r="P830" t="n">
        <v>0</v>
      </c>
      <c r="Q830" t="n">
        <v>0</v>
      </c>
      <c r="R830" s="2" t="inlineStr"/>
    </row>
    <row r="831" ht="15" customHeight="1">
      <c r="A831" t="inlineStr">
        <is>
          <t>A 22897-2021</t>
        </is>
      </c>
      <c r="B831" s="1" t="n">
        <v>44328.4728125</v>
      </c>
      <c r="C831" s="1" t="n">
        <v>45932</v>
      </c>
      <c r="D831" t="inlineStr">
        <is>
          <t>VÄRMLANDS LÄN</t>
        </is>
      </c>
      <c r="E831" t="inlineStr">
        <is>
          <t>SÄFFLE</t>
        </is>
      </c>
      <c r="G831" t="n">
        <v>0.8</v>
      </c>
      <c r="H831" t="n">
        <v>0</v>
      </c>
      <c r="I831" t="n">
        <v>0</v>
      </c>
      <c r="J831" t="n">
        <v>0</v>
      </c>
      <c r="K831" t="n">
        <v>0</v>
      </c>
      <c r="L831" t="n">
        <v>0</v>
      </c>
      <c r="M831" t="n">
        <v>0</v>
      </c>
      <c r="N831" t="n">
        <v>0</v>
      </c>
      <c r="O831" t="n">
        <v>0</v>
      </c>
      <c r="P831" t="n">
        <v>0</v>
      </c>
      <c r="Q831" t="n">
        <v>0</v>
      </c>
      <c r="R831" s="2" t="inlineStr"/>
    </row>
    <row r="832" ht="15" customHeight="1">
      <c r="A832" t="inlineStr">
        <is>
          <t>A 38635-2021</t>
        </is>
      </c>
      <c r="B832" s="1" t="n">
        <v>44410</v>
      </c>
      <c r="C832" s="1" t="n">
        <v>45932</v>
      </c>
      <c r="D832" t="inlineStr">
        <is>
          <t>VÄRMLANDS LÄN</t>
        </is>
      </c>
      <c r="E832" t="inlineStr">
        <is>
          <t>KIL</t>
        </is>
      </c>
      <c r="G832" t="n">
        <v>3</v>
      </c>
      <c r="H832" t="n">
        <v>0</v>
      </c>
      <c r="I832" t="n">
        <v>0</v>
      </c>
      <c r="J832" t="n">
        <v>0</v>
      </c>
      <c r="K832" t="n">
        <v>0</v>
      </c>
      <c r="L832" t="n">
        <v>0</v>
      </c>
      <c r="M832" t="n">
        <v>0</v>
      </c>
      <c r="N832" t="n">
        <v>0</v>
      </c>
      <c r="O832" t="n">
        <v>0</v>
      </c>
      <c r="P832" t="n">
        <v>0</v>
      </c>
      <c r="Q832" t="n">
        <v>0</v>
      </c>
      <c r="R832" s="2" t="inlineStr"/>
    </row>
    <row r="833" ht="15" customHeight="1">
      <c r="A833" t="inlineStr">
        <is>
          <t>A 45937-2021</t>
        </is>
      </c>
      <c r="B833" s="1" t="n">
        <v>44441</v>
      </c>
      <c r="C833" s="1" t="n">
        <v>45932</v>
      </c>
      <c r="D833" t="inlineStr">
        <is>
          <t>VÄRMLANDS LÄN</t>
        </is>
      </c>
      <c r="E833" t="inlineStr">
        <is>
          <t>SUNNE</t>
        </is>
      </c>
      <c r="F833" t="inlineStr">
        <is>
          <t>Kommuner</t>
        </is>
      </c>
      <c r="G833" t="n">
        <v>2.3</v>
      </c>
      <c r="H833" t="n">
        <v>0</v>
      </c>
      <c r="I833" t="n">
        <v>0</v>
      </c>
      <c r="J833" t="n">
        <v>0</v>
      </c>
      <c r="K833" t="n">
        <v>0</v>
      </c>
      <c r="L833" t="n">
        <v>0</v>
      </c>
      <c r="M833" t="n">
        <v>0</v>
      </c>
      <c r="N833" t="n">
        <v>0</v>
      </c>
      <c r="O833" t="n">
        <v>0</v>
      </c>
      <c r="P833" t="n">
        <v>0</v>
      </c>
      <c r="Q833" t="n">
        <v>0</v>
      </c>
      <c r="R833" s="2" t="inlineStr"/>
    </row>
    <row r="834" ht="15" customHeight="1">
      <c r="A834" t="inlineStr">
        <is>
          <t>A 28392-2022</t>
        </is>
      </c>
      <c r="B834" s="1" t="n">
        <v>44747.57303240741</v>
      </c>
      <c r="C834" s="1" t="n">
        <v>45932</v>
      </c>
      <c r="D834" t="inlineStr">
        <is>
          <t>VÄRMLANDS LÄN</t>
        </is>
      </c>
      <c r="E834" t="inlineStr">
        <is>
          <t>SUNNE</t>
        </is>
      </c>
      <c r="G834" t="n">
        <v>0.3</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45932</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45932</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26045-2022</t>
        </is>
      </c>
      <c r="B837" s="1" t="n">
        <v>44734.59395833333</v>
      </c>
      <c r="C837" s="1" t="n">
        <v>45932</v>
      </c>
      <c r="D837" t="inlineStr">
        <is>
          <t>VÄRMLANDS LÄN</t>
        </is>
      </c>
      <c r="E837" t="inlineStr">
        <is>
          <t>KRISTINEHAMN</t>
        </is>
      </c>
      <c r="G837" t="n">
        <v>0.5</v>
      </c>
      <c r="H837" t="n">
        <v>0</v>
      </c>
      <c r="I837" t="n">
        <v>0</v>
      </c>
      <c r="J837" t="n">
        <v>0</v>
      </c>
      <c r="K837" t="n">
        <v>0</v>
      </c>
      <c r="L837" t="n">
        <v>0</v>
      </c>
      <c r="M837" t="n">
        <v>0</v>
      </c>
      <c r="N837" t="n">
        <v>0</v>
      </c>
      <c r="O837" t="n">
        <v>0</v>
      </c>
      <c r="P837" t="n">
        <v>0</v>
      </c>
      <c r="Q837" t="n">
        <v>0</v>
      </c>
      <c r="R837" s="2" t="inlineStr"/>
    </row>
    <row r="838" ht="15" customHeight="1">
      <c r="A838" t="inlineStr">
        <is>
          <t>A 10563-2021</t>
        </is>
      </c>
      <c r="B838" s="1" t="n">
        <v>44258</v>
      </c>
      <c r="C838" s="1" t="n">
        <v>45932</v>
      </c>
      <c r="D838" t="inlineStr">
        <is>
          <t>VÄRMLANDS LÄN</t>
        </is>
      </c>
      <c r="E838" t="inlineStr">
        <is>
          <t>SÄFFLE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56273-2021</t>
        </is>
      </c>
      <c r="B839" s="1" t="n">
        <v>44479.66202546296</v>
      </c>
      <c r="C839" s="1" t="n">
        <v>45932</v>
      </c>
      <c r="D839" t="inlineStr">
        <is>
          <t>VÄRMLANDS LÄN</t>
        </is>
      </c>
      <c r="E839" t="inlineStr">
        <is>
          <t>EDA</t>
        </is>
      </c>
      <c r="G839" t="n">
        <v>1</v>
      </c>
      <c r="H839" t="n">
        <v>0</v>
      </c>
      <c r="I839" t="n">
        <v>0</v>
      </c>
      <c r="J839" t="n">
        <v>0</v>
      </c>
      <c r="K839" t="n">
        <v>0</v>
      </c>
      <c r="L839" t="n">
        <v>0</v>
      </c>
      <c r="M839" t="n">
        <v>0</v>
      </c>
      <c r="N839" t="n">
        <v>0</v>
      </c>
      <c r="O839" t="n">
        <v>0</v>
      </c>
      <c r="P839" t="n">
        <v>0</v>
      </c>
      <c r="Q839" t="n">
        <v>0</v>
      </c>
      <c r="R839" s="2" t="inlineStr"/>
    </row>
    <row r="840" ht="15" customHeight="1">
      <c r="A840" t="inlineStr">
        <is>
          <t>A 37699-2021</t>
        </is>
      </c>
      <c r="B840" s="1" t="n">
        <v>44400.52291666667</v>
      </c>
      <c r="C840" s="1" t="n">
        <v>45932</v>
      </c>
      <c r="D840" t="inlineStr">
        <is>
          <t>VÄRMLANDS LÄN</t>
        </is>
      </c>
      <c r="E840" t="inlineStr">
        <is>
          <t>HAGFORS</t>
        </is>
      </c>
      <c r="F840" t="inlineStr">
        <is>
          <t>Bergvik skog väst AB</t>
        </is>
      </c>
      <c r="G840" t="n">
        <v>1.4</v>
      </c>
      <c r="H840" t="n">
        <v>0</v>
      </c>
      <c r="I840" t="n">
        <v>0</v>
      </c>
      <c r="J840" t="n">
        <v>0</v>
      </c>
      <c r="K840" t="n">
        <v>0</v>
      </c>
      <c r="L840" t="n">
        <v>0</v>
      </c>
      <c r="M840" t="n">
        <v>0</v>
      </c>
      <c r="N840" t="n">
        <v>0</v>
      </c>
      <c r="O840" t="n">
        <v>0</v>
      </c>
      <c r="P840" t="n">
        <v>0</v>
      </c>
      <c r="Q840" t="n">
        <v>0</v>
      </c>
      <c r="R840" s="2" t="inlineStr"/>
    </row>
    <row r="841" ht="15" customHeight="1">
      <c r="A841" t="inlineStr">
        <is>
          <t>A 10644-2021</t>
        </is>
      </c>
      <c r="B841" s="1" t="n">
        <v>44258</v>
      </c>
      <c r="C841" s="1" t="n">
        <v>45932</v>
      </c>
      <c r="D841" t="inlineStr">
        <is>
          <t>VÄRMLANDS LÄN</t>
        </is>
      </c>
      <c r="E841" t="inlineStr">
        <is>
          <t>SUNNE</t>
        </is>
      </c>
      <c r="G841" t="n">
        <v>0.6</v>
      </c>
      <c r="H841" t="n">
        <v>0</v>
      </c>
      <c r="I841" t="n">
        <v>0</v>
      </c>
      <c r="J841" t="n">
        <v>0</v>
      </c>
      <c r="K841" t="n">
        <v>0</v>
      </c>
      <c r="L841" t="n">
        <v>0</v>
      </c>
      <c r="M841" t="n">
        <v>0</v>
      </c>
      <c r="N841" t="n">
        <v>0</v>
      </c>
      <c r="O841" t="n">
        <v>0</v>
      </c>
      <c r="P841" t="n">
        <v>0</v>
      </c>
      <c r="Q841" t="n">
        <v>0</v>
      </c>
      <c r="R841" s="2" t="inlineStr"/>
    </row>
    <row r="842" ht="15" customHeight="1">
      <c r="A842" t="inlineStr">
        <is>
          <t>A 15853-2021</t>
        </is>
      </c>
      <c r="B842" s="1" t="n">
        <v>44286</v>
      </c>
      <c r="C842" s="1" t="n">
        <v>45932</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43161-2021</t>
        </is>
      </c>
      <c r="B843" s="1" t="n">
        <v>44431.72040509259</v>
      </c>
      <c r="C843" s="1" t="n">
        <v>45932</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15919-2021</t>
        </is>
      </c>
      <c r="B844" s="1" t="n">
        <v>44287</v>
      </c>
      <c r="C844" s="1" t="n">
        <v>45932</v>
      </c>
      <c r="D844" t="inlineStr">
        <is>
          <t>VÄRMLANDS LÄN</t>
        </is>
      </c>
      <c r="E844" t="inlineStr">
        <is>
          <t>KIL</t>
        </is>
      </c>
      <c r="G844" t="n">
        <v>5</v>
      </c>
      <c r="H844" t="n">
        <v>0</v>
      </c>
      <c r="I844" t="n">
        <v>0</v>
      </c>
      <c r="J844" t="n">
        <v>0</v>
      </c>
      <c r="K844" t="n">
        <v>0</v>
      </c>
      <c r="L844" t="n">
        <v>0</v>
      </c>
      <c r="M844" t="n">
        <v>0</v>
      </c>
      <c r="N844" t="n">
        <v>0</v>
      </c>
      <c r="O844" t="n">
        <v>0</v>
      </c>
      <c r="P844" t="n">
        <v>0</v>
      </c>
      <c r="Q844" t="n">
        <v>0</v>
      </c>
      <c r="R844" s="2" t="inlineStr"/>
    </row>
    <row r="845" ht="15" customHeight="1">
      <c r="A845" t="inlineStr">
        <is>
          <t>A 637-2021</t>
        </is>
      </c>
      <c r="B845" s="1" t="n">
        <v>44203</v>
      </c>
      <c r="C845" s="1" t="n">
        <v>45932</v>
      </c>
      <c r="D845" t="inlineStr">
        <is>
          <t>VÄRMLANDS LÄN</t>
        </is>
      </c>
      <c r="E845" t="inlineStr">
        <is>
          <t>KARLSTAD</t>
        </is>
      </c>
      <c r="F845" t="inlineStr">
        <is>
          <t>Kyrkan</t>
        </is>
      </c>
      <c r="G845" t="n">
        <v>2.8</v>
      </c>
      <c r="H845" t="n">
        <v>0</v>
      </c>
      <c r="I845" t="n">
        <v>0</v>
      </c>
      <c r="J845" t="n">
        <v>0</v>
      </c>
      <c r="K845" t="n">
        <v>0</v>
      </c>
      <c r="L845" t="n">
        <v>0</v>
      </c>
      <c r="M845" t="n">
        <v>0</v>
      </c>
      <c r="N845" t="n">
        <v>0</v>
      </c>
      <c r="O845" t="n">
        <v>0</v>
      </c>
      <c r="P845" t="n">
        <v>0</v>
      </c>
      <c r="Q845" t="n">
        <v>0</v>
      </c>
      <c r="R845" s="2" t="inlineStr"/>
    </row>
    <row r="846" ht="15" customHeight="1">
      <c r="A846" t="inlineStr">
        <is>
          <t>A 68728-2021</t>
        </is>
      </c>
      <c r="B846" s="1" t="n">
        <v>44529.75387731481</v>
      </c>
      <c r="C846" s="1" t="n">
        <v>45932</v>
      </c>
      <c r="D846" t="inlineStr">
        <is>
          <t>VÄRMLANDS LÄN</t>
        </is>
      </c>
      <c r="E846" t="inlineStr">
        <is>
          <t>KIL</t>
        </is>
      </c>
      <c r="G846" t="n">
        <v>6.3</v>
      </c>
      <c r="H846" t="n">
        <v>0</v>
      </c>
      <c r="I846" t="n">
        <v>0</v>
      </c>
      <c r="J846" t="n">
        <v>0</v>
      </c>
      <c r="K846" t="n">
        <v>0</v>
      </c>
      <c r="L846" t="n">
        <v>0</v>
      </c>
      <c r="M846" t="n">
        <v>0</v>
      </c>
      <c r="N846" t="n">
        <v>0</v>
      </c>
      <c r="O846" t="n">
        <v>0</v>
      </c>
      <c r="P846" t="n">
        <v>0</v>
      </c>
      <c r="Q846" t="n">
        <v>0</v>
      </c>
      <c r="R846" s="2" t="inlineStr"/>
    </row>
    <row r="847" ht="15" customHeight="1">
      <c r="A847" t="inlineStr">
        <is>
          <t>A 53486-2021</t>
        </is>
      </c>
      <c r="B847" s="1" t="n">
        <v>44468</v>
      </c>
      <c r="C847" s="1" t="n">
        <v>45932</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54430-2021</t>
        </is>
      </c>
      <c r="B848" s="1" t="n">
        <v>44473</v>
      </c>
      <c r="C848" s="1" t="n">
        <v>45932</v>
      </c>
      <c r="D848" t="inlineStr">
        <is>
          <t>VÄRMLANDS LÄN</t>
        </is>
      </c>
      <c r="E848" t="inlineStr">
        <is>
          <t>SÄFFLE</t>
        </is>
      </c>
      <c r="G848" t="n">
        <v>0.9</v>
      </c>
      <c r="H848" t="n">
        <v>0</v>
      </c>
      <c r="I848" t="n">
        <v>0</v>
      </c>
      <c r="J848" t="n">
        <v>0</v>
      </c>
      <c r="K848" t="n">
        <v>0</v>
      </c>
      <c r="L848" t="n">
        <v>0</v>
      </c>
      <c r="M848" t="n">
        <v>0</v>
      </c>
      <c r="N848" t="n">
        <v>0</v>
      </c>
      <c r="O848" t="n">
        <v>0</v>
      </c>
      <c r="P848" t="n">
        <v>0</v>
      </c>
      <c r="Q848" t="n">
        <v>0</v>
      </c>
      <c r="R848" s="2" t="inlineStr"/>
    </row>
    <row r="849" ht="15" customHeight="1">
      <c r="A849" t="inlineStr">
        <is>
          <t>A 7604-2021</t>
        </is>
      </c>
      <c r="B849" s="1" t="n">
        <v>44241</v>
      </c>
      <c r="C849" s="1" t="n">
        <v>45932</v>
      </c>
      <c r="D849" t="inlineStr">
        <is>
          <t>VÄRMLANDS LÄN</t>
        </is>
      </c>
      <c r="E849" t="inlineStr">
        <is>
          <t>HAGFORS</t>
        </is>
      </c>
      <c r="G849" t="n">
        <v>2.5</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45932</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21840-2021</t>
        </is>
      </c>
      <c r="B851" s="1" t="n">
        <v>44322</v>
      </c>
      <c r="C851" s="1" t="n">
        <v>45932</v>
      </c>
      <c r="D851" t="inlineStr">
        <is>
          <t>VÄRMLANDS LÄN</t>
        </is>
      </c>
      <c r="E851" t="inlineStr">
        <is>
          <t>KARLSTAD</t>
        </is>
      </c>
      <c r="G851" t="n">
        <v>9.6</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45932</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45932</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45932</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45932</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33951-2022</t>
        </is>
      </c>
      <c r="B856" s="1" t="n">
        <v>44790</v>
      </c>
      <c r="C856" s="1" t="n">
        <v>45932</v>
      </c>
      <c r="D856" t="inlineStr">
        <is>
          <t>VÄRMLANDS LÄN</t>
        </is>
      </c>
      <c r="E856" t="inlineStr">
        <is>
          <t>FORSHAGA</t>
        </is>
      </c>
      <c r="G856" t="n">
        <v>0.6</v>
      </c>
      <c r="H856" t="n">
        <v>0</v>
      </c>
      <c r="I856" t="n">
        <v>0</v>
      </c>
      <c r="J856" t="n">
        <v>0</v>
      </c>
      <c r="K856" t="n">
        <v>0</v>
      </c>
      <c r="L856" t="n">
        <v>0</v>
      </c>
      <c r="M856" t="n">
        <v>0</v>
      </c>
      <c r="N856" t="n">
        <v>0</v>
      </c>
      <c r="O856" t="n">
        <v>0</v>
      </c>
      <c r="P856" t="n">
        <v>0</v>
      </c>
      <c r="Q856" t="n">
        <v>0</v>
      </c>
      <c r="R856" s="2" t="inlineStr"/>
    </row>
    <row r="857" ht="15" customHeight="1">
      <c r="A857" t="inlineStr">
        <is>
          <t>A 38894-2021</t>
        </is>
      </c>
      <c r="B857" s="1" t="n">
        <v>44411</v>
      </c>
      <c r="C857" s="1" t="n">
        <v>45932</v>
      </c>
      <c r="D857" t="inlineStr">
        <is>
          <t>VÄRMLANDS LÄN</t>
        </is>
      </c>
      <c r="E857" t="inlineStr">
        <is>
          <t>ARVIKA</t>
        </is>
      </c>
      <c r="G857" t="n">
        <v>1.5</v>
      </c>
      <c r="H857" t="n">
        <v>0</v>
      </c>
      <c r="I857" t="n">
        <v>0</v>
      </c>
      <c r="J857" t="n">
        <v>0</v>
      </c>
      <c r="K857" t="n">
        <v>0</v>
      </c>
      <c r="L857" t="n">
        <v>0</v>
      </c>
      <c r="M857" t="n">
        <v>0</v>
      </c>
      <c r="N857" t="n">
        <v>0</v>
      </c>
      <c r="O857" t="n">
        <v>0</v>
      </c>
      <c r="P857" t="n">
        <v>0</v>
      </c>
      <c r="Q857" t="n">
        <v>0</v>
      </c>
      <c r="R857" s="2" t="inlineStr"/>
    </row>
    <row r="858" ht="15" customHeight="1">
      <c r="A858" t="inlineStr">
        <is>
          <t>A 24765-2021</t>
        </is>
      </c>
      <c r="B858" s="1" t="n">
        <v>44340.60861111111</v>
      </c>
      <c r="C858" s="1" t="n">
        <v>45932</v>
      </c>
      <c r="D858" t="inlineStr">
        <is>
          <t>VÄRMLANDS LÄN</t>
        </is>
      </c>
      <c r="E858" t="inlineStr">
        <is>
          <t>KIL</t>
        </is>
      </c>
      <c r="G858" t="n">
        <v>2.9</v>
      </c>
      <c r="H858" t="n">
        <v>0</v>
      </c>
      <c r="I858" t="n">
        <v>0</v>
      </c>
      <c r="J858" t="n">
        <v>0</v>
      </c>
      <c r="K858" t="n">
        <v>0</v>
      </c>
      <c r="L858" t="n">
        <v>0</v>
      </c>
      <c r="M858" t="n">
        <v>0</v>
      </c>
      <c r="N858" t="n">
        <v>0</v>
      </c>
      <c r="O858" t="n">
        <v>0</v>
      </c>
      <c r="P858" t="n">
        <v>0</v>
      </c>
      <c r="Q858" t="n">
        <v>0</v>
      </c>
      <c r="R858" s="2" t="inlineStr"/>
    </row>
    <row r="859" ht="15" customHeight="1">
      <c r="A859" t="inlineStr">
        <is>
          <t>A 11037-2022</t>
        </is>
      </c>
      <c r="B859" s="1" t="n">
        <v>44628</v>
      </c>
      <c r="C859" s="1" t="n">
        <v>45932</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48328-2022</t>
        </is>
      </c>
      <c r="B860" s="1" t="n">
        <v>44853</v>
      </c>
      <c r="C860" s="1" t="n">
        <v>45932</v>
      </c>
      <c r="D860" t="inlineStr">
        <is>
          <t>VÄRMLANDS LÄN</t>
        </is>
      </c>
      <c r="E860" t="inlineStr">
        <is>
          <t>TORSBY</t>
        </is>
      </c>
      <c r="G860" t="n">
        <v>0.4</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45932</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40819-2022</t>
        </is>
      </c>
      <c r="B862" s="1" t="n">
        <v>44824.76900462963</v>
      </c>
      <c r="C862" s="1" t="n">
        <v>45932</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57382-2021</t>
        </is>
      </c>
      <c r="B863" s="1" t="n">
        <v>44483</v>
      </c>
      <c r="C863" s="1" t="n">
        <v>45932</v>
      </c>
      <c r="D863" t="inlineStr">
        <is>
          <t>VÄRMLANDS LÄN</t>
        </is>
      </c>
      <c r="E863" t="inlineStr">
        <is>
          <t>SUNNE</t>
        </is>
      </c>
      <c r="G863" t="n">
        <v>1.3</v>
      </c>
      <c r="H863" t="n">
        <v>0</v>
      </c>
      <c r="I863" t="n">
        <v>0</v>
      </c>
      <c r="J863" t="n">
        <v>0</v>
      </c>
      <c r="K863" t="n">
        <v>0</v>
      </c>
      <c r="L863" t="n">
        <v>0</v>
      </c>
      <c r="M863" t="n">
        <v>0</v>
      </c>
      <c r="N863" t="n">
        <v>0</v>
      </c>
      <c r="O863" t="n">
        <v>0</v>
      </c>
      <c r="P863" t="n">
        <v>0</v>
      </c>
      <c r="Q863" t="n">
        <v>0</v>
      </c>
      <c r="R863" s="2" t="inlineStr"/>
    </row>
    <row r="864" ht="15" customHeight="1">
      <c r="A864" t="inlineStr">
        <is>
          <t>A 57431-2021</t>
        </is>
      </c>
      <c r="B864" s="1" t="n">
        <v>44475</v>
      </c>
      <c r="C864" s="1" t="n">
        <v>45932</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46429-2021</t>
        </is>
      </c>
      <c r="B865" s="1" t="n">
        <v>44441</v>
      </c>
      <c r="C865" s="1" t="n">
        <v>45932</v>
      </c>
      <c r="D865" t="inlineStr">
        <is>
          <t>VÄRMLANDS LÄN</t>
        </is>
      </c>
      <c r="E865" t="inlineStr">
        <is>
          <t>MUNKFORS</t>
        </is>
      </c>
      <c r="G865" t="n">
        <v>4.1</v>
      </c>
      <c r="H865" t="n">
        <v>0</v>
      </c>
      <c r="I865" t="n">
        <v>0</v>
      </c>
      <c r="J865" t="n">
        <v>0</v>
      </c>
      <c r="K865" t="n">
        <v>0</v>
      </c>
      <c r="L865" t="n">
        <v>0</v>
      </c>
      <c r="M865" t="n">
        <v>0</v>
      </c>
      <c r="N865" t="n">
        <v>0</v>
      </c>
      <c r="O865" t="n">
        <v>0</v>
      </c>
      <c r="P865" t="n">
        <v>0</v>
      </c>
      <c r="Q865" t="n">
        <v>0</v>
      </c>
      <c r="R865" s="2" t="inlineStr"/>
    </row>
    <row r="866" ht="15" customHeight="1">
      <c r="A866" t="inlineStr">
        <is>
          <t>A 29699-2021</t>
        </is>
      </c>
      <c r="B866" s="1" t="n">
        <v>44362</v>
      </c>
      <c r="C866" s="1" t="n">
        <v>45932</v>
      </c>
      <c r="D866" t="inlineStr">
        <is>
          <t>VÄRMLANDS LÄN</t>
        </is>
      </c>
      <c r="E866" t="inlineStr">
        <is>
          <t>SUNNE</t>
        </is>
      </c>
      <c r="G866" t="n">
        <v>2.1</v>
      </c>
      <c r="H866" t="n">
        <v>0</v>
      </c>
      <c r="I866" t="n">
        <v>0</v>
      </c>
      <c r="J866" t="n">
        <v>0</v>
      </c>
      <c r="K866" t="n">
        <v>0</v>
      </c>
      <c r="L866" t="n">
        <v>0</v>
      </c>
      <c r="M866" t="n">
        <v>0</v>
      </c>
      <c r="N866" t="n">
        <v>0</v>
      </c>
      <c r="O866" t="n">
        <v>0</v>
      </c>
      <c r="P866" t="n">
        <v>0</v>
      </c>
      <c r="Q866" t="n">
        <v>0</v>
      </c>
      <c r="R866" s="2" t="inlineStr"/>
    </row>
    <row r="867" ht="15" customHeight="1">
      <c r="A867" t="inlineStr">
        <is>
          <t>A 54186-2021</t>
        </is>
      </c>
      <c r="B867" s="1" t="n">
        <v>44470</v>
      </c>
      <c r="C867" s="1" t="n">
        <v>45932</v>
      </c>
      <c r="D867" t="inlineStr">
        <is>
          <t>VÄRMLANDS LÄN</t>
        </is>
      </c>
      <c r="E867" t="inlineStr">
        <is>
          <t>SUNNE</t>
        </is>
      </c>
      <c r="G867" t="n">
        <v>1.1</v>
      </c>
      <c r="H867" t="n">
        <v>0</v>
      </c>
      <c r="I867" t="n">
        <v>0</v>
      </c>
      <c r="J867" t="n">
        <v>0</v>
      </c>
      <c r="K867" t="n">
        <v>0</v>
      </c>
      <c r="L867" t="n">
        <v>0</v>
      </c>
      <c r="M867" t="n">
        <v>0</v>
      </c>
      <c r="N867" t="n">
        <v>0</v>
      </c>
      <c r="O867" t="n">
        <v>0</v>
      </c>
      <c r="P867" t="n">
        <v>0</v>
      </c>
      <c r="Q867" t="n">
        <v>0</v>
      </c>
      <c r="R867" s="2" t="inlineStr"/>
    </row>
    <row r="868" ht="15" customHeight="1">
      <c r="A868" t="inlineStr">
        <is>
          <t>A 20031-2022</t>
        </is>
      </c>
      <c r="B868" s="1" t="n">
        <v>44697.68364583333</v>
      </c>
      <c r="C868" s="1" t="n">
        <v>45932</v>
      </c>
      <c r="D868" t="inlineStr">
        <is>
          <t>VÄRMLANDS LÄN</t>
        </is>
      </c>
      <c r="E868" t="inlineStr">
        <is>
          <t>SUNNE</t>
        </is>
      </c>
      <c r="G868" t="n">
        <v>2.8</v>
      </c>
      <c r="H868" t="n">
        <v>0</v>
      </c>
      <c r="I868" t="n">
        <v>0</v>
      </c>
      <c r="J868" t="n">
        <v>0</v>
      </c>
      <c r="K868" t="n">
        <v>0</v>
      </c>
      <c r="L868" t="n">
        <v>0</v>
      </c>
      <c r="M868" t="n">
        <v>0</v>
      </c>
      <c r="N868" t="n">
        <v>0</v>
      </c>
      <c r="O868" t="n">
        <v>0</v>
      </c>
      <c r="P868" t="n">
        <v>0</v>
      </c>
      <c r="Q868" t="n">
        <v>0</v>
      </c>
      <c r="R868" s="2" t="inlineStr"/>
    </row>
    <row r="869" ht="15" customHeight="1">
      <c r="A869" t="inlineStr">
        <is>
          <t>A 34652-2022</t>
        </is>
      </c>
      <c r="B869" s="1" t="n">
        <v>44795</v>
      </c>
      <c r="C869" s="1" t="n">
        <v>45932</v>
      </c>
      <c r="D869" t="inlineStr">
        <is>
          <t>VÄRMLANDS LÄN</t>
        </is>
      </c>
      <c r="E869" t="inlineStr">
        <is>
          <t>GRUMS</t>
        </is>
      </c>
      <c r="G869" t="n">
        <v>1.2</v>
      </c>
      <c r="H869" t="n">
        <v>0</v>
      </c>
      <c r="I869" t="n">
        <v>0</v>
      </c>
      <c r="J869" t="n">
        <v>0</v>
      </c>
      <c r="K869" t="n">
        <v>0</v>
      </c>
      <c r="L869" t="n">
        <v>0</v>
      </c>
      <c r="M869" t="n">
        <v>0</v>
      </c>
      <c r="N869" t="n">
        <v>0</v>
      </c>
      <c r="O869" t="n">
        <v>0</v>
      </c>
      <c r="P869" t="n">
        <v>0</v>
      </c>
      <c r="Q869" t="n">
        <v>0</v>
      </c>
      <c r="R869" s="2" t="inlineStr"/>
    </row>
    <row r="870" ht="15" customHeight="1">
      <c r="A870" t="inlineStr">
        <is>
          <t>A 9319-2022</t>
        </is>
      </c>
      <c r="B870" s="1" t="n">
        <v>44616</v>
      </c>
      <c r="C870" s="1" t="n">
        <v>45932</v>
      </c>
      <c r="D870" t="inlineStr">
        <is>
          <t>VÄRMLANDS LÄN</t>
        </is>
      </c>
      <c r="E870" t="inlineStr">
        <is>
          <t>ARVIKA</t>
        </is>
      </c>
      <c r="G870" t="n">
        <v>0.6</v>
      </c>
      <c r="H870" t="n">
        <v>0</v>
      </c>
      <c r="I870" t="n">
        <v>0</v>
      </c>
      <c r="J870" t="n">
        <v>0</v>
      </c>
      <c r="K870" t="n">
        <v>0</v>
      </c>
      <c r="L870" t="n">
        <v>0</v>
      </c>
      <c r="M870" t="n">
        <v>0</v>
      </c>
      <c r="N870" t="n">
        <v>0</v>
      </c>
      <c r="O870" t="n">
        <v>0</v>
      </c>
      <c r="P870" t="n">
        <v>0</v>
      </c>
      <c r="Q870" t="n">
        <v>0</v>
      </c>
      <c r="R870" s="2" t="inlineStr"/>
    </row>
    <row r="871" ht="15" customHeight="1">
      <c r="A871" t="inlineStr">
        <is>
          <t>A 29717-2022</t>
        </is>
      </c>
      <c r="B871" s="1" t="n">
        <v>44755</v>
      </c>
      <c r="C871" s="1" t="n">
        <v>45932</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29721-2022</t>
        </is>
      </c>
      <c r="B872" s="1" t="n">
        <v>44755</v>
      </c>
      <c r="C872" s="1" t="n">
        <v>45932</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20023-2022</t>
        </is>
      </c>
      <c r="B873" s="1" t="n">
        <v>44697</v>
      </c>
      <c r="C873" s="1" t="n">
        <v>45932</v>
      </c>
      <c r="D873" t="inlineStr">
        <is>
          <t>VÄRMLANDS LÄN</t>
        </is>
      </c>
      <c r="E873" t="inlineStr">
        <is>
          <t>HAGFORS</t>
        </is>
      </c>
      <c r="F873" t="inlineStr">
        <is>
          <t>Bergvik skog väst AB</t>
        </is>
      </c>
      <c r="G873" t="n">
        <v>31.9</v>
      </c>
      <c r="H873" t="n">
        <v>0</v>
      </c>
      <c r="I873" t="n">
        <v>0</v>
      </c>
      <c r="J873" t="n">
        <v>0</v>
      </c>
      <c r="K873" t="n">
        <v>0</v>
      </c>
      <c r="L873" t="n">
        <v>0</v>
      </c>
      <c r="M873" t="n">
        <v>0</v>
      </c>
      <c r="N873" t="n">
        <v>0</v>
      </c>
      <c r="O873" t="n">
        <v>0</v>
      </c>
      <c r="P873" t="n">
        <v>0</v>
      </c>
      <c r="Q873" t="n">
        <v>0</v>
      </c>
      <c r="R873" s="2" t="inlineStr"/>
    </row>
    <row r="874" ht="15" customHeight="1">
      <c r="A874" t="inlineStr">
        <is>
          <t>A 70241-2021</t>
        </is>
      </c>
      <c r="B874" s="1" t="n">
        <v>44536</v>
      </c>
      <c r="C874" s="1" t="n">
        <v>45932</v>
      </c>
      <c r="D874" t="inlineStr">
        <is>
          <t>VÄRMLANDS LÄN</t>
        </is>
      </c>
      <c r="E874" t="inlineStr">
        <is>
          <t>TORSBY</t>
        </is>
      </c>
      <c r="F874" t="inlineStr">
        <is>
          <t>Bergvik skog väst AB</t>
        </is>
      </c>
      <c r="G874" t="n">
        <v>0.4</v>
      </c>
      <c r="H874" t="n">
        <v>0</v>
      </c>
      <c r="I874" t="n">
        <v>0</v>
      </c>
      <c r="J874" t="n">
        <v>0</v>
      </c>
      <c r="K874" t="n">
        <v>0</v>
      </c>
      <c r="L874" t="n">
        <v>0</v>
      </c>
      <c r="M874" t="n">
        <v>0</v>
      </c>
      <c r="N874" t="n">
        <v>0</v>
      </c>
      <c r="O874" t="n">
        <v>0</v>
      </c>
      <c r="P874" t="n">
        <v>0</v>
      </c>
      <c r="Q874" t="n">
        <v>0</v>
      </c>
      <c r="R874" s="2" t="inlineStr"/>
    </row>
    <row r="875" ht="15" customHeight="1">
      <c r="A875" t="inlineStr">
        <is>
          <t>A 5415-2022</t>
        </is>
      </c>
      <c r="B875" s="1" t="n">
        <v>44594</v>
      </c>
      <c r="C875" s="1" t="n">
        <v>45932</v>
      </c>
      <c r="D875" t="inlineStr">
        <is>
          <t>VÄRMLANDS LÄN</t>
        </is>
      </c>
      <c r="E875" t="inlineStr">
        <is>
          <t>KIL</t>
        </is>
      </c>
      <c r="G875" t="n">
        <v>1</v>
      </c>
      <c r="H875" t="n">
        <v>0</v>
      </c>
      <c r="I875" t="n">
        <v>0</v>
      </c>
      <c r="J875" t="n">
        <v>0</v>
      </c>
      <c r="K875" t="n">
        <v>0</v>
      </c>
      <c r="L875" t="n">
        <v>0</v>
      </c>
      <c r="M875" t="n">
        <v>0</v>
      </c>
      <c r="N875" t="n">
        <v>0</v>
      </c>
      <c r="O875" t="n">
        <v>0</v>
      </c>
      <c r="P875" t="n">
        <v>0</v>
      </c>
      <c r="Q875" t="n">
        <v>0</v>
      </c>
      <c r="R875" s="2" t="inlineStr"/>
    </row>
    <row r="876" ht="15" customHeight="1">
      <c r="A876" t="inlineStr">
        <is>
          <t>A 51247-2021</t>
        </is>
      </c>
      <c r="B876" s="1" t="n">
        <v>44461</v>
      </c>
      <c r="C876" s="1" t="n">
        <v>45932</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39971-2021</t>
        </is>
      </c>
      <c r="B877" s="1" t="n">
        <v>44418</v>
      </c>
      <c r="C877" s="1" t="n">
        <v>45932</v>
      </c>
      <c r="D877" t="inlineStr">
        <is>
          <t>VÄRMLANDS LÄN</t>
        </is>
      </c>
      <c r="E877" t="inlineStr">
        <is>
          <t>SÄFFLE</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2988-2022</t>
        </is>
      </c>
      <c r="B878" s="1" t="n">
        <v>44581</v>
      </c>
      <c r="C878" s="1" t="n">
        <v>45932</v>
      </c>
      <c r="D878" t="inlineStr">
        <is>
          <t>VÄRMLANDS LÄN</t>
        </is>
      </c>
      <c r="E878" t="inlineStr">
        <is>
          <t>SÄFFLE</t>
        </is>
      </c>
      <c r="G878" t="n">
        <v>10.4</v>
      </c>
      <c r="H878" t="n">
        <v>0</v>
      </c>
      <c r="I878" t="n">
        <v>0</v>
      </c>
      <c r="J878" t="n">
        <v>0</v>
      </c>
      <c r="K878" t="n">
        <v>0</v>
      </c>
      <c r="L878" t="n">
        <v>0</v>
      </c>
      <c r="M878" t="n">
        <v>0</v>
      </c>
      <c r="N878" t="n">
        <v>0</v>
      </c>
      <c r="O878" t="n">
        <v>0</v>
      </c>
      <c r="P878" t="n">
        <v>0</v>
      </c>
      <c r="Q878" t="n">
        <v>0</v>
      </c>
      <c r="R878" s="2" t="inlineStr"/>
    </row>
    <row r="879" ht="15" customHeight="1">
      <c r="A879" t="inlineStr">
        <is>
          <t>A 52242-2021</t>
        </is>
      </c>
      <c r="B879" s="1" t="n">
        <v>44463</v>
      </c>
      <c r="C879" s="1" t="n">
        <v>45932</v>
      </c>
      <c r="D879" t="inlineStr">
        <is>
          <t>VÄRMLANDS LÄN</t>
        </is>
      </c>
      <c r="E879" t="inlineStr">
        <is>
          <t>ÅRJÄNG</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50100-2021</t>
        </is>
      </c>
      <c r="B880" s="1" t="n">
        <v>44456.61945601852</v>
      </c>
      <c r="C880" s="1" t="n">
        <v>45932</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32443-2022</t>
        </is>
      </c>
      <c r="B881" s="1" t="n">
        <v>44782</v>
      </c>
      <c r="C881" s="1" t="n">
        <v>45932</v>
      </c>
      <c r="D881" t="inlineStr">
        <is>
          <t>VÄRMLANDS LÄN</t>
        </is>
      </c>
      <c r="E881" t="inlineStr">
        <is>
          <t>GRUMS</t>
        </is>
      </c>
      <c r="G881" t="n">
        <v>1.9</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45932</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53093-2021</t>
        </is>
      </c>
      <c r="B883" s="1" t="n">
        <v>44467</v>
      </c>
      <c r="C883" s="1" t="n">
        <v>45932</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21521-2022</t>
        </is>
      </c>
      <c r="B884" s="1" t="n">
        <v>44706</v>
      </c>
      <c r="C884" s="1" t="n">
        <v>45932</v>
      </c>
      <c r="D884" t="inlineStr">
        <is>
          <t>VÄRMLANDS LÄN</t>
        </is>
      </c>
      <c r="E884" t="inlineStr">
        <is>
          <t>TORSBY</t>
        </is>
      </c>
      <c r="G884" t="n">
        <v>0.1</v>
      </c>
      <c r="H884" t="n">
        <v>0</v>
      </c>
      <c r="I884" t="n">
        <v>0</v>
      </c>
      <c r="J884" t="n">
        <v>0</v>
      </c>
      <c r="K884" t="n">
        <v>0</v>
      </c>
      <c r="L884" t="n">
        <v>0</v>
      </c>
      <c r="M884" t="n">
        <v>0</v>
      </c>
      <c r="N884" t="n">
        <v>0</v>
      </c>
      <c r="O884" t="n">
        <v>0</v>
      </c>
      <c r="P884" t="n">
        <v>0</v>
      </c>
      <c r="Q884" t="n">
        <v>0</v>
      </c>
      <c r="R884" s="2" t="inlineStr"/>
    </row>
    <row r="885" ht="15" customHeight="1">
      <c r="A885" t="inlineStr">
        <is>
          <t>A 25454-2021</t>
        </is>
      </c>
      <c r="B885" s="1" t="n">
        <v>44342</v>
      </c>
      <c r="C885" s="1" t="n">
        <v>45932</v>
      </c>
      <c r="D885" t="inlineStr">
        <is>
          <t>VÄRMLANDS LÄN</t>
        </is>
      </c>
      <c r="E885" t="inlineStr">
        <is>
          <t>ARVIKA</t>
        </is>
      </c>
      <c r="G885" t="n">
        <v>1</v>
      </c>
      <c r="H885" t="n">
        <v>0</v>
      </c>
      <c r="I885" t="n">
        <v>0</v>
      </c>
      <c r="J885" t="n">
        <v>0</v>
      </c>
      <c r="K885" t="n">
        <v>0</v>
      </c>
      <c r="L885" t="n">
        <v>0</v>
      </c>
      <c r="M885" t="n">
        <v>0</v>
      </c>
      <c r="N885" t="n">
        <v>0</v>
      </c>
      <c r="O885" t="n">
        <v>0</v>
      </c>
      <c r="P885" t="n">
        <v>0</v>
      </c>
      <c r="Q885" t="n">
        <v>0</v>
      </c>
      <c r="R885" s="2" t="inlineStr"/>
    </row>
    <row r="886" ht="15" customHeight="1">
      <c r="A886" t="inlineStr">
        <is>
          <t>A 23656-2021</t>
        </is>
      </c>
      <c r="B886" s="1" t="n">
        <v>44334.5983449074</v>
      </c>
      <c r="C886" s="1" t="n">
        <v>45932</v>
      </c>
      <c r="D886" t="inlineStr">
        <is>
          <t>VÄRMLANDS LÄN</t>
        </is>
      </c>
      <c r="E886" t="inlineStr">
        <is>
          <t>SUNNE</t>
        </is>
      </c>
      <c r="G886" t="n">
        <v>4.2</v>
      </c>
      <c r="H886" t="n">
        <v>0</v>
      </c>
      <c r="I886" t="n">
        <v>0</v>
      </c>
      <c r="J886" t="n">
        <v>0</v>
      </c>
      <c r="K886" t="n">
        <v>0</v>
      </c>
      <c r="L886" t="n">
        <v>0</v>
      </c>
      <c r="M886" t="n">
        <v>0</v>
      </c>
      <c r="N886" t="n">
        <v>0</v>
      </c>
      <c r="O886" t="n">
        <v>0</v>
      </c>
      <c r="P886" t="n">
        <v>0</v>
      </c>
      <c r="Q886" t="n">
        <v>0</v>
      </c>
      <c r="R886" s="2" t="inlineStr"/>
    </row>
    <row r="887" ht="15" customHeight="1">
      <c r="A887" t="inlineStr">
        <is>
          <t>A 44425-2021</t>
        </is>
      </c>
      <c r="B887" s="1" t="n">
        <v>44435</v>
      </c>
      <c r="C887" s="1" t="n">
        <v>45932</v>
      </c>
      <c r="D887" t="inlineStr">
        <is>
          <t>VÄRMLANDS LÄN</t>
        </is>
      </c>
      <c r="E887" t="inlineStr">
        <is>
          <t>ARVIKA</t>
        </is>
      </c>
      <c r="G887" t="n">
        <v>0.7</v>
      </c>
      <c r="H887" t="n">
        <v>0</v>
      </c>
      <c r="I887" t="n">
        <v>0</v>
      </c>
      <c r="J887" t="n">
        <v>0</v>
      </c>
      <c r="K887" t="n">
        <v>0</v>
      </c>
      <c r="L887" t="n">
        <v>0</v>
      </c>
      <c r="M887" t="n">
        <v>0</v>
      </c>
      <c r="N887" t="n">
        <v>0</v>
      </c>
      <c r="O887" t="n">
        <v>0</v>
      </c>
      <c r="P887" t="n">
        <v>0</v>
      </c>
      <c r="Q887" t="n">
        <v>0</v>
      </c>
      <c r="R887" s="2" t="inlineStr"/>
    </row>
    <row r="888" ht="15" customHeight="1">
      <c r="A888" t="inlineStr">
        <is>
          <t>A 56272-2021</t>
        </is>
      </c>
      <c r="B888" s="1" t="n">
        <v>44479.66052083333</v>
      </c>
      <c r="C888" s="1" t="n">
        <v>45932</v>
      </c>
      <c r="D888" t="inlineStr">
        <is>
          <t>VÄRMLANDS LÄN</t>
        </is>
      </c>
      <c r="E888" t="inlineStr">
        <is>
          <t>EDA</t>
        </is>
      </c>
      <c r="G888" t="n">
        <v>2.5</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45932</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47045-2022</t>
        </is>
      </c>
      <c r="B890" s="1" t="n">
        <v>44852</v>
      </c>
      <c r="C890" s="1" t="n">
        <v>45932</v>
      </c>
      <c r="D890" t="inlineStr">
        <is>
          <t>VÄRMLANDS LÄN</t>
        </is>
      </c>
      <c r="E890" t="inlineStr">
        <is>
          <t>EDA</t>
        </is>
      </c>
      <c r="G890" t="n">
        <v>0.6</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45932</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43098-2021</t>
        </is>
      </c>
      <c r="B892" s="1" t="n">
        <v>44431</v>
      </c>
      <c r="C892" s="1" t="n">
        <v>45932</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23815-2021</t>
        </is>
      </c>
      <c r="B893" s="1" t="n">
        <v>44335.38148148148</v>
      </c>
      <c r="C893" s="1" t="n">
        <v>45932</v>
      </c>
      <c r="D893" t="inlineStr">
        <is>
          <t>VÄRMLANDS LÄN</t>
        </is>
      </c>
      <c r="E893" t="inlineStr">
        <is>
          <t>ÅRJÄNG</t>
        </is>
      </c>
      <c r="G893" t="n">
        <v>4.9</v>
      </c>
      <c r="H893" t="n">
        <v>0</v>
      </c>
      <c r="I893" t="n">
        <v>0</v>
      </c>
      <c r="J893" t="n">
        <v>0</v>
      </c>
      <c r="K893" t="n">
        <v>0</v>
      </c>
      <c r="L893" t="n">
        <v>0</v>
      </c>
      <c r="M893" t="n">
        <v>0</v>
      </c>
      <c r="N893" t="n">
        <v>0</v>
      </c>
      <c r="O893" t="n">
        <v>0</v>
      </c>
      <c r="P893" t="n">
        <v>0</v>
      </c>
      <c r="Q893" t="n">
        <v>0</v>
      </c>
      <c r="R893" s="2" t="inlineStr"/>
    </row>
    <row r="894" ht="15" customHeight="1">
      <c r="A894" t="inlineStr">
        <is>
          <t>A 23817-2021</t>
        </is>
      </c>
      <c r="B894" s="1" t="n">
        <v>44335.38469907407</v>
      </c>
      <c r="C894" s="1" t="n">
        <v>45932</v>
      </c>
      <c r="D894" t="inlineStr">
        <is>
          <t>VÄRMLANDS LÄN</t>
        </is>
      </c>
      <c r="E894" t="inlineStr">
        <is>
          <t>STORFORS</t>
        </is>
      </c>
      <c r="G894" t="n">
        <v>0.6</v>
      </c>
      <c r="H894" t="n">
        <v>0</v>
      </c>
      <c r="I894" t="n">
        <v>0</v>
      </c>
      <c r="J894" t="n">
        <v>0</v>
      </c>
      <c r="K894" t="n">
        <v>0</v>
      </c>
      <c r="L894" t="n">
        <v>0</v>
      </c>
      <c r="M894" t="n">
        <v>0</v>
      </c>
      <c r="N894" t="n">
        <v>0</v>
      </c>
      <c r="O894" t="n">
        <v>0</v>
      </c>
      <c r="P894" t="n">
        <v>0</v>
      </c>
      <c r="Q894" t="n">
        <v>0</v>
      </c>
      <c r="R894" s="2" t="inlineStr"/>
    </row>
    <row r="895" ht="15" customHeight="1">
      <c r="A895" t="inlineStr">
        <is>
          <t>A 23820-2021</t>
        </is>
      </c>
      <c r="B895" s="1" t="n">
        <v>44335</v>
      </c>
      <c r="C895" s="1" t="n">
        <v>45932</v>
      </c>
      <c r="D895" t="inlineStr">
        <is>
          <t>VÄRMLANDS LÄN</t>
        </is>
      </c>
      <c r="E895" t="inlineStr">
        <is>
          <t>STORFORS</t>
        </is>
      </c>
      <c r="G895" t="n">
        <v>0.4</v>
      </c>
      <c r="H895" t="n">
        <v>0</v>
      </c>
      <c r="I895" t="n">
        <v>0</v>
      </c>
      <c r="J895" t="n">
        <v>0</v>
      </c>
      <c r="K895" t="n">
        <v>0</v>
      </c>
      <c r="L895" t="n">
        <v>0</v>
      </c>
      <c r="M895" t="n">
        <v>0</v>
      </c>
      <c r="N895" t="n">
        <v>0</v>
      </c>
      <c r="O895" t="n">
        <v>0</v>
      </c>
      <c r="P895" t="n">
        <v>0</v>
      </c>
      <c r="Q895" t="n">
        <v>0</v>
      </c>
      <c r="R895" s="2" t="inlineStr"/>
    </row>
    <row r="896" ht="15" customHeight="1">
      <c r="A896" t="inlineStr">
        <is>
          <t>A 25792-2021</t>
        </is>
      </c>
      <c r="B896" s="1" t="n">
        <v>44343.85006944444</v>
      </c>
      <c r="C896" s="1" t="n">
        <v>45932</v>
      </c>
      <c r="D896" t="inlineStr">
        <is>
          <t>VÄRMLANDS LÄN</t>
        </is>
      </c>
      <c r="E896" t="inlineStr">
        <is>
          <t>SUNNE</t>
        </is>
      </c>
      <c r="G896" t="n">
        <v>1.1</v>
      </c>
      <c r="H896" t="n">
        <v>0</v>
      </c>
      <c r="I896" t="n">
        <v>0</v>
      </c>
      <c r="J896" t="n">
        <v>0</v>
      </c>
      <c r="K896" t="n">
        <v>0</v>
      </c>
      <c r="L896" t="n">
        <v>0</v>
      </c>
      <c r="M896" t="n">
        <v>0</v>
      </c>
      <c r="N896" t="n">
        <v>0</v>
      </c>
      <c r="O896" t="n">
        <v>0</v>
      </c>
      <c r="P896" t="n">
        <v>0</v>
      </c>
      <c r="Q896" t="n">
        <v>0</v>
      </c>
      <c r="R896" s="2" t="inlineStr"/>
    </row>
    <row r="897" ht="15" customHeight="1">
      <c r="A897" t="inlineStr">
        <is>
          <t>A 39768-2021</t>
        </is>
      </c>
      <c r="B897" s="1" t="n">
        <v>44417</v>
      </c>
      <c r="C897" s="1" t="n">
        <v>45932</v>
      </c>
      <c r="D897" t="inlineStr">
        <is>
          <t>VÄRMLANDS LÄN</t>
        </is>
      </c>
      <c r="E897" t="inlineStr">
        <is>
          <t>SUNNE</t>
        </is>
      </c>
      <c r="G897" t="n">
        <v>1.7</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45932</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4942-2022</t>
        </is>
      </c>
      <c r="B899" s="1" t="n">
        <v>44593</v>
      </c>
      <c r="C899" s="1" t="n">
        <v>45932</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65271-2021</t>
        </is>
      </c>
      <c r="B900" s="1" t="n">
        <v>44515.58267361111</v>
      </c>
      <c r="C900" s="1" t="n">
        <v>45932</v>
      </c>
      <c r="D900" t="inlineStr">
        <is>
          <t>VÄRMLANDS LÄN</t>
        </is>
      </c>
      <c r="E900" t="inlineStr">
        <is>
          <t>KIL</t>
        </is>
      </c>
      <c r="G900" t="n">
        <v>1</v>
      </c>
      <c r="H900" t="n">
        <v>0</v>
      </c>
      <c r="I900" t="n">
        <v>0</v>
      </c>
      <c r="J900" t="n">
        <v>0</v>
      </c>
      <c r="K900" t="n">
        <v>0</v>
      </c>
      <c r="L900" t="n">
        <v>0</v>
      </c>
      <c r="M900" t="n">
        <v>0</v>
      </c>
      <c r="N900" t="n">
        <v>0</v>
      </c>
      <c r="O900" t="n">
        <v>0</v>
      </c>
      <c r="P900" t="n">
        <v>0</v>
      </c>
      <c r="Q900" t="n">
        <v>0</v>
      </c>
      <c r="R900" s="2" t="inlineStr"/>
    </row>
    <row r="901" ht="15" customHeight="1">
      <c r="A901" t="inlineStr">
        <is>
          <t>A 41228-2022</t>
        </is>
      </c>
      <c r="B901" s="1" t="n">
        <v>44826.34005787037</v>
      </c>
      <c r="C901" s="1" t="n">
        <v>45932</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58460-2021</t>
        </is>
      </c>
      <c r="B902" s="1" t="n">
        <v>44488</v>
      </c>
      <c r="C902" s="1" t="n">
        <v>45932</v>
      </c>
      <c r="D902" t="inlineStr">
        <is>
          <t>VÄRMLANDS LÄN</t>
        </is>
      </c>
      <c r="E902" t="inlineStr">
        <is>
          <t>SÄFFLE</t>
        </is>
      </c>
      <c r="G902" t="n">
        <v>2.1</v>
      </c>
      <c r="H902" t="n">
        <v>0</v>
      </c>
      <c r="I902" t="n">
        <v>0</v>
      </c>
      <c r="J902" t="n">
        <v>0</v>
      </c>
      <c r="K902" t="n">
        <v>0</v>
      </c>
      <c r="L902" t="n">
        <v>0</v>
      </c>
      <c r="M902" t="n">
        <v>0</v>
      </c>
      <c r="N902" t="n">
        <v>0</v>
      </c>
      <c r="O902" t="n">
        <v>0</v>
      </c>
      <c r="P902" t="n">
        <v>0</v>
      </c>
      <c r="Q902" t="n">
        <v>0</v>
      </c>
      <c r="R902" s="2" t="inlineStr"/>
    </row>
    <row r="903" ht="15" customHeight="1">
      <c r="A903" t="inlineStr">
        <is>
          <t>A 23435-2021</t>
        </is>
      </c>
      <c r="B903" s="1" t="n">
        <v>44333.78368055556</v>
      </c>
      <c r="C903" s="1" t="n">
        <v>45932</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24092-2021</t>
        </is>
      </c>
      <c r="B904" s="1" t="n">
        <v>44336</v>
      </c>
      <c r="C904" s="1" t="n">
        <v>45932</v>
      </c>
      <c r="D904" t="inlineStr">
        <is>
          <t>VÄRMLANDS LÄN</t>
        </is>
      </c>
      <c r="E904" t="inlineStr">
        <is>
          <t>FORSHAGA</t>
        </is>
      </c>
      <c r="G904" t="n">
        <v>1.2</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45932</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45932</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45932</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45932</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67174-2021</t>
        </is>
      </c>
      <c r="B909" s="1" t="n">
        <v>44523</v>
      </c>
      <c r="C909" s="1" t="n">
        <v>45932</v>
      </c>
      <c r="D909" t="inlineStr">
        <is>
          <t>VÄRMLANDS LÄN</t>
        </is>
      </c>
      <c r="E909" t="inlineStr">
        <is>
          <t>SÄFFLE</t>
        </is>
      </c>
      <c r="G909" t="n">
        <v>2.8</v>
      </c>
      <c r="H909" t="n">
        <v>0</v>
      </c>
      <c r="I909" t="n">
        <v>0</v>
      </c>
      <c r="J909" t="n">
        <v>0</v>
      </c>
      <c r="K909" t="n">
        <v>0</v>
      </c>
      <c r="L909" t="n">
        <v>0</v>
      </c>
      <c r="M909" t="n">
        <v>0</v>
      </c>
      <c r="N909" t="n">
        <v>0</v>
      </c>
      <c r="O909" t="n">
        <v>0</v>
      </c>
      <c r="P909" t="n">
        <v>0</v>
      </c>
      <c r="Q909" t="n">
        <v>0</v>
      </c>
      <c r="R909" s="2" t="inlineStr"/>
    </row>
    <row r="910" ht="15" customHeight="1">
      <c r="A910" t="inlineStr">
        <is>
          <t>A 67175-2021</t>
        </is>
      </c>
      <c r="B910" s="1" t="n">
        <v>44523.42877314815</v>
      </c>
      <c r="C910" s="1" t="n">
        <v>45932</v>
      </c>
      <c r="D910" t="inlineStr">
        <is>
          <t>VÄRMLANDS LÄN</t>
        </is>
      </c>
      <c r="E910" t="inlineStr">
        <is>
          <t>SÄFFLE</t>
        </is>
      </c>
      <c r="G910" t="n">
        <v>1.6</v>
      </c>
      <c r="H910" t="n">
        <v>0</v>
      </c>
      <c r="I910" t="n">
        <v>0</v>
      </c>
      <c r="J910" t="n">
        <v>0</v>
      </c>
      <c r="K910" t="n">
        <v>0</v>
      </c>
      <c r="L910" t="n">
        <v>0</v>
      </c>
      <c r="M910" t="n">
        <v>0</v>
      </c>
      <c r="N910" t="n">
        <v>0</v>
      </c>
      <c r="O910" t="n">
        <v>0</v>
      </c>
      <c r="P910" t="n">
        <v>0</v>
      </c>
      <c r="Q910" t="n">
        <v>0</v>
      </c>
      <c r="R910" s="2" t="inlineStr"/>
    </row>
    <row r="911" ht="15" customHeight="1">
      <c r="A911" t="inlineStr">
        <is>
          <t>A 4740-2022</t>
        </is>
      </c>
      <c r="B911" s="1" t="n">
        <v>44592.56819444444</v>
      </c>
      <c r="C911" s="1" t="n">
        <v>45932</v>
      </c>
      <c r="D911" t="inlineStr">
        <is>
          <t>VÄRMLANDS LÄN</t>
        </is>
      </c>
      <c r="E911" t="inlineStr">
        <is>
          <t>ARVIKA</t>
        </is>
      </c>
      <c r="G911" t="n">
        <v>0.6</v>
      </c>
      <c r="H911" t="n">
        <v>0</v>
      </c>
      <c r="I911" t="n">
        <v>0</v>
      </c>
      <c r="J911" t="n">
        <v>0</v>
      </c>
      <c r="K911" t="n">
        <v>0</v>
      </c>
      <c r="L911" t="n">
        <v>0</v>
      </c>
      <c r="M911" t="n">
        <v>0</v>
      </c>
      <c r="N911" t="n">
        <v>0</v>
      </c>
      <c r="O911" t="n">
        <v>0</v>
      </c>
      <c r="P911" t="n">
        <v>0</v>
      </c>
      <c r="Q911" t="n">
        <v>0</v>
      </c>
      <c r="R911" s="2" t="inlineStr"/>
    </row>
    <row r="912" ht="15" customHeight="1">
      <c r="A912" t="inlineStr">
        <is>
          <t>A 30343-2021</t>
        </is>
      </c>
      <c r="B912" s="1" t="n">
        <v>44364.39788194445</v>
      </c>
      <c r="C912" s="1" t="n">
        <v>45932</v>
      </c>
      <c r="D912" t="inlineStr">
        <is>
          <t>VÄRMLANDS LÄN</t>
        </is>
      </c>
      <c r="E912" t="inlineStr">
        <is>
          <t>SUNNE</t>
        </is>
      </c>
      <c r="G912" t="n">
        <v>1.4</v>
      </c>
      <c r="H912" t="n">
        <v>0</v>
      </c>
      <c r="I912" t="n">
        <v>0</v>
      </c>
      <c r="J912" t="n">
        <v>0</v>
      </c>
      <c r="K912" t="n">
        <v>0</v>
      </c>
      <c r="L912" t="n">
        <v>0</v>
      </c>
      <c r="M912" t="n">
        <v>0</v>
      </c>
      <c r="N912" t="n">
        <v>0</v>
      </c>
      <c r="O912" t="n">
        <v>0</v>
      </c>
      <c r="P912" t="n">
        <v>0</v>
      </c>
      <c r="Q912" t="n">
        <v>0</v>
      </c>
      <c r="R912" s="2" t="inlineStr"/>
    </row>
    <row r="913" ht="15" customHeight="1">
      <c r="A913" t="inlineStr">
        <is>
          <t>A 30390-2021</t>
        </is>
      </c>
      <c r="B913" s="1" t="n">
        <v>44364</v>
      </c>
      <c r="C913" s="1" t="n">
        <v>45932</v>
      </c>
      <c r="D913" t="inlineStr">
        <is>
          <t>VÄRMLANDS LÄN</t>
        </is>
      </c>
      <c r="E913" t="inlineStr">
        <is>
          <t>HAGFORS</t>
        </is>
      </c>
      <c r="G913" t="n">
        <v>0.9</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45932</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13999-2022</t>
        </is>
      </c>
      <c r="B915" s="1" t="n">
        <v>44650</v>
      </c>
      <c r="C915" s="1" t="n">
        <v>45932</v>
      </c>
      <c r="D915" t="inlineStr">
        <is>
          <t>VÄRMLANDS LÄN</t>
        </is>
      </c>
      <c r="E915" t="inlineStr">
        <is>
          <t>KARLSTAD</t>
        </is>
      </c>
      <c r="G915" t="n">
        <v>1.3</v>
      </c>
      <c r="H915" t="n">
        <v>0</v>
      </c>
      <c r="I915" t="n">
        <v>0</v>
      </c>
      <c r="J915" t="n">
        <v>0</v>
      </c>
      <c r="K915" t="n">
        <v>0</v>
      </c>
      <c r="L915" t="n">
        <v>0</v>
      </c>
      <c r="M915" t="n">
        <v>0</v>
      </c>
      <c r="N915" t="n">
        <v>0</v>
      </c>
      <c r="O915" t="n">
        <v>0</v>
      </c>
      <c r="P915" t="n">
        <v>0</v>
      </c>
      <c r="Q915" t="n">
        <v>0</v>
      </c>
      <c r="R915" s="2" t="inlineStr"/>
    </row>
    <row r="916" ht="15" customHeight="1">
      <c r="A916" t="inlineStr">
        <is>
          <t>A 35198-2022</t>
        </is>
      </c>
      <c r="B916" s="1" t="n">
        <v>44797.66454861111</v>
      </c>
      <c r="C916" s="1" t="n">
        <v>45932</v>
      </c>
      <c r="D916" t="inlineStr">
        <is>
          <t>VÄRMLANDS LÄN</t>
        </is>
      </c>
      <c r="E916" t="inlineStr">
        <is>
          <t>EDA</t>
        </is>
      </c>
      <c r="G916" t="n">
        <v>2.2</v>
      </c>
      <c r="H916" t="n">
        <v>0</v>
      </c>
      <c r="I916" t="n">
        <v>0</v>
      </c>
      <c r="J916" t="n">
        <v>0</v>
      </c>
      <c r="K916" t="n">
        <v>0</v>
      </c>
      <c r="L916" t="n">
        <v>0</v>
      </c>
      <c r="M916" t="n">
        <v>0</v>
      </c>
      <c r="N916" t="n">
        <v>0</v>
      </c>
      <c r="O916" t="n">
        <v>0</v>
      </c>
      <c r="P916" t="n">
        <v>0</v>
      </c>
      <c r="Q916" t="n">
        <v>0</v>
      </c>
      <c r="R916" s="2" t="inlineStr"/>
    </row>
    <row r="917" ht="15" customHeight="1">
      <c r="A917" t="inlineStr">
        <is>
          <t>A 63527-2021</t>
        </is>
      </c>
      <c r="B917" s="1" t="n">
        <v>44508.65380787037</v>
      </c>
      <c r="C917" s="1" t="n">
        <v>45932</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39752-2021</t>
        </is>
      </c>
      <c r="B918" s="1" t="n">
        <v>44417</v>
      </c>
      <c r="C918" s="1" t="n">
        <v>45932</v>
      </c>
      <c r="D918" t="inlineStr">
        <is>
          <t>VÄRMLANDS LÄN</t>
        </is>
      </c>
      <c r="E918" t="inlineStr">
        <is>
          <t>ÅRJÄNG</t>
        </is>
      </c>
      <c r="F918" t="inlineStr">
        <is>
          <t>Bergvik skog väst AB</t>
        </is>
      </c>
      <c r="G918" t="n">
        <v>4.3</v>
      </c>
      <c r="H918" t="n">
        <v>0</v>
      </c>
      <c r="I918" t="n">
        <v>0</v>
      </c>
      <c r="J918" t="n">
        <v>0</v>
      </c>
      <c r="K918" t="n">
        <v>0</v>
      </c>
      <c r="L918" t="n">
        <v>0</v>
      </c>
      <c r="M918" t="n">
        <v>0</v>
      </c>
      <c r="N918" t="n">
        <v>0</v>
      </c>
      <c r="O918" t="n">
        <v>0</v>
      </c>
      <c r="P918" t="n">
        <v>0</v>
      </c>
      <c r="Q918" t="n">
        <v>0</v>
      </c>
      <c r="R918" s="2" t="inlineStr"/>
    </row>
    <row r="919" ht="15" customHeight="1">
      <c r="A919" t="inlineStr">
        <is>
          <t>A 23095-2022</t>
        </is>
      </c>
      <c r="B919" s="1" t="n">
        <v>44719.48916666667</v>
      </c>
      <c r="C919" s="1" t="n">
        <v>45932</v>
      </c>
      <c r="D919" t="inlineStr">
        <is>
          <t>VÄRMLANDS LÄN</t>
        </is>
      </c>
      <c r="E919" t="inlineStr">
        <is>
          <t>SÄFFLE</t>
        </is>
      </c>
      <c r="G919" t="n">
        <v>3.4</v>
      </c>
      <c r="H919" t="n">
        <v>0</v>
      </c>
      <c r="I919" t="n">
        <v>0</v>
      </c>
      <c r="J919" t="n">
        <v>0</v>
      </c>
      <c r="K919" t="n">
        <v>0</v>
      </c>
      <c r="L919" t="n">
        <v>0</v>
      </c>
      <c r="M919" t="n">
        <v>0</v>
      </c>
      <c r="N919" t="n">
        <v>0</v>
      </c>
      <c r="O919" t="n">
        <v>0</v>
      </c>
      <c r="P919" t="n">
        <v>0</v>
      </c>
      <c r="Q919" t="n">
        <v>0</v>
      </c>
      <c r="R919" s="2" t="inlineStr"/>
    </row>
    <row r="920" ht="15" customHeight="1">
      <c r="A920" t="inlineStr">
        <is>
          <t>A 46668-2022</t>
        </is>
      </c>
      <c r="B920" s="1" t="n">
        <v>44851.28905092592</v>
      </c>
      <c r="C920" s="1" t="n">
        <v>45932</v>
      </c>
      <c r="D920" t="inlineStr">
        <is>
          <t>VÄRMLANDS LÄN</t>
        </is>
      </c>
      <c r="E920" t="inlineStr">
        <is>
          <t>KRISTINEHAMN</t>
        </is>
      </c>
      <c r="G920" t="n">
        <v>0.5</v>
      </c>
      <c r="H920" t="n">
        <v>0</v>
      </c>
      <c r="I920" t="n">
        <v>0</v>
      </c>
      <c r="J920" t="n">
        <v>0</v>
      </c>
      <c r="K920" t="n">
        <v>0</v>
      </c>
      <c r="L920" t="n">
        <v>0</v>
      </c>
      <c r="M920" t="n">
        <v>0</v>
      </c>
      <c r="N920" t="n">
        <v>0</v>
      </c>
      <c r="O920" t="n">
        <v>0</v>
      </c>
      <c r="P920" t="n">
        <v>0</v>
      </c>
      <c r="Q920" t="n">
        <v>0</v>
      </c>
      <c r="R920" s="2" t="inlineStr"/>
    </row>
    <row r="921" ht="15" customHeight="1">
      <c r="A921" t="inlineStr">
        <is>
          <t>A 42070-2021</t>
        </is>
      </c>
      <c r="B921" s="1" t="n">
        <v>44426</v>
      </c>
      <c r="C921" s="1" t="n">
        <v>45932</v>
      </c>
      <c r="D921" t="inlineStr">
        <is>
          <t>VÄRMLANDS LÄN</t>
        </is>
      </c>
      <c r="E921" t="inlineStr">
        <is>
          <t>ARVIKA</t>
        </is>
      </c>
      <c r="G921" t="n">
        <v>1.5</v>
      </c>
      <c r="H921" t="n">
        <v>0</v>
      </c>
      <c r="I921" t="n">
        <v>0</v>
      </c>
      <c r="J921" t="n">
        <v>0</v>
      </c>
      <c r="K921" t="n">
        <v>0</v>
      </c>
      <c r="L921" t="n">
        <v>0</v>
      </c>
      <c r="M921" t="n">
        <v>0</v>
      </c>
      <c r="N921" t="n">
        <v>0</v>
      </c>
      <c r="O921" t="n">
        <v>0</v>
      </c>
      <c r="P921" t="n">
        <v>0</v>
      </c>
      <c r="Q921" t="n">
        <v>0</v>
      </c>
      <c r="R921" s="2" t="inlineStr"/>
    </row>
    <row r="922" ht="15" customHeight="1">
      <c r="A922" t="inlineStr">
        <is>
          <t>A 42091-2021</t>
        </is>
      </c>
      <c r="B922" s="1" t="n">
        <v>44426</v>
      </c>
      <c r="C922" s="1" t="n">
        <v>45932</v>
      </c>
      <c r="D922" t="inlineStr">
        <is>
          <t>VÄRMLANDS LÄN</t>
        </is>
      </c>
      <c r="E922" t="inlineStr">
        <is>
          <t>SUNNE</t>
        </is>
      </c>
      <c r="G922" t="n">
        <v>0.8</v>
      </c>
      <c r="H922" t="n">
        <v>0</v>
      </c>
      <c r="I922" t="n">
        <v>0</v>
      </c>
      <c r="J922" t="n">
        <v>0</v>
      </c>
      <c r="K922" t="n">
        <v>0</v>
      </c>
      <c r="L922" t="n">
        <v>0</v>
      </c>
      <c r="M922" t="n">
        <v>0</v>
      </c>
      <c r="N922" t="n">
        <v>0</v>
      </c>
      <c r="O922" t="n">
        <v>0</v>
      </c>
      <c r="P922" t="n">
        <v>0</v>
      </c>
      <c r="Q922" t="n">
        <v>0</v>
      </c>
      <c r="R922" s="2" t="inlineStr"/>
    </row>
    <row r="923" ht="15" customHeight="1">
      <c r="A923" t="inlineStr">
        <is>
          <t>A 1256-2022</t>
        </is>
      </c>
      <c r="B923" s="1" t="n">
        <v>44572</v>
      </c>
      <c r="C923" s="1" t="n">
        <v>45932</v>
      </c>
      <c r="D923" t="inlineStr">
        <is>
          <t>VÄRMLANDS LÄN</t>
        </is>
      </c>
      <c r="E923" t="inlineStr">
        <is>
          <t>KIL</t>
        </is>
      </c>
      <c r="G923" t="n">
        <v>5.4</v>
      </c>
      <c r="H923" t="n">
        <v>0</v>
      </c>
      <c r="I923" t="n">
        <v>0</v>
      </c>
      <c r="J923" t="n">
        <v>0</v>
      </c>
      <c r="K923" t="n">
        <v>0</v>
      </c>
      <c r="L923" t="n">
        <v>0</v>
      </c>
      <c r="M923" t="n">
        <v>0</v>
      </c>
      <c r="N923" t="n">
        <v>0</v>
      </c>
      <c r="O923" t="n">
        <v>0</v>
      </c>
      <c r="P923" t="n">
        <v>0</v>
      </c>
      <c r="Q923" t="n">
        <v>0</v>
      </c>
      <c r="R923" s="2" t="inlineStr"/>
    </row>
    <row r="924" ht="15" customHeight="1">
      <c r="A924" t="inlineStr">
        <is>
          <t>A 35265-2021</t>
        </is>
      </c>
      <c r="B924" s="1" t="n">
        <v>44384</v>
      </c>
      <c r="C924" s="1" t="n">
        <v>45932</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45932</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44331-2021</t>
        </is>
      </c>
      <c r="B926" s="1" t="n">
        <v>44435.40436342593</v>
      </c>
      <c r="C926" s="1" t="n">
        <v>45932</v>
      </c>
      <c r="D926" t="inlineStr">
        <is>
          <t>VÄRMLANDS LÄN</t>
        </is>
      </c>
      <c r="E926" t="inlineStr">
        <is>
          <t>ARVIKA</t>
        </is>
      </c>
      <c r="G926" t="n">
        <v>1.8</v>
      </c>
      <c r="H926" t="n">
        <v>0</v>
      </c>
      <c r="I926" t="n">
        <v>0</v>
      </c>
      <c r="J926" t="n">
        <v>0</v>
      </c>
      <c r="K926" t="n">
        <v>0</v>
      </c>
      <c r="L926" t="n">
        <v>0</v>
      </c>
      <c r="M926" t="n">
        <v>0</v>
      </c>
      <c r="N926" t="n">
        <v>0</v>
      </c>
      <c r="O926" t="n">
        <v>0</v>
      </c>
      <c r="P926" t="n">
        <v>0</v>
      </c>
      <c r="Q926" t="n">
        <v>0</v>
      </c>
      <c r="R926" s="2" t="inlineStr"/>
    </row>
    <row r="927" ht="15" customHeight="1">
      <c r="A927" t="inlineStr">
        <is>
          <t>A 55956-2022</t>
        </is>
      </c>
      <c r="B927" s="1" t="n">
        <v>44889.41892361111</v>
      </c>
      <c r="C927" s="1" t="n">
        <v>45932</v>
      </c>
      <c r="D927" t="inlineStr">
        <is>
          <t>VÄRMLANDS LÄN</t>
        </is>
      </c>
      <c r="E927" t="inlineStr">
        <is>
          <t>EDA</t>
        </is>
      </c>
      <c r="G927" t="n">
        <v>0.7</v>
      </c>
      <c r="H927" t="n">
        <v>0</v>
      </c>
      <c r="I927" t="n">
        <v>0</v>
      </c>
      <c r="J927" t="n">
        <v>0</v>
      </c>
      <c r="K927" t="n">
        <v>0</v>
      </c>
      <c r="L927" t="n">
        <v>0</v>
      </c>
      <c r="M927" t="n">
        <v>0</v>
      </c>
      <c r="N927" t="n">
        <v>0</v>
      </c>
      <c r="O927" t="n">
        <v>0</v>
      </c>
      <c r="P927" t="n">
        <v>0</v>
      </c>
      <c r="Q927" t="n">
        <v>0</v>
      </c>
      <c r="R927" s="2" t="inlineStr"/>
    </row>
    <row r="928" ht="15" customHeight="1">
      <c r="A928" t="inlineStr">
        <is>
          <t>A 72812-2021</t>
        </is>
      </c>
      <c r="B928" s="1" t="n">
        <v>44546</v>
      </c>
      <c r="C928" s="1" t="n">
        <v>45932</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37597-2021</t>
        </is>
      </c>
      <c r="B929" s="1" t="n">
        <v>44399.6515162037</v>
      </c>
      <c r="C929" s="1" t="n">
        <v>45932</v>
      </c>
      <c r="D929" t="inlineStr">
        <is>
          <t>VÄRMLANDS LÄN</t>
        </is>
      </c>
      <c r="E929" t="inlineStr">
        <is>
          <t>SUNNE</t>
        </is>
      </c>
      <c r="G929" t="n">
        <v>0.7</v>
      </c>
      <c r="H929" t="n">
        <v>0</v>
      </c>
      <c r="I929" t="n">
        <v>0</v>
      </c>
      <c r="J929" t="n">
        <v>0</v>
      </c>
      <c r="K929" t="n">
        <v>0</v>
      </c>
      <c r="L929" t="n">
        <v>0</v>
      </c>
      <c r="M929" t="n">
        <v>0</v>
      </c>
      <c r="N929" t="n">
        <v>0</v>
      </c>
      <c r="O929" t="n">
        <v>0</v>
      </c>
      <c r="P929" t="n">
        <v>0</v>
      </c>
      <c r="Q929" t="n">
        <v>0</v>
      </c>
      <c r="R929" s="2" t="inlineStr"/>
    </row>
    <row r="930" ht="15" customHeight="1">
      <c r="A930" t="inlineStr">
        <is>
          <t>A 37609-2021</t>
        </is>
      </c>
      <c r="B930" s="1" t="n">
        <v>44399</v>
      </c>
      <c r="C930" s="1" t="n">
        <v>45932</v>
      </c>
      <c r="D930" t="inlineStr">
        <is>
          <t>VÄRMLANDS LÄN</t>
        </is>
      </c>
      <c r="E930" t="inlineStr">
        <is>
          <t>TORSBY</t>
        </is>
      </c>
      <c r="G930" t="n">
        <v>0.2</v>
      </c>
      <c r="H930" t="n">
        <v>0</v>
      </c>
      <c r="I930" t="n">
        <v>0</v>
      </c>
      <c r="J930" t="n">
        <v>0</v>
      </c>
      <c r="K930" t="n">
        <v>0</v>
      </c>
      <c r="L930" t="n">
        <v>0</v>
      </c>
      <c r="M930" t="n">
        <v>0</v>
      </c>
      <c r="N930" t="n">
        <v>0</v>
      </c>
      <c r="O930" t="n">
        <v>0</v>
      </c>
      <c r="P930" t="n">
        <v>0</v>
      </c>
      <c r="Q930" t="n">
        <v>0</v>
      </c>
      <c r="R930" s="2" t="inlineStr"/>
    </row>
    <row r="931" ht="15" customHeight="1">
      <c r="A931" t="inlineStr">
        <is>
          <t>A 10519-2022</t>
        </is>
      </c>
      <c r="B931" s="1" t="n">
        <v>44623.79519675926</v>
      </c>
      <c r="C931" s="1" t="n">
        <v>45932</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45932</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45932</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45932</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45932</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45932</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45932</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55737-2020</t>
        </is>
      </c>
      <c r="B938" s="1" t="n">
        <v>44132</v>
      </c>
      <c r="C938" s="1" t="n">
        <v>45932</v>
      </c>
      <c r="D938" t="inlineStr">
        <is>
          <t>VÄRMLANDS LÄN</t>
        </is>
      </c>
      <c r="E938" t="inlineStr">
        <is>
          <t>KARLSTAD</t>
        </is>
      </c>
      <c r="G938" t="n">
        <v>1.1</v>
      </c>
      <c r="H938" t="n">
        <v>0</v>
      </c>
      <c r="I938" t="n">
        <v>0</v>
      </c>
      <c r="J938" t="n">
        <v>0</v>
      </c>
      <c r="K938" t="n">
        <v>0</v>
      </c>
      <c r="L938" t="n">
        <v>0</v>
      </c>
      <c r="M938" t="n">
        <v>0</v>
      </c>
      <c r="N938" t="n">
        <v>0</v>
      </c>
      <c r="O938" t="n">
        <v>0</v>
      </c>
      <c r="P938" t="n">
        <v>0</v>
      </c>
      <c r="Q938" t="n">
        <v>0</v>
      </c>
      <c r="R938" s="2" t="inlineStr"/>
    </row>
    <row r="939" ht="15" customHeight="1">
      <c r="A939" t="inlineStr">
        <is>
          <t>A 41590-2022</t>
        </is>
      </c>
      <c r="B939" s="1" t="n">
        <v>44827</v>
      </c>
      <c r="C939" s="1" t="n">
        <v>45932</v>
      </c>
      <c r="D939" t="inlineStr">
        <is>
          <t>VÄRMLANDS LÄN</t>
        </is>
      </c>
      <c r="E939" t="inlineStr">
        <is>
          <t>TORSBY</t>
        </is>
      </c>
      <c r="F939" t="inlineStr">
        <is>
          <t>Bergvik skog väst AB</t>
        </is>
      </c>
      <c r="G939" t="n">
        <v>42.5</v>
      </c>
      <c r="H939" t="n">
        <v>0</v>
      </c>
      <c r="I939" t="n">
        <v>0</v>
      </c>
      <c r="J939" t="n">
        <v>0</v>
      </c>
      <c r="K939" t="n">
        <v>0</v>
      </c>
      <c r="L939" t="n">
        <v>0</v>
      </c>
      <c r="M939" t="n">
        <v>0</v>
      </c>
      <c r="N939" t="n">
        <v>0</v>
      </c>
      <c r="O939" t="n">
        <v>0</v>
      </c>
      <c r="P939" t="n">
        <v>0</v>
      </c>
      <c r="Q939" t="n">
        <v>0</v>
      </c>
      <c r="R939" s="2" t="inlineStr"/>
    </row>
    <row r="940" ht="15" customHeight="1">
      <c r="A940" t="inlineStr">
        <is>
          <t>A 45265-2021</t>
        </is>
      </c>
      <c r="B940" s="1" t="n">
        <v>44439</v>
      </c>
      <c r="C940" s="1" t="n">
        <v>45932</v>
      </c>
      <c r="D940" t="inlineStr">
        <is>
          <t>VÄRMLANDS LÄN</t>
        </is>
      </c>
      <c r="E940" t="inlineStr">
        <is>
          <t>SUNNE</t>
        </is>
      </c>
      <c r="G940" t="n">
        <v>4.5</v>
      </c>
      <c r="H940" t="n">
        <v>0</v>
      </c>
      <c r="I940" t="n">
        <v>0</v>
      </c>
      <c r="J940" t="n">
        <v>0</v>
      </c>
      <c r="K940" t="n">
        <v>0</v>
      </c>
      <c r="L940" t="n">
        <v>0</v>
      </c>
      <c r="M940" t="n">
        <v>0</v>
      </c>
      <c r="N940" t="n">
        <v>0</v>
      </c>
      <c r="O940" t="n">
        <v>0</v>
      </c>
      <c r="P940" t="n">
        <v>0</v>
      </c>
      <c r="Q940" t="n">
        <v>0</v>
      </c>
      <c r="R940" s="2" t="inlineStr"/>
    </row>
    <row r="941" ht="15" customHeight="1">
      <c r="A941" t="inlineStr">
        <is>
          <t>A 49180-2021</t>
        </is>
      </c>
      <c r="B941" s="1" t="n">
        <v>44454.31089120371</v>
      </c>
      <c r="C941" s="1" t="n">
        <v>45932</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58713-2020</t>
        </is>
      </c>
      <c r="B942" s="1" t="n">
        <v>44146</v>
      </c>
      <c r="C942" s="1" t="n">
        <v>45932</v>
      </c>
      <c r="D942" t="inlineStr">
        <is>
          <t>VÄRMLANDS LÄN</t>
        </is>
      </c>
      <c r="E942" t="inlineStr">
        <is>
          <t>KARLSTAD</t>
        </is>
      </c>
      <c r="F942" t="inlineStr">
        <is>
          <t>Kommuner</t>
        </is>
      </c>
      <c r="G942" t="n">
        <v>2.8</v>
      </c>
      <c r="H942" t="n">
        <v>0</v>
      </c>
      <c r="I942" t="n">
        <v>0</v>
      </c>
      <c r="J942" t="n">
        <v>0</v>
      </c>
      <c r="K942" t="n">
        <v>0</v>
      </c>
      <c r="L942" t="n">
        <v>0</v>
      </c>
      <c r="M942" t="n">
        <v>0</v>
      </c>
      <c r="N942" t="n">
        <v>0</v>
      </c>
      <c r="O942" t="n">
        <v>0</v>
      </c>
      <c r="P942" t="n">
        <v>0</v>
      </c>
      <c r="Q942" t="n">
        <v>0</v>
      </c>
      <c r="R942" s="2" t="inlineStr"/>
    </row>
    <row r="943" ht="15" customHeight="1">
      <c r="A943" t="inlineStr">
        <is>
          <t>A 62074-2020</t>
        </is>
      </c>
      <c r="B943" s="1" t="n">
        <v>44159</v>
      </c>
      <c r="C943" s="1" t="n">
        <v>45932</v>
      </c>
      <c r="D943" t="inlineStr">
        <is>
          <t>VÄRMLANDS LÄN</t>
        </is>
      </c>
      <c r="E943" t="inlineStr">
        <is>
          <t>KARLSTAD</t>
        </is>
      </c>
      <c r="G943" t="n">
        <v>3.9</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45932</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50471-2020</t>
        </is>
      </c>
      <c r="B945" s="1" t="n">
        <v>44110</v>
      </c>
      <c r="C945" s="1" t="n">
        <v>45932</v>
      </c>
      <c r="D945" t="inlineStr">
        <is>
          <t>VÄRMLANDS LÄN</t>
        </is>
      </c>
      <c r="E945" t="inlineStr">
        <is>
          <t>STORFORS</t>
        </is>
      </c>
      <c r="G945" t="n">
        <v>1.4</v>
      </c>
      <c r="H945" t="n">
        <v>0</v>
      </c>
      <c r="I945" t="n">
        <v>0</v>
      </c>
      <c r="J945" t="n">
        <v>0</v>
      </c>
      <c r="K945" t="n">
        <v>0</v>
      </c>
      <c r="L945" t="n">
        <v>0</v>
      </c>
      <c r="M945" t="n">
        <v>0</v>
      </c>
      <c r="N945" t="n">
        <v>0</v>
      </c>
      <c r="O945" t="n">
        <v>0</v>
      </c>
      <c r="P945" t="n">
        <v>0</v>
      </c>
      <c r="Q945" t="n">
        <v>0</v>
      </c>
      <c r="R945" s="2" t="inlineStr"/>
    </row>
    <row r="946" ht="15" customHeight="1">
      <c r="A946" t="inlineStr">
        <is>
          <t>A 15245-2021</t>
        </is>
      </c>
      <c r="B946" s="1" t="n">
        <v>44284.52146990741</v>
      </c>
      <c r="C946" s="1" t="n">
        <v>45932</v>
      </c>
      <c r="D946" t="inlineStr">
        <is>
          <t>VÄRMLANDS LÄN</t>
        </is>
      </c>
      <c r="E946" t="inlineStr">
        <is>
          <t>ÅRJÄNG</t>
        </is>
      </c>
      <c r="G946" t="n">
        <v>6.6</v>
      </c>
      <c r="H946" t="n">
        <v>0</v>
      </c>
      <c r="I946" t="n">
        <v>0</v>
      </c>
      <c r="J946" t="n">
        <v>0</v>
      </c>
      <c r="K946" t="n">
        <v>0</v>
      </c>
      <c r="L946" t="n">
        <v>0</v>
      </c>
      <c r="M946" t="n">
        <v>0</v>
      </c>
      <c r="N946" t="n">
        <v>0</v>
      </c>
      <c r="O946" t="n">
        <v>0</v>
      </c>
      <c r="P946" t="n">
        <v>0</v>
      </c>
      <c r="Q946" t="n">
        <v>0</v>
      </c>
      <c r="R946" s="2" t="inlineStr"/>
    </row>
    <row r="947" ht="15" customHeight="1">
      <c r="A947" t="inlineStr">
        <is>
          <t>A 51428-2020</t>
        </is>
      </c>
      <c r="B947" s="1" t="n">
        <v>44113</v>
      </c>
      <c r="C947" s="1" t="n">
        <v>45932</v>
      </c>
      <c r="D947" t="inlineStr">
        <is>
          <t>VÄRMLANDS LÄN</t>
        </is>
      </c>
      <c r="E947" t="inlineStr">
        <is>
          <t>HAGFORS</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45932</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55256-2021</t>
        </is>
      </c>
      <c r="B949" s="1" t="n">
        <v>44475.41234953704</v>
      </c>
      <c r="C949" s="1" t="n">
        <v>45932</v>
      </c>
      <c r="D949" t="inlineStr">
        <is>
          <t>VÄRMLANDS LÄN</t>
        </is>
      </c>
      <c r="E949" t="inlineStr">
        <is>
          <t>KARLSTAD</t>
        </is>
      </c>
      <c r="F949" t="inlineStr">
        <is>
          <t>Kommuner</t>
        </is>
      </c>
      <c r="G949" t="n">
        <v>3.9</v>
      </c>
      <c r="H949" t="n">
        <v>0</v>
      </c>
      <c r="I949" t="n">
        <v>0</v>
      </c>
      <c r="J949" t="n">
        <v>0</v>
      </c>
      <c r="K949" t="n">
        <v>0</v>
      </c>
      <c r="L949" t="n">
        <v>0</v>
      </c>
      <c r="M949" t="n">
        <v>0</v>
      </c>
      <c r="N949" t="n">
        <v>0</v>
      </c>
      <c r="O949" t="n">
        <v>0</v>
      </c>
      <c r="P949" t="n">
        <v>0</v>
      </c>
      <c r="Q949" t="n">
        <v>0</v>
      </c>
      <c r="R949" s="2" t="inlineStr"/>
    </row>
    <row r="950" ht="15" customHeight="1">
      <c r="A950" t="inlineStr">
        <is>
          <t>A 11512-2021</t>
        </is>
      </c>
      <c r="B950" s="1" t="n">
        <v>44264.40295138889</v>
      </c>
      <c r="C950" s="1" t="n">
        <v>45932</v>
      </c>
      <c r="D950" t="inlineStr">
        <is>
          <t>VÄRMLANDS LÄN</t>
        </is>
      </c>
      <c r="E950" t="inlineStr">
        <is>
          <t>SUNNE</t>
        </is>
      </c>
      <c r="G950" t="n">
        <v>5.6</v>
      </c>
      <c r="H950" t="n">
        <v>0</v>
      </c>
      <c r="I950" t="n">
        <v>0</v>
      </c>
      <c r="J950" t="n">
        <v>0</v>
      </c>
      <c r="K950" t="n">
        <v>0</v>
      </c>
      <c r="L950" t="n">
        <v>0</v>
      </c>
      <c r="M950" t="n">
        <v>0</v>
      </c>
      <c r="N950" t="n">
        <v>0</v>
      </c>
      <c r="O950" t="n">
        <v>0</v>
      </c>
      <c r="P950" t="n">
        <v>0</v>
      </c>
      <c r="Q950" t="n">
        <v>0</v>
      </c>
      <c r="R950" s="2" t="inlineStr"/>
    </row>
    <row r="951" ht="15" customHeight="1">
      <c r="A951" t="inlineStr">
        <is>
          <t>A 60784-2020</t>
        </is>
      </c>
      <c r="B951" s="1" t="n">
        <v>44154</v>
      </c>
      <c r="C951" s="1" t="n">
        <v>45932</v>
      </c>
      <c r="D951" t="inlineStr">
        <is>
          <t>VÄRMLANDS LÄN</t>
        </is>
      </c>
      <c r="E951" t="inlineStr">
        <is>
          <t>ARVIKA</t>
        </is>
      </c>
      <c r="G951" t="n">
        <v>3.3</v>
      </c>
      <c r="H951" t="n">
        <v>0</v>
      </c>
      <c r="I951" t="n">
        <v>0</v>
      </c>
      <c r="J951" t="n">
        <v>0</v>
      </c>
      <c r="K951" t="n">
        <v>0</v>
      </c>
      <c r="L951" t="n">
        <v>0</v>
      </c>
      <c r="M951" t="n">
        <v>0</v>
      </c>
      <c r="N951" t="n">
        <v>0</v>
      </c>
      <c r="O951" t="n">
        <v>0</v>
      </c>
      <c r="P951" t="n">
        <v>0</v>
      </c>
      <c r="Q951" t="n">
        <v>0</v>
      </c>
      <c r="R951" s="2" t="inlineStr"/>
    </row>
    <row r="952" ht="15" customHeight="1">
      <c r="A952" t="inlineStr">
        <is>
          <t>A 60823-2020</t>
        </is>
      </c>
      <c r="B952" s="1" t="n">
        <v>44153</v>
      </c>
      <c r="C952" s="1" t="n">
        <v>45932</v>
      </c>
      <c r="D952" t="inlineStr">
        <is>
          <t>VÄRMLANDS LÄN</t>
        </is>
      </c>
      <c r="E952" t="inlineStr">
        <is>
          <t>TORSBY</t>
        </is>
      </c>
      <c r="F952" t="inlineStr">
        <is>
          <t>Kyrkan</t>
        </is>
      </c>
      <c r="G952" t="n">
        <v>0.7</v>
      </c>
      <c r="H952" t="n">
        <v>0</v>
      </c>
      <c r="I952" t="n">
        <v>0</v>
      </c>
      <c r="J952" t="n">
        <v>0</v>
      </c>
      <c r="K952" t="n">
        <v>0</v>
      </c>
      <c r="L952" t="n">
        <v>0</v>
      </c>
      <c r="M952" t="n">
        <v>0</v>
      </c>
      <c r="N952" t="n">
        <v>0</v>
      </c>
      <c r="O952" t="n">
        <v>0</v>
      </c>
      <c r="P952" t="n">
        <v>0</v>
      </c>
      <c r="Q952" t="n">
        <v>0</v>
      </c>
      <c r="R952" s="2" t="inlineStr"/>
    </row>
    <row r="953" ht="15" customHeight="1">
      <c r="A953" t="inlineStr">
        <is>
          <t>A 49116-2022</t>
        </is>
      </c>
      <c r="B953" s="1" t="n">
        <v>44860</v>
      </c>
      <c r="C953" s="1" t="n">
        <v>45932</v>
      </c>
      <c r="D953" t="inlineStr">
        <is>
          <t>VÄRMLANDS LÄN</t>
        </is>
      </c>
      <c r="E953" t="inlineStr">
        <is>
          <t>GRUMS</t>
        </is>
      </c>
      <c r="G953" t="n">
        <v>0.7</v>
      </c>
      <c r="H953" t="n">
        <v>0</v>
      </c>
      <c r="I953" t="n">
        <v>0</v>
      </c>
      <c r="J953" t="n">
        <v>0</v>
      </c>
      <c r="K953" t="n">
        <v>0</v>
      </c>
      <c r="L953" t="n">
        <v>0</v>
      </c>
      <c r="M953" t="n">
        <v>0</v>
      </c>
      <c r="N953" t="n">
        <v>0</v>
      </c>
      <c r="O953" t="n">
        <v>0</v>
      </c>
      <c r="P953" t="n">
        <v>0</v>
      </c>
      <c r="Q953" t="n">
        <v>0</v>
      </c>
      <c r="R953" s="2" t="inlineStr"/>
    </row>
    <row r="954" ht="15" customHeight="1">
      <c r="A954" t="inlineStr">
        <is>
          <t>A 27411-2021</t>
        </is>
      </c>
      <c r="B954" s="1" t="n">
        <v>44351</v>
      </c>
      <c r="C954" s="1" t="n">
        <v>45932</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55070-2021</t>
        </is>
      </c>
      <c r="B955" s="1" t="n">
        <v>44474</v>
      </c>
      <c r="C955" s="1" t="n">
        <v>45932</v>
      </c>
      <c r="D955" t="inlineStr">
        <is>
          <t>VÄRMLANDS LÄN</t>
        </is>
      </c>
      <c r="E955" t="inlineStr">
        <is>
          <t>KIL</t>
        </is>
      </c>
      <c r="G955" t="n">
        <v>2.2</v>
      </c>
      <c r="H955" t="n">
        <v>0</v>
      </c>
      <c r="I955" t="n">
        <v>0</v>
      </c>
      <c r="J955" t="n">
        <v>0</v>
      </c>
      <c r="K955" t="n">
        <v>0</v>
      </c>
      <c r="L955" t="n">
        <v>0</v>
      </c>
      <c r="M955" t="n">
        <v>0</v>
      </c>
      <c r="N955" t="n">
        <v>0</v>
      </c>
      <c r="O955" t="n">
        <v>0</v>
      </c>
      <c r="P955" t="n">
        <v>0</v>
      </c>
      <c r="Q955" t="n">
        <v>0</v>
      </c>
      <c r="R955" s="2" t="inlineStr"/>
    </row>
    <row r="956" ht="15" customHeight="1">
      <c r="A956" t="inlineStr">
        <is>
          <t>A 55110-2021</t>
        </is>
      </c>
      <c r="B956" s="1" t="n">
        <v>44474</v>
      </c>
      <c r="C956" s="1" t="n">
        <v>45932</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55111-2021</t>
        </is>
      </c>
      <c r="B957" s="1" t="n">
        <v>44474</v>
      </c>
      <c r="C957" s="1" t="n">
        <v>45932</v>
      </c>
      <c r="D957" t="inlineStr">
        <is>
          <t>VÄRMLANDS LÄN</t>
        </is>
      </c>
      <c r="E957" t="inlineStr">
        <is>
          <t>KARLSTAD</t>
        </is>
      </c>
      <c r="G957" t="n">
        <v>0.5</v>
      </c>
      <c r="H957" t="n">
        <v>0</v>
      </c>
      <c r="I957" t="n">
        <v>0</v>
      </c>
      <c r="J957" t="n">
        <v>0</v>
      </c>
      <c r="K957" t="n">
        <v>0</v>
      </c>
      <c r="L957" t="n">
        <v>0</v>
      </c>
      <c r="M957" t="n">
        <v>0</v>
      </c>
      <c r="N957" t="n">
        <v>0</v>
      </c>
      <c r="O957" t="n">
        <v>0</v>
      </c>
      <c r="P957" t="n">
        <v>0</v>
      </c>
      <c r="Q957" t="n">
        <v>0</v>
      </c>
      <c r="R957" s="2" t="inlineStr"/>
    </row>
    <row r="958" ht="15" customHeight="1">
      <c r="A958" t="inlineStr">
        <is>
          <t>A 61105-2021</t>
        </is>
      </c>
      <c r="B958" s="1" t="n">
        <v>44498.32052083333</v>
      </c>
      <c r="C958" s="1" t="n">
        <v>45932</v>
      </c>
      <c r="D958" t="inlineStr">
        <is>
          <t>VÄRMLANDS LÄN</t>
        </is>
      </c>
      <c r="E958" t="inlineStr">
        <is>
          <t>KARLSTAD</t>
        </is>
      </c>
      <c r="G958" t="n">
        <v>3.9</v>
      </c>
      <c r="H958" t="n">
        <v>0</v>
      </c>
      <c r="I958" t="n">
        <v>0</v>
      </c>
      <c r="J958" t="n">
        <v>0</v>
      </c>
      <c r="K958" t="n">
        <v>0</v>
      </c>
      <c r="L958" t="n">
        <v>0</v>
      </c>
      <c r="M958" t="n">
        <v>0</v>
      </c>
      <c r="N958" t="n">
        <v>0</v>
      </c>
      <c r="O958" t="n">
        <v>0</v>
      </c>
      <c r="P958" t="n">
        <v>0</v>
      </c>
      <c r="Q958" t="n">
        <v>0</v>
      </c>
      <c r="R958" s="2" t="inlineStr"/>
    </row>
    <row r="959" ht="15" customHeight="1">
      <c r="A959" t="inlineStr">
        <is>
          <t>A 56839-2020</t>
        </is>
      </c>
      <c r="B959" s="1" t="n">
        <v>44138</v>
      </c>
      <c r="C959" s="1" t="n">
        <v>45932</v>
      </c>
      <c r="D959" t="inlineStr">
        <is>
          <t>VÄRMLANDS LÄN</t>
        </is>
      </c>
      <c r="E959" t="inlineStr">
        <is>
          <t>FILIPSTAD</t>
        </is>
      </c>
      <c r="F959" t="inlineStr">
        <is>
          <t>Bergvik skog väst AB</t>
        </is>
      </c>
      <c r="G959" t="n">
        <v>4</v>
      </c>
      <c r="H959" t="n">
        <v>0</v>
      </c>
      <c r="I959" t="n">
        <v>0</v>
      </c>
      <c r="J959" t="n">
        <v>0</v>
      </c>
      <c r="K959" t="n">
        <v>0</v>
      </c>
      <c r="L959" t="n">
        <v>0</v>
      </c>
      <c r="M959" t="n">
        <v>0</v>
      </c>
      <c r="N959" t="n">
        <v>0</v>
      </c>
      <c r="O959" t="n">
        <v>0</v>
      </c>
      <c r="P959" t="n">
        <v>0</v>
      </c>
      <c r="Q959" t="n">
        <v>0</v>
      </c>
      <c r="R959" s="2" t="inlineStr"/>
    </row>
    <row r="960" ht="15" customHeight="1">
      <c r="A960" t="inlineStr">
        <is>
          <t>A 63976-2020</t>
        </is>
      </c>
      <c r="B960" s="1" t="n">
        <v>44167</v>
      </c>
      <c r="C960" s="1" t="n">
        <v>45932</v>
      </c>
      <c r="D960" t="inlineStr">
        <is>
          <t>VÄRMLANDS LÄN</t>
        </is>
      </c>
      <c r="E960" t="inlineStr">
        <is>
          <t>HAGFORS</t>
        </is>
      </c>
      <c r="F960" t="inlineStr">
        <is>
          <t>Bergvik skog väst AB</t>
        </is>
      </c>
      <c r="G960" t="n">
        <v>3.8</v>
      </c>
      <c r="H960" t="n">
        <v>0</v>
      </c>
      <c r="I960" t="n">
        <v>0</v>
      </c>
      <c r="J960" t="n">
        <v>0</v>
      </c>
      <c r="K960" t="n">
        <v>0</v>
      </c>
      <c r="L960" t="n">
        <v>0</v>
      </c>
      <c r="M960" t="n">
        <v>0</v>
      </c>
      <c r="N960" t="n">
        <v>0</v>
      </c>
      <c r="O960" t="n">
        <v>0</v>
      </c>
      <c r="P960" t="n">
        <v>0</v>
      </c>
      <c r="Q960" t="n">
        <v>0</v>
      </c>
      <c r="R960" s="2" t="inlineStr"/>
    </row>
    <row r="961" ht="15" customHeight="1">
      <c r="A961" t="inlineStr">
        <is>
          <t>A 3482-2022</t>
        </is>
      </c>
      <c r="B961" s="1" t="n">
        <v>44585.63393518519</v>
      </c>
      <c r="C961" s="1" t="n">
        <v>45932</v>
      </c>
      <c r="D961" t="inlineStr">
        <is>
          <t>VÄRMLANDS LÄN</t>
        </is>
      </c>
      <c r="E961" t="inlineStr">
        <is>
          <t>SUNNE</t>
        </is>
      </c>
      <c r="G961" t="n">
        <v>0.5</v>
      </c>
      <c r="H961" t="n">
        <v>0</v>
      </c>
      <c r="I961" t="n">
        <v>0</v>
      </c>
      <c r="J961" t="n">
        <v>0</v>
      </c>
      <c r="K961" t="n">
        <v>0</v>
      </c>
      <c r="L961" t="n">
        <v>0</v>
      </c>
      <c r="M961" t="n">
        <v>0</v>
      </c>
      <c r="N961" t="n">
        <v>0</v>
      </c>
      <c r="O961" t="n">
        <v>0</v>
      </c>
      <c r="P961" t="n">
        <v>0</v>
      </c>
      <c r="Q961" t="n">
        <v>0</v>
      </c>
      <c r="R961" s="2" t="inlineStr"/>
    </row>
    <row r="962" ht="15" customHeight="1">
      <c r="A962" t="inlineStr">
        <is>
          <t>A 50390-2022</t>
        </is>
      </c>
      <c r="B962" s="1" t="n">
        <v>44861</v>
      </c>
      <c r="C962" s="1" t="n">
        <v>45932</v>
      </c>
      <c r="D962" t="inlineStr">
        <is>
          <t>VÄRMLANDS LÄN</t>
        </is>
      </c>
      <c r="E962" t="inlineStr">
        <is>
          <t>TORSBY</t>
        </is>
      </c>
      <c r="G962" t="n">
        <v>2.9</v>
      </c>
      <c r="H962" t="n">
        <v>0</v>
      </c>
      <c r="I962" t="n">
        <v>0</v>
      </c>
      <c r="J962" t="n">
        <v>0</v>
      </c>
      <c r="K962" t="n">
        <v>0</v>
      </c>
      <c r="L962" t="n">
        <v>0</v>
      </c>
      <c r="M962" t="n">
        <v>0</v>
      </c>
      <c r="N962" t="n">
        <v>0</v>
      </c>
      <c r="O962" t="n">
        <v>0</v>
      </c>
      <c r="P962" t="n">
        <v>0</v>
      </c>
      <c r="Q962" t="n">
        <v>0</v>
      </c>
      <c r="R962" s="2" t="inlineStr"/>
    </row>
    <row r="963" ht="15" customHeight="1">
      <c r="A963" t="inlineStr">
        <is>
          <t>A 46295-2022</t>
        </is>
      </c>
      <c r="B963" s="1" t="n">
        <v>44847</v>
      </c>
      <c r="C963" s="1" t="n">
        <v>45932</v>
      </c>
      <c r="D963" t="inlineStr">
        <is>
          <t>VÄRMLANDS LÄN</t>
        </is>
      </c>
      <c r="E963" t="inlineStr">
        <is>
          <t>KIL</t>
        </is>
      </c>
      <c r="G963" t="n">
        <v>1.5</v>
      </c>
      <c r="H963" t="n">
        <v>0</v>
      </c>
      <c r="I963" t="n">
        <v>0</v>
      </c>
      <c r="J963" t="n">
        <v>0</v>
      </c>
      <c r="K963" t="n">
        <v>0</v>
      </c>
      <c r="L963" t="n">
        <v>0</v>
      </c>
      <c r="M963" t="n">
        <v>0</v>
      </c>
      <c r="N963" t="n">
        <v>0</v>
      </c>
      <c r="O963" t="n">
        <v>0</v>
      </c>
      <c r="P963" t="n">
        <v>0</v>
      </c>
      <c r="Q963" t="n">
        <v>0</v>
      </c>
      <c r="R963" s="2" t="inlineStr"/>
    </row>
    <row r="964" ht="15" customHeight="1">
      <c r="A964" t="inlineStr">
        <is>
          <t>A 67632-2020</t>
        </is>
      </c>
      <c r="B964" s="1" t="n">
        <v>44182</v>
      </c>
      <c r="C964" s="1" t="n">
        <v>45932</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5141-2021</t>
        </is>
      </c>
      <c r="B965" s="1" t="n">
        <v>44228</v>
      </c>
      <c r="C965" s="1" t="n">
        <v>45932</v>
      </c>
      <c r="D965" t="inlineStr">
        <is>
          <t>VÄRMLANDS LÄN</t>
        </is>
      </c>
      <c r="E965" t="inlineStr">
        <is>
          <t>FILIPSTAD</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36302-2022</t>
        </is>
      </c>
      <c r="B966" s="1" t="n">
        <v>44803.65599537037</v>
      </c>
      <c r="C966" s="1" t="n">
        <v>45932</v>
      </c>
      <c r="D966" t="inlineStr">
        <is>
          <t>VÄRMLANDS LÄN</t>
        </is>
      </c>
      <c r="E966" t="inlineStr">
        <is>
          <t>KIL</t>
        </is>
      </c>
      <c r="G966" t="n">
        <v>0.5</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45932</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1535-2021</t>
        </is>
      </c>
      <c r="B968" s="1" t="n">
        <v>44209</v>
      </c>
      <c r="C968" s="1" t="n">
        <v>45932</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37715-2021</t>
        </is>
      </c>
      <c r="B969" s="1" t="n">
        <v>44400</v>
      </c>
      <c r="C969" s="1" t="n">
        <v>45932</v>
      </c>
      <c r="D969" t="inlineStr">
        <is>
          <t>VÄRMLANDS LÄN</t>
        </is>
      </c>
      <c r="E969" t="inlineStr">
        <is>
          <t>HAGFORS</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38209-2021</t>
        </is>
      </c>
      <c r="B970" s="1" t="n">
        <v>44405</v>
      </c>
      <c r="C970" s="1" t="n">
        <v>45932</v>
      </c>
      <c r="D970" t="inlineStr">
        <is>
          <t>VÄRMLANDS LÄN</t>
        </is>
      </c>
      <c r="E970" t="inlineStr">
        <is>
          <t>GRUMS</t>
        </is>
      </c>
      <c r="G970" t="n">
        <v>1.7</v>
      </c>
      <c r="H970" t="n">
        <v>0</v>
      </c>
      <c r="I970" t="n">
        <v>0</v>
      </c>
      <c r="J970" t="n">
        <v>0</v>
      </c>
      <c r="K970" t="n">
        <v>0</v>
      </c>
      <c r="L970" t="n">
        <v>0</v>
      </c>
      <c r="M970" t="n">
        <v>0</v>
      </c>
      <c r="N970" t="n">
        <v>0</v>
      </c>
      <c r="O970" t="n">
        <v>0</v>
      </c>
      <c r="P970" t="n">
        <v>0</v>
      </c>
      <c r="Q970" t="n">
        <v>0</v>
      </c>
      <c r="R970" s="2" t="inlineStr"/>
    </row>
    <row r="971" ht="15" customHeight="1">
      <c r="A971" t="inlineStr">
        <is>
          <t>A 57069-2021</t>
        </is>
      </c>
      <c r="B971" s="1" t="n">
        <v>44482.56950231481</v>
      </c>
      <c r="C971" s="1" t="n">
        <v>45932</v>
      </c>
      <c r="D971" t="inlineStr">
        <is>
          <t>VÄRMLANDS LÄN</t>
        </is>
      </c>
      <c r="E971" t="inlineStr">
        <is>
          <t>KIL</t>
        </is>
      </c>
      <c r="G971" t="n">
        <v>1.6</v>
      </c>
      <c r="H971" t="n">
        <v>0</v>
      </c>
      <c r="I971" t="n">
        <v>0</v>
      </c>
      <c r="J971" t="n">
        <v>0</v>
      </c>
      <c r="K971" t="n">
        <v>0</v>
      </c>
      <c r="L971" t="n">
        <v>0</v>
      </c>
      <c r="M971" t="n">
        <v>0</v>
      </c>
      <c r="N971" t="n">
        <v>0</v>
      </c>
      <c r="O971" t="n">
        <v>0</v>
      </c>
      <c r="P971" t="n">
        <v>0</v>
      </c>
      <c r="Q971" t="n">
        <v>0</v>
      </c>
      <c r="R971" s="2" t="inlineStr"/>
    </row>
    <row r="972" ht="15" customHeight="1">
      <c r="A972" t="inlineStr">
        <is>
          <t>A 49015-2021</t>
        </is>
      </c>
      <c r="B972" s="1" t="n">
        <v>44453</v>
      </c>
      <c r="C972" s="1" t="n">
        <v>45932</v>
      </c>
      <c r="D972" t="inlineStr">
        <is>
          <t>VÄRMLANDS LÄN</t>
        </is>
      </c>
      <c r="E972" t="inlineStr">
        <is>
          <t>SUNNE</t>
        </is>
      </c>
      <c r="G972" t="n">
        <v>0.9</v>
      </c>
      <c r="H972" t="n">
        <v>0</v>
      </c>
      <c r="I972" t="n">
        <v>0</v>
      </c>
      <c r="J972" t="n">
        <v>0</v>
      </c>
      <c r="K972" t="n">
        <v>0</v>
      </c>
      <c r="L972" t="n">
        <v>0</v>
      </c>
      <c r="M972" t="n">
        <v>0</v>
      </c>
      <c r="N972" t="n">
        <v>0</v>
      </c>
      <c r="O972" t="n">
        <v>0</v>
      </c>
      <c r="P972" t="n">
        <v>0</v>
      </c>
      <c r="Q972" t="n">
        <v>0</v>
      </c>
      <c r="R972" s="2" t="inlineStr"/>
    </row>
    <row r="973" ht="15" customHeight="1">
      <c r="A973" t="inlineStr">
        <is>
          <t>A 47962-2021</t>
        </is>
      </c>
      <c r="B973" s="1" t="n">
        <v>44449</v>
      </c>
      <c r="C973" s="1" t="n">
        <v>45932</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61158-2021</t>
        </is>
      </c>
      <c r="B974" s="1" t="n">
        <v>44497</v>
      </c>
      <c r="C974" s="1" t="n">
        <v>45932</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45932</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5729-2021</t>
        </is>
      </c>
      <c r="B976" s="1" t="n">
        <v>44229</v>
      </c>
      <c r="C976" s="1" t="n">
        <v>45932</v>
      </c>
      <c r="D976" t="inlineStr">
        <is>
          <t>VÄRMLANDS LÄN</t>
        </is>
      </c>
      <c r="E976" t="inlineStr">
        <is>
          <t>FILIPSTAD</t>
        </is>
      </c>
      <c r="G976" t="n">
        <v>2.8</v>
      </c>
      <c r="H976" t="n">
        <v>0</v>
      </c>
      <c r="I976" t="n">
        <v>0</v>
      </c>
      <c r="J976" t="n">
        <v>0</v>
      </c>
      <c r="K976" t="n">
        <v>0</v>
      </c>
      <c r="L976" t="n">
        <v>0</v>
      </c>
      <c r="M976" t="n">
        <v>0</v>
      </c>
      <c r="N976" t="n">
        <v>0</v>
      </c>
      <c r="O976" t="n">
        <v>0</v>
      </c>
      <c r="P976" t="n">
        <v>0</v>
      </c>
      <c r="Q976" t="n">
        <v>0</v>
      </c>
      <c r="R976" s="2" t="inlineStr"/>
    </row>
    <row r="977" ht="15" customHeight="1">
      <c r="A977" t="inlineStr">
        <is>
          <t>A 55784-2021</t>
        </is>
      </c>
      <c r="B977" s="1" t="n">
        <v>44476</v>
      </c>
      <c r="C977" s="1" t="n">
        <v>45932</v>
      </c>
      <c r="D977" t="inlineStr">
        <is>
          <t>VÄRMLANDS LÄN</t>
        </is>
      </c>
      <c r="E977" t="inlineStr">
        <is>
          <t>ÅRJÄNG</t>
        </is>
      </c>
      <c r="G977" t="n">
        <v>3</v>
      </c>
      <c r="H977" t="n">
        <v>0</v>
      </c>
      <c r="I977" t="n">
        <v>0</v>
      </c>
      <c r="J977" t="n">
        <v>0</v>
      </c>
      <c r="K977" t="n">
        <v>0</v>
      </c>
      <c r="L977" t="n">
        <v>0</v>
      </c>
      <c r="M977" t="n">
        <v>0</v>
      </c>
      <c r="N977" t="n">
        <v>0</v>
      </c>
      <c r="O977" t="n">
        <v>0</v>
      </c>
      <c r="P977" t="n">
        <v>0</v>
      </c>
      <c r="Q977" t="n">
        <v>0</v>
      </c>
      <c r="R977" s="2" t="inlineStr"/>
    </row>
    <row r="978" ht="15" customHeight="1">
      <c r="A978" t="inlineStr">
        <is>
          <t>A 64815-2021</t>
        </is>
      </c>
      <c r="B978" s="1" t="n">
        <v>44512</v>
      </c>
      <c r="C978" s="1" t="n">
        <v>45932</v>
      </c>
      <c r="D978" t="inlineStr">
        <is>
          <t>VÄRMLANDS LÄN</t>
        </is>
      </c>
      <c r="E978" t="inlineStr">
        <is>
          <t>STORFORS</t>
        </is>
      </c>
      <c r="G978" t="n">
        <v>2</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45932</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45932</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59863-2021</t>
        </is>
      </c>
      <c r="B981" s="1" t="n">
        <v>44494</v>
      </c>
      <c r="C981" s="1" t="n">
        <v>45932</v>
      </c>
      <c r="D981" t="inlineStr">
        <is>
          <t>VÄRMLANDS LÄN</t>
        </is>
      </c>
      <c r="E981" t="inlineStr">
        <is>
          <t>GRUMS</t>
        </is>
      </c>
      <c r="G981" t="n">
        <v>2.6</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45932</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45932</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62891-2020</t>
        </is>
      </c>
      <c r="B984" s="1" t="n">
        <v>44161</v>
      </c>
      <c r="C984" s="1" t="n">
        <v>45932</v>
      </c>
      <c r="D984" t="inlineStr">
        <is>
          <t>VÄRMLANDS LÄN</t>
        </is>
      </c>
      <c r="E984" t="inlineStr">
        <is>
          <t>HAGFORS</t>
        </is>
      </c>
      <c r="G984" t="n">
        <v>3</v>
      </c>
      <c r="H984" t="n">
        <v>0</v>
      </c>
      <c r="I984" t="n">
        <v>0</v>
      </c>
      <c r="J984" t="n">
        <v>0</v>
      </c>
      <c r="K984" t="n">
        <v>0</v>
      </c>
      <c r="L984" t="n">
        <v>0</v>
      </c>
      <c r="M984" t="n">
        <v>0</v>
      </c>
      <c r="N984" t="n">
        <v>0</v>
      </c>
      <c r="O984" t="n">
        <v>0</v>
      </c>
      <c r="P984" t="n">
        <v>0</v>
      </c>
      <c r="Q984" t="n">
        <v>0</v>
      </c>
      <c r="R984" s="2" t="inlineStr"/>
    </row>
    <row r="985" ht="15" customHeight="1">
      <c r="A985" t="inlineStr">
        <is>
          <t>A 2556-2022</t>
        </is>
      </c>
      <c r="B985" s="1" t="n">
        <v>44580.31994212963</v>
      </c>
      <c r="C985" s="1" t="n">
        <v>45932</v>
      </c>
      <c r="D985" t="inlineStr">
        <is>
          <t>VÄRMLANDS LÄN</t>
        </is>
      </c>
      <c r="E985" t="inlineStr">
        <is>
          <t>SÄFFLE</t>
        </is>
      </c>
      <c r="G985" t="n">
        <v>0.8</v>
      </c>
      <c r="H985" t="n">
        <v>0</v>
      </c>
      <c r="I985" t="n">
        <v>0</v>
      </c>
      <c r="J985" t="n">
        <v>0</v>
      </c>
      <c r="K985" t="n">
        <v>0</v>
      </c>
      <c r="L985" t="n">
        <v>0</v>
      </c>
      <c r="M985" t="n">
        <v>0</v>
      </c>
      <c r="N985" t="n">
        <v>0</v>
      </c>
      <c r="O985" t="n">
        <v>0</v>
      </c>
      <c r="P985" t="n">
        <v>0</v>
      </c>
      <c r="Q985" t="n">
        <v>0</v>
      </c>
      <c r="R985" s="2" t="inlineStr"/>
    </row>
    <row r="986" ht="15" customHeight="1">
      <c r="A986" t="inlineStr">
        <is>
          <t>A 38831-2021</t>
        </is>
      </c>
      <c r="B986" s="1" t="n">
        <v>44411</v>
      </c>
      <c r="C986" s="1" t="n">
        <v>45932</v>
      </c>
      <c r="D986" t="inlineStr">
        <is>
          <t>VÄRMLANDS LÄN</t>
        </is>
      </c>
      <c r="E986" t="inlineStr">
        <is>
          <t>ARVIKA</t>
        </is>
      </c>
      <c r="G986" t="n">
        <v>1.1</v>
      </c>
      <c r="H986" t="n">
        <v>0</v>
      </c>
      <c r="I986" t="n">
        <v>0</v>
      </c>
      <c r="J986" t="n">
        <v>0</v>
      </c>
      <c r="K986" t="n">
        <v>0</v>
      </c>
      <c r="L986" t="n">
        <v>0</v>
      </c>
      <c r="M986" t="n">
        <v>0</v>
      </c>
      <c r="N986" t="n">
        <v>0</v>
      </c>
      <c r="O986" t="n">
        <v>0</v>
      </c>
      <c r="P986" t="n">
        <v>0</v>
      </c>
      <c r="Q986" t="n">
        <v>0</v>
      </c>
      <c r="R986" s="2" t="inlineStr"/>
    </row>
    <row r="987" ht="15" customHeight="1">
      <c r="A987" t="inlineStr">
        <is>
          <t>A 6102-2021</t>
        </is>
      </c>
      <c r="B987" s="1" t="n">
        <v>44232.49354166666</v>
      </c>
      <c r="C987" s="1" t="n">
        <v>45932</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71082-2021</t>
        </is>
      </c>
      <c r="B988" s="1" t="n">
        <v>44538</v>
      </c>
      <c r="C988" s="1" t="n">
        <v>45932</v>
      </c>
      <c r="D988" t="inlineStr">
        <is>
          <t>VÄRMLANDS LÄN</t>
        </is>
      </c>
      <c r="E988" t="inlineStr">
        <is>
          <t>HAGFORS</t>
        </is>
      </c>
      <c r="G988" t="n">
        <v>1.9</v>
      </c>
      <c r="H988" t="n">
        <v>0</v>
      </c>
      <c r="I988" t="n">
        <v>0</v>
      </c>
      <c r="J988" t="n">
        <v>0</v>
      </c>
      <c r="K988" t="n">
        <v>0</v>
      </c>
      <c r="L988" t="n">
        <v>0</v>
      </c>
      <c r="M988" t="n">
        <v>0</v>
      </c>
      <c r="N988" t="n">
        <v>0</v>
      </c>
      <c r="O988" t="n">
        <v>0</v>
      </c>
      <c r="P988" t="n">
        <v>0</v>
      </c>
      <c r="Q988" t="n">
        <v>0</v>
      </c>
      <c r="R988" s="2" t="inlineStr"/>
    </row>
    <row r="989" ht="15" customHeight="1">
      <c r="A989" t="inlineStr">
        <is>
          <t>A 41027-2021</t>
        </is>
      </c>
      <c r="B989" s="1" t="n">
        <v>44421</v>
      </c>
      <c r="C989" s="1" t="n">
        <v>45932</v>
      </c>
      <c r="D989" t="inlineStr">
        <is>
          <t>VÄRMLANDS LÄN</t>
        </is>
      </c>
      <c r="E989" t="inlineStr">
        <is>
          <t>EDA</t>
        </is>
      </c>
      <c r="G989" t="n">
        <v>1.1</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45932</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48794-2022</t>
        </is>
      </c>
      <c r="B991" s="1" t="n">
        <v>44859</v>
      </c>
      <c r="C991" s="1" t="n">
        <v>45932</v>
      </c>
      <c r="D991" t="inlineStr">
        <is>
          <t>VÄRMLANDS LÄN</t>
        </is>
      </c>
      <c r="E991" t="inlineStr">
        <is>
          <t>ARVIKA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51522-2021</t>
        </is>
      </c>
      <c r="B992" s="1" t="n">
        <v>44462</v>
      </c>
      <c r="C992" s="1" t="n">
        <v>45932</v>
      </c>
      <c r="D992" t="inlineStr">
        <is>
          <t>VÄRMLANDS LÄN</t>
        </is>
      </c>
      <c r="E992" t="inlineStr">
        <is>
          <t>TORSBY</t>
        </is>
      </c>
      <c r="G992" t="n">
        <v>0.3</v>
      </c>
      <c r="H992" t="n">
        <v>0</v>
      </c>
      <c r="I992" t="n">
        <v>0</v>
      </c>
      <c r="J992" t="n">
        <v>0</v>
      </c>
      <c r="K992" t="n">
        <v>0</v>
      </c>
      <c r="L992" t="n">
        <v>0</v>
      </c>
      <c r="M992" t="n">
        <v>0</v>
      </c>
      <c r="N992" t="n">
        <v>0</v>
      </c>
      <c r="O992" t="n">
        <v>0</v>
      </c>
      <c r="P992" t="n">
        <v>0</v>
      </c>
      <c r="Q992" t="n">
        <v>0</v>
      </c>
      <c r="R992" s="2" t="inlineStr"/>
    </row>
    <row r="993" ht="15" customHeight="1">
      <c r="A993" t="inlineStr">
        <is>
          <t>A 15558-2022</t>
        </is>
      </c>
      <c r="B993" s="1" t="n">
        <v>44662</v>
      </c>
      <c r="C993" s="1" t="n">
        <v>45932</v>
      </c>
      <c r="D993" t="inlineStr">
        <is>
          <t>VÄRMLANDS LÄN</t>
        </is>
      </c>
      <c r="E993" t="inlineStr">
        <is>
          <t>KARLSTAD</t>
        </is>
      </c>
      <c r="G993" t="n">
        <v>2.2</v>
      </c>
      <c r="H993" t="n">
        <v>0</v>
      </c>
      <c r="I993" t="n">
        <v>0</v>
      </c>
      <c r="J993" t="n">
        <v>0</v>
      </c>
      <c r="K993" t="n">
        <v>0</v>
      </c>
      <c r="L993" t="n">
        <v>0</v>
      </c>
      <c r="M993" t="n">
        <v>0</v>
      </c>
      <c r="N993" t="n">
        <v>0</v>
      </c>
      <c r="O993" t="n">
        <v>0</v>
      </c>
      <c r="P993" t="n">
        <v>0</v>
      </c>
      <c r="Q993" t="n">
        <v>0</v>
      </c>
      <c r="R993" s="2" t="inlineStr"/>
    </row>
    <row r="994" ht="15" customHeight="1">
      <c r="A994" t="inlineStr">
        <is>
          <t>A 24566-2022</t>
        </is>
      </c>
      <c r="B994" s="1" t="n">
        <v>44727.41703703703</v>
      </c>
      <c r="C994" s="1" t="n">
        <v>45932</v>
      </c>
      <c r="D994" t="inlineStr">
        <is>
          <t>VÄRMLANDS LÄN</t>
        </is>
      </c>
      <c r="E994" t="inlineStr">
        <is>
          <t>MUNKFORS</t>
        </is>
      </c>
      <c r="G994" t="n">
        <v>0.7</v>
      </c>
      <c r="H994" t="n">
        <v>0</v>
      </c>
      <c r="I994" t="n">
        <v>0</v>
      </c>
      <c r="J994" t="n">
        <v>0</v>
      </c>
      <c r="K994" t="n">
        <v>0</v>
      </c>
      <c r="L994" t="n">
        <v>0</v>
      </c>
      <c r="M994" t="n">
        <v>0</v>
      </c>
      <c r="N994" t="n">
        <v>0</v>
      </c>
      <c r="O994" t="n">
        <v>0</v>
      </c>
      <c r="P994" t="n">
        <v>0</v>
      </c>
      <c r="Q994" t="n">
        <v>0</v>
      </c>
      <c r="R994" s="2" t="inlineStr"/>
    </row>
    <row r="995" ht="15" customHeight="1">
      <c r="A995" t="inlineStr">
        <is>
          <t>A 57237-2021</t>
        </is>
      </c>
      <c r="B995" s="1" t="n">
        <v>44482</v>
      </c>
      <c r="C995" s="1" t="n">
        <v>45932</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45932</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49795-2022</t>
        </is>
      </c>
      <c r="B997" s="1" t="n">
        <v>44862</v>
      </c>
      <c r="C997" s="1" t="n">
        <v>45932</v>
      </c>
      <c r="D997" t="inlineStr">
        <is>
          <t>VÄRMLANDS LÄN</t>
        </is>
      </c>
      <c r="E997" t="inlineStr">
        <is>
          <t>TORSBY</t>
        </is>
      </c>
      <c r="G997" t="n">
        <v>7.6</v>
      </c>
      <c r="H997" t="n">
        <v>0</v>
      </c>
      <c r="I997" t="n">
        <v>0</v>
      </c>
      <c r="J997" t="n">
        <v>0</v>
      </c>
      <c r="K997" t="n">
        <v>0</v>
      </c>
      <c r="L997" t="n">
        <v>0</v>
      </c>
      <c r="M997" t="n">
        <v>0</v>
      </c>
      <c r="N997" t="n">
        <v>0</v>
      </c>
      <c r="O997" t="n">
        <v>0</v>
      </c>
      <c r="P997" t="n">
        <v>0</v>
      </c>
      <c r="Q997" t="n">
        <v>0</v>
      </c>
      <c r="R997" s="2" t="inlineStr"/>
    </row>
    <row r="998" ht="15" customHeight="1">
      <c r="A998" t="inlineStr">
        <is>
          <t>A 37342-2022</t>
        </is>
      </c>
      <c r="B998" s="1" t="n">
        <v>44809.35763888889</v>
      </c>
      <c r="C998" s="1" t="n">
        <v>45932</v>
      </c>
      <c r="D998" t="inlineStr">
        <is>
          <t>VÄRMLANDS LÄN</t>
        </is>
      </c>
      <c r="E998" t="inlineStr">
        <is>
          <t>SUNNE</t>
        </is>
      </c>
      <c r="G998" t="n">
        <v>3</v>
      </c>
      <c r="H998" t="n">
        <v>0</v>
      </c>
      <c r="I998" t="n">
        <v>0</v>
      </c>
      <c r="J998" t="n">
        <v>0</v>
      </c>
      <c r="K998" t="n">
        <v>0</v>
      </c>
      <c r="L998" t="n">
        <v>0</v>
      </c>
      <c r="M998" t="n">
        <v>0</v>
      </c>
      <c r="N998" t="n">
        <v>0</v>
      </c>
      <c r="O998" t="n">
        <v>0</v>
      </c>
      <c r="P998" t="n">
        <v>0</v>
      </c>
      <c r="Q998" t="n">
        <v>0</v>
      </c>
      <c r="R998" s="2" t="inlineStr"/>
    </row>
    <row r="999" ht="15" customHeight="1">
      <c r="A999" t="inlineStr">
        <is>
          <t>A 37346-2022</t>
        </is>
      </c>
      <c r="B999" s="1" t="n">
        <v>44809.36009259259</v>
      </c>
      <c r="C999" s="1" t="n">
        <v>45932</v>
      </c>
      <c r="D999" t="inlineStr">
        <is>
          <t>VÄRMLANDS LÄN</t>
        </is>
      </c>
      <c r="E999" t="inlineStr">
        <is>
          <t>SUNNE</t>
        </is>
      </c>
      <c r="G999" t="n">
        <v>1.7</v>
      </c>
      <c r="H999" t="n">
        <v>0</v>
      </c>
      <c r="I999" t="n">
        <v>0</v>
      </c>
      <c r="J999" t="n">
        <v>0</v>
      </c>
      <c r="K999" t="n">
        <v>0</v>
      </c>
      <c r="L999" t="n">
        <v>0</v>
      </c>
      <c r="M999" t="n">
        <v>0</v>
      </c>
      <c r="N999" t="n">
        <v>0</v>
      </c>
      <c r="O999" t="n">
        <v>0</v>
      </c>
      <c r="P999" t="n">
        <v>0</v>
      </c>
      <c r="Q999" t="n">
        <v>0</v>
      </c>
      <c r="R999" s="2" t="inlineStr"/>
    </row>
    <row r="1000" ht="15" customHeight="1">
      <c r="A1000" t="inlineStr">
        <is>
          <t>A 15306-2022</t>
        </is>
      </c>
      <c r="B1000" s="1" t="n">
        <v>44659.45706018519</v>
      </c>
      <c r="C1000" s="1" t="n">
        <v>45932</v>
      </c>
      <c r="D1000" t="inlineStr">
        <is>
          <t>VÄRMLANDS LÄN</t>
        </is>
      </c>
      <c r="E1000" t="inlineStr">
        <is>
          <t>ARVIKA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1418-2022</t>
        </is>
      </c>
      <c r="B1001" s="1" t="n">
        <v>44573</v>
      </c>
      <c r="C1001" s="1" t="n">
        <v>45932</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54143-2022</t>
        </is>
      </c>
      <c r="B1002" s="1" t="n">
        <v>44881.60868055555</v>
      </c>
      <c r="C1002" s="1" t="n">
        <v>45932</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20035-2022</t>
        </is>
      </c>
      <c r="B1003" s="1" t="n">
        <v>44697.68774305555</v>
      </c>
      <c r="C1003" s="1" t="n">
        <v>45932</v>
      </c>
      <c r="D1003" t="inlineStr">
        <is>
          <t>VÄRMLANDS LÄN</t>
        </is>
      </c>
      <c r="E1003" t="inlineStr">
        <is>
          <t>SUNNE</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1059-2021</t>
        </is>
      </c>
      <c r="B1004" s="1" t="n">
        <v>44207</v>
      </c>
      <c r="C1004" s="1" t="n">
        <v>45932</v>
      </c>
      <c r="D1004" t="inlineStr">
        <is>
          <t>VÄRMLANDS LÄN</t>
        </is>
      </c>
      <c r="E1004" t="inlineStr">
        <is>
          <t>ARVIKA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28113-2022</t>
        </is>
      </c>
      <c r="B1005" s="1" t="n">
        <v>44746</v>
      </c>
      <c r="C1005" s="1" t="n">
        <v>45932</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35084-2022</t>
        </is>
      </c>
      <c r="B1006" s="1" t="n">
        <v>44797.39523148148</v>
      </c>
      <c r="C1006" s="1" t="n">
        <v>45932</v>
      </c>
      <c r="D1006" t="inlineStr">
        <is>
          <t>VÄRMLANDS LÄN</t>
        </is>
      </c>
      <c r="E1006" t="inlineStr">
        <is>
          <t>STORFORS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21348-2022</t>
        </is>
      </c>
      <c r="B1007" s="1" t="n">
        <v>44705</v>
      </c>
      <c r="C1007" s="1" t="n">
        <v>45932</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22600-2022</t>
        </is>
      </c>
      <c r="B1008" s="1" t="n">
        <v>44714.36386574074</v>
      </c>
      <c r="C1008" s="1" t="n">
        <v>45932</v>
      </c>
      <c r="D1008" t="inlineStr">
        <is>
          <t>VÄRMLANDS LÄN</t>
        </is>
      </c>
      <c r="E1008" t="inlineStr">
        <is>
          <t>ARVIKA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61410-2020</t>
        </is>
      </c>
      <c r="B1009" s="1" t="n">
        <v>44156</v>
      </c>
      <c r="C1009" s="1" t="n">
        <v>45932</v>
      </c>
      <c r="D1009" t="inlineStr">
        <is>
          <t>VÄRMLANDS LÄN</t>
        </is>
      </c>
      <c r="E1009" t="inlineStr">
        <is>
          <t>KRISTINEHAMN</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8144-2021</t>
        </is>
      </c>
      <c r="B1010" s="1" t="n">
        <v>44244.34333333333</v>
      </c>
      <c r="C1010" s="1" t="n">
        <v>45932</v>
      </c>
      <c r="D1010" t="inlineStr">
        <is>
          <t>VÄRMLANDS LÄN</t>
        </is>
      </c>
      <c r="E1010" t="inlineStr">
        <is>
          <t>EDA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13599-2022</t>
        </is>
      </c>
      <c r="B1011" s="1" t="n">
        <v>44648</v>
      </c>
      <c r="C1011" s="1" t="n">
        <v>45932</v>
      </c>
      <c r="D1011" t="inlineStr">
        <is>
          <t>VÄRMLANDS LÄN</t>
        </is>
      </c>
      <c r="E1011" t="inlineStr">
        <is>
          <t>MUNKFORS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49959-2022</t>
        </is>
      </c>
      <c r="B1012" s="1" t="n">
        <v>44865.37293981481</v>
      </c>
      <c r="C1012" s="1" t="n">
        <v>45932</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20174-2022</t>
        </is>
      </c>
      <c r="B1013" s="1" t="n">
        <v>44698</v>
      </c>
      <c r="C1013" s="1" t="n">
        <v>45932</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13575-2021</t>
        </is>
      </c>
      <c r="B1014" s="1" t="n">
        <v>44273</v>
      </c>
      <c r="C1014" s="1" t="n">
        <v>45932</v>
      </c>
      <c r="D1014" t="inlineStr">
        <is>
          <t>VÄRMLANDS LÄN</t>
        </is>
      </c>
      <c r="E1014" t="inlineStr">
        <is>
          <t>HAGFORS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52728-2021</t>
        </is>
      </c>
      <c r="B1015" s="1" t="n">
        <v>44467.290625</v>
      </c>
      <c r="C1015" s="1" t="n">
        <v>45932</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65625-2021</t>
        </is>
      </c>
      <c r="B1016" s="1" t="n">
        <v>44516</v>
      </c>
      <c r="C1016" s="1" t="n">
        <v>45932</v>
      </c>
      <c r="D1016" t="inlineStr">
        <is>
          <t>VÄRMLANDS LÄN</t>
        </is>
      </c>
      <c r="E1016" t="inlineStr">
        <is>
          <t>KARLSTAD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61034-2021</t>
        </is>
      </c>
      <c r="B1017" s="1" t="n">
        <v>44497</v>
      </c>
      <c r="C1017" s="1" t="n">
        <v>45932</v>
      </c>
      <c r="D1017" t="inlineStr">
        <is>
          <t>VÄRMLANDS LÄN</t>
        </is>
      </c>
      <c r="E1017" t="inlineStr">
        <is>
          <t>KRISTINEHAMN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67176-2021</t>
        </is>
      </c>
      <c r="B1018" s="1" t="n">
        <v>44523.43002314815</v>
      </c>
      <c r="C1018" s="1" t="n">
        <v>45932</v>
      </c>
      <c r="D1018" t="inlineStr">
        <is>
          <t>VÄRMLANDS LÄN</t>
        </is>
      </c>
      <c r="E1018" t="inlineStr">
        <is>
          <t>SÄFFLE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45932</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19947-2022</t>
        </is>
      </c>
      <c r="B1020" s="1" t="n">
        <v>44697</v>
      </c>
      <c r="C1020" s="1" t="n">
        <v>45932</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50106-2022</t>
        </is>
      </c>
      <c r="B1021" s="1" t="n">
        <v>44865</v>
      </c>
      <c r="C1021" s="1" t="n">
        <v>45932</v>
      </c>
      <c r="D1021" t="inlineStr">
        <is>
          <t>VÄRMLANDS LÄN</t>
        </is>
      </c>
      <c r="E1021" t="inlineStr">
        <is>
          <t>EDA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34708-2022</t>
        </is>
      </c>
      <c r="B1022" s="1" t="n">
        <v>44795</v>
      </c>
      <c r="C1022" s="1" t="n">
        <v>45932</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54978-2022</t>
        </is>
      </c>
      <c r="B1023" s="1" t="n">
        <v>44886.48966435185</v>
      </c>
      <c r="C1023" s="1" t="n">
        <v>45932</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11015-2021</t>
        </is>
      </c>
      <c r="B1024" s="1" t="n">
        <v>44260</v>
      </c>
      <c r="C1024" s="1" t="n">
        <v>45932</v>
      </c>
      <c r="D1024" t="inlineStr">
        <is>
          <t>VÄRMLANDS LÄN</t>
        </is>
      </c>
      <c r="E1024" t="inlineStr">
        <is>
          <t>SÄFFLE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20009-2022</t>
        </is>
      </c>
      <c r="B1025" s="1" t="n">
        <v>44697</v>
      </c>
      <c r="C1025" s="1" t="n">
        <v>45932</v>
      </c>
      <c r="D1025" t="inlineStr">
        <is>
          <t>VÄRMLANDS LÄN</t>
        </is>
      </c>
      <c r="E1025" t="inlineStr">
        <is>
          <t>TORSBY</t>
        </is>
      </c>
      <c r="G1025" t="n">
        <v>14.4</v>
      </c>
      <c r="H1025" t="n">
        <v>0</v>
      </c>
      <c r="I1025" t="n">
        <v>0</v>
      </c>
      <c r="J1025" t="n">
        <v>0</v>
      </c>
      <c r="K1025" t="n">
        <v>0</v>
      </c>
      <c r="L1025" t="n">
        <v>0</v>
      </c>
      <c r="M1025" t="n">
        <v>0</v>
      </c>
      <c r="N1025" t="n">
        <v>0</v>
      </c>
      <c r="O1025" t="n">
        <v>0</v>
      </c>
      <c r="P1025" t="n">
        <v>0</v>
      </c>
      <c r="Q1025" t="n">
        <v>0</v>
      </c>
      <c r="R1025" s="2" t="inlineStr"/>
    </row>
    <row r="1026" ht="15" customHeight="1">
      <c r="A1026" t="inlineStr">
        <is>
          <t>A 47776-2021</t>
        </is>
      </c>
      <c r="B1026" s="1" t="n">
        <v>44448.58052083333</v>
      </c>
      <c r="C1026" s="1" t="n">
        <v>45932</v>
      </c>
      <c r="D1026" t="inlineStr">
        <is>
          <t>VÄRMLANDS LÄN</t>
        </is>
      </c>
      <c r="E1026" t="inlineStr">
        <is>
          <t>SÄFFLE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59824-2020</t>
        </is>
      </c>
      <c r="B1027" s="1" t="n">
        <v>44151</v>
      </c>
      <c r="C1027" s="1" t="n">
        <v>45932</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37937-2022</t>
        </is>
      </c>
      <c r="B1028" s="1" t="n">
        <v>44811.47032407407</v>
      </c>
      <c r="C1028" s="1" t="n">
        <v>45932</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15701-2021</t>
        </is>
      </c>
      <c r="B1029" s="1" t="n">
        <v>44286</v>
      </c>
      <c r="C1029" s="1" t="n">
        <v>45932</v>
      </c>
      <c r="D1029" t="inlineStr">
        <is>
          <t>VÄRMLANDS LÄN</t>
        </is>
      </c>
      <c r="E1029" t="inlineStr">
        <is>
          <t>GRUMS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11947-2021</t>
        </is>
      </c>
      <c r="B1030" s="1" t="n">
        <v>44265</v>
      </c>
      <c r="C1030" s="1" t="n">
        <v>45932</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7828-2022</t>
        </is>
      </c>
      <c r="B1031" s="1" t="n">
        <v>44608</v>
      </c>
      <c r="C1031" s="1" t="n">
        <v>45932</v>
      </c>
      <c r="D1031" t="inlineStr">
        <is>
          <t>VÄRMLANDS LÄN</t>
        </is>
      </c>
      <c r="E1031" t="inlineStr">
        <is>
          <t>FORSHAGA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51171-2022</t>
        </is>
      </c>
      <c r="B1032" s="1" t="n">
        <v>44868</v>
      </c>
      <c r="C1032" s="1" t="n">
        <v>45932</v>
      </c>
      <c r="D1032" t="inlineStr">
        <is>
          <t>VÄRMLANDS LÄN</t>
        </is>
      </c>
      <c r="E1032" t="inlineStr">
        <is>
          <t>STORFORS</t>
        </is>
      </c>
      <c r="F1032" t="inlineStr">
        <is>
          <t>Kyrkan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12431-2022</t>
        </is>
      </c>
      <c r="B1033" s="1" t="n">
        <v>44638</v>
      </c>
      <c r="C1033" s="1" t="n">
        <v>45932</v>
      </c>
      <c r="D1033" t="inlineStr">
        <is>
          <t>VÄRMLANDS LÄN</t>
        </is>
      </c>
      <c r="E1033" t="inlineStr">
        <is>
          <t>HAGFORS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15279-2021</t>
        </is>
      </c>
      <c r="B1034" s="1" t="n">
        <v>44284</v>
      </c>
      <c r="C1034" s="1" t="n">
        <v>45932</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7886-2022</t>
        </is>
      </c>
      <c r="B1035" s="1" t="n">
        <v>44608</v>
      </c>
      <c r="C1035" s="1" t="n">
        <v>45932</v>
      </c>
      <c r="D1035" t="inlineStr">
        <is>
          <t>VÄRMLANDS LÄN</t>
        </is>
      </c>
      <c r="E1035" t="inlineStr">
        <is>
          <t>EDA</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50560-2022</t>
        </is>
      </c>
      <c r="B1036" s="1" t="n">
        <v>44866.62820601852</v>
      </c>
      <c r="C1036" s="1" t="n">
        <v>45932</v>
      </c>
      <c r="D1036" t="inlineStr">
        <is>
          <t>VÄRMLANDS LÄN</t>
        </is>
      </c>
      <c r="E1036" t="inlineStr">
        <is>
          <t>ARVIKA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45932</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45932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45932</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45932</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45773-2022</t>
        </is>
      </c>
      <c r="B1041" s="1" t="n">
        <v>44846</v>
      </c>
      <c r="C1041" s="1" t="n">
        <v>45932</v>
      </c>
      <c r="D1041" t="inlineStr">
        <is>
          <t>VÄRMLANDS LÄN</t>
        </is>
      </c>
      <c r="E1041" t="inlineStr">
        <is>
          <t>KIL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69529-2021</t>
        </is>
      </c>
      <c r="B1042" s="1" t="n">
        <v>44531</v>
      </c>
      <c r="C1042" s="1" t="n">
        <v>45932</v>
      </c>
      <c r="D1042" t="inlineStr">
        <is>
          <t>VÄRMLANDS LÄN</t>
        </is>
      </c>
      <c r="E1042" t="inlineStr">
        <is>
          <t>ARVIKA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45384-2022</t>
        </is>
      </c>
      <c r="B1043" s="1" t="n">
        <v>44844</v>
      </c>
      <c r="C1043" s="1" t="n">
        <v>45932</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51489-2022</t>
        </is>
      </c>
      <c r="B1044" s="1" t="n">
        <v>44869</v>
      </c>
      <c r="C1044" s="1" t="n">
        <v>45932</v>
      </c>
      <c r="D1044" t="inlineStr">
        <is>
          <t>VÄRMLANDS LÄN</t>
        </is>
      </c>
      <c r="E1044" t="inlineStr">
        <is>
          <t>TORSBY</t>
        </is>
      </c>
      <c r="F1044" t="inlineStr">
        <is>
          <t>Bergvik skog väst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65295-2021</t>
        </is>
      </c>
      <c r="B1045" s="1" t="n">
        <v>44515</v>
      </c>
      <c r="C1045" s="1" t="n">
        <v>45932</v>
      </c>
      <c r="D1045" t="inlineStr">
        <is>
          <t>VÄRMLANDS LÄN</t>
        </is>
      </c>
      <c r="E1045" t="inlineStr">
        <is>
          <t>HAGFORS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10305-2022</t>
        </is>
      </c>
      <c r="B1046" s="1" t="n">
        <v>44622</v>
      </c>
      <c r="C1046" s="1" t="n">
        <v>45932</v>
      </c>
      <c r="D1046" t="inlineStr">
        <is>
          <t>VÄRMLANDS LÄN</t>
        </is>
      </c>
      <c r="E1046" t="inlineStr">
        <is>
          <t>HAGFORS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63617-2021</t>
        </is>
      </c>
      <c r="B1047" s="1" t="n">
        <v>44509</v>
      </c>
      <c r="C1047" s="1" t="n">
        <v>45932</v>
      </c>
      <c r="D1047" t="inlineStr">
        <is>
          <t>VÄRMLANDS LÄN</t>
        </is>
      </c>
      <c r="E1047" t="inlineStr">
        <is>
          <t>SÄFFLE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64508-2021</t>
        </is>
      </c>
      <c r="B1048" s="1" t="n">
        <v>44511.60611111111</v>
      </c>
      <c r="C1048" s="1" t="n">
        <v>45932</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7485-2022</t>
        </is>
      </c>
      <c r="B1049" s="1" t="n">
        <v>44607</v>
      </c>
      <c r="C1049" s="1" t="n">
        <v>45932</v>
      </c>
      <c r="D1049" t="inlineStr">
        <is>
          <t>VÄRMLANDS LÄN</t>
        </is>
      </c>
      <c r="E1049" t="inlineStr">
        <is>
          <t>ÅRJÄNG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9236-2022</t>
        </is>
      </c>
      <c r="B1050" s="1" t="n">
        <v>44616</v>
      </c>
      <c r="C1050" s="1" t="n">
        <v>45932</v>
      </c>
      <c r="D1050" t="inlineStr">
        <is>
          <t>VÄRMLANDS LÄN</t>
        </is>
      </c>
      <c r="E1050" t="inlineStr">
        <is>
          <t>ARVIKA</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9271-2022</t>
        </is>
      </c>
      <c r="B1051" s="1" t="n">
        <v>44616.43730324074</v>
      </c>
      <c r="C1051" s="1" t="n">
        <v>45932</v>
      </c>
      <c r="D1051" t="inlineStr">
        <is>
          <t>VÄRMLANDS LÄN</t>
        </is>
      </c>
      <c r="E1051" t="inlineStr">
        <is>
          <t>FORSHAGA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22167-2022</t>
        </is>
      </c>
      <c r="B1052" s="1" t="n">
        <v>44712</v>
      </c>
      <c r="C1052" s="1" t="n">
        <v>45932</v>
      </c>
      <c r="D1052" t="inlineStr">
        <is>
          <t>VÄRMLANDS LÄN</t>
        </is>
      </c>
      <c r="E1052" t="inlineStr">
        <is>
          <t>ÅRJÄNG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9657-2022</t>
        </is>
      </c>
      <c r="B1053" s="1" t="n">
        <v>44617</v>
      </c>
      <c r="C1053" s="1" t="n">
        <v>45932</v>
      </c>
      <c r="D1053" t="inlineStr">
        <is>
          <t>VÄRMLANDS LÄN</t>
        </is>
      </c>
      <c r="E1053" t="inlineStr">
        <is>
          <t>ARVIKA</t>
        </is>
      </c>
      <c r="F1053" t="inlineStr">
        <is>
          <t>Bergvik skog väst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65102-2021</t>
        </is>
      </c>
      <c r="B1054" s="1" t="n">
        <v>44514</v>
      </c>
      <c r="C1054" s="1" t="n">
        <v>45932</v>
      </c>
      <c r="D1054" t="inlineStr">
        <is>
          <t>VÄRMLANDS LÄN</t>
        </is>
      </c>
      <c r="E1054" t="inlineStr">
        <is>
          <t>ARVIKA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509-2022</t>
        </is>
      </c>
      <c r="B1055" s="1" t="n">
        <v>44566.53228009259</v>
      </c>
      <c r="C1055" s="1" t="n">
        <v>45932</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546-2022</t>
        </is>
      </c>
      <c r="B1056" s="1" t="n">
        <v>44566.64234953704</v>
      </c>
      <c r="C1056" s="1" t="n">
        <v>45932</v>
      </c>
      <c r="D1056" t="inlineStr">
        <is>
          <t>VÄRMLANDS LÄN</t>
        </is>
      </c>
      <c r="E1056" t="inlineStr">
        <is>
          <t>KARLSTAD</t>
        </is>
      </c>
      <c r="F1056" t="inlineStr">
        <is>
          <t>Bergvik skog väst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653-2022</t>
        </is>
      </c>
      <c r="B1057" s="1" t="n">
        <v>44566</v>
      </c>
      <c r="C1057" s="1" t="n">
        <v>45932</v>
      </c>
      <c r="D1057" t="inlineStr">
        <is>
          <t>VÄRMLANDS LÄN</t>
        </is>
      </c>
      <c r="E1057" t="inlineStr">
        <is>
          <t>HAGFORS</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43347-2021</t>
        </is>
      </c>
      <c r="B1058" s="1" t="n">
        <v>44432</v>
      </c>
      <c r="C1058" s="1" t="n">
        <v>45932</v>
      </c>
      <c r="D1058" t="inlineStr">
        <is>
          <t>VÄRMLANDS LÄN</t>
        </is>
      </c>
      <c r="E1058" t="inlineStr">
        <is>
          <t>EDA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31534-2022</t>
        </is>
      </c>
      <c r="B1059" s="1" t="n">
        <v>44775</v>
      </c>
      <c r="C1059" s="1" t="n">
        <v>45932</v>
      </c>
      <c r="D1059" t="inlineStr">
        <is>
          <t>VÄRMLANDS LÄN</t>
        </is>
      </c>
      <c r="E1059" t="inlineStr">
        <is>
          <t>SUNNE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29363-2022</t>
        </is>
      </c>
      <c r="B1060" s="1" t="n">
        <v>44750</v>
      </c>
      <c r="C1060" s="1" t="n">
        <v>45932</v>
      </c>
      <c r="D1060" t="inlineStr">
        <is>
          <t>VÄRMLANDS LÄN</t>
        </is>
      </c>
      <c r="E1060" t="inlineStr">
        <is>
          <t>SÄFFLE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14906-2021</t>
        </is>
      </c>
      <c r="B1061" s="1" t="n">
        <v>44281.37186342593</v>
      </c>
      <c r="C1061" s="1" t="n">
        <v>45932</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25209-2021</t>
        </is>
      </c>
      <c r="B1062" s="1" t="n">
        <v>44342.3705787037</v>
      </c>
      <c r="C1062" s="1" t="n">
        <v>45932</v>
      </c>
      <c r="D1062" t="inlineStr">
        <is>
          <t>VÄRMLANDS LÄN</t>
        </is>
      </c>
      <c r="E1062" t="inlineStr">
        <is>
          <t>KRISTINEHAMN</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25248-2021</t>
        </is>
      </c>
      <c r="B1063" s="1" t="n">
        <v>44342.42895833333</v>
      </c>
      <c r="C1063" s="1" t="n">
        <v>45932</v>
      </c>
      <c r="D1063" t="inlineStr">
        <is>
          <t>VÄRMLANDS LÄN</t>
        </is>
      </c>
      <c r="E1063" t="inlineStr">
        <is>
          <t>KARLSTAD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38945-2021</t>
        </is>
      </c>
      <c r="B1064" s="1" t="n">
        <v>44411</v>
      </c>
      <c r="C1064" s="1" t="n">
        <v>45932</v>
      </c>
      <c r="D1064" t="inlineStr">
        <is>
          <t>VÄRMLANDS LÄN</t>
        </is>
      </c>
      <c r="E1064" t="inlineStr">
        <is>
          <t>MUNKFORS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38947-2021</t>
        </is>
      </c>
      <c r="B1065" s="1" t="n">
        <v>44411</v>
      </c>
      <c r="C1065" s="1" t="n">
        <v>45932</v>
      </c>
      <c r="D1065" t="inlineStr">
        <is>
          <t>VÄRMLANDS LÄN</t>
        </is>
      </c>
      <c r="E1065" t="inlineStr">
        <is>
          <t>MUNKFORS</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15395-2021</t>
        </is>
      </c>
      <c r="B1066" s="1" t="n">
        <v>44285.29895833333</v>
      </c>
      <c r="C1066" s="1" t="n">
        <v>45932</v>
      </c>
      <c r="D1066" t="inlineStr">
        <is>
          <t>VÄRMLANDS LÄN</t>
        </is>
      </c>
      <c r="E1066" t="inlineStr">
        <is>
          <t>EDA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45932</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21146-2021</t>
        </is>
      </c>
      <c r="B1068" s="1" t="n">
        <v>44320.3937962963</v>
      </c>
      <c r="C1068" s="1" t="n">
        <v>45932</v>
      </c>
      <c r="D1068" t="inlineStr">
        <is>
          <t>VÄRMLANDS LÄN</t>
        </is>
      </c>
      <c r="E1068" t="inlineStr">
        <is>
          <t>HAGFORS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44080-2022</t>
        </is>
      </c>
      <c r="B1069" s="1" t="n">
        <v>44839.35453703703</v>
      </c>
      <c r="C1069" s="1" t="n">
        <v>45932</v>
      </c>
      <c r="D1069" t="inlineStr">
        <is>
          <t>VÄRMLANDS LÄN</t>
        </is>
      </c>
      <c r="E1069" t="inlineStr">
        <is>
          <t>KARLSTAD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73651-2021</t>
        </is>
      </c>
      <c r="B1070" s="1" t="n">
        <v>44552</v>
      </c>
      <c r="C1070" s="1" t="n">
        <v>45932</v>
      </c>
      <c r="D1070" t="inlineStr">
        <is>
          <t>VÄRMLANDS LÄN</t>
        </is>
      </c>
      <c r="E1070" t="inlineStr">
        <is>
          <t>ÅRJÄNG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11548-2022</t>
        </is>
      </c>
      <c r="B1071" s="1" t="n">
        <v>44631</v>
      </c>
      <c r="C1071" s="1" t="n">
        <v>45932</v>
      </c>
      <c r="D1071" t="inlineStr">
        <is>
          <t>VÄRMLANDS LÄN</t>
        </is>
      </c>
      <c r="E1071" t="inlineStr">
        <is>
          <t>ÅRJÄNG</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28807-2022</t>
        </is>
      </c>
      <c r="B1072" s="1" t="n">
        <v>44749</v>
      </c>
      <c r="C1072" s="1" t="n">
        <v>45932</v>
      </c>
      <c r="D1072" t="inlineStr">
        <is>
          <t>VÄRMLANDS LÄN</t>
        </is>
      </c>
      <c r="E1072" t="inlineStr">
        <is>
          <t>SUNNE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6061-2022</t>
        </is>
      </c>
      <c r="B1073" s="1" t="n">
        <v>44599</v>
      </c>
      <c r="C1073" s="1" t="n">
        <v>45932</v>
      </c>
      <c r="D1073" t="inlineStr">
        <is>
          <t>VÄRMLANDS LÄN</t>
        </is>
      </c>
      <c r="E1073" t="inlineStr">
        <is>
          <t>KARLSTAD</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39131-2021</t>
        </is>
      </c>
      <c r="B1074" s="1" t="n">
        <v>44412</v>
      </c>
      <c r="C1074" s="1" t="n">
        <v>45932</v>
      </c>
      <c r="D1074" t="inlineStr">
        <is>
          <t>VÄRMLANDS LÄN</t>
        </is>
      </c>
      <c r="E1074" t="inlineStr">
        <is>
          <t>GRUMS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22757-2021</t>
        </is>
      </c>
      <c r="B1075" s="1" t="n">
        <v>44327</v>
      </c>
      <c r="C1075" s="1" t="n">
        <v>45932</v>
      </c>
      <c r="D1075" t="inlineStr">
        <is>
          <t>VÄRMLANDS LÄN</t>
        </is>
      </c>
      <c r="E1075" t="inlineStr">
        <is>
          <t>ARVIKA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45932</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71842-2021</t>
        </is>
      </c>
      <c r="B1077" s="1" t="n">
        <v>44543</v>
      </c>
      <c r="C1077" s="1" t="n">
        <v>45932</v>
      </c>
      <c r="D1077" t="inlineStr">
        <is>
          <t>VÄRMLANDS LÄN</t>
        </is>
      </c>
      <c r="E1077" t="inlineStr">
        <is>
          <t>ÅRJÄNG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71834-2021</t>
        </is>
      </c>
      <c r="B1078" s="1" t="n">
        <v>44543.62173611111</v>
      </c>
      <c r="C1078" s="1" t="n">
        <v>45932</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55787-2022</t>
        </is>
      </c>
      <c r="B1079" s="1" t="n">
        <v>44888.62709490741</v>
      </c>
      <c r="C1079" s="1" t="n">
        <v>45932</v>
      </c>
      <c r="D1079" t="inlineStr">
        <is>
          <t>VÄRMLANDS LÄN</t>
        </is>
      </c>
      <c r="E1079" t="inlineStr">
        <is>
          <t>ARVIKA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5458-2022</t>
        </is>
      </c>
      <c r="B1080" s="1" t="n">
        <v>44594</v>
      </c>
      <c r="C1080" s="1" t="n">
        <v>45932</v>
      </c>
      <c r="D1080" t="inlineStr">
        <is>
          <t>VÄRMLANDS LÄN</t>
        </is>
      </c>
      <c r="E1080" t="inlineStr">
        <is>
          <t>KARLSTAD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18755-2021</t>
        </is>
      </c>
      <c r="B1081" s="1" t="n">
        <v>44307.4647800926</v>
      </c>
      <c r="C1081" s="1" t="n">
        <v>45932</v>
      </c>
      <c r="D1081" t="inlineStr">
        <is>
          <t>VÄRMLANDS LÄN</t>
        </is>
      </c>
      <c r="E1081" t="inlineStr">
        <is>
          <t>KARLSTAD</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31783-2022</t>
        </is>
      </c>
      <c r="B1082" s="1" t="n">
        <v>44776</v>
      </c>
      <c r="C1082" s="1" t="n">
        <v>45932</v>
      </c>
      <c r="D1082" t="inlineStr">
        <is>
          <t>VÄRMLANDS LÄN</t>
        </is>
      </c>
      <c r="E1082" t="inlineStr">
        <is>
          <t>SÄFFLE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33307-2022</t>
        </is>
      </c>
      <c r="B1083" s="1" t="n">
        <v>44788</v>
      </c>
      <c r="C1083" s="1" t="n">
        <v>45932</v>
      </c>
      <c r="D1083" t="inlineStr">
        <is>
          <t>VÄRMLANDS LÄN</t>
        </is>
      </c>
      <c r="E1083" t="inlineStr">
        <is>
          <t>STORFORS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35488-2021</t>
        </is>
      </c>
      <c r="B1084" s="1" t="n">
        <v>44385.60634259259</v>
      </c>
      <c r="C1084" s="1" t="n">
        <v>45932</v>
      </c>
      <c r="D1084" t="inlineStr">
        <is>
          <t>VÄRMLANDS LÄN</t>
        </is>
      </c>
      <c r="E1084" t="inlineStr">
        <is>
          <t>EDA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43806-2022</t>
        </is>
      </c>
      <c r="B1085" s="1" t="n">
        <v>44838</v>
      </c>
      <c r="C1085" s="1" t="n">
        <v>45932</v>
      </c>
      <c r="D1085" t="inlineStr">
        <is>
          <t>VÄRMLANDS LÄN</t>
        </is>
      </c>
      <c r="E1085" t="inlineStr">
        <is>
          <t>GRUMS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8766-2022</t>
        </is>
      </c>
      <c r="B1086" s="1" t="n">
        <v>44614</v>
      </c>
      <c r="C1086" s="1" t="n">
        <v>45932</v>
      </c>
      <c r="D1086" t="inlineStr">
        <is>
          <t>VÄRMLANDS LÄN</t>
        </is>
      </c>
      <c r="E1086" t="inlineStr">
        <is>
          <t>SUNNE</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4557-2022</t>
        </is>
      </c>
      <c r="B1087" s="1" t="n">
        <v>44591.47540509259</v>
      </c>
      <c r="C1087" s="1" t="n">
        <v>45932</v>
      </c>
      <c r="D1087" t="inlineStr">
        <is>
          <t>VÄRMLANDS LÄN</t>
        </is>
      </c>
      <c r="E1087" t="inlineStr">
        <is>
          <t>TORSBY</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51246-2022</t>
        </is>
      </c>
      <c r="B1088" s="1" t="n">
        <v>44868.66231481481</v>
      </c>
      <c r="C1088" s="1" t="n">
        <v>45932</v>
      </c>
      <c r="D1088" t="inlineStr">
        <is>
          <t>VÄRMLANDS LÄN</t>
        </is>
      </c>
      <c r="E1088" t="inlineStr">
        <is>
          <t>KARLSTAD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7415-2022</t>
        </is>
      </c>
      <c r="B1089" s="1" t="n">
        <v>44606.69184027778</v>
      </c>
      <c r="C1089" s="1" t="n">
        <v>45932</v>
      </c>
      <c r="D1089" t="inlineStr">
        <is>
          <t>VÄRMLANDS LÄN</t>
        </is>
      </c>
      <c r="E1089" t="inlineStr">
        <is>
          <t>FILIPSTAD</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70729-2021</t>
        </is>
      </c>
      <c r="B1090" s="1" t="n">
        <v>44536</v>
      </c>
      <c r="C1090" s="1" t="n">
        <v>45932</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53390-2021</t>
        </is>
      </c>
      <c r="B1091" s="1" t="n">
        <v>44468</v>
      </c>
      <c r="C1091" s="1" t="n">
        <v>45932</v>
      </c>
      <c r="D1091" t="inlineStr">
        <is>
          <t>VÄRMLANDS LÄN</t>
        </is>
      </c>
      <c r="E1091" t="inlineStr">
        <is>
          <t>ARVIKA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43661-2021</t>
        </is>
      </c>
      <c r="B1092" s="1" t="n">
        <v>44433</v>
      </c>
      <c r="C1092" s="1" t="n">
        <v>45932</v>
      </c>
      <c r="D1092" t="inlineStr">
        <is>
          <t>VÄRMLANDS LÄN</t>
        </is>
      </c>
      <c r="E1092" t="inlineStr">
        <is>
          <t>KIL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50953-2022</t>
        </is>
      </c>
      <c r="B1093" s="1" t="n">
        <v>44866</v>
      </c>
      <c r="C1093" s="1" t="n">
        <v>45932</v>
      </c>
      <c r="D1093" t="inlineStr">
        <is>
          <t>VÄRMLANDS LÄN</t>
        </is>
      </c>
      <c r="E1093" t="inlineStr">
        <is>
          <t>TORSBY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26211-2021</t>
        </is>
      </c>
      <c r="B1094" s="1" t="n">
        <v>44347</v>
      </c>
      <c r="C1094" s="1" t="n">
        <v>45932</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2966-2022</t>
        </is>
      </c>
      <c r="B1095" s="1" t="n">
        <v>44581.70393518519</v>
      </c>
      <c r="C1095" s="1" t="n">
        <v>45932</v>
      </c>
      <c r="D1095" t="inlineStr">
        <is>
          <t>VÄRMLANDS LÄN</t>
        </is>
      </c>
      <c r="E1095" t="inlineStr">
        <is>
          <t>ÅRJÄNG</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2993-2022</t>
        </is>
      </c>
      <c r="B1096" s="1" t="n">
        <v>44581</v>
      </c>
      <c r="C1096" s="1" t="n">
        <v>45932</v>
      </c>
      <c r="D1096" t="inlineStr">
        <is>
          <t>VÄRMLANDS LÄN</t>
        </is>
      </c>
      <c r="E1096" t="inlineStr">
        <is>
          <t>KIL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2997-2022</t>
        </is>
      </c>
      <c r="B1097" s="1" t="n">
        <v>44581</v>
      </c>
      <c r="C1097" s="1" t="n">
        <v>45932</v>
      </c>
      <c r="D1097" t="inlineStr">
        <is>
          <t>VÄRMLANDS LÄN</t>
        </is>
      </c>
      <c r="E1097" t="inlineStr">
        <is>
          <t>KIL</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2998-2022</t>
        </is>
      </c>
      <c r="B1098" s="1" t="n">
        <v>44581</v>
      </c>
      <c r="C1098" s="1" t="n">
        <v>45932</v>
      </c>
      <c r="D1098" t="inlineStr">
        <is>
          <t>VÄRMLANDS LÄN</t>
        </is>
      </c>
      <c r="E1098" t="inlineStr">
        <is>
          <t>KIL</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3029-2022</t>
        </is>
      </c>
      <c r="B1099" s="1" t="n">
        <v>44582.00265046296</v>
      </c>
      <c r="C1099" s="1" t="n">
        <v>45932</v>
      </c>
      <c r="D1099" t="inlineStr">
        <is>
          <t>VÄRMLANDS LÄN</t>
        </is>
      </c>
      <c r="E1099" t="inlineStr">
        <is>
          <t>EDA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3030-2022</t>
        </is>
      </c>
      <c r="B1100" s="1" t="n">
        <v>44582.0059837963</v>
      </c>
      <c r="C1100" s="1" t="n">
        <v>45932</v>
      </c>
      <c r="D1100" t="inlineStr">
        <is>
          <t>VÄRMLANDS LÄN</t>
        </is>
      </c>
      <c r="E1100" t="inlineStr">
        <is>
          <t>EDA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50482-2020</t>
        </is>
      </c>
      <c r="B1101" s="1" t="n">
        <v>44110.58741898148</v>
      </c>
      <c r="C1101" s="1" t="n">
        <v>45932</v>
      </c>
      <c r="D1101" t="inlineStr">
        <is>
          <t>VÄRMLANDS LÄN</t>
        </is>
      </c>
      <c r="E1101" t="inlineStr">
        <is>
          <t>HAGFORS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69719-2021</t>
        </is>
      </c>
      <c r="B1102" s="1" t="n">
        <v>44532</v>
      </c>
      <c r="C1102" s="1" t="n">
        <v>45932</v>
      </c>
      <c r="D1102" t="inlineStr">
        <is>
          <t>VÄRMLANDS LÄN</t>
        </is>
      </c>
      <c r="E1102" t="inlineStr">
        <is>
          <t>ARVIKA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1330-2022</t>
        </is>
      </c>
      <c r="B1103" s="1" t="n">
        <v>44572</v>
      </c>
      <c r="C1103" s="1" t="n">
        <v>45932</v>
      </c>
      <c r="D1103" t="inlineStr">
        <is>
          <t>VÄRMLANDS LÄN</t>
        </is>
      </c>
      <c r="E1103" t="inlineStr">
        <is>
          <t>KIL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13882-2022</t>
        </is>
      </c>
      <c r="B1104" s="1" t="n">
        <v>44650</v>
      </c>
      <c r="C1104" s="1" t="n">
        <v>45932</v>
      </c>
      <c r="D1104" t="inlineStr">
        <is>
          <t>VÄRMLANDS LÄN</t>
        </is>
      </c>
      <c r="E1104" t="inlineStr">
        <is>
          <t>KARLSTAD</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53014-2020</t>
        </is>
      </c>
      <c r="B1105" s="1" t="n">
        <v>44119</v>
      </c>
      <c r="C1105" s="1" t="n">
        <v>45932</v>
      </c>
      <c r="D1105" t="inlineStr">
        <is>
          <t>VÄRMLANDS LÄN</t>
        </is>
      </c>
      <c r="E1105" t="inlineStr">
        <is>
          <t>HAGFORS</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36766-2021</t>
        </is>
      </c>
      <c r="B1106" s="1" t="n">
        <v>44392</v>
      </c>
      <c r="C1106" s="1" t="n">
        <v>45932</v>
      </c>
      <c r="D1106" t="inlineStr">
        <is>
          <t>VÄRMLANDS LÄN</t>
        </is>
      </c>
      <c r="E1106" t="inlineStr">
        <is>
          <t>SÄFFLE</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36767-2021</t>
        </is>
      </c>
      <c r="B1107" s="1" t="n">
        <v>44392</v>
      </c>
      <c r="C1107" s="1" t="n">
        <v>45932</v>
      </c>
      <c r="D1107" t="inlineStr">
        <is>
          <t>VÄRMLANDS LÄN</t>
        </is>
      </c>
      <c r="E1107" t="inlineStr">
        <is>
          <t>SÄFFLE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36784-2021</t>
        </is>
      </c>
      <c r="B1108" s="1" t="n">
        <v>44392</v>
      </c>
      <c r="C1108" s="1" t="n">
        <v>45932</v>
      </c>
      <c r="D1108" t="inlineStr">
        <is>
          <t>VÄRMLANDS LÄN</t>
        </is>
      </c>
      <c r="E1108" t="inlineStr">
        <is>
          <t>SÄFFLE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7602-2022</t>
        </is>
      </c>
      <c r="B1109" s="1" t="n">
        <v>44607.64876157408</v>
      </c>
      <c r="C1109" s="1" t="n">
        <v>45932</v>
      </c>
      <c r="D1109" t="inlineStr">
        <is>
          <t>VÄRMLANDS LÄN</t>
        </is>
      </c>
      <c r="E1109" t="inlineStr">
        <is>
          <t>HAGFORS</t>
        </is>
      </c>
      <c r="F1109" t="inlineStr">
        <is>
          <t>Bergvik skog väst AB</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66599-2021</t>
        </is>
      </c>
      <c r="B1110" s="1" t="n">
        <v>44519</v>
      </c>
      <c r="C1110" s="1" t="n">
        <v>45932</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2812-2022</t>
        </is>
      </c>
      <c r="B1111" s="1" t="n">
        <v>44581</v>
      </c>
      <c r="C1111" s="1" t="n">
        <v>45932</v>
      </c>
      <c r="D1111" t="inlineStr">
        <is>
          <t>VÄRMLANDS LÄN</t>
        </is>
      </c>
      <c r="E1111" t="inlineStr">
        <is>
          <t>KARLSTAD</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12583-2022</t>
        </is>
      </c>
      <c r="B1112" s="1" t="n">
        <v>44639.41145833334</v>
      </c>
      <c r="C1112" s="1" t="n">
        <v>45932</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6524-2022</t>
        </is>
      </c>
      <c r="B1113" s="1" t="n">
        <v>44601</v>
      </c>
      <c r="C1113" s="1" t="n">
        <v>45932</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39653-2021</t>
        </is>
      </c>
      <c r="B1114" s="1" t="n">
        <v>44413</v>
      </c>
      <c r="C1114" s="1" t="n">
        <v>45932</v>
      </c>
      <c r="D1114" t="inlineStr">
        <is>
          <t>VÄRMLANDS LÄN</t>
        </is>
      </c>
      <c r="E1114" t="inlineStr">
        <is>
          <t>KRISTINEHAMN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33802-2022</t>
        </is>
      </c>
      <c r="B1115" s="1" t="n">
        <v>44790</v>
      </c>
      <c r="C1115" s="1" t="n">
        <v>45932</v>
      </c>
      <c r="D1115" t="inlineStr">
        <is>
          <t>VÄRMLANDS LÄN</t>
        </is>
      </c>
      <c r="E1115" t="inlineStr">
        <is>
          <t>TORSBY</t>
        </is>
      </c>
      <c r="F1115" t="inlineStr">
        <is>
          <t>Bergvik skog väst AB</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46718-2022</t>
        </is>
      </c>
      <c r="B1116" s="1" t="n">
        <v>44851.4033912037</v>
      </c>
      <c r="C1116" s="1" t="n">
        <v>45932</v>
      </c>
      <c r="D1116" t="inlineStr">
        <is>
          <t>VÄRMLANDS LÄN</t>
        </is>
      </c>
      <c r="E1116" t="inlineStr">
        <is>
          <t>EDA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46777-2022</t>
        </is>
      </c>
      <c r="B1117" s="1" t="n">
        <v>44851.49553240741</v>
      </c>
      <c r="C1117" s="1" t="n">
        <v>45932</v>
      </c>
      <c r="D1117" t="inlineStr">
        <is>
          <t>VÄRMLANDS LÄN</t>
        </is>
      </c>
      <c r="E1117" t="inlineStr">
        <is>
          <t>SUNNE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6706-2022</t>
        </is>
      </c>
      <c r="B1118" s="1" t="n">
        <v>44602.4344212963</v>
      </c>
      <c r="C1118" s="1" t="n">
        <v>45932</v>
      </c>
      <c r="D1118" t="inlineStr">
        <is>
          <t>VÄRMLANDS LÄN</t>
        </is>
      </c>
      <c r="E1118" t="inlineStr">
        <is>
          <t>SUNNE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59823-2020</t>
        </is>
      </c>
      <c r="B1119" s="1" t="n">
        <v>44151</v>
      </c>
      <c r="C1119" s="1" t="n">
        <v>45932</v>
      </c>
      <c r="D1119" t="inlineStr">
        <is>
          <t>VÄRMLANDS LÄN</t>
        </is>
      </c>
      <c r="E1119" t="inlineStr">
        <is>
          <t>ARVIKA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41025-2022</t>
        </is>
      </c>
      <c r="B1120" s="1" t="n">
        <v>44824</v>
      </c>
      <c r="C1120" s="1" t="n">
        <v>45932</v>
      </c>
      <c r="D1120" t="inlineStr">
        <is>
          <t>VÄRMLANDS LÄN</t>
        </is>
      </c>
      <c r="E1120" t="inlineStr">
        <is>
          <t>SÄFFLE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28534-2022</t>
        </is>
      </c>
      <c r="B1121" s="1" t="n">
        <v>44748.390625</v>
      </c>
      <c r="C1121" s="1" t="n">
        <v>45932</v>
      </c>
      <c r="D1121" t="inlineStr">
        <is>
          <t>VÄRMLANDS LÄN</t>
        </is>
      </c>
      <c r="E1121" t="inlineStr">
        <is>
          <t>SÄFFLE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37413-2022</t>
        </is>
      </c>
      <c r="B1122" s="1" t="n">
        <v>44808</v>
      </c>
      <c r="C1122" s="1" t="n">
        <v>45932</v>
      </c>
      <c r="D1122" t="inlineStr">
        <is>
          <t>VÄRMLANDS LÄN</t>
        </is>
      </c>
      <c r="E1122" t="inlineStr">
        <is>
          <t>ARVIKA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49896-2022</t>
        </is>
      </c>
      <c r="B1123" s="1" t="n">
        <v>44864.76736111111</v>
      </c>
      <c r="C1123" s="1" t="n">
        <v>45932</v>
      </c>
      <c r="D1123" t="inlineStr">
        <is>
          <t>VÄRMLANDS LÄN</t>
        </is>
      </c>
      <c r="E1123" t="inlineStr">
        <is>
          <t>ÅRJÄNG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50084-2020</t>
        </is>
      </c>
      <c r="B1124" s="1" t="n">
        <v>44109</v>
      </c>
      <c r="C1124" s="1" t="n">
        <v>45932</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22701-2022</t>
        </is>
      </c>
      <c r="B1125" s="1" t="n">
        <v>44714</v>
      </c>
      <c r="C1125" s="1" t="n">
        <v>45932</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57772-2020</t>
        </is>
      </c>
      <c r="B1126" s="1" t="n">
        <v>44141</v>
      </c>
      <c r="C1126" s="1" t="n">
        <v>45932</v>
      </c>
      <c r="D1126" t="inlineStr">
        <is>
          <t>VÄRMLANDS LÄN</t>
        </is>
      </c>
      <c r="E1126" t="inlineStr">
        <is>
          <t>KRISTINEHAMN</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23851-2022</t>
        </is>
      </c>
      <c r="B1127" s="1" t="n">
        <v>44722</v>
      </c>
      <c r="C1127" s="1" t="n">
        <v>45932</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43461-2021</t>
        </is>
      </c>
      <c r="B1128" s="1" t="n">
        <v>44432</v>
      </c>
      <c r="C1128" s="1" t="n">
        <v>45932</v>
      </c>
      <c r="D1128" t="inlineStr">
        <is>
          <t>VÄRMLANDS LÄN</t>
        </is>
      </c>
      <c r="E1128" t="inlineStr">
        <is>
          <t>SUNNE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36562-2022</t>
        </is>
      </c>
      <c r="B1129" s="1" t="n">
        <v>44804.59203703704</v>
      </c>
      <c r="C1129" s="1" t="n">
        <v>45932</v>
      </c>
      <c r="D1129" t="inlineStr">
        <is>
          <t>VÄRMLANDS LÄN</t>
        </is>
      </c>
      <c r="E1129" t="inlineStr">
        <is>
          <t>TORSBY</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69248-2020</t>
        </is>
      </c>
      <c r="B1130" s="1" t="n">
        <v>44192.89025462963</v>
      </c>
      <c r="C1130" s="1" t="n">
        <v>45932</v>
      </c>
      <c r="D1130" t="inlineStr">
        <is>
          <t>VÄRMLANDS LÄN</t>
        </is>
      </c>
      <c r="E1130" t="inlineStr">
        <is>
          <t>TORSBY</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23301-2022</t>
        </is>
      </c>
      <c r="B1131" s="1" t="n">
        <v>44720</v>
      </c>
      <c r="C1131" s="1" t="n">
        <v>45932</v>
      </c>
      <c r="D1131" t="inlineStr">
        <is>
          <t>VÄRMLANDS LÄN</t>
        </is>
      </c>
      <c r="E1131" t="inlineStr">
        <is>
          <t>SUNNE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21248-2022</t>
        </is>
      </c>
      <c r="B1132" s="1" t="n">
        <v>44705.39193287037</v>
      </c>
      <c r="C1132" s="1" t="n">
        <v>45932</v>
      </c>
      <c r="D1132" t="inlineStr">
        <is>
          <t>VÄRMLANDS LÄN</t>
        </is>
      </c>
      <c r="E1132" t="inlineStr">
        <is>
          <t>GRUMS</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26295-2022</t>
        </is>
      </c>
      <c r="B1133" s="1" t="n">
        <v>44735.57664351852</v>
      </c>
      <c r="C1133" s="1" t="n">
        <v>45932</v>
      </c>
      <c r="D1133" t="inlineStr">
        <is>
          <t>VÄRMLANDS LÄN</t>
        </is>
      </c>
      <c r="E1133" t="inlineStr">
        <is>
          <t>SÄFFLE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44418-2021</t>
        </is>
      </c>
      <c r="B1134" s="1" t="n">
        <v>44435</v>
      </c>
      <c r="C1134" s="1" t="n">
        <v>45932</v>
      </c>
      <c r="D1134" t="inlineStr">
        <is>
          <t>VÄRMLANDS LÄN</t>
        </is>
      </c>
      <c r="E1134" t="inlineStr">
        <is>
          <t>TORSBY</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44465-2021</t>
        </is>
      </c>
      <c r="B1135" s="1" t="n">
        <v>44435</v>
      </c>
      <c r="C1135" s="1" t="n">
        <v>45932</v>
      </c>
      <c r="D1135" t="inlineStr">
        <is>
          <t>VÄRMLANDS LÄN</t>
        </is>
      </c>
      <c r="E1135" t="inlineStr">
        <is>
          <t>SUNNE</t>
        </is>
      </c>
      <c r="F1135" t="inlineStr">
        <is>
          <t>Kommuner</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44490-2021</t>
        </is>
      </c>
      <c r="B1136" s="1" t="n">
        <v>44435.60148148148</v>
      </c>
      <c r="C1136" s="1" t="n">
        <v>45932</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64318-2020</t>
        </is>
      </c>
      <c r="B1137" s="1" t="n">
        <v>44168</v>
      </c>
      <c r="C1137" s="1" t="n">
        <v>45932</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8578-2022</t>
        </is>
      </c>
      <c r="B1138" s="1" t="n">
        <v>44613</v>
      </c>
      <c r="C1138" s="1" t="n">
        <v>45932</v>
      </c>
      <c r="D1138" t="inlineStr">
        <is>
          <t>VÄRMLANDS LÄN</t>
        </is>
      </c>
      <c r="E1138" t="inlineStr">
        <is>
          <t>ARVIKA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43542-2021</t>
        </is>
      </c>
      <c r="B1139" s="1" t="n">
        <v>44433</v>
      </c>
      <c r="C1139" s="1" t="n">
        <v>45932</v>
      </c>
      <c r="D1139" t="inlineStr">
        <is>
          <t>VÄRMLANDS LÄN</t>
        </is>
      </c>
      <c r="E1139" t="inlineStr">
        <is>
          <t>KARLSTAD</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12043-2022</t>
        </is>
      </c>
      <c r="B1140" s="1" t="n">
        <v>44636</v>
      </c>
      <c r="C1140" s="1" t="n">
        <v>45932</v>
      </c>
      <c r="D1140" t="inlineStr">
        <is>
          <t>VÄRMLANDS LÄN</t>
        </is>
      </c>
      <c r="E1140" t="inlineStr">
        <is>
          <t>KIL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4129-2021</t>
        </is>
      </c>
      <c r="B1141" s="1" t="n">
        <v>44223</v>
      </c>
      <c r="C1141" s="1" t="n">
        <v>45932</v>
      </c>
      <c r="D1141" t="inlineStr">
        <is>
          <t>VÄRMLANDS LÄN</t>
        </is>
      </c>
      <c r="E1141" t="inlineStr">
        <is>
          <t>EDA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42994-2021</t>
        </is>
      </c>
      <c r="B1142" s="1" t="n">
        <v>44431</v>
      </c>
      <c r="C1142" s="1" t="n">
        <v>45932</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36458-2022</t>
        </is>
      </c>
      <c r="B1143" s="1" t="n">
        <v>44804.41418981482</v>
      </c>
      <c r="C1143" s="1" t="n">
        <v>45932</v>
      </c>
      <c r="D1143" t="inlineStr">
        <is>
          <t>VÄRMLANDS LÄN</t>
        </is>
      </c>
      <c r="E1143" t="inlineStr">
        <is>
          <t>ARVIKA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66208-2020</t>
        </is>
      </c>
      <c r="B1144" s="1" t="n">
        <v>44175</v>
      </c>
      <c r="C1144" s="1" t="n">
        <v>45932</v>
      </c>
      <c r="D1144" t="inlineStr">
        <is>
          <t>VÄRMLANDS LÄN</t>
        </is>
      </c>
      <c r="E1144" t="inlineStr">
        <is>
          <t>SUNNE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38705-2021</t>
        </is>
      </c>
      <c r="B1145" s="1" t="n">
        <v>44410</v>
      </c>
      <c r="C1145" s="1" t="n">
        <v>45932</v>
      </c>
      <c r="D1145" t="inlineStr">
        <is>
          <t>VÄRMLANDS LÄN</t>
        </is>
      </c>
      <c r="E1145" t="inlineStr">
        <is>
          <t>SUNNE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45932</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7725-2021</t>
        </is>
      </c>
      <c r="B1147" s="1" t="n">
        <v>44242</v>
      </c>
      <c r="C1147" s="1" t="n">
        <v>45932</v>
      </c>
      <c r="D1147" t="inlineStr">
        <is>
          <t>VÄRMLANDS LÄN</t>
        </is>
      </c>
      <c r="E1147" t="inlineStr">
        <is>
          <t>ARVIKA</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50584-2021</t>
        </is>
      </c>
      <c r="B1148" s="1" t="n">
        <v>44456</v>
      </c>
      <c r="C1148" s="1" t="n">
        <v>45932</v>
      </c>
      <c r="D1148" t="inlineStr">
        <is>
          <t>VÄRMLANDS LÄN</t>
        </is>
      </c>
      <c r="E1148" t="inlineStr">
        <is>
          <t>SÄFFLE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50596-2021</t>
        </is>
      </c>
      <c r="B1149" s="1" t="n">
        <v>44459</v>
      </c>
      <c r="C1149" s="1" t="n">
        <v>45932</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20103-2021</t>
        </is>
      </c>
      <c r="B1150" s="1" t="n">
        <v>44314.45032407407</v>
      </c>
      <c r="C1150" s="1" t="n">
        <v>45932</v>
      </c>
      <c r="D1150" t="inlineStr">
        <is>
          <t>VÄRMLANDS LÄN</t>
        </is>
      </c>
      <c r="E1150" t="inlineStr">
        <is>
          <t>FORSHAGA</t>
        </is>
      </c>
      <c r="F1150" t="inlineStr">
        <is>
          <t>Bergvik skog väst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49582-2020</t>
        </is>
      </c>
      <c r="B1151" s="1" t="n">
        <v>44106</v>
      </c>
      <c r="C1151" s="1" t="n">
        <v>45932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45932</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67018-2020</t>
        </is>
      </c>
      <c r="B1153" s="1" t="n">
        <v>44176</v>
      </c>
      <c r="C1153" s="1" t="n">
        <v>45932</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53143-2021</t>
        </is>
      </c>
      <c r="B1154" s="1" t="n">
        <v>44466</v>
      </c>
      <c r="C1154" s="1" t="n">
        <v>45932</v>
      </c>
      <c r="D1154" t="inlineStr">
        <is>
          <t>VÄRMLANDS LÄN</t>
        </is>
      </c>
      <c r="E1154" t="inlineStr">
        <is>
          <t>SÄFFLE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51586-2020</t>
        </is>
      </c>
      <c r="B1155" s="1" t="n">
        <v>44113</v>
      </c>
      <c r="C1155" s="1" t="n">
        <v>45932</v>
      </c>
      <c r="D1155" t="inlineStr">
        <is>
          <t>VÄRMLANDS LÄN</t>
        </is>
      </c>
      <c r="E1155" t="inlineStr">
        <is>
          <t>SUNNE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51385-2020</t>
        </is>
      </c>
      <c r="B1156" s="1" t="n">
        <v>44113</v>
      </c>
      <c r="C1156" s="1" t="n">
        <v>45932</v>
      </c>
      <c r="D1156" t="inlineStr">
        <is>
          <t>VÄRMLANDS LÄN</t>
        </is>
      </c>
      <c r="E1156" t="inlineStr">
        <is>
          <t>TORSBY</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51386-2020</t>
        </is>
      </c>
      <c r="B1157" s="1" t="n">
        <v>44113.2850462963</v>
      </c>
      <c r="C1157" s="1" t="n">
        <v>45932</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54839-2020</t>
        </is>
      </c>
      <c r="B1158" s="1" t="n">
        <v>44127</v>
      </c>
      <c r="C1158" s="1" t="n">
        <v>45932</v>
      </c>
      <c r="D1158" t="inlineStr">
        <is>
          <t>VÄRMLANDS LÄN</t>
        </is>
      </c>
      <c r="E1158" t="inlineStr">
        <is>
          <t>EDA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50673-2020</t>
        </is>
      </c>
      <c r="B1159" s="1" t="n">
        <v>44111.34020833333</v>
      </c>
      <c r="C1159" s="1" t="n">
        <v>45932</v>
      </c>
      <c r="D1159" t="inlineStr">
        <is>
          <t>VÄRMLANDS LÄN</t>
        </is>
      </c>
      <c r="E1159" t="inlineStr">
        <is>
          <t>KRISTINEHAMN</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50092-2020</t>
        </is>
      </c>
      <c r="B1160" s="1" t="n">
        <v>44109</v>
      </c>
      <c r="C1160" s="1" t="n">
        <v>45932</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28198-2022</t>
        </is>
      </c>
      <c r="B1161" s="1" t="n">
        <v>44746</v>
      </c>
      <c r="C1161" s="1" t="n">
        <v>45932</v>
      </c>
      <c r="D1161" t="inlineStr">
        <is>
          <t>VÄRMLANDS LÄN</t>
        </is>
      </c>
      <c r="E1161" t="inlineStr">
        <is>
          <t>FILIPSTAD</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24331-2021</t>
        </is>
      </c>
      <c r="B1162" s="1" t="n">
        <v>44337</v>
      </c>
      <c r="C1162" s="1" t="n">
        <v>45932</v>
      </c>
      <c r="D1162" t="inlineStr">
        <is>
          <t>VÄRMLANDS LÄN</t>
        </is>
      </c>
      <c r="E1162" t="inlineStr">
        <is>
          <t>HAGFORS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24334-2021</t>
        </is>
      </c>
      <c r="B1163" s="1" t="n">
        <v>44337</v>
      </c>
      <c r="C1163" s="1" t="n">
        <v>45932</v>
      </c>
      <c r="D1163" t="inlineStr">
        <is>
          <t>VÄRMLANDS LÄN</t>
        </is>
      </c>
      <c r="E1163" t="inlineStr">
        <is>
          <t>KRISTINEHAMN</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17940-2021</t>
        </is>
      </c>
      <c r="B1164" s="1" t="n">
        <v>44301.5815625</v>
      </c>
      <c r="C1164" s="1" t="n">
        <v>45932</v>
      </c>
      <c r="D1164" t="inlineStr">
        <is>
          <t>VÄRMLANDS LÄN</t>
        </is>
      </c>
      <c r="E1164" t="inlineStr">
        <is>
          <t>SÄFFLE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47959-2021</t>
        </is>
      </c>
      <c r="B1165" s="1" t="n">
        <v>44449</v>
      </c>
      <c r="C1165" s="1" t="n">
        <v>45932</v>
      </c>
      <c r="D1165" t="inlineStr">
        <is>
          <t>VÄRMLANDS LÄN</t>
        </is>
      </c>
      <c r="E1165" t="inlineStr">
        <is>
          <t>SUNNE</t>
        </is>
      </c>
      <c r="F1165" t="inlineStr">
        <is>
          <t>Kommuner</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58467-2020</t>
        </is>
      </c>
      <c r="B1166" s="1" t="n">
        <v>44144</v>
      </c>
      <c r="C1166" s="1" t="n">
        <v>45932</v>
      </c>
      <c r="D1166" t="inlineStr">
        <is>
          <t>VÄRMLANDS LÄN</t>
        </is>
      </c>
      <c r="E1166" t="inlineStr">
        <is>
          <t>SÄFFLE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602-2021</t>
        </is>
      </c>
      <c r="B1167" s="1" t="n">
        <v>44201</v>
      </c>
      <c r="C1167" s="1" t="n">
        <v>45932</v>
      </c>
      <c r="D1167" t="inlineStr">
        <is>
          <t>VÄRMLANDS LÄN</t>
        </is>
      </c>
      <c r="E1167" t="inlineStr">
        <is>
          <t>SUNNE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2323-2021</t>
        </is>
      </c>
      <c r="B1168" s="1" t="n">
        <v>44211</v>
      </c>
      <c r="C1168" s="1" t="n">
        <v>45932</v>
      </c>
      <c r="D1168" t="inlineStr">
        <is>
          <t>VÄRMLANDS LÄN</t>
        </is>
      </c>
      <c r="E1168" t="inlineStr">
        <is>
          <t>SÄFFLE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63473-2020</t>
        </is>
      </c>
      <c r="B1169" s="1" t="n">
        <v>44161</v>
      </c>
      <c r="C1169" s="1" t="n">
        <v>45932</v>
      </c>
      <c r="D1169" t="inlineStr">
        <is>
          <t>VÄRMLANDS LÄN</t>
        </is>
      </c>
      <c r="E1169" t="inlineStr">
        <is>
          <t>HAGFORS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16399-2022</t>
        </is>
      </c>
      <c r="B1170" s="1" t="n">
        <v>44671</v>
      </c>
      <c r="C1170" s="1" t="n">
        <v>45932</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11157-2021</t>
        </is>
      </c>
      <c r="B1171" s="1" t="n">
        <v>44261</v>
      </c>
      <c r="C1171" s="1" t="n">
        <v>45932</v>
      </c>
      <c r="D1171" t="inlineStr">
        <is>
          <t>VÄRMLANDS LÄN</t>
        </is>
      </c>
      <c r="E1171" t="inlineStr">
        <is>
          <t>ÅRJÄNG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11580-2021</t>
        </is>
      </c>
      <c r="B1172" s="1" t="n">
        <v>44264</v>
      </c>
      <c r="C1172" s="1" t="n">
        <v>45932</v>
      </c>
      <c r="D1172" t="inlineStr">
        <is>
          <t>VÄRMLANDS LÄN</t>
        </is>
      </c>
      <c r="E1172" t="inlineStr">
        <is>
          <t>SÄFFLE</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45932</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15759-2021</t>
        </is>
      </c>
      <c r="B1174" s="1" t="n">
        <v>44286</v>
      </c>
      <c r="C1174" s="1" t="n">
        <v>45932</v>
      </c>
      <c r="D1174" t="inlineStr">
        <is>
          <t>VÄRMLANDS LÄN</t>
        </is>
      </c>
      <c r="E1174" t="inlineStr">
        <is>
          <t>EDA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18779-2022</t>
        </is>
      </c>
      <c r="B1175" s="1" t="n">
        <v>44689</v>
      </c>
      <c r="C1175" s="1" t="n">
        <v>45932</v>
      </c>
      <c r="D1175" t="inlineStr">
        <is>
          <t>VÄRMLANDS LÄN</t>
        </is>
      </c>
      <c r="E1175" t="inlineStr">
        <is>
          <t>TORSBY</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18791-2022</t>
        </is>
      </c>
      <c r="B1176" s="1" t="n">
        <v>44690</v>
      </c>
      <c r="C1176" s="1" t="n">
        <v>45932</v>
      </c>
      <c r="D1176" t="inlineStr">
        <is>
          <t>VÄRMLANDS LÄN</t>
        </is>
      </c>
      <c r="E1176" t="inlineStr">
        <is>
          <t>GRUMS</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28934-2022</t>
        </is>
      </c>
      <c r="B1177" s="1" t="n">
        <v>44749.58420138889</v>
      </c>
      <c r="C1177" s="1" t="n">
        <v>45932</v>
      </c>
      <c r="D1177" t="inlineStr">
        <is>
          <t>VÄRMLANDS LÄN</t>
        </is>
      </c>
      <c r="E1177" t="inlineStr">
        <is>
          <t>ÅRJÄNG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37276-2021</t>
        </is>
      </c>
      <c r="B1178" s="1" t="n">
        <v>44397</v>
      </c>
      <c r="C1178" s="1" t="n">
        <v>45932</v>
      </c>
      <c r="D1178" t="inlineStr">
        <is>
          <t>VÄRMLANDS LÄN</t>
        </is>
      </c>
      <c r="E1178" t="inlineStr">
        <is>
          <t>SUNNE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11785-2021</t>
        </is>
      </c>
      <c r="B1179" s="1" t="n">
        <v>44265</v>
      </c>
      <c r="C1179" s="1" t="n">
        <v>45932</v>
      </c>
      <c r="D1179" t="inlineStr">
        <is>
          <t>VÄRMLANDS LÄN</t>
        </is>
      </c>
      <c r="E1179" t="inlineStr">
        <is>
          <t>KIL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50223-2021</t>
        </is>
      </c>
      <c r="B1180" s="1" t="n">
        <v>44457</v>
      </c>
      <c r="C1180" s="1" t="n">
        <v>45932</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50229-2021</t>
        </is>
      </c>
      <c r="B1181" s="1" t="n">
        <v>44457.77009259259</v>
      </c>
      <c r="C1181" s="1" t="n">
        <v>45932</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27745-2021</t>
        </is>
      </c>
      <c r="B1182" s="1" t="n">
        <v>44354</v>
      </c>
      <c r="C1182" s="1" t="n">
        <v>45932</v>
      </c>
      <c r="D1182" t="inlineStr">
        <is>
          <t>VÄRMLANDS LÄN</t>
        </is>
      </c>
      <c r="E1182" t="inlineStr">
        <is>
          <t>ÅRJÄNG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68344-2020</t>
        </is>
      </c>
      <c r="B1183" s="1" t="n">
        <v>44186</v>
      </c>
      <c r="C1183" s="1" t="n">
        <v>45932</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52621-2020</t>
        </is>
      </c>
      <c r="B1184" s="1" t="n">
        <v>44118.87868055556</v>
      </c>
      <c r="C1184" s="1" t="n">
        <v>45932</v>
      </c>
      <c r="D1184" t="inlineStr">
        <is>
          <t>VÄRMLANDS LÄN</t>
        </is>
      </c>
      <c r="E1184" t="inlineStr">
        <is>
          <t>KARLSTAD</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45932</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10661-2021</t>
        </is>
      </c>
      <c r="B1186" s="1" t="n">
        <v>44258</v>
      </c>
      <c r="C1186" s="1" t="n">
        <v>45932</v>
      </c>
      <c r="D1186" t="inlineStr">
        <is>
          <t>VÄRMLANDS LÄN</t>
        </is>
      </c>
      <c r="E1186" t="inlineStr">
        <is>
          <t>SÄFFLE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37125-2021</t>
        </is>
      </c>
      <c r="B1187" s="1" t="n">
        <v>44396</v>
      </c>
      <c r="C1187" s="1" t="n">
        <v>45932</v>
      </c>
      <c r="D1187" t="inlineStr">
        <is>
          <t>VÄRMLANDS LÄN</t>
        </is>
      </c>
      <c r="E1187" t="inlineStr">
        <is>
          <t>KARLSTAD</t>
        </is>
      </c>
      <c r="F1187" t="inlineStr">
        <is>
          <t>Naturvårdsverket</t>
        </is>
      </c>
      <c r="G1187" t="n">
        <v>16.9</v>
      </c>
      <c r="H1187" t="n">
        <v>0</v>
      </c>
      <c r="I1187" t="n">
        <v>0</v>
      </c>
      <c r="J1187" t="n">
        <v>0</v>
      </c>
      <c r="K1187" t="n">
        <v>0</v>
      </c>
      <c r="L1187" t="n">
        <v>0</v>
      </c>
      <c r="M1187" t="n">
        <v>0</v>
      </c>
      <c r="N1187" t="n">
        <v>0</v>
      </c>
      <c r="O1187" t="n">
        <v>0</v>
      </c>
      <c r="P1187" t="n">
        <v>0</v>
      </c>
      <c r="Q1187" t="n">
        <v>0</v>
      </c>
      <c r="R1187" s="2" t="inlineStr"/>
    </row>
    <row r="1188" ht="15" customHeight="1">
      <c r="A1188" t="inlineStr">
        <is>
          <t>A 45662-2021</t>
        </is>
      </c>
      <c r="B1188" s="1" t="n">
        <v>44441</v>
      </c>
      <c r="C1188" s="1" t="n">
        <v>45932</v>
      </c>
      <c r="D1188" t="inlineStr">
        <is>
          <t>VÄRMLANDS LÄN</t>
        </is>
      </c>
      <c r="E1188" t="inlineStr">
        <is>
          <t>KRISTINEHAMN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52830-2022</t>
        </is>
      </c>
      <c r="B1189" s="1" t="n">
        <v>44875.45650462963</v>
      </c>
      <c r="C1189" s="1" t="n">
        <v>45932</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19458-2021</t>
        </is>
      </c>
      <c r="B1190" s="1" t="n">
        <v>44311</v>
      </c>
      <c r="C1190" s="1" t="n">
        <v>45932</v>
      </c>
      <c r="D1190" t="inlineStr">
        <is>
          <t>VÄRMLANDS LÄN</t>
        </is>
      </c>
      <c r="E1190" t="inlineStr">
        <is>
          <t>ÅRJÄNG</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19464-2021</t>
        </is>
      </c>
      <c r="B1191" s="1" t="n">
        <v>44311</v>
      </c>
      <c r="C1191" s="1" t="n">
        <v>45932</v>
      </c>
      <c r="D1191" t="inlineStr">
        <is>
          <t>VÄRMLANDS LÄN</t>
        </is>
      </c>
      <c r="E1191" t="inlineStr">
        <is>
          <t>STORFORS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16010-2021</t>
        </is>
      </c>
      <c r="B1192" s="1" t="n">
        <v>44287.57018518518</v>
      </c>
      <c r="C1192" s="1" t="n">
        <v>45932</v>
      </c>
      <c r="D1192" t="inlineStr">
        <is>
          <t>VÄRMLANDS LÄN</t>
        </is>
      </c>
      <c r="E1192" t="inlineStr">
        <is>
          <t>EDA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25970-2022</t>
        </is>
      </c>
      <c r="B1193" s="1" t="n">
        <v>44734</v>
      </c>
      <c r="C1193" s="1" t="n">
        <v>45932</v>
      </c>
      <c r="D1193" t="inlineStr">
        <is>
          <t>VÄRMLANDS LÄN</t>
        </is>
      </c>
      <c r="E1193" t="inlineStr">
        <is>
          <t>GRUMS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23134-2022</t>
        </is>
      </c>
      <c r="B1194" s="1" t="n">
        <v>44719</v>
      </c>
      <c r="C1194" s="1" t="n">
        <v>45932</v>
      </c>
      <c r="D1194" t="inlineStr">
        <is>
          <t>VÄRMLANDS LÄN</t>
        </is>
      </c>
      <c r="E1194" t="inlineStr">
        <is>
          <t>SUNNE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10541-2021</t>
        </is>
      </c>
      <c r="B1195" s="1" t="n">
        <v>44258</v>
      </c>
      <c r="C1195" s="1" t="n">
        <v>45932</v>
      </c>
      <c r="D1195" t="inlineStr">
        <is>
          <t>VÄRMLANDS LÄN</t>
        </is>
      </c>
      <c r="E1195" t="inlineStr">
        <is>
          <t>ÅRJÄNG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70861-2021</t>
        </is>
      </c>
      <c r="B1196" s="1" t="n">
        <v>44538</v>
      </c>
      <c r="C1196" s="1" t="n">
        <v>45932</v>
      </c>
      <c r="D1196" t="inlineStr">
        <is>
          <t>VÄRMLANDS LÄN</t>
        </is>
      </c>
      <c r="E1196" t="inlineStr">
        <is>
          <t>EDA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45932</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44516.44996527778</v>
      </c>
      <c r="C1198" s="1" t="n">
        <v>45932</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44516.45724537037</v>
      </c>
      <c r="C1199" s="1" t="n">
        <v>45932</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69245-2020</t>
        </is>
      </c>
      <c r="B1200" s="1" t="n">
        <v>44192</v>
      </c>
      <c r="C1200" s="1" t="n">
        <v>45932</v>
      </c>
      <c r="D1200" t="inlineStr">
        <is>
          <t>VÄRMLANDS LÄN</t>
        </is>
      </c>
      <c r="E1200" t="inlineStr">
        <is>
          <t>TORSBY</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13140-2021</t>
        </is>
      </c>
      <c r="B1201" s="1" t="n">
        <v>44271</v>
      </c>
      <c r="C1201" s="1" t="n">
        <v>45932</v>
      </c>
      <c r="D1201" t="inlineStr">
        <is>
          <t>VÄRMLANDS LÄN</t>
        </is>
      </c>
      <c r="E1201" t="inlineStr">
        <is>
          <t>GRUMS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46861-2021</t>
        </is>
      </c>
      <c r="B1202" s="1" t="n">
        <v>44446</v>
      </c>
      <c r="C1202" s="1" t="n">
        <v>45932</v>
      </c>
      <c r="D1202" t="inlineStr">
        <is>
          <t>VÄRMLANDS LÄN</t>
        </is>
      </c>
      <c r="E1202" t="inlineStr">
        <is>
          <t>KRISTINEHAMN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55457-2020</t>
        </is>
      </c>
      <c r="B1203" s="1" t="n">
        <v>44130</v>
      </c>
      <c r="C1203" s="1" t="n">
        <v>45932</v>
      </c>
      <c r="D1203" t="inlineStr">
        <is>
          <t>VÄRMLANDS LÄN</t>
        </is>
      </c>
      <c r="E1203" t="inlineStr">
        <is>
          <t>KARLSTAD</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52853-2021</t>
        </is>
      </c>
      <c r="B1204" s="1" t="n">
        <v>44466</v>
      </c>
      <c r="C1204" s="1" t="n">
        <v>45932</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59763-2020</t>
        </is>
      </c>
      <c r="B1205" s="1" t="n">
        <v>44151</v>
      </c>
      <c r="C1205" s="1" t="n">
        <v>45932</v>
      </c>
      <c r="D1205" t="inlineStr">
        <is>
          <t>VÄRMLANDS LÄN</t>
        </is>
      </c>
      <c r="E1205" t="inlineStr">
        <is>
          <t>SUNNE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52252-2020</t>
        </is>
      </c>
      <c r="B1206" s="1" t="n">
        <v>44117</v>
      </c>
      <c r="C1206" s="1" t="n">
        <v>45932</v>
      </c>
      <c r="D1206" t="inlineStr">
        <is>
          <t>VÄRMLANDS LÄN</t>
        </is>
      </c>
      <c r="E1206" t="inlineStr">
        <is>
          <t>SÄFFLE</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39573-2021</t>
        </is>
      </c>
      <c r="B1207" s="1" t="n">
        <v>44416.78027777778</v>
      </c>
      <c r="C1207" s="1" t="n">
        <v>45932</v>
      </c>
      <c r="D1207" t="inlineStr">
        <is>
          <t>VÄRMLANDS LÄN</t>
        </is>
      </c>
      <c r="E1207" t="inlineStr">
        <is>
          <t>SUNNE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1932-2022</t>
        </is>
      </c>
      <c r="B1208" s="1" t="n">
        <v>44575.43302083333</v>
      </c>
      <c r="C1208" s="1" t="n">
        <v>45932</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18840-2022</t>
        </is>
      </c>
      <c r="B1209" s="1" t="n">
        <v>44690</v>
      </c>
      <c r="C1209" s="1" t="n">
        <v>45932</v>
      </c>
      <c r="D1209" t="inlineStr">
        <is>
          <t>VÄRMLANDS LÄN</t>
        </is>
      </c>
      <c r="E1209" t="inlineStr">
        <is>
          <t>ÅRJÄNG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40688-2021</t>
        </is>
      </c>
      <c r="B1210" s="1" t="n">
        <v>44420.60023148148</v>
      </c>
      <c r="C1210" s="1" t="n">
        <v>45932</v>
      </c>
      <c r="D1210" t="inlineStr">
        <is>
          <t>VÄRMLANDS LÄN</t>
        </is>
      </c>
      <c r="E1210" t="inlineStr">
        <is>
          <t>ARVIKA</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27983-2022</t>
        </is>
      </c>
      <c r="B1211" s="1" t="n">
        <v>44745</v>
      </c>
      <c r="C1211" s="1" t="n">
        <v>45932</v>
      </c>
      <c r="D1211" t="inlineStr">
        <is>
          <t>VÄRMLANDS LÄN</t>
        </is>
      </c>
      <c r="E1211" t="inlineStr">
        <is>
          <t>SÄFFLE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16163-2021</t>
        </is>
      </c>
      <c r="B1212" s="1" t="n">
        <v>44287</v>
      </c>
      <c r="C1212" s="1" t="n">
        <v>45932</v>
      </c>
      <c r="D1212" t="inlineStr">
        <is>
          <t>VÄRMLANDS LÄN</t>
        </is>
      </c>
      <c r="E1212" t="inlineStr">
        <is>
          <t>KIL</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16169-2021</t>
        </is>
      </c>
      <c r="B1213" s="1" t="n">
        <v>44287</v>
      </c>
      <c r="C1213" s="1" t="n">
        <v>45932</v>
      </c>
      <c r="D1213" t="inlineStr">
        <is>
          <t>VÄRMLANDS LÄN</t>
        </is>
      </c>
      <c r="E1213" t="inlineStr">
        <is>
          <t>KIL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7606-2021</t>
        </is>
      </c>
      <c r="B1214" s="1" t="n">
        <v>44241</v>
      </c>
      <c r="C1214" s="1" t="n">
        <v>45932</v>
      </c>
      <c r="D1214" t="inlineStr">
        <is>
          <t>VÄRMLANDS LÄN</t>
        </is>
      </c>
      <c r="E1214" t="inlineStr">
        <is>
          <t>HAGFORS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19549-2021</t>
        </is>
      </c>
      <c r="B1215" s="1" t="n">
        <v>44312.45010416667</v>
      </c>
      <c r="C1215" s="1" t="n">
        <v>45932</v>
      </c>
      <c r="D1215" t="inlineStr">
        <is>
          <t>VÄRMLANDS LÄN</t>
        </is>
      </c>
      <c r="E1215" t="inlineStr">
        <is>
          <t>SUNNE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51344-2020</t>
        </is>
      </c>
      <c r="B1216" s="1" t="n">
        <v>44112</v>
      </c>
      <c r="C1216" s="1" t="n">
        <v>45932</v>
      </c>
      <c r="D1216" t="inlineStr">
        <is>
          <t>VÄRMLANDS LÄN</t>
        </is>
      </c>
      <c r="E1216" t="inlineStr">
        <is>
          <t>MUNKFORS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51383-2020</t>
        </is>
      </c>
      <c r="B1217" s="1" t="n">
        <v>44113</v>
      </c>
      <c r="C1217" s="1" t="n">
        <v>45932</v>
      </c>
      <c r="D1217" t="inlineStr">
        <is>
          <t>VÄRMLANDS LÄN</t>
        </is>
      </c>
      <c r="E1217" t="inlineStr">
        <is>
          <t>TORSBY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10721-2021</t>
        </is>
      </c>
      <c r="B1218" s="1" t="n">
        <v>44258</v>
      </c>
      <c r="C1218" s="1" t="n">
        <v>45932</v>
      </c>
      <c r="D1218" t="inlineStr">
        <is>
          <t>VÄRMLANDS LÄN</t>
        </is>
      </c>
      <c r="E1218" t="inlineStr">
        <is>
          <t>MUNKFORS</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50988-2021</t>
        </is>
      </c>
      <c r="B1219" s="1" t="n">
        <v>44460</v>
      </c>
      <c r="C1219" s="1" t="n">
        <v>45932</v>
      </c>
      <c r="D1219" t="inlineStr">
        <is>
          <t>VÄRMLANDS LÄN</t>
        </is>
      </c>
      <c r="E1219" t="inlineStr">
        <is>
          <t>TORSBY</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48938-2021</t>
        </is>
      </c>
      <c r="B1220" s="1" t="n">
        <v>44453.34428240741</v>
      </c>
      <c r="C1220" s="1" t="n">
        <v>45932</v>
      </c>
      <c r="D1220" t="inlineStr">
        <is>
          <t>VÄRMLANDS LÄN</t>
        </is>
      </c>
      <c r="E1220" t="inlineStr">
        <is>
          <t>KIL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49008-2021</t>
        </is>
      </c>
      <c r="B1221" s="1" t="n">
        <v>44453</v>
      </c>
      <c r="C1221" s="1" t="n">
        <v>45932</v>
      </c>
      <c r="D1221" t="inlineStr">
        <is>
          <t>VÄRMLANDS LÄN</t>
        </is>
      </c>
      <c r="E1221" t="inlineStr">
        <is>
          <t>SUNNE</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10846-2022</t>
        </is>
      </c>
      <c r="B1222" s="1" t="n">
        <v>44627.60471064815</v>
      </c>
      <c r="C1222" s="1" t="n">
        <v>45932</v>
      </c>
      <c r="D1222" t="inlineStr">
        <is>
          <t>VÄRMLANDS LÄN</t>
        </is>
      </c>
      <c r="E1222" t="inlineStr">
        <is>
          <t>ARVIKA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74187-2021</t>
        </is>
      </c>
      <c r="B1223" s="1" t="n">
        <v>44553</v>
      </c>
      <c r="C1223" s="1" t="n">
        <v>45932</v>
      </c>
      <c r="D1223" t="inlineStr">
        <is>
          <t>VÄRMLANDS LÄN</t>
        </is>
      </c>
      <c r="E1223" t="inlineStr">
        <is>
          <t>ÅRJÄNG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1453-2022</t>
        </is>
      </c>
      <c r="B1224" s="1" t="n">
        <v>44573</v>
      </c>
      <c r="C1224" s="1" t="n">
        <v>45932</v>
      </c>
      <c r="D1224" t="inlineStr">
        <is>
          <t>VÄRMLANDS LÄN</t>
        </is>
      </c>
      <c r="E1224" t="inlineStr">
        <is>
          <t>ARVIKA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45932</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71180-2021</t>
        </is>
      </c>
      <c r="B1226" s="1" t="n">
        <v>44539.4802662037</v>
      </c>
      <c r="C1226" s="1" t="n">
        <v>45932</v>
      </c>
      <c r="D1226" t="inlineStr">
        <is>
          <t>VÄRMLANDS LÄN</t>
        </is>
      </c>
      <c r="E1226" t="inlineStr">
        <is>
          <t>SUNNE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61099-2021</t>
        </is>
      </c>
      <c r="B1227" s="1" t="n">
        <v>44498.31579861111</v>
      </c>
      <c r="C1227" s="1" t="n">
        <v>45932</v>
      </c>
      <c r="D1227" t="inlineStr">
        <is>
          <t>VÄRMLANDS LÄN</t>
        </is>
      </c>
      <c r="E1227" t="inlineStr">
        <is>
          <t>KARLSTAD</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16103-2021</t>
        </is>
      </c>
      <c r="B1228" s="1" t="n">
        <v>44290.47280092593</v>
      </c>
      <c r="C1228" s="1" t="n">
        <v>45932</v>
      </c>
      <c r="D1228" t="inlineStr">
        <is>
          <t>VÄRMLANDS LÄN</t>
        </is>
      </c>
      <c r="E1228" t="inlineStr">
        <is>
          <t>EDA</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16104-2021</t>
        </is>
      </c>
      <c r="B1229" s="1" t="n">
        <v>44290.4797800926</v>
      </c>
      <c r="C1229" s="1" t="n">
        <v>45932</v>
      </c>
      <c r="D1229" t="inlineStr">
        <is>
          <t>VÄRMLANDS LÄN</t>
        </is>
      </c>
      <c r="E1229" t="inlineStr">
        <is>
          <t>EDA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45932</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48622-2022</t>
        </is>
      </c>
      <c r="B1231" s="1" t="n">
        <v>44859</v>
      </c>
      <c r="C1231" s="1" t="n">
        <v>45932</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26810-2022</t>
        </is>
      </c>
      <c r="B1232" s="1" t="n">
        <v>44740.43847222222</v>
      </c>
      <c r="C1232" s="1" t="n">
        <v>45932</v>
      </c>
      <c r="D1232" t="inlineStr">
        <is>
          <t>VÄRMLANDS LÄN</t>
        </is>
      </c>
      <c r="E1232" t="inlineStr">
        <is>
          <t>EDA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29988-2022</t>
        </is>
      </c>
      <c r="B1233" s="1" t="n">
        <v>44756</v>
      </c>
      <c r="C1233" s="1" t="n">
        <v>45932</v>
      </c>
      <c r="D1233" t="inlineStr">
        <is>
          <t>VÄRMLANDS LÄN</t>
        </is>
      </c>
      <c r="E1233" t="inlineStr">
        <is>
          <t>HAGFORS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2141-2022</t>
        </is>
      </c>
      <c r="B1234" s="1" t="n">
        <v>44571</v>
      </c>
      <c r="C1234" s="1" t="n">
        <v>45932</v>
      </c>
      <c r="D1234" t="inlineStr">
        <is>
          <t>VÄRMLANDS LÄN</t>
        </is>
      </c>
      <c r="E1234" t="inlineStr">
        <is>
          <t>ÅRJÄNG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44059-2021</t>
        </is>
      </c>
      <c r="B1235" s="1" t="n">
        <v>44434</v>
      </c>
      <c r="C1235" s="1" t="n">
        <v>45932</v>
      </c>
      <c r="D1235" t="inlineStr">
        <is>
          <t>VÄRMLANDS LÄN</t>
        </is>
      </c>
      <c r="E1235" t="inlineStr">
        <is>
          <t>HAGFORS</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2421-2022</t>
        </is>
      </c>
      <c r="B1236" s="1" t="n">
        <v>44579.50670138889</v>
      </c>
      <c r="C1236" s="1" t="n">
        <v>45932</v>
      </c>
      <c r="D1236" t="inlineStr">
        <is>
          <t>VÄRMLANDS LÄN</t>
        </is>
      </c>
      <c r="E1236" t="inlineStr">
        <is>
          <t>TORSBY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44802-2022</t>
        </is>
      </c>
      <c r="B1237" s="1" t="n">
        <v>44841.37923611111</v>
      </c>
      <c r="C1237" s="1" t="n">
        <v>45932</v>
      </c>
      <c r="D1237" t="inlineStr">
        <is>
          <t>VÄRMLANDS LÄN</t>
        </is>
      </c>
      <c r="E1237" t="inlineStr">
        <is>
          <t>STORFORS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38833-2022</t>
        </is>
      </c>
      <c r="B1238" s="1" t="n">
        <v>44816</v>
      </c>
      <c r="C1238" s="1" t="n">
        <v>45932</v>
      </c>
      <c r="D1238" t="inlineStr">
        <is>
          <t>VÄRMLANDS LÄN</t>
        </is>
      </c>
      <c r="E1238" t="inlineStr">
        <is>
          <t>EDA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8207-2022</t>
        </is>
      </c>
      <c r="B1239" s="1" t="n">
        <v>44609</v>
      </c>
      <c r="C1239" s="1" t="n">
        <v>45932</v>
      </c>
      <c r="D1239" t="inlineStr">
        <is>
          <t>VÄRMLANDS LÄN</t>
        </is>
      </c>
      <c r="E1239" t="inlineStr">
        <is>
          <t>ARVIKA</t>
        </is>
      </c>
      <c r="F1239" t="inlineStr">
        <is>
          <t>Bergvik skog väst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59821-2020</t>
        </is>
      </c>
      <c r="B1240" s="1" t="n">
        <v>44151.49601851852</v>
      </c>
      <c r="C1240" s="1" t="n">
        <v>45932</v>
      </c>
      <c r="D1240" t="inlineStr">
        <is>
          <t>VÄRMLANDS LÄN</t>
        </is>
      </c>
      <c r="E1240" t="inlineStr">
        <is>
          <t>ARVIKA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43725-2022</t>
        </is>
      </c>
      <c r="B1241" s="1" t="n">
        <v>44837.67725694444</v>
      </c>
      <c r="C1241" s="1" t="n">
        <v>45932</v>
      </c>
      <c r="D1241" t="inlineStr">
        <is>
          <t>VÄRMLANDS LÄN</t>
        </is>
      </c>
      <c r="E1241" t="inlineStr">
        <is>
          <t>EDA</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3369-2022</t>
        </is>
      </c>
      <c r="B1242" s="1" t="n">
        <v>44585</v>
      </c>
      <c r="C1242" s="1" t="n">
        <v>45932</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55923-2020</t>
        </is>
      </c>
      <c r="B1243" s="1" t="n">
        <v>44132</v>
      </c>
      <c r="C1243" s="1" t="n">
        <v>45932</v>
      </c>
      <c r="D1243" t="inlineStr">
        <is>
          <t>VÄRMLANDS LÄN</t>
        </is>
      </c>
      <c r="E1243" t="inlineStr">
        <is>
          <t>FILIPSTAD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19669-2022</t>
        </is>
      </c>
      <c r="B1244" s="1" t="n">
        <v>44694.44246527777</v>
      </c>
      <c r="C1244" s="1" t="n">
        <v>45932</v>
      </c>
      <c r="D1244" t="inlineStr">
        <is>
          <t>VÄRMLANDS LÄN</t>
        </is>
      </c>
      <c r="E1244" t="inlineStr">
        <is>
          <t>GRUMS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45932</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34125-2022</t>
        </is>
      </c>
      <c r="B1246" s="1" t="n">
        <v>44791.5109837963</v>
      </c>
      <c r="C1246" s="1" t="n">
        <v>45932</v>
      </c>
      <c r="D1246" t="inlineStr">
        <is>
          <t>VÄRMLANDS LÄN</t>
        </is>
      </c>
      <c r="E1246" t="inlineStr">
        <is>
          <t>KRISTINEHAMN</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60374-2021</t>
        </is>
      </c>
      <c r="B1247" s="1" t="n">
        <v>44496</v>
      </c>
      <c r="C1247" s="1" t="n">
        <v>45932</v>
      </c>
      <c r="D1247" t="inlineStr">
        <is>
          <t>VÄRMLANDS LÄN</t>
        </is>
      </c>
      <c r="E1247" t="inlineStr">
        <is>
          <t>FILIPSTAD</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47330-2022</t>
        </is>
      </c>
      <c r="B1248" s="1" t="n">
        <v>44853.36773148148</v>
      </c>
      <c r="C1248" s="1" t="n">
        <v>45932</v>
      </c>
      <c r="D1248" t="inlineStr">
        <is>
          <t>VÄRMLANDS LÄN</t>
        </is>
      </c>
      <c r="E1248" t="inlineStr">
        <is>
          <t>KARLSTAD</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27729-2022</t>
        </is>
      </c>
      <c r="B1249" s="1" t="n">
        <v>44743</v>
      </c>
      <c r="C1249" s="1" t="n">
        <v>45932</v>
      </c>
      <c r="D1249" t="inlineStr">
        <is>
          <t>VÄRMLANDS LÄN</t>
        </is>
      </c>
      <c r="E1249" t="inlineStr">
        <is>
          <t>GRUMS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22163-2022</t>
        </is>
      </c>
      <c r="B1250" s="1" t="n">
        <v>44712.4425462963</v>
      </c>
      <c r="C1250" s="1" t="n">
        <v>45932</v>
      </c>
      <c r="D1250" t="inlineStr">
        <is>
          <t>VÄRMLANDS LÄN</t>
        </is>
      </c>
      <c r="E1250" t="inlineStr">
        <is>
          <t>EDA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54365-2022</t>
        </is>
      </c>
      <c r="B1251" s="1" t="n">
        <v>44882</v>
      </c>
      <c r="C1251" s="1" t="n">
        <v>45932</v>
      </c>
      <c r="D1251" t="inlineStr">
        <is>
          <t>VÄRMLANDS LÄN</t>
        </is>
      </c>
      <c r="E1251" t="inlineStr">
        <is>
          <t>KARLSTAD</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63675-2020</t>
        </is>
      </c>
      <c r="B1252" s="1" t="n">
        <v>44166</v>
      </c>
      <c r="C1252" s="1" t="n">
        <v>45932</v>
      </c>
      <c r="D1252" t="inlineStr">
        <is>
          <t>VÄRMLANDS LÄN</t>
        </is>
      </c>
      <c r="E1252" t="inlineStr">
        <is>
          <t>EDA</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26922-2022</t>
        </is>
      </c>
      <c r="B1253" s="1" t="n">
        <v>44740.61030092592</v>
      </c>
      <c r="C1253" s="1" t="n">
        <v>45932</v>
      </c>
      <c r="D1253" t="inlineStr">
        <is>
          <t>VÄRMLANDS LÄN</t>
        </is>
      </c>
      <c r="E1253" t="inlineStr">
        <is>
          <t>KARLSTAD</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66080-2021</t>
        </is>
      </c>
      <c r="B1254" s="1" t="n">
        <v>44517.66700231482</v>
      </c>
      <c r="C1254" s="1" t="n">
        <v>45932</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28955-2022</t>
        </is>
      </c>
      <c r="B1255" s="1" t="n">
        <v>44749.61657407408</v>
      </c>
      <c r="C1255" s="1" t="n">
        <v>45932</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54441-2022</t>
        </is>
      </c>
      <c r="B1256" s="1" t="n">
        <v>44882.58922453703</v>
      </c>
      <c r="C1256" s="1" t="n">
        <v>45932</v>
      </c>
      <c r="D1256" t="inlineStr">
        <is>
          <t>VÄRMLANDS LÄN</t>
        </is>
      </c>
      <c r="E1256" t="inlineStr">
        <is>
          <t>KARLSTAD</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67022-2020</t>
        </is>
      </c>
      <c r="B1257" s="1" t="n">
        <v>44180</v>
      </c>
      <c r="C1257" s="1" t="n">
        <v>45932</v>
      </c>
      <c r="D1257" t="inlineStr">
        <is>
          <t>VÄRMLANDS LÄN</t>
        </is>
      </c>
      <c r="E1257" t="inlineStr">
        <is>
          <t>KARLSTAD</t>
        </is>
      </c>
      <c r="F1257" t="inlineStr">
        <is>
          <t>Kommuner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52730-2021</t>
        </is>
      </c>
      <c r="B1258" s="1" t="n">
        <v>44467.29457175926</v>
      </c>
      <c r="C1258" s="1" t="n">
        <v>45932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61143-2021</t>
        </is>
      </c>
      <c r="B1259" s="1" t="n">
        <v>44498</v>
      </c>
      <c r="C1259" s="1" t="n">
        <v>45932</v>
      </c>
      <c r="D1259" t="inlineStr">
        <is>
          <t>VÄRMLANDS LÄN</t>
        </is>
      </c>
      <c r="E1259" t="inlineStr">
        <is>
          <t>ÅRJÄNG</t>
        </is>
      </c>
      <c r="F1259" t="inlineStr">
        <is>
          <t>Bergvik skog väst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53906-2022</t>
        </is>
      </c>
      <c r="B1260" s="1" t="n">
        <v>44880</v>
      </c>
      <c r="C1260" s="1" t="n">
        <v>45932</v>
      </c>
      <c r="D1260" t="inlineStr">
        <is>
          <t>VÄRMLANDS LÄN</t>
        </is>
      </c>
      <c r="E1260" t="inlineStr">
        <is>
          <t>TORSBY</t>
        </is>
      </c>
      <c r="F1260" t="inlineStr">
        <is>
          <t>Bergvik skog väst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53910-2022</t>
        </is>
      </c>
      <c r="B1261" s="1" t="n">
        <v>44880</v>
      </c>
      <c r="C1261" s="1" t="n">
        <v>45932</v>
      </c>
      <c r="D1261" t="inlineStr">
        <is>
          <t>VÄRMLANDS LÄN</t>
        </is>
      </c>
      <c r="E1261" t="inlineStr">
        <is>
          <t>FORSHAGA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69275-2021</t>
        </is>
      </c>
      <c r="B1262" s="1" t="n">
        <v>44526</v>
      </c>
      <c r="C1262" s="1" t="n">
        <v>45932</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2087-2022</t>
        </is>
      </c>
      <c r="B1263" s="1" t="n">
        <v>44576</v>
      </c>
      <c r="C1263" s="1" t="n">
        <v>45932</v>
      </c>
      <c r="D1263" t="inlineStr">
        <is>
          <t>VÄRMLANDS LÄN</t>
        </is>
      </c>
      <c r="E1263" t="inlineStr">
        <is>
          <t>KRISTINEHAMN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16167-2021</t>
        </is>
      </c>
      <c r="B1264" s="1" t="n">
        <v>44287</v>
      </c>
      <c r="C1264" s="1" t="n">
        <v>45932</v>
      </c>
      <c r="D1264" t="inlineStr">
        <is>
          <t>VÄRMLANDS LÄN</t>
        </is>
      </c>
      <c r="E1264" t="inlineStr">
        <is>
          <t>KIL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16176-2021</t>
        </is>
      </c>
      <c r="B1265" s="1" t="n">
        <v>44292</v>
      </c>
      <c r="C1265" s="1" t="n">
        <v>45932</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47191-2022</t>
        </is>
      </c>
      <c r="B1266" s="1" t="n">
        <v>44852.6370949074</v>
      </c>
      <c r="C1266" s="1" t="n">
        <v>45932</v>
      </c>
      <c r="D1266" t="inlineStr">
        <is>
          <t>VÄRMLANDS LÄN</t>
        </is>
      </c>
      <c r="E1266" t="inlineStr">
        <is>
          <t>KIL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61240-2021</t>
        </is>
      </c>
      <c r="B1267" s="1" t="n">
        <v>44496</v>
      </c>
      <c r="C1267" s="1" t="n">
        <v>45932</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54430-2022</t>
        </is>
      </c>
      <c r="B1268" s="1" t="n">
        <v>44882.57833333333</v>
      </c>
      <c r="C1268" s="1" t="n">
        <v>45932</v>
      </c>
      <c r="D1268" t="inlineStr">
        <is>
          <t>VÄRMLANDS LÄN</t>
        </is>
      </c>
      <c r="E1268" t="inlineStr">
        <is>
          <t>KARLSTAD</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16105-2021</t>
        </is>
      </c>
      <c r="B1269" s="1" t="n">
        <v>44290</v>
      </c>
      <c r="C1269" s="1" t="n">
        <v>45932</v>
      </c>
      <c r="D1269" t="inlineStr">
        <is>
          <t>VÄRMLANDS LÄN</t>
        </is>
      </c>
      <c r="E1269" t="inlineStr">
        <is>
          <t>EDA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33915-2022</t>
        </is>
      </c>
      <c r="B1270" s="1" t="n">
        <v>44790.63480324074</v>
      </c>
      <c r="C1270" s="1" t="n">
        <v>45932</v>
      </c>
      <c r="D1270" t="inlineStr">
        <is>
          <t>VÄRMLANDS LÄN</t>
        </is>
      </c>
      <c r="E1270" t="inlineStr">
        <is>
          <t>ÅRJÄNG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53679-2022</t>
        </is>
      </c>
      <c r="B1271" s="1" t="n">
        <v>44879</v>
      </c>
      <c r="C1271" s="1" t="n">
        <v>45932</v>
      </c>
      <c r="D1271" t="inlineStr">
        <is>
          <t>VÄRMLANDS LÄN</t>
        </is>
      </c>
      <c r="E1271" t="inlineStr">
        <is>
          <t>ÅRJÄNG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69797-2021</t>
        </is>
      </c>
      <c r="B1272" s="1" t="n">
        <v>44532</v>
      </c>
      <c r="C1272" s="1" t="n">
        <v>45932</v>
      </c>
      <c r="D1272" t="inlineStr">
        <is>
          <t>VÄRMLANDS LÄN</t>
        </is>
      </c>
      <c r="E1272" t="inlineStr">
        <is>
          <t>EDA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69319-2021</t>
        </is>
      </c>
      <c r="B1273" s="1" t="n">
        <v>44531</v>
      </c>
      <c r="C1273" s="1" t="n">
        <v>45932</v>
      </c>
      <c r="D1273" t="inlineStr">
        <is>
          <t>VÄRMLANDS LÄN</t>
        </is>
      </c>
      <c r="E1273" t="inlineStr">
        <is>
          <t>MUNKFORS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59834-2021</t>
        </is>
      </c>
      <c r="B1274" s="1" t="n">
        <v>44494</v>
      </c>
      <c r="C1274" s="1" t="n">
        <v>45932</v>
      </c>
      <c r="D1274" t="inlineStr">
        <is>
          <t>VÄRMLANDS LÄN</t>
        </is>
      </c>
      <c r="E1274" t="inlineStr">
        <is>
          <t>SÄFFLE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66080-2020</t>
        </is>
      </c>
      <c r="B1275" s="1" t="n">
        <v>44175</v>
      </c>
      <c r="C1275" s="1" t="n">
        <v>45932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7605-2021</t>
        </is>
      </c>
      <c r="B1276" s="1" t="n">
        <v>44241</v>
      </c>
      <c r="C1276" s="1" t="n">
        <v>45932</v>
      </c>
      <c r="D1276" t="inlineStr">
        <is>
          <t>VÄRMLANDS LÄN</t>
        </is>
      </c>
      <c r="E1276" t="inlineStr">
        <is>
          <t>HAGFORS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52530-2022</t>
        </is>
      </c>
      <c r="B1277" s="1" t="n">
        <v>44874.5772337963</v>
      </c>
      <c r="C1277" s="1" t="n">
        <v>45932</v>
      </c>
      <c r="D1277" t="inlineStr">
        <is>
          <t>VÄRMLANDS LÄN</t>
        </is>
      </c>
      <c r="E1277" t="inlineStr">
        <is>
          <t>EDA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3970-2021</t>
        </is>
      </c>
      <c r="B1278" s="1" t="n">
        <v>44222.50087962963</v>
      </c>
      <c r="C1278" s="1" t="n">
        <v>45932</v>
      </c>
      <c r="D1278" t="inlineStr">
        <is>
          <t>VÄRMLANDS LÄN</t>
        </is>
      </c>
      <c r="E1278" t="inlineStr">
        <is>
          <t>KIL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69266-2020</t>
        </is>
      </c>
      <c r="B1279" s="1" t="n">
        <v>44193</v>
      </c>
      <c r="C1279" s="1" t="n">
        <v>45932</v>
      </c>
      <c r="D1279" t="inlineStr">
        <is>
          <t>VÄRMLANDS LÄN</t>
        </is>
      </c>
      <c r="E1279" t="inlineStr">
        <is>
          <t>SÄFFLE</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69270-2020</t>
        </is>
      </c>
      <c r="B1280" s="1" t="n">
        <v>44193</v>
      </c>
      <c r="C1280" s="1" t="n">
        <v>45932</v>
      </c>
      <c r="D1280" t="inlineStr">
        <is>
          <t>VÄRMLANDS LÄN</t>
        </is>
      </c>
      <c r="E1280" t="inlineStr">
        <is>
          <t>SÄFFLE</t>
        </is>
      </c>
      <c r="F1280" t="inlineStr">
        <is>
          <t>Bergvik skog väst AB</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56624-2020</t>
        </is>
      </c>
      <c r="B1281" s="1" t="n">
        <v>44137</v>
      </c>
      <c r="C1281" s="1" t="n">
        <v>45932</v>
      </c>
      <c r="D1281" t="inlineStr">
        <is>
          <t>VÄRMLANDS LÄN</t>
        </is>
      </c>
      <c r="E1281" t="inlineStr">
        <is>
          <t>ARVIKA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68445-2021</t>
        </is>
      </c>
      <c r="B1282" s="1" t="n">
        <v>44529</v>
      </c>
      <c r="C1282" s="1" t="n">
        <v>45932</v>
      </c>
      <c r="D1282" t="inlineStr">
        <is>
          <t>VÄRMLANDS LÄN</t>
        </is>
      </c>
      <c r="E1282" t="inlineStr">
        <is>
          <t>EDA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68497-2021</t>
        </is>
      </c>
      <c r="B1283" s="1" t="n">
        <v>44525</v>
      </c>
      <c r="C1283" s="1" t="n">
        <v>45932</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68572-2021</t>
        </is>
      </c>
      <c r="B1284" s="1" t="n">
        <v>44529</v>
      </c>
      <c r="C1284" s="1" t="n">
        <v>45932</v>
      </c>
      <c r="D1284" t="inlineStr">
        <is>
          <t>VÄRMLANDS LÄN</t>
        </is>
      </c>
      <c r="E1284" t="inlineStr">
        <is>
          <t>ARVIKA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3917-2022</t>
        </is>
      </c>
      <c r="B1285" s="1" t="n">
        <v>44587</v>
      </c>
      <c r="C1285" s="1" t="n">
        <v>45932</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27932-2021</t>
        </is>
      </c>
      <c r="B1286" s="1" t="n">
        <v>44354</v>
      </c>
      <c r="C1286" s="1" t="n">
        <v>45932</v>
      </c>
      <c r="D1286" t="inlineStr">
        <is>
          <t>VÄRMLANDS LÄN</t>
        </is>
      </c>
      <c r="E1286" t="inlineStr">
        <is>
          <t>TORSBY</t>
        </is>
      </c>
      <c r="F1286" t="inlineStr">
        <is>
          <t>Bergvik skog väst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8957-2021</t>
        </is>
      </c>
      <c r="B1287" s="1" t="n">
        <v>44246</v>
      </c>
      <c r="C1287" s="1" t="n">
        <v>45932</v>
      </c>
      <c r="D1287" t="inlineStr">
        <is>
          <t>VÄRMLANDS LÄN</t>
        </is>
      </c>
      <c r="E1287" t="inlineStr">
        <is>
          <t>ÅRJÄNG</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63739-2021</t>
        </is>
      </c>
      <c r="B1288" s="1" t="n">
        <v>44509</v>
      </c>
      <c r="C1288" s="1" t="n">
        <v>45932</v>
      </c>
      <c r="D1288" t="inlineStr">
        <is>
          <t>VÄRMLANDS LÄN</t>
        </is>
      </c>
      <c r="E1288" t="inlineStr">
        <is>
          <t>FORSHAGA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4935-2021</t>
        </is>
      </c>
      <c r="B1289" s="1" t="n">
        <v>44227.85576388889</v>
      </c>
      <c r="C1289" s="1" t="n">
        <v>45932</v>
      </c>
      <c r="D1289" t="inlineStr">
        <is>
          <t>VÄRMLANDS LÄN</t>
        </is>
      </c>
      <c r="E1289" t="inlineStr">
        <is>
          <t>EDA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15577-2021</t>
        </is>
      </c>
      <c r="B1290" s="1" t="n">
        <v>44285</v>
      </c>
      <c r="C1290" s="1" t="n">
        <v>45932</v>
      </c>
      <c r="D1290" t="inlineStr">
        <is>
          <t>VÄRMLANDS LÄN</t>
        </is>
      </c>
      <c r="E1290" t="inlineStr">
        <is>
          <t>KRISTINEHAMN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4681-2021</t>
        </is>
      </c>
      <c r="B1291" s="1" t="n">
        <v>44225</v>
      </c>
      <c r="C1291" s="1" t="n">
        <v>45932</v>
      </c>
      <c r="D1291" t="inlineStr">
        <is>
          <t>VÄRMLANDS LÄN</t>
        </is>
      </c>
      <c r="E1291" t="inlineStr">
        <is>
          <t>KARLSTAD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4711-2021</t>
        </is>
      </c>
      <c r="B1292" s="1" t="n">
        <v>44225</v>
      </c>
      <c r="C1292" s="1" t="n">
        <v>45932</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67852-2020</t>
        </is>
      </c>
      <c r="B1293" s="1" t="n">
        <v>44182</v>
      </c>
      <c r="C1293" s="1" t="n">
        <v>45932</v>
      </c>
      <c r="D1293" t="inlineStr">
        <is>
          <t>VÄRMLANDS LÄN</t>
        </is>
      </c>
      <c r="E1293" t="inlineStr">
        <is>
          <t>FILIPSTAD</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105-2021</t>
        </is>
      </c>
      <c r="B1294" s="1" t="n">
        <v>44200</v>
      </c>
      <c r="C1294" s="1" t="n">
        <v>45932</v>
      </c>
      <c r="D1294" t="inlineStr">
        <is>
          <t>VÄRMLANDS LÄN</t>
        </is>
      </c>
      <c r="E1294" t="inlineStr">
        <is>
          <t>KRISTINEHAMN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22350-2021</t>
        </is>
      </c>
      <c r="B1295" s="1" t="n">
        <v>44326.55438657408</v>
      </c>
      <c r="C1295" s="1" t="n">
        <v>45932</v>
      </c>
      <c r="D1295" t="inlineStr">
        <is>
          <t>VÄRMLANDS LÄN</t>
        </is>
      </c>
      <c r="E1295" t="inlineStr">
        <is>
          <t>KARLSTAD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68220-2020</t>
        </is>
      </c>
      <c r="B1296" s="1" t="n">
        <v>44183</v>
      </c>
      <c r="C1296" s="1" t="n">
        <v>45932</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43092-2022</t>
        </is>
      </c>
      <c r="B1297" s="1" t="n">
        <v>44833</v>
      </c>
      <c r="C1297" s="1" t="n">
        <v>45932</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59656-2020</t>
        </is>
      </c>
      <c r="B1298" s="1" t="n">
        <v>44151.28799768518</v>
      </c>
      <c r="C1298" s="1" t="n">
        <v>45932</v>
      </c>
      <c r="D1298" t="inlineStr">
        <is>
          <t>VÄRMLANDS LÄN</t>
        </is>
      </c>
      <c r="E1298" t="inlineStr">
        <is>
          <t>ÅRJÄNG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63565-2020</t>
        </is>
      </c>
      <c r="B1299" s="1" t="n">
        <v>44165</v>
      </c>
      <c r="C1299" s="1" t="n">
        <v>45932</v>
      </c>
      <c r="D1299" t="inlineStr">
        <is>
          <t>VÄRMLANDS LÄN</t>
        </is>
      </c>
      <c r="E1299" t="inlineStr">
        <is>
          <t>TORSBY</t>
        </is>
      </c>
      <c r="G1299" t="n">
        <v>10.3</v>
      </c>
      <c r="H1299" t="n">
        <v>0</v>
      </c>
      <c r="I1299" t="n">
        <v>0</v>
      </c>
      <c r="J1299" t="n">
        <v>0</v>
      </c>
      <c r="K1299" t="n">
        <v>0</v>
      </c>
      <c r="L1299" t="n">
        <v>0</v>
      </c>
      <c r="M1299" t="n">
        <v>0</v>
      </c>
      <c r="N1299" t="n">
        <v>0</v>
      </c>
      <c r="O1299" t="n">
        <v>0</v>
      </c>
      <c r="P1299" t="n">
        <v>0</v>
      </c>
      <c r="Q1299" t="n">
        <v>0</v>
      </c>
      <c r="R1299" s="2" t="inlineStr"/>
    </row>
    <row r="1300" ht="15" customHeight="1">
      <c r="A1300" t="inlineStr">
        <is>
          <t>A 63669-2020</t>
        </is>
      </c>
      <c r="B1300" s="1" t="n">
        <v>44166</v>
      </c>
      <c r="C1300" s="1" t="n">
        <v>45932</v>
      </c>
      <c r="D1300" t="inlineStr">
        <is>
          <t>VÄRMLANDS LÄN</t>
        </is>
      </c>
      <c r="E1300" t="inlineStr">
        <is>
          <t>SUNNE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8034-2021</t>
        </is>
      </c>
      <c r="B1301" s="1" t="n">
        <v>44243</v>
      </c>
      <c r="C1301" s="1" t="n">
        <v>45932</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65678-2020</t>
        </is>
      </c>
      <c r="B1302" s="1" t="n">
        <v>44172</v>
      </c>
      <c r="C1302" s="1" t="n">
        <v>45932</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10594-2021</t>
        </is>
      </c>
      <c r="B1303" s="1" t="n">
        <v>44258</v>
      </c>
      <c r="C1303" s="1" t="n">
        <v>45932</v>
      </c>
      <c r="D1303" t="inlineStr">
        <is>
          <t>VÄRMLANDS LÄN</t>
        </is>
      </c>
      <c r="E1303" t="inlineStr">
        <is>
          <t>ÅRJÄNG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28730-2021</t>
        </is>
      </c>
      <c r="B1304" s="1" t="n">
        <v>44357</v>
      </c>
      <c r="C1304" s="1" t="n">
        <v>45932</v>
      </c>
      <c r="D1304" t="inlineStr">
        <is>
          <t>VÄRMLANDS LÄN</t>
        </is>
      </c>
      <c r="E1304" t="inlineStr">
        <is>
          <t>EDA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28940-2021</t>
        </is>
      </c>
      <c r="B1305" s="1" t="n">
        <v>44358</v>
      </c>
      <c r="C1305" s="1" t="n">
        <v>45932</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31511-2021</t>
        </is>
      </c>
      <c r="B1306" s="1" t="n">
        <v>44369.45956018518</v>
      </c>
      <c r="C1306" s="1" t="n">
        <v>45932</v>
      </c>
      <c r="D1306" t="inlineStr">
        <is>
          <t>VÄRMLANDS LÄN</t>
        </is>
      </c>
      <c r="E1306" t="inlineStr">
        <is>
          <t>TORSBY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8634-2022</t>
        </is>
      </c>
      <c r="B1307" s="1" t="n">
        <v>44613.62538194445</v>
      </c>
      <c r="C1307" s="1" t="n">
        <v>45932</v>
      </c>
      <c r="D1307" t="inlineStr">
        <is>
          <t>VÄRMLANDS LÄN</t>
        </is>
      </c>
      <c r="E1307" t="inlineStr">
        <is>
          <t>ARVIKA</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64271-2020</t>
        </is>
      </c>
      <c r="B1308" s="1" t="n">
        <v>44168</v>
      </c>
      <c r="C1308" s="1" t="n">
        <v>45932</v>
      </c>
      <c r="D1308" t="inlineStr">
        <is>
          <t>VÄRMLANDS LÄN</t>
        </is>
      </c>
      <c r="E1308" t="inlineStr">
        <is>
          <t>ÅRJÄNG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37585-2021</t>
        </is>
      </c>
      <c r="B1309" s="1" t="n">
        <v>44399.63003472222</v>
      </c>
      <c r="C1309" s="1" t="n">
        <v>45932</v>
      </c>
      <c r="D1309" t="inlineStr">
        <is>
          <t>VÄRMLANDS LÄN</t>
        </is>
      </c>
      <c r="E1309" t="inlineStr">
        <is>
          <t>SUNNE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54439-2022</t>
        </is>
      </c>
      <c r="B1310" s="1" t="n">
        <v>44882.58734953704</v>
      </c>
      <c r="C1310" s="1" t="n">
        <v>45932</v>
      </c>
      <c r="D1310" t="inlineStr">
        <is>
          <t>VÄRMLANDS LÄN</t>
        </is>
      </c>
      <c r="E1310" t="inlineStr">
        <is>
          <t>KARLSTAD</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12141-2021</t>
        </is>
      </c>
      <c r="B1311" s="1" t="n">
        <v>44266.56918981481</v>
      </c>
      <c r="C1311" s="1" t="n">
        <v>45932</v>
      </c>
      <c r="D1311" t="inlineStr">
        <is>
          <t>VÄRMLANDS LÄN</t>
        </is>
      </c>
      <c r="E1311" t="inlineStr">
        <is>
          <t>HAGFORS</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58599-2020</t>
        </is>
      </c>
      <c r="B1312" s="1" t="n">
        <v>44145.65825231482</v>
      </c>
      <c r="C1312" s="1" t="n">
        <v>45932</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29738-2021</t>
        </is>
      </c>
      <c r="B1313" s="1" t="n">
        <v>44362</v>
      </c>
      <c r="C1313" s="1" t="n">
        <v>45932</v>
      </c>
      <c r="D1313" t="inlineStr">
        <is>
          <t>VÄRMLANDS LÄN</t>
        </is>
      </c>
      <c r="E1313" t="inlineStr">
        <is>
          <t>SÄFFLE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17809-2021</t>
        </is>
      </c>
      <c r="B1314" s="1" t="n">
        <v>44300</v>
      </c>
      <c r="C1314" s="1" t="n">
        <v>45932</v>
      </c>
      <c r="D1314" t="inlineStr">
        <is>
          <t>VÄRMLANDS LÄN</t>
        </is>
      </c>
      <c r="E1314" t="inlineStr">
        <is>
          <t>FILIPSTAD</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41329-2021</t>
        </is>
      </c>
      <c r="B1315" s="1" t="n">
        <v>44424</v>
      </c>
      <c r="C1315" s="1" t="n">
        <v>45932</v>
      </c>
      <c r="D1315" t="inlineStr">
        <is>
          <t>VÄRMLANDS LÄN</t>
        </is>
      </c>
      <c r="E1315" t="inlineStr">
        <is>
          <t>ARVIKA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41678-2021</t>
        </is>
      </c>
      <c r="B1316" s="1" t="n">
        <v>44425</v>
      </c>
      <c r="C1316" s="1" t="n">
        <v>45932</v>
      </c>
      <c r="D1316" t="inlineStr">
        <is>
          <t>VÄRMLANDS LÄN</t>
        </is>
      </c>
      <c r="E1316" t="inlineStr">
        <is>
          <t>TORSBY</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41739-2021</t>
        </is>
      </c>
      <c r="B1317" s="1" t="n">
        <v>44425</v>
      </c>
      <c r="C1317" s="1" t="n">
        <v>45932</v>
      </c>
      <c r="D1317" t="inlineStr">
        <is>
          <t>VÄRMLANDS LÄN</t>
        </is>
      </c>
      <c r="E1317" t="inlineStr">
        <is>
          <t>SUNNE</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10118-2021</t>
        </is>
      </c>
      <c r="B1318" s="1" t="n">
        <v>44256</v>
      </c>
      <c r="C1318" s="1" t="n">
        <v>45932</v>
      </c>
      <c r="D1318" t="inlineStr">
        <is>
          <t>VÄRMLANDS LÄN</t>
        </is>
      </c>
      <c r="E1318" t="inlineStr">
        <is>
          <t>TORSBY</t>
        </is>
      </c>
      <c r="G1318" t="n">
        <v>12.5</v>
      </c>
      <c r="H1318" t="n">
        <v>0</v>
      </c>
      <c r="I1318" t="n">
        <v>0</v>
      </c>
      <c r="J1318" t="n">
        <v>0</v>
      </c>
      <c r="K1318" t="n">
        <v>0</v>
      </c>
      <c r="L1318" t="n">
        <v>0</v>
      </c>
      <c r="M1318" t="n">
        <v>0</v>
      </c>
      <c r="N1318" t="n">
        <v>0</v>
      </c>
      <c r="O1318" t="n">
        <v>0</v>
      </c>
      <c r="P1318" t="n">
        <v>0</v>
      </c>
      <c r="Q1318" t="n">
        <v>0</v>
      </c>
      <c r="R1318" s="2" t="inlineStr"/>
    </row>
    <row r="1319" ht="15" customHeight="1">
      <c r="A1319" t="inlineStr">
        <is>
          <t>A 33247-2021</t>
        </is>
      </c>
      <c r="B1319" s="1" t="n">
        <v>44377</v>
      </c>
      <c r="C1319" s="1" t="n">
        <v>45932</v>
      </c>
      <c r="D1319" t="inlineStr">
        <is>
          <t>VÄRMLANDS LÄN</t>
        </is>
      </c>
      <c r="E1319" t="inlineStr">
        <is>
          <t>EDA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9436-2021</t>
        </is>
      </c>
      <c r="B1320" s="1" t="n">
        <v>44251</v>
      </c>
      <c r="C1320" s="1" t="n">
        <v>45932</v>
      </c>
      <c r="D1320" t="inlineStr">
        <is>
          <t>VÄRMLANDS LÄN</t>
        </is>
      </c>
      <c r="E1320" t="inlineStr">
        <is>
          <t>SÄFFLE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72339-2021</t>
        </is>
      </c>
      <c r="B1321" s="1" t="n">
        <v>44544</v>
      </c>
      <c r="C1321" s="1" t="n">
        <v>45932</v>
      </c>
      <c r="D1321" t="inlineStr">
        <is>
          <t>VÄRMLANDS LÄN</t>
        </is>
      </c>
      <c r="E1321" t="inlineStr">
        <is>
          <t>KARLSTAD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13857-2021</t>
        </is>
      </c>
      <c r="B1322" s="1" t="n">
        <v>44277</v>
      </c>
      <c r="C1322" s="1" t="n">
        <v>45932</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16168-2021</t>
        </is>
      </c>
      <c r="B1323" s="1" t="n">
        <v>44287</v>
      </c>
      <c r="C1323" s="1" t="n">
        <v>45932</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68355-2020</t>
        </is>
      </c>
      <c r="B1324" s="1" t="n">
        <v>44182</v>
      </c>
      <c r="C1324" s="1" t="n">
        <v>45932</v>
      </c>
      <c r="D1324" t="inlineStr">
        <is>
          <t>VÄRMLANDS LÄN</t>
        </is>
      </c>
      <c r="E1324" t="inlineStr">
        <is>
          <t>KARLSTAD</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54811-2022</t>
        </is>
      </c>
      <c r="B1325" s="1" t="n">
        <v>44883.7496875</v>
      </c>
      <c r="C1325" s="1" t="n">
        <v>45932</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41999-2021</t>
        </is>
      </c>
      <c r="B1326" s="1" t="n">
        <v>44426</v>
      </c>
      <c r="C1326" s="1" t="n">
        <v>45932</v>
      </c>
      <c r="D1326" t="inlineStr">
        <is>
          <t>VÄRMLANDS LÄN</t>
        </is>
      </c>
      <c r="E1326" t="inlineStr">
        <is>
          <t>HAGFORS</t>
        </is>
      </c>
      <c r="F1326" t="inlineStr">
        <is>
          <t>Bergvik skog väst AB</t>
        </is>
      </c>
      <c r="G1326" t="n">
        <v>42.4</v>
      </c>
      <c r="H1326" t="n">
        <v>0</v>
      </c>
      <c r="I1326" t="n">
        <v>0</v>
      </c>
      <c r="J1326" t="n">
        <v>0</v>
      </c>
      <c r="K1326" t="n">
        <v>0</v>
      </c>
      <c r="L1326" t="n">
        <v>0</v>
      </c>
      <c r="M1326" t="n">
        <v>0</v>
      </c>
      <c r="N1326" t="n">
        <v>0</v>
      </c>
      <c r="O1326" t="n">
        <v>0</v>
      </c>
      <c r="P1326" t="n">
        <v>0</v>
      </c>
      <c r="Q1326" t="n">
        <v>0</v>
      </c>
      <c r="R1326" s="2" t="inlineStr"/>
    </row>
    <row r="1327" ht="15" customHeight="1">
      <c r="A1327" t="inlineStr">
        <is>
          <t>A 12424-2021</t>
        </is>
      </c>
      <c r="B1327" s="1" t="n">
        <v>44266</v>
      </c>
      <c r="C1327" s="1" t="n">
        <v>45932</v>
      </c>
      <c r="D1327" t="inlineStr">
        <is>
          <t>VÄRMLANDS LÄN</t>
        </is>
      </c>
      <c r="E1327" t="inlineStr">
        <is>
          <t>KIL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49460-2021</t>
        </is>
      </c>
      <c r="B1328" s="1" t="n">
        <v>44454</v>
      </c>
      <c r="C1328" s="1" t="n">
        <v>45932</v>
      </c>
      <c r="D1328" t="inlineStr">
        <is>
          <t>VÄRMLANDS LÄN</t>
        </is>
      </c>
      <c r="E1328" t="inlineStr">
        <is>
          <t>SÄFFLE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46248-2021</t>
        </is>
      </c>
      <c r="B1329" s="1" t="n">
        <v>44442</v>
      </c>
      <c r="C1329" s="1" t="n">
        <v>45932</v>
      </c>
      <c r="D1329" t="inlineStr">
        <is>
          <t>VÄRMLANDS LÄN</t>
        </is>
      </c>
      <c r="E1329" t="inlineStr">
        <is>
          <t>ÅRJÄNG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12853-2021</t>
        </is>
      </c>
      <c r="B1330" s="1" t="n">
        <v>44271</v>
      </c>
      <c r="C1330" s="1" t="n">
        <v>45932</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15981-2021</t>
        </is>
      </c>
      <c r="B1331" s="1" t="n">
        <v>44287</v>
      </c>
      <c r="C1331" s="1" t="n">
        <v>45932</v>
      </c>
      <c r="D1331" t="inlineStr">
        <is>
          <t>VÄRMLANDS LÄN</t>
        </is>
      </c>
      <c r="E1331" t="inlineStr">
        <is>
          <t>ARVIKA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13576-2022</t>
        </is>
      </c>
      <c r="B1332" s="1" t="n">
        <v>44648.46362268519</v>
      </c>
      <c r="C1332" s="1" t="n">
        <v>45932</v>
      </c>
      <c r="D1332" t="inlineStr">
        <is>
          <t>VÄRMLANDS LÄN</t>
        </is>
      </c>
      <c r="E1332" t="inlineStr">
        <is>
          <t>MUNKFORS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11936-2022</t>
        </is>
      </c>
      <c r="B1333" s="1" t="n">
        <v>44635</v>
      </c>
      <c r="C1333" s="1" t="n">
        <v>45932</v>
      </c>
      <c r="D1333" t="inlineStr">
        <is>
          <t>VÄRMLANDS LÄN</t>
        </is>
      </c>
      <c r="E1333" t="inlineStr">
        <is>
          <t>ÅRJÄNG</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13025-2021</t>
        </is>
      </c>
      <c r="B1334" s="1" t="n">
        <v>44271</v>
      </c>
      <c r="C1334" s="1" t="n">
        <v>45932</v>
      </c>
      <c r="D1334" t="inlineStr">
        <is>
          <t>VÄRMLANDS LÄN</t>
        </is>
      </c>
      <c r="E1334" t="inlineStr">
        <is>
          <t>ARVIKA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3883-2021</t>
        </is>
      </c>
      <c r="B1335" s="1" t="n">
        <v>44222</v>
      </c>
      <c r="C1335" s="1" t="n">
        <v>45932</v>
      </c>
      <c r="D1335" t="inlineStr">
        <is>
          <t>VÄRMLANDS LÄN</t>
        </is>
      </c>
      <c r="E1335" t="inlineStr">
        <is>
          <t>KARLSTAD</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18174-2021</t>
        </is>
      </c>
      <c r="B1336" s="1" t="n">
        <v>44302.63314814815</v>
      </c>
      <c r="C1336" s="1" t="n">
        <v>45932</v>
      </c>
      <c r="D1336" t="inlineStr">
        <is>
          <t>VÄRMLANDS LÄN</t>
        </is>
      </c>
      <c r="E1336" t="inlineStr">
        <is>
          <t>TORSBY</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44923-2021</t>
        </is>
      </c>
      <c r="B1337" s="1" t="n">
        <v>44438.6662037037</v>
      </c>
      <c r="C1337" s="1" t="n">
        <v>45932</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35406-2021</t>
        </is>
      </c>
      <c r="B1338" s="1" t="n">
        <v>44385.40909722223</v>
      </c>
      <c r="C1338" s="1" t="n">
        <v>45932</v>
      </c>
      <c r="D1338" t="inlineStr">
        <is>
          <t>VÄRMLANDS LÄN</t>
        </is>
      </c>
      <c r="E1338" t="inlineStr">
        <is>
          <t>GRUMS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35422-2021</t>
        </is>
      </c>
      <c r="B1339" s="1" t="n">
        <v>44385.44270833334</v>
      </c>
      <c r="C1339" s="1" t="n">
        <v>45932</v>
      </c>
      <c r="D1339" t="inlineStr">
        <is>
          <t>VÄRMLANDS LÄN</t>
        </is>
      </c>
      <c r="E1339" t="inlineStr">
        <is>
          <t>SÄFFLE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10957-2021</t>
        </is>
      </c>
      <c r="B1340" s="1" t="n">
        <v>44260</v>
      </c>
      <c r="C1340" s="1" t="n">
        <v>45932</v>
      </c>
      <c r="D1340" t="inlineStr">
        <is>
          <t>VÄRMLANDS LÄN</t>
        </is>
      </c>
      <c r="E1340" t="inlineStr">
        <is>
          <t>SUNNE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10778-2021</t>
        </is>
      </c>
      <c r="B1341" s="1" t="n">
        <v>44259</v>
      </c>
      <c r="C1341" s="1" t="n">
        <v>45932</v>
      </c>
      <c r="D1341" t="inlineStr">
        <is>
          <t>VÄRMLANDS LÄN</t>
        </is>
      </c>
      <c r="E1341" t="inlineStr">
        <is>
          <t>TORSBY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68238-2020</t>
        </is>
      </c>
      <c r="B1342" s="1" t="n">
        <v>44183</v>
      </c>
      <c r="C1342" s="1" t="n">
        <v>45932</v>
      </c>
      <c r="D1342" t="inlineStr">
        <is>
          <t>VÄRMLANDS LÄN</t>
        </is>
      </c>
      <c r="E1342" t="inlineStr">
        <is>
          <t>TORSBY</t>
        </is>
      </c>
      <c r="F1342" t="inlineStr">
        <is>
          <t>Bergvik skog väst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4185-2022</t>
        </is>
      </c>
      <c r="B1343" s="1" t="n">
        <v>44588</v>
      </c>
      <c r="C1343" s="1" t="n">
        <v>45932</v>
      </c>
      <c r="D1343" t="inlineStr">
        <is>
          <t>VÄRMLANDS LÄN</t>
        </is>
      </c>
      <c r="E1343" t="inlineStr">
        <is>
          <t>KRISTINEHAMN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4188-2022</t>
        </is>
      </c>
      <c r="B1344" s="1" t="n">
        <v>44588</v>
      </c>
      <c r="C1344" s="1" t="n">
        <v>45932</v>
      </c>
      <c r="D1344" t="inlineStr">
        <is>
          <t>VÄRMLANDS LÄN</t>
        </is>
      </c>
      <c r="E1344" t="inlineStr">
        <is>
          <t>KRISTINEHAMN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5105-2021</t>
        </is>
      </c>
      <c r="B1345" s="1" t="n">
        <v>44228</v>
      </c>
      <c r="C1345" s="1" t="n">
        <v>45932</v>
      </c>
      <c r="D1345" t="inlineStr">
        <is>
          <t>VÄRMLANDS LÄN</t>
        </is>
      </c>
      <c r="E1345" t="inlineStr">
        <is>
          <t>TORSBY</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3973-2021</t>
        </is>
      </c>
      <c r="B1346" s="1" t="n">
        <v>44217</v>
      </c>
      <c r="C1346" s="1" t="n">
        <v>45932</v>
      </c>
      <c r="D1346" t="inlineStr">
        <is>
          <t>VÄRMLANDS LÄN</t>
        </is>
      </c>
      <c r="E1346" t="inlineStr">
        <is>
          <t>ÅRJÄNG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62245-2020</t>
        </is>
      </c>
      <c r="B1347" s="1" t="n">
        <v>44160</v>
      </c>
      <c r="C1347" s="1" t="n">
        <v>45932</v>
      </c>
      <c r="D1347" t="inlineStr">
        <is>
          <t>VÄRMLANDS LÄN</t>
        </is>
      </c>
      <c r="E1347" t="inlineStr">
        <is>
          <t>KARLSTAD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59643-2020</t>
        </is>
      </c>
      <c r="B1348" s="1" t="n">
        <v>44150</v>
      </c>
      <c r="C1348" s="1" t="n">
        <v>45932</v>
      </c>
      <c r="D1348" t="inlineStr">
        <is>
          <t>VÄRMLANDS LÄN</t>
        </is>
      </c>
      <c r="E1348" t="inlineStr">
        <is>
          <t>SUNNE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18235-2021</t>
        </is>
      </c>
      <c r="B1349" s="1" t="n">
        <v>44303.90922453703</v>
      </c>
      <c r="C1349" s="1" t="n">
        <v>45932</v>
      </c>
      <c r="D1349" t="inlineStr">
        <is>
          <t>VÄRMLANDS LÄN</t>
        </is>
      </c>
      <c r="E1349" t="inlineStr">
        <is>
          <t>FILIPSTAD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33145-2021</t>
        </is>
      </c>
      <c r="B1350" s="1" t="n">
        <v>44376.67375</v>
      </c>
      <c r="C1350" s="1" t="n">
        <v>45932</v>
      </c>
      <c r="D1350" t="inlineStr">
        <is>
          <t>VÄRMLANDS LÄN</t>
        </is>
      </c>
      <c r="E1350" t="inlineStr">
        <is>
          <t>TORSBY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10109-2022</t>
        </is>
      </c>
      <c r="B1351" s="1" t="n">
        <v>44621.83521990741</v>
      </c>
      <c r="C1351" s="1" t="n">
        <v>45932</v>
      </c>
      <c r="D1351" t="inlineStr">
        <is>
          <t>VÄRMLANDS LÄN</t>
        </is>
      </c>
      <c r="E1351" t="inlineStr">
        <is>
          <t>KARLSTAD</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18232-2021</t>
        </is>
      </c>
      <c r="B1352" s="1" t="n">
        <v>44303</v>
      </c>
      <c r="C1352" s="1" t="n">
        <v>45932</v>
      </c>
      <c r="D1352" t="inlineStr">
        <is>
          <t>VÄRMLANDS LÄN</t>
        </is>
      </c>
      <c r="E1352" t="inlineStr">
        <is>
          <t>KRISTINEHAMN</t>
        </is>
      </c>
      <c r="F1352" t="inlineStr">
        <is>
          <t>Kommuner</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31114-2022</t>
        </is>
      </c>
      <c r="B1353" s="1" t="n">
        <v>44769.85975694445</v>
      </c>
      <c r="C1353" s="1" t="n">
        <v>45932</v>
      </c>
      <c r="D1353" t="inlineStr">
        <is>
          <t>VÄRMLANDS LÄN</t>
        </is>
      </c>
      <c r="E1353" t="inlineStr">
        <is>
          <t>KRISTINEHAMN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31115-2022</t>
        </is>
      </c>
      <c r="B1354" s="1" t="n">
        <v>44769.86467592593</v>
      </c>
      <c r="C1354" s="1" t="n">
        <v>45932</v>
      </c>
      <c r="D1354" t="inlineStr">
        <is>
          <t>VÄRMLANDS LÄN</t>
        </is>
      </c>
      <c r="E1354" t="inlineStr">
        <is>
          <t>KRISTINEHAMN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30733-2021</t>
        </is>
      </c>
      <c r="B1355" s="1" t="n">
        <v>44365</v>
      </c>
      <c r="C1355" s="1" t="n">
        <v>45932</v>
      </c>
      <c r="D1355" t="inlineStr">
        <is>
          <t>VÄRMLANDS LÄN</t>
        </is>
      </c>
      <c r="E1355" t="inlineStr">
        <is>
          <t>ARVIKA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30746-2021</t>
        </is>
      </c>
      <c r="B1356" s="1" t="n">
        <v>44365</v>
      </c>
      <c r="C1356" s="1" t="n">
        <v>45932</v>
      </c>
      <c r="D1356" t="inlineStr">
        <is>
          <t>VÄRMLANDS LÄN</t>
        </is>
      </c>
      <c r="E1356" t="inlineStr">
        <is>
          <t>ARVIKA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51514-2021</t>
        </is>
      </c>
      <c r="B1357" s="1" t="n">
        <v>44462.37420138889</v>
      </c>
      <c r="C1357" s="1" t="n">
        <v>45932</v>
      </c>
      <c r="D1357" t="inlineStr">
        <is>
          <t>VÄRMLANDS LÄN</t>
        </is>
      </c>
      <c r="E1357" t="inlineStr">
        <is>
          <t>ARVIKA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30766-2021</t>
        </is>
      </c>
      <c r="B1358" s="1" t="n">
        <v>44365.47783564815</v>
      </c>
      <c r="C1358" s="1" t="n">
        <v>45932</v>
      </c>
      <c r="D1358" t="inlineStr">
        <is>
          <t>VÄRMLANDS LÄN</t>
        </is>
      </c>
      <c r="E1358" t="inlineStr">
        <is>
          <t>SUNNE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65293-2020</t>
        </is>
      </c>
      <c r="B1359" s="1" t="n">
        <v>44173</v>
      </c>
      <c r="C1359" s="1" t="n">
        <v>45932</v>
      </c>
      <c r="D1359" t="inlineStr">
        <is>
          <t>VÄRMLANDS LÄN</t>
        </is>
      </c>
      <c r="E1359" t="inlineStr">
        <is>
          <t>FORSHAGA</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67179-2021</t>
        </is>
      </c>
      <c r="B1360" s="1" t="n">
        <v>44523.43979166666</v>
      </c>
      <c r="C1360" s="1" t="n">
        <v>45932</v>
      </c>
      <c r="D1360" t="inlineStr">
        <is>
          <t>VÄRMLANDS LÄN</t>
        </is>
      </c>
      <c r="E1360" t="inlineStr">
        <is>
          <t>FORSHAGA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67221-2021</t>
        </is>
      </c>
      <c r="B1361" s="1" t="n">
        <v>44523</v>
      </c>
      <c r="C1361" s="1" t="n">
        <v>45932</v>
      </c>
      <c r="D1361" t="inlineStr">
        <is>
          <t>VÄRMLANDS LÄN</t>
        </is>
      </c>
      <c r="E1361" t="inlineStr">
        <is>
          <t>KRISTINEHAMN</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30802-2021</t>
        </is>
      </c>
      <c r="B1362" s="1" t="n">
        <v>44365.52390046296</v>
      </c>
      <c r="C1362" s="1" t="n">
        <v>45932</v>
      </c>
      <c r="D1362" t="inlineStr">
        <is>
          <t>VÄRMLANDS LÄN</t>
        </is>
      </c>
      <c r="E1362" t="inlineStr">
        <is>
          <t>TORSBY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23803-2022</t>
        </is>
      </c>
      <c r="B1363" s="1" t="n">
        <v>44720</v>
      </c>
      <c r="C1363" s="1" t="n">
        <v>45932</v>
      </c>
      <c r="D1363" t="inlineStr">
        <is>
          <t>VÄRMLANDS LÄN</t>
        </is>
      </c>
      <c r="E1363" t="inlineStr">
        <is>
          <t>TORSBY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23807-2022</t>
        </is>
      </c>
      <c r="B1364" s="1" t="n">
        <v>44722</v>
      </c>
      <c r="C1364" s="1" t="n">
        <v>45932</v>
      </c>
      <c r="D1364" t="inlineStr">
        <is>
          <t>VÄRMLANDS LÄN</t>
        </is>
      </c>
      <c r="E1364" t="inlineStr">
        <is>
          <t>EDA</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33888-2022</t>
        </is>
      </c>
      <c r="B1365" s="1" t="n">
        <v>44790</v>
      </c>
      <c r="C1365" s="1" t="n">
        <v>45932</v>
      </c>
      <c r="D1365" t="inlineStr">
        <is>
          <t>VÄRMLANDS LÄN</t>
        </is>
      </c>
      <c r="E1365" t="inlineStr">
        <is>
          <t>ÅRJÄNG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33959-2022</t>
        </is>
      </c>
      <c r="B1366" s="1" t="n">
        <v>44790.6815625</v>
      </c>
      <c r="C1366" s="1" t="n">
        <v>45932</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20346-2021</t>
        </is>
      </c>
      <c r="B1367" s="1" t="n">
        <v>44315</v>
      </c>
      <c r="C1367" s="1" t="n">
        <v>45932</v>
      </c>
      <c r="D1367" t="inlineStr">
        <is>
          <t>VÄRMLANDS LÄN</t>
        </is>
      </c>
      <c r="E1367" t="inlineStr">
        <is>
          <t>ARVIKA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65904-2021</t>
        </is>
      </c>
      <c r="B1368" s="1" t="n">
        <v>44517.44190972222</v>
      </c>
      <c r="C1368" s="1" t="n">
        <v>45932</v>
      </c>
      <c r="D1368" t="inlineStr">
        <is>
          <t>VÄRMLANDS LÄN</t>
        </is>
      </c>
      <c r="E1368" t="inlineStr">
        <is>
          <t>KIL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24130-2022</t>
        </is>
      </c>
      <c r="B1369" s="1" t="n">
        <v>44725.449375</v>
      </c>
      <c r="C1369" s="1" t="n">
        <v>45932</v>
      </c>
      <c r="D1369" t="inlineStr">
        <is>
          <t>VÄRMLANDS LÄN</t>
        </is>
      </c>
      <c r="E1369" t="inlineStr">
        <is>
          <t>ARVIKA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3753-2022</t>
        </is>
      </c>
      <c r="B1370" s="1" t="n">
        <v>44586.74548611111</v>
      </c>
      <c r="C1370" s="1" t="n">
        <v>45932</v>
      </c>
      <c r="D1370" t="inlineStr">
        <is>
          <t>VÄRMLANDS LÄN</t>
        </is>
      </c>
      <c r="E1370" t="inlineStr">
        <is>
          <t>EDA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39115-2021</t>
        </is>
      </c>
      <c r="B1371" s="1" t="n">
        <v>44412</v>
      </c>
      <c r="C1371" s="1" t="n">
        <v>45932</v>
      </c>
      <c r="D1371" t="inlineStr">
        <is>
          <t>VÄRMLANDS LÄN</t>
        </is>
      </c>
      <c r="E1371" t="inlineStr">
        <is>
          <t>SUNNE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39122-2021</t>
        </is>
      </c>
      <c r="B1372" s="1" t="n">
        <v>44412</v>
      </c>
      <c r="C1372" s="1" t="n">
        <v>45932</v>
      </c>
      <c r="D1372" t="inlineStr">
        <is>
          <t>VÄRMLANDS LÄN</t>
        </is>
      </c>
      <c r="E1372" t="inlineStr">
        <is>
          <t>EDA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39139-2021</t>
        </is>
      </c>
      <c r="B1373" s="1" t="n">
        <v>44412</v>
      </c>
      <c r="C1373" s="1" t="n">
        <v>45932</v>
      </c>
      <c r="D1373" t="inlineStr">
        <is>
          <t>VÄRMLANDS LÄN</t>
        </is>
      </c>
      <c r="E1373" t="inlineStr">
        <is>
          <t>SÄFFLE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11922-2022</t>
        </is>
      </c>
      <c r="B1374" s="1" t="n">
        <v>44635</v>
      </c>
      <c r="C1374" s="1" t="n">
        <v>45932</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18246-2022</t>
        </is>
      </c>
      <c r="B1375" s="1" t="n">
        <v>44685</v>
      </c>
      <c r="C1375" s="1" t="n">
        <v>45932</v>
      </c>
      <c r="D1375" t="inlineStr">
        <is>
          <t>VÄRMLANDS LÄN</t>
        </is>
      </c>
      <c r="E1375" t="inlineStr">
        <is>
          <t>EDA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24137-2022</t>
        </is>
      </c>
      <c r="B1376" s="1" t="n">
        <v>44725.4570949074</v>
      </c>
      <c r="C1376" s="1" t="n">
        <v>45932</v>
      </c>
      <c r="D1376" t="inlineStr">
        <is>
          <t>VÄRMLANDS LÄN</t>
        </is>
      </c>
      <c r="E1376" t="inlineStr">
        <is>
          <t>ARVIKA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21378-2021</t>
        </is>
      </c>
      <c r="B1377" s="1" t="n">
        <v>44320</v>
      </c>
      <c r="C1377" s="1" t="n">
        <v>45932</v>
      </c>
      <c r="D1377" t="inlineStr">
        <is>
          <t>VÄRMLANDS LÄN</t>
        </is>
      </c>
      <c r="E1377" t="inlineStr">
        <is>
          <t>KIL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51510-2021</t>
        </is>
      </c>
      <c r="B1378" s="1" t="n">
        <v>44460</v>
      </c>
      <c r="C1378" s="1" t="n">
        <v>45932</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54027-2020</t>
        </is>
      </c>
      <c r="B1379" s="1" t="n">
        <v>44123</v>
      </c>
      <c r="C1379" s="1" t="n">
        <v>45932</v>
      </c>
      <c r="D1379" t="inlineStr">
        <is>
          <t>VÄRMLANDS LÄN</t>
        </is>
      </c>
      <c r="E1379" t="inlineStr">
        <is>
          <t>STORFORS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16078-2021</t>
        </is>
      </c>
      <c r="B1380" s="1" t="n">
        <v>44288</v>
      </c>
      <c r="C1380" s="1" t="n">
        <v>45932</v>
      </c>
      <c r="D1380" t="inlineStr">
        <is>
          <t>VÄRMLANDS LÄN</t>
        </is>
      </c>
      <c r="E1380" t="inlineStr">
        <is>
          <t>EDA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33249-2022</t>
        </is>
      </c>
      <c r="B1381" s="1" t="n">
        <v>44787</v>
      </c>
      <c r="C1381" s="1" t="n">
        <v>45932</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33254-2022</t>
        </is>
      </c>
      <c r="B1382" s="1" t="n">
        <v>44787</v>
      </c>
      <c r="C1382" s="1" t="n">
        <v>45932</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29701-2021</t>
        </is>
      </c>
      <c r="B1383" s="1" t="n">
        <v>44362</v>
      </c>
      <c r="C1383" s="1" t="n">
        <v>45932</v>
      </c>
      <c r="D1383" t="inlineStr">
        <is>
          <t>VÄRMLANDS LÄN</t>
        </is>
      </c>
      <c r="E1383" t="inlineStr">
        <is>
          <t>ÅRJÄNG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35972-2021</t>
        </is>
      </c>
      <c r="B1384" s="1" t="n">
        <v>44385</v>
      </c>
      <c r="C1384" s="1" t="n">
        <v>45932</v>
      </c>
      <c r="D1384" t="inlineStr">
        <is>
          <t>VÄRMLANDS LÄN</t>
        </is>
      </c>
      <c r="E1384" t="inlineStr">
        <is>
          <t>SÄFFLE</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17248-2021</t>
        </is>
      </c>
      <c r="B1385" s="1" t="n">
        <v>44298.53222222222</v>
      </c>
      <c r="C1385" s="1" t="n">
        <v>45932</v>
      </c>
      <c r="D1385" t="inlineStr">
        <is>
          <t>VÄRMLANDS LÄN</t>
        </is>
      </c>
      <c r="E1385" t="inlineStr">
        <is>
          <t>ÅRJÄNG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36969-2022</t>
        </is>
      </c>
      <c r="B1386" s="1" t="n">
        <v>44805</v>
      </c>
      <c r="C1386" s="1" t="n">
        <v>45932</v>
      </c>
      <c r="D1386" t="inlineStr">
        <is>
          <t>VÄRMLANDS LÄN</t>
        </is>
      </c>
      <c r="E1386" t="inlineStr">
        <is>
          <t>SUNNE</t>
        </is>
      </c>
      <c r="F1386" t="inlineStr">
        <is>
          <t>Kyrkan</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37024-2022</t>
        </is>
      </c>
      <c r="B1387" s="1" t="n">
        <v>44806.42862268518</v>
      </c>
      <c r="C1387" s="1" t="n">
        <v>45932</v>
      </c>
      <c r="D1387" t="inlineStr">
        <is>
          <t>VÄRMLANDS LÄN</t>
        </is>
      </c>
      <c r="E1387" t="inlineStr">
        <is>
          <t>HAGFORS</t>
        </is>
      </c>
      <c r="F1387" t="inlineStr">
        <is>
          <t>Bergvik skog väst AB</t>
        </is>
      </c>
      <c r="G1387" t="n">
        <v>13.2</v>
      </c>
      <c r="H1387" t="n">
        <v>0</v>
      </c>
      <c r="I1387" t="n">
        <v>0</v>
      </c>
      <c r="J1387" t="n">
        <v>0</v>
      </c>
      <c r="K1387" t="n">
        <v>0</v>
      </c>
      <c r="L1387" t="n">
        <v>0</v>
      </c>
      <c r="M1387" t="n">
        <v>0</v>
      </c>
      <c r="N1387" t="n">
        <v>0</v>
      </c>
      <c r="O1387" t="n">
        <v>0</v>
      </c>
      <c r="P1387" t="n">
        <v>0</v>
      </c>
      <c r="Q1387" t="n">
        <v>0</v>
      </c>
      <c r="R1387" s="2" t="inlineStr"/>
    </row>
    <row r="1388" ht="15" customHeight="1">
      <c r="A1388" t="inlineStr">
        <is>
          <t>A 30494-2021</t>
        </is>
      </c>
      <c r="B1388" s="1" t="n">
        <v>44364</v>
      </c>
      <c r="C1388" s="1" t="n">
        <v>45932</v>
      </c>
      <c r="D1388" t="inlineStr">
        <is>
          <t>VÄRMLANDS LÄN</t>
        </is>
      </c>
      <c r="E1388" t="inlineStr">
        <is>
          <t>HAGFORS</t>
        </is>
      </c>
      <c r="F1388" t="inlineStr">
        <is>
          <t>Kyrkan</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64798-2021</t>
        </is>
      </c>
      <c r="B1389" s="1" t="n">
        <v>44512.50206018519</v>
      </c>
      <c r="C1389" s="1" t="n">
        <v>45932</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27031-2021</t>
        </is>
      </c>
      <c r="B1390" s="1" t="n">
        <v>44350.40565972222</v>
      </c>
      <c r="C1390" s="1" t="n">
        <v>45932</v>
      </c>
      <c r="D1390" t="inlineStr">
        <is>
          <t>VÄRMLANDS LÄN</t>
        </is>
      </c>
      <c r="E1390" t="inlineStr">
        <is>
          <t>EDA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38124-2021</t>
        </is>
      </c>
      <c r="B1391" s="1" t="n">
        <v>44405</v>
      </c>
      <c r="C1391" s="1" t="n">
        <v>45932</v>
      </c>
      <c r="D1391" t="inlineStr">
        <is>
          <t>VÄRMLANDS LÄN</t>
        </is>
      </c>
      <c r="E1391" t="inlineStr">
        <is>
          <t>KARLSTAD</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62793-2020</t>
        </is>
      </c>
      <c r="B1392" s="1" t="n">
        <v>44161.66377314815</v>
      </c>
      <c r="C1392" s="1" t="n">
        <v>45932</v>
      </c>
      <c r="D1392" t="inlineStr">
        <is>
          <t>VÄRMLANDS LÄN</t>
        </is>
      </c>
      <c r="E1392" t="inlineStr">
        <is>
          <t>SÄFFLE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17249-2021</t>
        </is>
      </c>
      <c r="B1393" s="1" t="n">
        <v>44298</v>
      </c>
      <c r="C1393" s="1" t="n">
        <v>45932</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51401-2021</t>
        </is>
      </c>
      <c r="B1394" s="1" t="n">
        <v>44461</v>
      </c>
      <c r="C1394" s="1" t="n">
        <v>45932</v>
      </c>
      <c r="D1394" t="inlineStr">
        <is>
          <t>VÄRMLANDS LÄN</t>
        </is>
      </c>
      <c r="E1394" t="inlineStr">
        <is>
          <t>SUNNE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16467-2021</t>
        </is>
      </c>
      <c r="B1395" s="1" t="n">
        <v>44292</v>
      </c>
      <c r="C1395" s="1" t="n">
        <v>45932</v>
      </c>
      <c r="D1395" t="inlineStr">
        <is>
          <t>VÄRMLANDS LÄN</t>
        </is>
      </c>
      <c r="E1395" t="inlineStr">
        <is>
          <t>GRUMS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41150-2022</t>
        </is>
      </c>
      <c r="B1396" s="1" t="n">
        <v>44825.84459490741</v>
      </c>
      <c r="C1396" s="1" t="n">
        <v>45932</v>
      </c>
      <c r="D1396" t="inlineStr">
        <is>
          <t>VÄRMLANDS LÄN</t>
        </is>
      </c>
      <c r="E1396" t="inlineStr">
        <is>
          <t>MUNKFORS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31488-2021</t>
        </is>
      </c>
      <c r="B1397" s="1" t="n">
        <v>44369</v>
      </c>
      <c r="C1397" s="1" t="n">
        <v>45932</v>
      </c>
      <c r="D1397" t="inlineStr">
        <is>
          <t>VÄRMLANDS LÄN</t>
        </is>
      </c>
      <c r="E1397" t="inlineStr">
        <is>
          <t>GRUMS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31494-2021</t>
        </is>
      </c>
      <c r="B1398" s="1" t="n">
        <v>44369</v>
      </c>
      <c r="C1398" s="1" t="n">
        <v>45932</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58630-2021</t>
        </is>
      </c>
      <c r="B1399" s="1" t="n">
        <v>44489</v>
      </c>
      <c r="C1399" s="1" t="n">
        <v>45932</v>
      </c>
      <c r="D1399" t="inlineStr">
        <is>
          <t>VÄRMLANDS LÄN</t>
        </is>
      </c>
      <c r="E1399" t="inlineStr">
        <is>
          <t>SUNNE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72937-2021</t>
        </is>
      </c>
      <c r="B1400" s="1" t="n">
        <v>44547</v>
      </c>
      <c r="C1400" s="1" t="n">
        <v>45932</v>
      </c>
      <c r="D1400" t="inlineStr">
        <is>
          <t>VÄRMLANDS LÄN</t>
        </is>
      </c>
      <c r="E1400" t="inlineStr">
        <is>
          <t>HAGFORS</t>
        </is>
      </c>
      <c r="F1400" t="inlineStr">
        <is>
          <t>Bergvik skog väst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37538-2022</t>
        </is>
      </c>
      <c r="B1401" s="1" t="n">
        <v>44809</v>
      </c>
      <c r="C1401" s="1" t="n">
        <v>45932</v>
      </c>
      <c r="D1401" t="inlineStr">
        <is>
          <t>VÄRMLANDS LÄN</t>
        </is>
      </c>
      <c r="E1401" t="inlineStr">
        <is>
          <t>EDA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65827-2020</t>
        </is>
      </c>
      <c r="B1402" s="1" t="n">
        <v>44173</v>
      </c>
      <c r="C1402" s="1" t="n">
        <v>45932</v>
      </c>
      <c r="D1402" t="inlineStr">
        <is>
          <t>VÄRMLANDS LÄN</t>
        </is>
      </c>
      <c r="E1402" t="inlineStr">
        <is>
          <t>TORSBY</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27362-2021</t>
        </is>
      </c>
      <c r="B1403" s="1" t="n">
        <v>44351</v>
      </c>
      <c r="C1403" s="1" t="n">
        <v>45932</v>
      </c>
      <c r="D1403" t="inlineStr">
        <is>
          <t>VÄRMLANDS LÄN</t>
        </is>
      </c>
      <c r="E1403" t="inlineStr">
        <is>
          <t>TORSBY</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58507-2021</t>
        </is>
      </c>
      <c r="B1404" s="1" t="n">
        <v>44488</v>
      </c>
      <c r="C1404" s="1" t="n">
        <v>45932</v>
      </c>
      <c r="D1404" t="inlineStr">
        <is>
          <t>VÄRMLANDS LÄN</t>
        </is>
      </c>
      <c r="E1404" t="inlineStr">
        <is>
          <t>KARLSTAD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28172-2022</t>
        </is>
      </c>
      <c r="B1405" s="1" t="n">
        <v>44746</v>
      </c>
      <c r="C1405" s="1" t="n">
        <v>45932</v>
      </c>
      <c r="D1405" t="inlineStr">
        <is>
          <t>VÄRMLANDS LÄN</t>
        </is>
      </c>
      <c r="E1405" t="inlineStr">
        <is>
          <t>TORSBY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28744-2021</t>
        </is>
      </c>
      <c r="B1406" s="1" t="n">
        <v>44357</v>
      </c>
      <c r="C1406" s="1" t="n">
        <v>45932</v>
      </c>
      <c r="D1406" t="inlineStr">
        <is>
          <t>VÄRMLANDS LÄN</t>
        </is>
      </c>
      <c r="E1406" t="inlineStr">
        <is>
          <t>EDA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37338-2022</t>
        </is>
      </c>
      <c r="B1407" s="1" t="n">
        <v>44809.35336805556</v>
      </c>
      <c r="C1407" s="1" t="n">
        <v>45932</v>
      </c>
      <c r="D1407" t="inlineStr">
        <is>
          <t>VÄRMLANDS LÄN</t>
        </is>
      </c>
      <c r="E1407" t="inlineStr">
        <is>
          <t>SUNNE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36774-2021</t>
        </is>
      </c>
      <c r="B1408" s="1" t="n">
        <v>44392</v>
      </c>
      <c r="C1408" s="1" t="n">
        <v>45932</v>
      </c>
      <c r="D1408" t="inlineStr">
        <is>
          <t>VÄRMLANDS LÄN</t>
        </is>
      </c>
      <c r="E1408" t="inlineStr">
        <is>
          <t>SÄFFLE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34430-2021</t>
        </is>
      </c>
      <c r="B1409" s="1" t="n">
        <v>44380</v>
      </c>
      <c r="C1409" s="1" t="n">
        <v>45932</v>
      </c>
      <c r="D1409" t="inlineStr">
        <is>
          <t>VÄRMLANDS LÄN</t>
        </is>
      </c>
      <c r="E1409" t="inlineStr">
        <is>
          <t>KRISTINEHAMN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44539-2021</t>
        </is>
      </c>
      <c r="B1410" s="1" t="n">
        <v>44435</v>
      </c>
      <c r="C1410" s="1" t="n">
        <v>45932</v>
      </c>
      <c r="D1410" t="inlineStr">
        <is>
          <t>VÄRMLANDS LÄN</t>
        </is>
      </c>
      <c r="E1410" t="inlineStr">
        <is>
          <t>HAGFORS</t>
        </is>
      </c>
      <c r="F1410" t="inlineStr">
        <is>
          <t>Bergvik skog väst AB</t>
        </is>
      </c>
      <c r="G1410" t="n">
        <v>27.3</v>
      </c>
      <c r="H1410" t="n">
        <v>0</v>
      </c>
      <c r="I1410" t="n">
        <v>0</v>
      </c>
      <c r="J1410" t="n">
        <v>0</v>
      </c>
      <c r="K1410" t="n">
        <v>0</v>
      </c>
      <c r="L1410" t="n">
        <v>0</v>
      </c>
      <c r="M1410" t="n">
        <v>0</v>
      </c>
      <c r="N1410" t="n">
        <v>0</v>
      </c>
      <c r="O1410" t="n">
        <v>0</v>
      </c>
      <c r="P1410" t="n">
        <v>0</v>
      </c>
      <c r="Q1410" t="n">
        <v>0</v>
      </c>
      <c r="R1410" s="2" t="inlineStr"/>
    </row>
    <row r="1411" ht="15" customHeight="1">
      <c r="A1411" t="inlineStr">
        <is>
          <t>A 5342-2021</t>
        </is>
      </c>
      <c r="B1411" s="1" t="n">
        <v>44229</v>
      </c>
      <c r="C1411" s="1" t="n">
        <v>45932</v>
      </c>
      <c r="D1411" t="inlineStr">
        <is>
          <t>VÄRMLANDS LÄN</t>
        </is>
      </c>
      <c r="E1411" t="inlineStr">
        <is>
          <t>FILIPSTAD</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41853-2022</t>
        </is>
      </c>
      <c r="B1412" s="1" t="n">
        <v>44829.53040509259</v>
      </c>
      <c r="C1412" s="1" t="n">
        <v>45932</v>
      </c>
      <c r="D1412" t="inlineStr">
        <is>
          <t>VÄRMLANDS LÄN</t>
        </is>
      </c>
      <c r="E1412" t="inlineStr">
        <is>
          <t>KRISTINEHAMN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37182-2021</t>
        </is>
      </c>
      <c r="B1413" s="1" t="n">
        <v>44396.60315972222</v>
      </c>
      <c r="C1413" s="1" t="n">
        <v>45932</v>
      </c>
      <c r="D1413" t="inlineStr">
        <is>
          <t>VÄRMLANDS LÄN</t>
        </is>
      </c>
      <c r="E1413" t="inlineStr">
        <is>
          <t>SUNNE</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814-2021</t>
        </is>
      </c>
      <c r="B1414" s="1" t="n">
        <v>44204</v>
      </c>
      <c r="C1414" s="1" t="n">
        <v>45932</v>
      </c>
      <c r="D1414" t="inlineStr">
        <is>
          <t>VÄRMLANDS LÄN</t>
        </is>
      </c>
      <c r="E1414" t="inlineStr">
        <is>
          <t>SÄFFLE</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49736-2021</t>
        </is>
      </c>
      <c r="B1415" s="1" t="n">
        <v>44453</v>
      </c>
      <c r="C1415" s="1" t="n">
        <v>45932</v>
      </c>
      <c r="D1415" t="inlineStr">
        <is>
          <t>VÄRMLANDS LÄN</t>
        </is>
      </c>
      <c r="E1415" t="inlineStr">
        <is>
          <t>FILIPSTAD</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32348-2021</t>
        </is>
      </c>
      <c r="B1416" s="1" t="n">
        <v>44371</v>
      </c>
      <c r="C1416" s="1" t="n">
        <v>45932</v>
      </c>
      <c r="D1416" t="inlineStr">
        <is>
          <t>VÄRMLANDS LÄN</t>
        </is>
      </c>
      <c r="E1416" t="inlineStr">
        <is>
          <t>SUNNE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32368-2021</t>
        </is>
      </c>
      <c r="B1417" s="1" t="n">
        <v>44371</v>
      </c>
      <c r="C1417" s="1" t="n">
        <v>45932</v>
      </c>
      <c r="D1417" t="inlineStr">
        <is>
          <t>VÄRMLANDS LÄN</t>
        </is>
      </c>
      <c r="E1417" t="inlineStr">
        <is>
          <t>KIL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46250-2021</t>
        </is>
      </c>
      <c r="B1418" s="1" t="n">
        <v>44442</v>
      </c>
      <c r="C1418" s="1" t="n">
        <v>45932</v>
      </c>
      <c r="D1418" t="inlineStr">
        <is>
          <t>VÄRMLANDS LÄN</t>
        </is>
      </c>
      <c r="E1418" t="inlineStr">
        <is>
          <t>EDA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37225-2021</t>
        </is>
      </c>
      <c r="B1419" s="1" t="n">
        <v>44396</v>
      </c>
      <c r="C1419" s="1" t="n">
        <v>45932</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35248-2021</t>
        </is>
      </c>
      <c r="B1420" s="1" t="n">
        <v>44384.58954861111</v>
      </c>
      <c r="C1420" s="1" t="n">
        <v>45932</v>
      </c>
      <c r="D1420" t="inlineStr">
        <is>
          <t>VÄRMLANDS LÄN</t>
        </is>
      </c>
      <c r="E1420" t="inlineStr">
        <is>
          <t>KARLSTAD</t>
        </is>
      </c>
      <c r="F1420" t="inlineStr">
        <is>
          <t>Bergvik skog väst AB</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35174-2022</t>
        </is>
      </c>
      <c r="B1421" s="1" t="n">
        <v>44797.60815972222</v>
      </c>
      <c r="C1421" s="1" t="n">
        <v>45932</v>
      </c>
      <c r="D1421" t="inlineStr">
        <is>
          <t>VÄRMLANDS LÄN</t>
        </is>
      </c>
      <c r="E1421" t="inlineStr">
        <is>
          <t>ARVIKA</t>
        </is>
      </c>
      <c r="F1421" t="inlineStr">
        <is>
          <t>Bergvik skog väst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2237-2021</t>
        </is>
      </c>
      <c r="B1422" s="1" t="n">
        <v>44211</v>
      </c>
      <c r="C1422" s="1" t="n">
        <v>45932</v>
      </c>
      <c r="D1422" t="inlineStr">
        <is>
          <t>VÄRMLANDS LÄN</t>
        </is>
      </c>
      <c r="E1422" t="inlineStr">
        <is>
          <t>ARVIKA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44018-2021</t>
        </is>
      </c>
      <c r="B1423" s="1" t="n">
        <v>44434</v>
      </c>
      <c r="C1423" s="1" t="n">
        <v>45932</v>
      </c>
      <c r="D1423" t="inlineStr">
        <is>
          <t>VÄRMLANDS LÄN</t>
        </is>
      </c>
      <c r="E1423" t="inlineStr">
        <is>
          <t>TORSBY</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32350-2021</t>
        </is>
      </c>
      <c r="B1424" s="1" t="n">
        <v>44371.57929398148</v>
      </c>
      <c r="C1424" s="1" t="n">
        <v>45932</v>
      </c>
      <c r="D1424" t="inlineStr">
        <is>
          <t>VÄRMLANDS LÄN</t>
        </is>
      </c>
      <c r="E1424" t="inlineStr">
        <is>
          <t>KARLSTAD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69237-2020</t>
        </is>
      </c>
      <c r="B1425" s="1" t="n">
        <v>44192.71170138889</v>
      </c>
      <c r="C1425" s="1" t="n">
        <v>45932</v>
      </c>
      <c r="D1425" t="inlineStr">
        <is>
          <t>VÄRMLANDS LÄN</t>
        </is>
      </c>
      <c r="E1425" t="inlineStr">
        <is>
          <t>KRISTINEHAMN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35973-2021</t>
        </is>
      </c>
      <c r="B1426" s="1" t="n">
        <v>44389</v>
      </c>
      <c r="C1426" s="1" t="n">
        <v>45932</v>
      </c>
      <c r="D1426" t="inlineStr">
        <is>
          <t>VÄRMLANDS LÄN</t>
        </is>
      </c>
      <c r="E1426" t="inlineStr">
        <is>
          <t>KRISTINEHAMN</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36099-2021</t>
        </is>
      </c>
      <c r="B1427" s="1" t="n">
        <v>44389</v>
      </c>
      <c r="C1427" s="1" t="n">
        <v>45932</v>
      </c>
      <c r="D1427" t="inlineStr">
        <is>
          <t>VÄRMLANDS LÄN</t>
        </is>
      </c>
      <c r="E1427" t="inlineStr">
        <is>
          <t>SUNNE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36116-2021</t>
        </is>
      </c>
      <c r="B1428" s="1" t="n">
        <v>44389.54732638889</v>
      </c>
      <c r="C1428" s="1" t="n">
        <v>45932</v>
      </c>
      <c r="D1428" t="inlineStr">
        <is>
          <t>VÄRMLANDS LÄN</t>
        </is>
      </c>
      <c r="E1428" t="inlineStr">
        <is>
          <t>SÄFFLE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34626-2021</t>
        </is>
      </c>
      <c r="B1429" s="1" t="n">
        <v>44382</v>
      </c>
      <c r="C1429" s="1" t="n">
        <v>45932</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47952-2021</t>
        </is>
      </c>
      <c r="B1430" s="1" t="n">
        <v>44448</v>
      </c>
      <c r="C1430" s="1" t="n">
        <v>45932</v>
      </c>
      <c r="D1430" t="inlineStr">
        <is>
          <t>VÄRMLANDS LÄN</t>
        </is>
      </c>
      <c r="E1430" t="inlineStr">
        <is>
          <t>KRISTINEHAMN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47961-2021</t>
        </is>
      </c>
      <c r="B1431" s="1" t="n">
        <v>44449</v>
      </c>
      <c r="C1431" s="1" t="n">
        <v>45932</v>
      </c>
      <c r="D1431" t="inlineStr">
        <is>
          <t>VÄRMLANDS LÄN</t>
        </is>
      </c>
      <c r="E1431" t="inlineStr">
        <is>
          <t>SUNNE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56311-2021</t>
        </is>
      </c>
      <c r="B1432" s="1" t="n">
        <v>44480.34019675926</v>
      </c>
      <c r="C1432" s="1" t="n">
        <v>45932</v>
      </c>
      <c r="D1432" t="inlineStr">
        <is>
          <t>VÄRMLANDS LÄN</t>
        </is>
      </c>
      <c r="E1432" t="inlineStr">
        <is>
          <t>ÅRJÄNG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50858-2021</t>
        </is>
      </c>
      <c r="B1433" s="1" t="n">
        <v>44459</v>
      </c>
      <c r="C1433" s="1" t="n">
        <v>45932</v>
      </c>
      <c r="D1433" t="inlineStr">
        <is>
          <t>VÄRMLANDS LÄN</t>
        </is>
      </c>
      <c r="E1433" t="inlineStr">
        <is>
          <t>ÅRJÄNG</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52494-2022</t>
        </is>
      </c>
      <c r="B1434" s="1" t="n">
        <v>44874</v>
      </c>
      <c r="C1434" s="1" t="n">
        <v>45932</v>
      </c>
      <c r="D1434" t="inlineStr">
        <is>
          <t>VÄRMLANDS LÄN</t>
        </is>
      </c>
      <c r="E1434" t="inlineStr">
        <is>
          <t>SUNNE</t>
        </is>
      </c>
      <c r="F1434" t="inlineStr">
        <is>
          <t>Bergvik skog väst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37853-2021</t>
        </is>
      </c>
      <c r="B1435" s="1" t="n">
        <v>44403</v>
      </c>
      <c r="C1435" s="1" t="n">
        <v>45932</v>
      </c>
      <c r="D1435" t="inlineStr">
        <is>
          <t>VÄRMLANDS LÄN</t>
        </is>
      </c>
      <c r="E1435" t="inlineStr">
        <is>
          <t>SÄFFLE</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74513-2021</t>
        </is>
      </c>
      <c r="B1436" s="1" t="n">
        <v>44561.47615740741</v>
      </c>
      <c r="C1436" s="1" t="n">
        <v>45932</v>
      </c>
      <c r="D1436" t="inlineStr">
        <is>
          <t>VÄRMLANDS LÄN</t>
        </is>
      </c>
      <c r="E1436" t="inlineStr">
        <is>
          <t>SUNNE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47313-2021</t>
        </is>
      </c>
      <c r="B1437" s="1" t="n">
        <v>44447.46856481482</v>
      </c>
      <c r="C1437" s="1" t="n">
        <v>45932</v>
      </c>
      <c r="D1437" t="inlineStr">
        <is>
          <t>VÄRMLANDS LÄN</t>
        </is>
      </c>
      <c r="E1437" t="inlineStr">
        <is>
          <t>SUNNE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516-2022</t>
        </is>
      </c>
      <c r="B1438" s="1" t="n">
        <v>44566</v>
      </c>
      <c r="C1438" s="1" t="n">
        <v>45932</v>
      </c>
      <c r="D1438" t="inlineStr">
        <is>
          <t>VÄRMLANDS LÄN</t>
        </is>
      </c>
      <c r="E1438" t="inlineStr">
        <is>
          <t>ÅRJÄNG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52384-2021</t>
        </is>
      </c>
      <c r="B1439" s="1" t="n">
        <v>44465.83997685185</v>
      </c>
      <c r="C1439" s="1" t="n">
        <v>45932</v>
      </c>
      <c r="D1439" t="inlineStr">
        <is>
          <t>VÄRMLANDS LÄN</t>
        </is>
      </c>
      <c r="E1439" t="inlineStr">
        <is>
          <t>FILIPSTAD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34885-2021</t>
        </is>
      </c>
      <c r="B1440" s="1" t="n">
        <v>44383</v>
      </c>
      <c r="C1440" s="1" t="n">
        <v>45932</v>
      </c>
      <c r="D1440" t="inlineStr">
        <is>
          <t>VÄRMLANDS LÄN</t>
        </is>
      </c>
      <c r="E1440" t="inlineStr">
        <is>
          <t>TORSBY</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65959-2021</t>
        </is>
      </c>
      <c r="B1441" s="1" t="n">
        <v>44517</v>
      </c>
      <c r="C1441" s="1" t="n">
        <v>45932</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33671-2021</t>
        </is>
      </c>
      <c r="B1442" s="1" t="n">
        <v>44378</v>
      </c>
      <c r="C1442" s="1" t="n">
        <v>45932</v>
      </c>
      <c r="D1442" t="inlineStr">
        <is>
          <t>VÄRMLANDS LÄN</t>
        </is>
      </c>
      <c r="E1442" t="inlineStr">
        <is>
          <t>SÄFFLE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37783-2021</t>
        </is>
      </c>
      <c r="B1443" s="1" t="n">
        <v>44401.44586805555</v>
      </c>
      <c r="C1443" s="1" t="n">
        <v>45932</v>
      </c>
      <c r="D1443" t="inlineStr">
        <is>
          <t>VÄRMLANDS LÄN</t>
        </is>
      </c>
      <c r="E1443" t="inlineStr">
        <is>
          <t>FILIPSTAD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37784-2021</t>
        </is>
      </c>
      <c r="B1444" s="1" t="n">
        <v>44401</v>
      </c>
      <c r="C1444" s="1" t="n">
        <v>45932</v>
      </c>
      <c r="D1444" t="inlineStr">
        <is>
          <t>VÄRMLANDS LÄN</t>
        </is>
      </c>
      <c r="E1444" t="inlineStr">
        <is>
          <t>FILIPSTAD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37697-2021</t>
        </is>
      </c>
      <c r="B1445" s="1" t="n">
        <v>44400.50800925926</v>
      </c>
      <c r="C1445" s="1" t="n">
        <v>45932</v>
      </c>
      <c r="D1445" t="inlineStr">
        <is>
          <t>VÄRMLANDS LÄN</t>
        </is>
      </c>
      <c r="E1445" t="inlineStr">
        <is>
          <t>ÅRJÄNG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72407-2021</t>
        </is>
      </c>
      <c r="B1446" s="1" t="n">
        <v>44545.61767361111</v>
      </c>
      <c r="C1446" s="1" t="n">
        <v>45932</v>
      </c>
      <c r="D1446" t="inlineStr">
        <is>
          <t>VÄRMLANDS LÄN</t>
        </is>
      </c>
      <c r="E1446" t="inlineStr">
        <is>
          <t>SUNNE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44824-2021</t>
        </is>
      </c>
      <c r="B1447" s="1" t="n">
        <v>44438</v>
      </c>
      <c r="C1447" s="1" t="n">
        <v>45932</v>
      </c>
      <c r="D1447" t="inlineStr">
        <is>
          <t>VÄRMLANDS LÄN</t>
        </is>
      </c>
      <c r="E1447" t="inlineStr">
        <is>
          <t>ARVIKA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42963-2021</t>
        </is>
      </c>
      <c r="B1448" s="1" t="n">
        <v>44431</v>
      </c>
      <c r="C1448" s="1" t="n">
        <v>45932</v>
      </c>
      <c r="D1448" t="inlineStr">
        <is>
          <t>VÄRMLANDS LÄN</t>
        </is>
      </c>
      <c r="E1448" t="inlineStr">
        <is>
          <t>ÅRJÄNG</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47332-2021</t>
        </is>
      </c>
      <c r="B1449" s="1" t="n">
        <v>44447.50265046296</v>
      </c>
      <c r="C1449" s="1" t="n">
        <v>45932</v>
      </c>
      <c r="D1449" t="inlineStr">
        <is>
          <t>VÄRMLANDS LÄN</t>
        </is>
      </c>
      <c r="E1449" t="inlineStr">
        <is>
          <t>ARVIKA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34075-2022</t>
        </is>
      </c>
      <c r="B1450" s="1" t="n">
        <v>44791.42592592593</v>
      </c>
      <c r="C1450" s="1" t="n">
        <v>45932</v>
      </c>
      <c r="D1450" t="inlineStr">
        <is>
          <t>VÄRMLANDS LÄN</t>
        </is>
      </c>
      <c r="E1450" t="inlineStr">
        <is>
          <t>HAGFORS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42901-2021</t>
        </is>
      </c>
      <c r="B1451" s="1" t="n">
        <v>44431</v>
      </c>
      <c r="C1451" s="1" t="n">
        <v>45932</v>
      </c>
      <c r="D1451" t="inlineStr">
        <is>
          <t>VÄRMLANDS LÄN</t>
        </is>
      </c>
      <c r="E1451" t="inlineStr">
        <is>
          <t>KARLSTAD</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46840-2021</t>
        </is>
      </c>
      <c r="B1452" s="1" t="n">
        <v>44446</v>
      </c>
      <c r="C1452" s="1" t="n">
        <v>45932</v>
      </c>
      <c r="D1452" t="inlineStr">
        <is>
          <t>VÄRMLANDS LÄN</t>
        </is>
      </c>
      <c r="E1452" t="inlineStr">
        <is>
          <t>ARVIKA</t>
        </is>
      </c>
      <c r="F1452" t="inlineStr">
        <is>
          <t>Bergvik skog väst AB</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43558-2022</t>
        </is>
      </c>
      <c r="B1453" s="1" t="n">
        <v>44834</v>
      </c>
      <c r="C1453" s="1" t="n">
        <v>45932</v>
      </c>
      <c r="D1453" t="inlineStr">
        <is>
          <t>VÄRMLANDS LÄN</t>
        </is>
      </c>
      <c r="E1453" t="inlineStr">
        <is>
          <t>KRISTINEHAMN</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2970-2022</t>
        </is>
      </c>
      <c r="B1454" s="1" t="n">
        <v>44581.71481481481</v>
      </c>
      <c r="C1454" s="1" t="n">
        <v>45932</v>
      </c>
      <c r="D1454" t="inlineStr">
        <is>
          <t>VÄRMLANDS LÄN</t>
        </is>
      </c>
      <c r="E1454" t="inlineStr">
        <is>
          <t>ÅRJÄNG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2985-2022</t>
        </is>
      </c>
      <c r="B1455" s="1" t="n">
        <v>44581</v>
      </c>
      <c r="C1455" s="1" t="n">
        <v>45932</v>
      </c>
      <c r="D1455" t="inlineStr">
        <is>
          <t>VÄRMLANDS LÄN</t>
        </is>
      </c>
      <c r="E1455" t="inlineStr">
        <is>
          <t>SUNNE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51381-2020</t>
        </is>
      </c>
      <c r="B1456" s="1" t="n">
        <v>44113</v>
      </c>
      <c r="C1456" s="1" t="n">
        <v>45932</v>
      </c>
      <c r="D1456" t="inlineStr">
        <is>
          <t>VÄRMLANDS LÄN</t>
        </is>
      </c>
      <c r="E1456" t="inlineStr">
        <is>
          <t>TORSBY</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62289-2021</t>
        </is>
      </c>
      <c r="B1457" s="1" t="n">
        <v>44503.37527777778</v>
      </c>
      <c r="C1457" s="1" t="n">
        <v>45932</v>
      </c>
      <c r="D1457" t="inlineStr">
        <is>
          <t>VÄRMLANDS LÄN</t>
        </is>
      </c>
      <c r="E1457" t="inlineStr">
        <is>
          <t>ÅRJÄNG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41982-2022</t>
        </is>
      </c>
      <c r="B1458" s="1" t="n">
        <v>44830.43512731481</v>
      </c>
      <c r="C1458" s="1" t="n">
        <v>45932</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12822-2021</t>
        </is>
      </c>
      <c r="B1459" s="1" t="n">
        <v>44270</v>
      </c>
      <c r="C1459" s="1" t="n">
        <v>45932</v>
      </c>
      <c r="D1459" t="inlineStr">
        <is>
          <t>VÄRMLANDS LÄN</t>
        </is>
      </c>
      <c r="E1459" t="inlineStr">
        <is>
          <t>SÄFFLE</t>
        </is>
      </c>
      <c r="G1459" t="n">
        <v>26.3</v>
      </c>
      <c r="H1459" t="n">
        <v>0</v>
      </c>
      <c r="I1459" t="n">
        <v>0</v>
      </c>
      <c r="J1459" t="n">
        <v>0</v>
      </c>
      <c r="K1459" t="n">
        <v>0</v>
      </c>
      <c r="L1459" t="n">
        <v>0</v>
      </c>
      <c r="M1459" t="n">
        <v>0</v>
      </c>
      <c r="N1459" t="n">
        <v>0</v>
      </c>
      <c r="O1459" t="n">
        <v>0</v>
      </c>
      <c r="P1459" t="n">
        <v>0</v>
      </c>
      <c r="Q1459" t="n">
        <v>0</v>
      </c>
      <c r="R1459" s="2" t="inlineStr"/>
    </row>
    <row r="1460" ht="15" customHeight="1">
      <c r="A1460" t="inlineStr">
        <is>
          <t>A 40829-2021</t>
        </is>
      </c>
      <c r="B1460" s="1" t="n">
        <v>44421</v>
      </c>
      <c r="C1460" s="1" t="n">
        <v>45932</v>
      </c>
      <c r="D1460" t="inlineStr">
        <is>
          <t>VÄRMLANDS LÄN</t>
        </is>
      </c>
      <c r="E1460" t="inlineStr">
        <is>
          <t>ÅRJÄNG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40832-2021</t>
        </is>
      </c>
      <c r="B1461" s="1" t="n">
        <v>44421</v>
      </c>
      <c r="C1461" s="1" t="n">
        <v>45932</v>
      </c>
      <c r="D1461" t="inlineStr">
        <is>
          <t>VÄRMLANDS LÄN</t>
        </is>
      </c>
      <c r="E1461" t="inlineStr">
        <is>
          <t>ÅRJÄNG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69265-2021</t>
        </is>
      </c>
      <c r="B1462" s="1" t="n">
        <v>44526</v>
      </c>
      <c r="C1462" s="1" t="n">
        <v>45932</v>
      </c>
      <c r="D1462" t="inlineStr">
        <is>
          <t>VÄRMLANDS LÄN</t>
        </is>
      </c>
      <c r="E1462" t="inlineStr">
        <is>
          <t>TORSBY</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48314-2022</t>
        </is>
      </c>
      <c r="B1463" s="1" t="n">
        <v>44858.54106481482</v>
      </c>
      <c r="C1463" s="1" t="n">
        <v>45932</v>
      </c>
      <c r="D1463" t="inlineStr">
        <is>
          <t>VÄRMLANDS LÄN</t>
        </is>
      </c>
      <c r="E1463" t="inlineStr">
        <is>
          <t>EDA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41138-2021</t>
        </is>
      </c>
      <c r="B1464" s="1" t="n">
        <v>44423</v>
      </c>
      <c r="C1464" s="1" t="n">
        <v>45932</v>
      </c>
      <c r="D1464" t="inlineStr">
        <is>
          <t>VÄRMLANDS LÄN</t>
        </is>
      </c>
      <c r="E1464" t="inlineStr">
        <is>
          <t>SÄFFLE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32943-2021</t>
        </is>
      </c>
      <c r="B1465" s="1" t="n">
        <v>44376</v>
      </c>
      <c r="C1465" s="1" t="n">
        <v>45932</v>
      </c>
      <c r="D1465" t="inlineStr">
        <is>
          <t>VÄRMLANDS LÄN</t>
        </is>
      </c>
      <c r="E1465" t="inlineStr">
        <is>
          <t>KARLSTAD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19877-2021</t>
        </is>
      </c>
      <c r="B1466" s="1" t="n">
        <v>44313</v>
      </c>
      <c r="C1466" s="1" t="n">
        <v>45932</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8143-2021</t>
        </is>
      </c>
      <c r="B1467" s="1" t="n">
        <v>44244.33962962963</v>
      </c>
      <c r="C1467" s="1" t="n">
        <v>45932</v>
      </c>
      <c r="D1467" t="inlineStr">
        <is>
          <t>VÄRMLANDS LÄN</t>
        </is>
      </c>
      <c r="E1467" t="inlineStr">
        <is>
          <t>EDA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8151-2021</t>
        </is>
      </c>
      <c r="B1468" s="1" t="n">
        <v>44244</v>
      </c>
      <c r="C1468" s="1" t="n">
        <v>45932</v>
      </c>
      <c r="D1468" t="inlineStr">
        <is>
          <t>VÄRMLANDS LÄN</t>
        </is>
      </c>
      <c r="E1468" t="inlineStr">
        <is>
          <t>EDA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62576-2021</t>
        </is>
      </c>
      <c r="B1469" s="1" t="n">
        <v>44502</v>
      </c>
      <c r="C1469" s="1" t="n">
        <v>45932</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36088-2021</t>
        </is>
      </c>
      <c r="B1470" s="1" t="n">
        <v>44389.50047453704</v>
      </c>
      <c r="C1470" s="1" t="n">
        <v>45932</v>
      </c>
      <c r="D1470" t="inlineStr">
        <is>
          <t>VÄRMLANDS LÄN</t>
        </is>
      </c>
      <c r="E1470" t="inlineStr">
        <is>
          <t>SÄFFLE</t>
        </is>
      </c>
      <c r="G1470" t="n">
        <v>15.6</v>
      </c>
      <c r="H1470" t="n">
        <v>0</v>
      </c>
      <c r="I1470" t="n">
        <v>0</v>
      </c>
      <c r="J1470" t="n">
        <v>0</v>
      </c>
      <c r="K1470" t="n">
        <v>0</v>
      </c>
      <c r="L1470" t="n">
        <v>0</v>
      </c>
      <c r="M1470" t="n">
        <v>0</v>
      </c>
      <c r="N1470" t="n">
        <v>0</v>
      </c>
      <c r="O1470" t="n">
        <v>0</v>
      </c>
      <c r="P1470" t="n">
        <v>0</v>
      </c>
      <c r="Q1470" t="n">
        <v>0</v>
      </c>
      <c r="R1470" s="2" t="inlineStr"/>
    </row>
    <row r="1471" ht="15" customHeight="1">
      <c r="A1471" t="inlineStr">
        <is>
          <t>A 36093-2021</t>
        </is>
      </c>
      <c r="B1471" s="1" t="n">
        <v>44389</v>
      </c>
      <c r="C1471" s="1" t="n">
        <v>45932</v>
      </c>
      <c r="D1471" t="inlineStr">
        <is>
          <t>VÄRMLANDS LÄN</t>
        </is>
      </c>
      <c r="E1471" t="inlineStr">
        <is>
          <t>SUNNE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55256-2020</t>
        </is>
      </c>
      <c r="B1472" s="1" t="n">
        <v>44130</v>
      </c>
      <c r="C1472" s="1" t="n">
        <v>45932</v>
      </c>
      <c r="D1472" t="inlineStr">
        <is>
          <t>VÄRMLANDS LÄN</t>
        </is>
      </c>
      <c r="E1472" t="inlineStr">
        <is>
          <t>SÄFFLE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43667-2021</t>
        </is>
      </c>
      <c r="B1473" s="1" t="n">
        <v>44433</v>
      </c>
      <c r="C1473" s="1" t="n">
        <v>45932</v>
      </c>
      <c r="D1473" t="inlineStr">
        <is>
          <t>VÄRMLANDS LÄN</t>
        </is>
      </c>
      <c r="E1473" t="inlineStr">
        <is>
          <t>KIL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48413-2021</t>
        </is>
      </c>
      <c r="B1474" s="1" t="n">
        <v>44452</v>
      </c>
      <c r="C1474" s="1" t="n">
        <v>45932</v>
      </c>
      <c r="D1474" t="inlineStr">
        <is>
          <t>VÄRMLANDS LÄN</t>
        </is>
      </c>
      <c r="E1474" t="inlineStr">
        <is>
          <t>EDA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59370-2021</t>
        </is>
      </c>
      <c r="B1475" s="1" t="n">
        <v>44491.35688657407</v>
      </c>
      <c r="C1475" s="1" t="n">
        <v>45932</v>
      </c>
      <c r="D1475" t="inlineStr">
        <is>
          <t>VÄRMLANDS LÄN</t>
        </is>
      </c>
      <c r="E1475" t="inlineStr">
        <is>
          <t>EDA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53052-2021</t>
        </is>
      </c>
      <c r="B1476" s="1" t="n">
        <v>44467</v>
      </c>
      <c r="C1476" s="1" t="n">
        <v>45932</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38246-2021</t>
        </is>
      </c>
      <c r="B1477" s="1" t="n">
        <v>44405</v>
      </c>
      <c r="C1477" s="1" t="n">
        <v>45932</v>
      </c>
      <c r="D1477" t="inlineStr">
        <is>
          <t>VÄRMLANDS LÄN</t>
        </is>
      </c>
      <c r="E1477" t="inlineStr">
        <is>
          <t>HAGFORS</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32821-2021</t>
        </is>
      </c>
      <c r="B1478" s="1" t="n">
        <v>44375</v>
      </c>
      <c r="C1478" s="1" t="n">
        <v>45932</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16079-2021</t>
        </is>
      </c>
      <c r="B1479" s="1" t="n">
        <v>44288</v>
      </c>
      <c r="C1479" s="1" t="n">
        <v>45932</v>
      </c>
      <c r="D1479" t="inlineStr">
        <is>
          <t>VÄRMLANDS LÄN</t>
        </is>
      </c>
      <c r="E1479" t="inlineStr">
        <is>
          <t>EDA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10668-2022</t>
        </is>
      </c>
      <c r="B1480" s="1" t="n">
        <v>44624.63793981481</v>
      </c>
      <c r="C1480" s="1" t="n">
        <v>45932</v>
      </c>
      <c r="D1480" t="inlineStr">
        <is>
          <t>VÄRMLANDS LÄN</t>
        </is>
      </c>
      <c r="E1480" t="inlineStr">
        <is>
          <t>SÄFFLE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6838-2022</t>
        </is>
      </c>
      <c r="B1481" s="1" t="n">
        <v>44602.61702546296</v>
      </c>
      <c r="C1481" s="1" t="n">
        <v>45932</v>
      </c>
      <c r="D1481" t="inlineStr">
        <is>
          <t>VÄRMLANDS LÄN</t>
        </is>
      </c>
      <c r="E1481" t="inlineStr">
        <is>
          <t>SÄFFLE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59466-2021</t>
        </is>
      </c>
      <c r="B1482" s="1" t="n">
        <v>44491</v>
      </c>
      <c r="C1482" s="1" t="n">
        <v>45932</v>
      </c>
      <c r="D1482" t="inlineStr">
        <is>
          <t>VÄRMLANDS LÄN</t>
        </is>
      </c>
      <c r="E1482" t="inlineStr">
        <is>
          <t>ÅRJÄNG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59510-2021</t>
        </is>
      </c>
      <c r="B1483" s="1" t="n">
        <v>44491.55930555556</v>
      </c>
      <c r="C1483" s="1" t="n">
        <v>45932</v>
      </c>
      <c r="D1483" t="inlineStr">
        <is>
          <t>VÄRMLANDS LÄN</t>
        </is>
      </c>
      <c r="E1483" t="inlineStr">
        <is>
          <t>SÄFFLE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50549-2021</t>
        </is>
      </c>
      <c r="B1484" s="1" t="n">
        <v>44459</v>
      </c>
      <c r="C1484" s="1" t="n">
        <v>45932</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63205-2021</t>
        </is>
      </c>
      <c r="B1485" s="1" t="n">
        <v>44507.79876157407</v>
      </c>
      <c r="C1485" s="1" t="n">
        <v>45932</v>
      </c>
      <c r="D1485" t="inlineStr">
        <is>
          <t>VÄRMLANDS LÄN</t>
        </is>
      </c>
      <c r="E1485" t="inlineStr">
        <is>
          <t>ÅRJÄNG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15096-2022</t>
        </is>
      </c>
      <c r="B1486" s="1" t="n">
        <v>44657</v>
      </c>
      <c r="C1486" s="1" t="n">
        <v>45932</v>
      </c>
      <c r="D1486" t="inlineStr">
        <is>
          <t>VÄRMLANDS LÄN</t>
        </is>
      </c>
      <c r="E1486" t="inlineStr">
        <is>
          <t>KRISTINEHAMN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12533-2021</t>
        </is>
      </c>
      <c r="B1487" s="1" t="n">
        <v>44269</v>
      </c>
      <c r="C1487" s="1" t="n">
        <v>45932</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53392-2022</t>
        </is>
      </c>
      <c r="B1488" s="1" t="n">
        <v>44874</v>
      </c>
      <c r="C1488" s="1" t="n">
        <v>45932</v>
      </c>
      <c r="D1488" t="inlineStr">
        <is>
          <t>VÄRMLANDS LÄN</t>
        </is>
      </c>
      <c r="E1488" t="inlineStr">
        <is>
          <t>ARVIKA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48597-2021</t>
        </is>
      </c>
      <c r="B1489" s="1" t="n">
        <v>44452.48234953704</v>
      </c>
      <c r="C1489" s="1" t="n">
        <v>45932</v>
      </c>
      <c r="D1489" t="inlineStr">
        <is>
          <t>VÄRMLANDS LÄN</t>
        </is>
      </c>
      <c r="E1489" t="inlineStr">
        <is>
          <t>KARLSTAD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4345-2021</t>
        </is>
      </c>
      <c r="B1490" s="1" t="n">
        <v>44223</v>
      </c>
      <c r="C1490" s="1" t="n">
        <v>45932</v>
      </c>
      <c r="D1490" t="inlineStr">
        <is>
          <t>VÄRMLANDS LÄN</t>
        </is>
      </c>
      <c r="E1490" t="inlineStr">
        <is>
          <t>EDA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52875-2021</t>
        </is>
      </c>
      <c r="B1491" s="1" t="n">
        <v>44467.47119212963</v>
      </c>
      <c r="C1491" s="1" t="n">
        <v>45932</v>
      </c>
      <c r="D1491" t="inlineStr">
        <is>
          <t>VÄRMLANDS LÄN</t>
        </is>
      </c>
      <c r="E1491" t="inlineStr">
        <is>
          <t>GRUMS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46808-2021</t>
        </is>
      </c>
      <c r="B1492" s="1" t="n">
        <v>44446.31717592593</v>
      </c>
      <c r="C1492" s="1" t="n">
        <v>45932</v>
      </c>
      <c r="D1492" t="inlineStr">
        <is>
          <t>VÄRMLANDS LÄN</t>
        </is>
      </c>
      <c r="E1492" t="inlineStr">
        <is>
          <t>KARLSTAD</t>
        </is>
      </c>
      <c r="G1492" t="n">
        <v>15.3</v>
      </c>
      <c r="H1492" t="n">
        <v>0</v>
      </c>
      <c r="I1492" t="n">
        <v>0</v>
      </c>
      <c r="J1492" t="n">
        <v>0</v>
      </c>
      <c r="K1492" t="n">
        <v>0</v>
      </c>
      <c r="L1492" t="n">
        <v>0</v>
      </c>
      <c r="M1492" t="n">
        <v>0</v>
      </c>
      <c r="N1492" t="n">
        <v>0</v>
      </c>
      <c r="O1492" t="n">
        <v>0</v>
      </c>
      <c r="P1492" t="n">
        <v>0</v>
      </c>
      <c r="Q1492" t="n">
        <v>0</v>
      </c>
      <c r="R1492" s="2" t="inlineStr"/>
    </row>
    <row r="1493" ht="15" customHeight="1">
      <c r="A1493" t="inlineStr">
        <is>
          <t>A 53174-2021</t>
        </is>
      </c>
      <c r="B1493" s="1" t="n">
        <v>44468</v>
      </c>
      <c r="C1493" s="1" t="n">
        <v>45932</v>
      </c>
      <c r="D1493" t="inlineStr">
        <is>
          <t>VÄRMLANDS LÄN</t>
        </is>
      </c>
      <c r="E1493" t="inlineStr">
        <is>
          <t>SÄFFLE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5461-2022</t>
        </is>
      </c>
      <c r="B1494" s="1" t="n">
        <v>44594</v>
      </c>
      <c r="C1494" s="1" t="n">
        <v>45932</v>
      </c>
      <c r="D1494" t="inlineStr">
        <is>
          <t>VÄRMLANDS LÄN</t>
        </is>
      </c>
      <c r="E1494" t="inlineStr">
        <is>
          <t>KARLSTAD</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46814-2021</t>
        </is>
      </c>
      <c r="B1495" s="1" t="n">
        <v>44446.32383101852</v>
      </c>
      <c r="C1495" s="1" t="n">
        <v>45932</v>
      </c>
      <c r="D1495" t="inlineStr">
        <is>
          <t>VÄRMLANDS LÄN</t>
        </is>
      </c>
      <c r="E1495" t="inlineStr">
        <is>
          <t>KARLSTAD</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4967-2022</t>
        </is>
      </c>
      <c r="B1496" s="1" t="n">
        <v>44593</v>
      </c>
      <c r="C1496" s="1" t="n">
        <v>45932</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58288-2021</t>
        </is>
      </c>
      <c r="B1497" s="1" t="n">
        <v>44488</v>
      </c>
      <c r="C1497" s="1" t="n">
        <v>45932</v>
      </c>
      <c r="D1497" t="inlineStr">
        <is>
          <t>VÄRMLANDS LÄN</t>
        </is>
      </c>
      <c r="E1497" t="inlineStr">
        <is>
          <t>ARVIKA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20199-2021</t>
        </is>
      </c>
      <c r="B1498" s="1" t="n">
        <v>44312</v>
      </c>
      <c r="C1498" s="1" t="n">
        <v>45932</v>
      </c>
      <c r="D1498" t="inlineStr">
        <is>
          <t>VÄRMLANDS LÄN</t>
        </is>
      </c>
      <c r="E1498" t="inlineStr">
        <is>
          <t>TORSBY</t>
        </is>
      </c>
      <c r="G1498" t="n">
        <v>11.4</v>
      </c>
      <c r="H1498" t="n">
        <v>0</v>
      </c>
      <c r="I1498" t="n">
        <v>0</v>
      </c>
      <c r="J1498" t="n">
        <v>0</v>
      </c>
      <c r="K1498" t="n">
        <v>0</v>
      </c>
      <c r="L1498" t="n">
        <v>0</v>
      </c>
      <c r="M1498" t="n">
        <v>0</v>
      </c>
      <c r="N1498" t="n">
        <v>0</v>
      </c>
      <c r="O1498" t="n">
        <v>0</v>
      </c>
      <c r="P1498" t="n">
        <v>0</v>
      </c>
      <c r="Q1498" t="n">
        <v>0</v>
      </c>
      <c r="R1498" s="2" t="inlineStr"/>
    </row>
    <row r="1499" ht="15" customHeight="1">
      <c r="A1499" t="inlineStr">
        <is>
          <t>A 34913-2021</t>
        </is>
      </c>
      <c r="B1499" s="1" t="n">
        <v>44383</v>
      </c>
      <c r="C1499" s="1" t="n">
        <v>45932</v>
      </c>
      <c r="D1499" t="inlineStr">
        <is>
          <t>VÄRMLANDS LÄN</t>
        </is>
      </c>
      <c r="E1499" t="inlineStr">
        <is>
          <t>STORFORS</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11577-2021</t>
        </is>
      </c>
      <c r="B1500" s="1" t="n">
        <v>44264</v>
      </c>
      <c r="C1500" s="1" t="n">
        <v>45932</v>
      </c>
      <c r="D1500" t="inlineStr">
        <is>
          <t>VÄRMLANDS LÄN</t>
        </is>
      </c>
      <c r="E1500" t="inlineStr">
        <is>
          <t>KARLSTAD</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61036-2021</t>
        </is>
      </c>
      <c r="B1501" s="1" t="n">
        <v>44497</v>
      </c>
      <c r="C1501" s="1" t="n">
        <v>45932</v>
      </c>
      <c r="D1501" t="inlineStr">
        <is>
          <t>VÄRMLANDS LÄN</t>
        </is>
      </c>
      <c r="E1501" t="inlineStr">
        <is>
          <t>KRISTINEHAMN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53722-2021</t>
        </is>
      </c>
      <c r="B1502" s="1" t="n">
        <v>44469</v>
      </c>
      <c r="C1502" s="1" t="n">
        <v>45932</v>
      </c>
      <c r="D1502" t="inlineStr">
        <is>
          <t>VÄRMLANDS LÄN</t>
        </is>
      </c>
      <c r="E1502" t="inlineStr">
        <is>
          <t>ÅRJÄNG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14913-2021</t>
        </is>
      </c>
      <c r="B1503" s="1" t="n">
        <v>44281</v>
      </c>
      <c r="C1503" s="1" t="n">
        <v>45932</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53747-2021</t>
        </is>
      </c>
      <c r="B1504" s="1" t="n">
        <v>44469</v>
      </c>
      <c r="C1504" s="1" t="n">
        <v>45932</v>
      </c>
      <c r="D1504" t="inlineStr">
        <is>
          <t>VÄRMLANDS LÄN</t>
        </is>
      </c>
      <c r="E1504" t="inlineStr">
        <is>
          <t>ÅRJÄNG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15314-2022</t>
        </is>
      </c>
      <c r="B1505" s="1" t="n">
        <v>44659.47733796296</v>
      </c>
      <c r="C1505" s="1" t="n">
        <v>45932</v>
      </c>
      <c r="D1505" t="inlineStr">
        <is>
          <t>VÄRMLANDS LÄN</t>
        </is>
      </c>
      <c r="E1505" t="inlineStr">
        <is>
          <t>ARVIKA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14942-2021</t>
        </is>
      </c>
      <c r="B1506" s="1" t="n">
        <v>44281</v>
      </c>
      <c r="C1506" s="1" t="n">
        <v>45932</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23236-2021</t>
        </is>
      </c>
      <c r="B1507" s="1" t="n">
        <v>44333</v>
      </c>
      <c r="C1507" s="1" t="n">
        <v>45932</v>
      </c>
      <c r="D1507" t="inlineStr">
        <is>
          <t>VÄRMLANDS LÄN</t>
        </is>
      </c>
      <c r="E1507" t="inlineStr">
        <is>
          <t>FILIPSTAD</t>
        </is>
      </c>
      <c r="F1507" t="inlineStr">
        <is>
          <t>Kyrkan</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23293-2021</t>
        </is>
      </c>
      <c r="B1508" s="1" t="n">
        <v>44333</v>
      </c>
      <c r="C1508" s="1" t="n">
        <v>45932</v>
      </c>
      <c r="D1508" t="inlineStr">
        <is>
          <t>VÄRMLANDS LÄN</t>
        </is>
      </c>
      <c r="E1508" t="inlineStr">
        <is>
          <t>ARVIKA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18697-2022</t>
        </is>
      </c>
      <c r="B1509" s="1" t="n">
        <v>44687</v>
      </c>
      <c r="C1509" s="1" t="n">
        <v>45932</v>
      </c>
      <c r="D1509" t="inlineStr">
        <is>
          <t>VÄRMLANDS LÄN</t>
        </is>
      </c>
      <c r="E1509" t="inlineStr">
        <is>
          <t>KARLSTAD</t>
        </is>
      </c>
      <c r="F1509" t="inlineStr">
        <is>
          <t>Bergvik skog väst AB</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16334-2022</t>
        </is>
      </c>
      <c r="B1510" s="1" t="n">
        <v>44670</v>
      </c>
      <c r="C1510" s="1" t="n">
        <v>45932</v>
      </c>
      <c r="D1510" t="inlineStr">
        <is>
          <t>VÄRMLANDS LÄN</t>
        </is>
      </c>
      <c r="E1510" t="inlineStr">
        <is>
          <t>EDA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62984-2021</t>
        </is>
      </c>
      <c r="B1511" s="1" t="n">
        <v>44505.36910879629</v>
      </c>
      <c r="C1511" s="1" t="n">
        <v>45932</v>
      </c>
      <c r="D1511" t="inlineStr">
        <is>
          <t>VÄRMLANDS LÄN</t>
        </is>
      </c>
      <c r="E1511" t="inlineStr">
        <is>
          <t>ÅRJÄNG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66439-2021</t>
        </is>
      </c>
      <c r="B1512" s="1" t="n">
        <v>44518</v>
      </c>
      <c r="C1512" s="1" t="n">
        <v>45932</v>
      </c>
      <c r="D1512" t="inlineStr">
        <is>
          <t>VÄRMLANDS LÄN</t>
        </is>
      </c>
      <c r="E1512" t="inlineStr">
        <is>
          <t>KRISTINEHAMN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49999-2021</t>
        </is>
      </c>
      <c r="B1513" s="1" t="n">
        <v>44454</v>
      </c>
      <c r="C1513" s="1" t="n">
        <v>45932</v>
      </c>
      <c r="D1513" t="inlineStr">
        <is>
          <t>VÄRMLANDS LÄN</t>
        </is>
      </c>
      <c r="E1513" t="inlineStr">
        <is>
          <t>FILIPSTAD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46551-2022</t>
        </is>
      </c>
      <c r="B1514" s="1" t="n">
        <v>44848</v>
      </c>
      <c r="C1514" s="1" t="n">
        <v>45932</v>
      </c>
      <c r="D1514" t="inlineStr">
        <is>
          <t>VÄRMLANDS LÄN</t>
        </is>
      </c>
      <c r="E1514" t="inlineStr">
        <is>
          <t>TORSBY</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63964-2021</t>
        </is>
      </c>
      <c r="B1515" s="1" t="n">
        <v>44509</v>
      </c>
      <c r="C1515" s="1" t="n">
        <v>45932</v>
      </c>
      <c r="D1515" t="inlineStr">
        <is>
          <t>VÄRMLANDS LÄN</t>
        </is>
      </c>
      <c r="E1515" t="inlineStr">
        <is>
          <t>GRUMS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58548-2020</t>
        </is>
      </c>
      <c r="B1516" s="1" t="n">
        <v>44145</v>
      </c>
      <c r="C1516" s="1" t="n">
        <v>45932</v>
      </c>
      <c r="D1516" t="inlineStr">
        <is>
          <t>VÄRMLANDS LÄN</t>
        </is>
      </c>
      <c r="E1516" t="inlineStr">
        <is>
          <t>HAGFORS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45293-2021</t>
        </is>
      </c>
      <c r="B1517" s="1" t="n">
        <v>44439</v>
      </c>
      <c r="C1517" s="1" t="n">
        <v>45932</v>
      </c>
      <c r="D1517" t="inlineStr">
        <is>
          <t>VÄRMLANDS LÄN</t>
        </is>
      </c>
      <c r="E1517" t="inlineStr">
        <is>
          <t>HAGFORS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45294-2021</t>
        </is>
      </c>
      <c r="B1518" s="1" t="n">
        <v>44439</v>
      </c>
      <c r="C1518" s="1" t="n">
        <v>45932</v>
      </c>
      <c r="D1518" t="inlineStr">
        <is>
          <t>VÄRMLANDS LÄN</t>
        </is>
      </c>
      <c r="E1518" t="inlineStr">
        <is>
          <t>ARVIKA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59760-2021</t>
        </is>
      </c>
      <c r="B1519" s="1" t="n">
        <v>44494.45789351852</v>
      </c>
      <c r="C1519" s="1" t="n">
        <v>45932</v>
      </c>
      <c r="D1519" t="inlineStr">
        <is>
          <t>VÄRMLANDS LÄN</t>
        </is>
      </c>
      <c r="E1519" t="inlineStr">
        <is>
          <t>GRUMS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56532-2021</t>
        </is>
      </c>
      <c r="B1520" s="1" t="n">
        <v>44480</v>
      </c>
      <c r="C1520" s="1" t="n">
        <v>45932</v>
      </c>
      <c r="D1520" t="inlineStr">
        <is>
          <t>VÄRMLANDS LÄN</t>
        </is>
      </c>
      <c r="E1520" t="inlineStr">
        <is>
          <t>FORSHAGA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48206-2021</t>
        </is>
      </c>
      <c r="B1521" s="1" t="n">
        <v>44449</v>
      </c>
      <c r="C1521" s="1" t="n">
        <v>45932</v>
      </c>
      <c r="D1521" t="inlineStr">
        <is>
          <t>VÄRMLANDS LÄN</t>
        </is>
      </c>
      <c r="E1521" t="inlineStr">
        <is>
          <t>KRISTINEHAMN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58629-2020</t>
        </is>
      </c>
      <c r="B1522" s="1" t="n">
        <v>44145</v>
      </c>
      <c r="C1522" s="1" t="n">
        <v>45932</v>
      </c>
      <c r="D1522" t="inlineStr">
        <is>
          <t>VÄRMLANDS LÄN</t>
        </is>
      </c>
      <c r="E1522" t="inlineStr">
        <is>
          <t>ÅRJÄNG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49794-2020</t>
        </is>
      </c>
      <c r="B1523" s="1" t="n">
        <v>44106</v>
      </c>
      <c r="C1523" s="1" t="n">
        <v>45932</v>
      </c>
      <c r="D1523" t="inlineStr">
        <is>
          <t>VÄRMLANDS LÄN</t>
        </is>
      </c>
      <c r="E1523" t="inlineStr">
        <is>
          <t>SUNNE</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5758-2022</t>
        </is>
      </c>
      <c r="B1524" s="1" t="n">
        <v>44596</v>
      </c>
      <c r="C1524" s="1" t="n">
        <v>45932</v>
      </c>
      <c r="D1524" t="inlineStr">
        <is>
          <t>VÄRMLANDS LÄN</t>
        </is>
      </c>
      <c r="E1524" t="inlineStr">
        <is>
          <t>FORSHAGA</t>
        </is>
      </c>
      <c r="F1524" t="inlineStr">
        <is>
          <t>Bergvik skog väst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4061-2022</t>
        </is>
      </c>
      <c r="B1525" s="1" t="n">
        <v>44588</v>
      </c>
      <c r="C1525" s="1" t="n">
        <v>45932</v>
      </c>
      <c r="D1525" t="inlineStr">
        <is>
          <t>VÄRMLANDS LÄN</t>
        </is>
      </c>
      <c r="E1525" t="inlineStr">
        <is>
          <t>ARVIKA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61306-2021</t>
        </is>
      </c>
      <c r="B1526" s="1" t="n">
        <v>44498</v>
      </c>
      <c r="C1526" s="1" t="n">
        <v>45932</v>
      </c>
      <c r="D1526" t="inlineStr">
        <is>
          <t>VÄRMLANDS LÄN</t>
        </is>
      </c>
      <c r="E1526" t="inlineStr">
        <is>
          <t>GRUMS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67023-2021</t>
        </is>
      </c>
      <c r="B1527" s="1" t="n">
        <v>44522</v>
      </c>
      <c r="C1527" s="1" t="n">
        <v>45932</v>
      </c>
      <c r="D1527" t="inlineStr">
        <is>
          <t>VÄRMLANDS LÄN</t>
        </is>
      </c>
      <c r="E1527" t="inlineStr">
        <is>
          <t>ÅRJÄNG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66141-2020</t>
        </is>
      </c>
      <c r="B1528" s="1" t="n">
        <v>44175</v>
      </c>
      <c r="C1528" s="1" t="n">
        <v>45932</v>
      </c>
      <c r="D1528" t="inlineStr">
        <is>
          <t>VÄRMLANDS LÄN</t>
        </is>
      </c>
      <c r="E1528" t="inlineStr">
        <is>
          <t>HAGFORS</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35545-2021</t>
        </is>
      </c>
      <c r="B1529" s="1" t="n">
        <v>44385</v>
      </c>
      <c r="C1529" s="1" t="n">
        <v>45932</v>
      </c>
      <c r="D1529" t="inlineStr">
        <is>
          <t>VÄRMLANDS LÄN</t>
        </is>
      </c>
      <c r="E1529" t="inlineStr">
        <is>
          <t>TORSBY</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25247-2021</t>
        </is>
      </c>
      <c r="B1530" s="1" t="n">
        <v>44342</v>
      </c>
      <c r="C1530" s="1" t="n">
        <v>45932</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60732-2020</t>
        </is>
      </c>
      <c r="B1531" s="1" t="n">
        <v>44153.77171296296</v>
      </c>
      <c r="C1531" s="1" t="n">
        <v>45932</v>
      </c>
      <c r="D1531" t="inlineStr">
        <is>
          <t>VÄRMLANDS LÄN</t>
        </is>
      </c>
      <c r="E1531" t="inlineStr">
        <is>
          <t>ÅRJÄNG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23524-2021</t>
        </is>
      </c>
      <c r="B1532" s="1" t="n">
        <v>44301</v>
      </c>
      <c r="C1532" s="1" t="n">
        <v>45932</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43058-2021</t>
        </is>
      </c>
      <c r="B1533" s="1" t="n">
        <v>44431</v>
      </c>
      <c r="C1533" s="1" t="n">
        <v>45932</v>
      </c>
      <c r="D1533" t="inlineStr">
        <is>
          <t>VÄRMLANDS LÄN</t>
        </is>
      </c>
      <c r="E1533" t="inlineStr">
        <is>
          <t>SUNNE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65075-2020</t>
        </is>
      </c>
      <c r="B1534" s="1" t="n">
        <v>44172</v>
      </c>
      <c r="C1534" s="1" t="n">
        <v>45932</v>
      </c>
      <c r="D1534" t="inlineStr">
        <is>
          <t>VÄRMLANDS LÄN</t>
        </is>
      </c>
      <c r="E1534" t="inlineStr">
        <is>
          <t>ARVIKA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52543-2022</t>
        </is>
      </c>
      <c r="B1535" s="1" t="n">
        <v>44874</v>
      </c>
      <c r="C1535" s="1" t="n">
        <v>45932</v>
      </c>
      <c r="D1535" t="inlineStr">
        <is>
          <t>VÄRMLANDS LÄN</t>
        </is>
      </c>
      <c r="E1535" t="inlineStr">
        <is>
          <t>TORSBY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43095-2021</t>
        </is>
      </c>
      <c r="B1536" s="1" t="n">
        <v>44431</v>
      </c>
      <c r="C1536" s="1" t="n">
        <v>45932</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50350-2021</t>
        </is>
      </c>
      <c r="B1537" s="1" t="n">
        <v>44456</v>
      </c>
      <c r="C1537" s="1" t="n">
        <v>45932</v>
      </c>
      <c r="D1537" t="inlineStr">
        <is>
          <t>VÄRMLANDS LÄN</t>
        </is>
      </c>
      <c r="E1537" t="inlineStr">
        <is>
          <t>SUNNE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59805-2021</t>
        </is>
      </c>
      <c r="B1538" s="1" t="n">
        <v>44494</v>
      </c>
      <c r="C1538" s="1" t="n">
        <v>45932</v>
      </c>
      <c r="D1538" t="inlineStr">
        <is>
          <t>VÄRMLANDS LÄN</t>
        </is>
      </c>
      <c r="E1538" t="inlineStr">
        <is>
          <t>EDA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61009-2020</t>
        </is>
      </c>
      <c r="B1539" s="1" t="n">
        <v>44154</v>
      </c>
      <c r="C1539" s="1" t="n">
        <v>45932</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56279-2020</t>
        </is>
      </c>
      <c r="B1540" s="1" t="n">
        <v>44134</v>
      </c>
      <c r="C1540" s="1" t="n">
        <v>45932</v>
      </c>
      <c r="D1540" t="inlineStr">
        <is>
          <t>VÄRMLANDS LÄN</t>
        </is>
      </c>
      <c r="E1540" t="inlineStr">
        <is>
          <t>FILIPSTAD</t>
        </is>
      </c>
      <c r="F1540" t="inlineStr">
        <is>
          <t>Bergvik skog väst AB</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17665-2021</t>
        </is>
      </c>
      <c r="B1541" s="1" t="n">
        <v>44299</v>
      </c>
      <c r="C1541" s="1" t="n">
        <v>45932</v>
      </c>
      <c r="D1541" t="inlineStr">
        <is>
          <t>VÄRMLANDS LÄN</t>
        </is>
      </c>
      <c r="E1541" t="inlineStr">
        <is>
          <t>SÄFFLE</t>
        </is>
      </c>
      <c r="G1541" t="n">
        <v>13.7</v>
      </c>
      <c r="H1541" t="n">
        <v>0</v>
      </c>
      <c r="I1541" t="n">
        <v>0</v>
      </c>
      <c r="J1541" t="n">
        <v>0</v>
      </c>
      <c r="K1541" t="n">
        <v>0</v>
      </c>
      <c r="L1541" t="n">
        <v>0</v>
      </c>
      <c r="M1541" t="n">
        <v>0</v>
      </c>
      <c r="N1541" t="n">
        <v>0</v>
      </c>
      <c r="O1541" t="n">
        <v>0</v>
      </c>
      <c r="P1541" t="n">
        <v>0</v>
      </c>
      <c r="Q1541" t="n">
        <v>0</v>
      </c>
      <c r="R1541" s="2" t="inlineStr"/>
    </row>
    <row r="1542" ht="15" customHeight="1">
      <c r="A1542" t="inlineStr">
        <is>
          <t>A 24442-2022</t>
        </is>
      </c>
      <c r="B1542" s="1" t="n">
        <v>44726</v>
      </c>
      <c r="C1542" s="1" t="n">
        <v>45932</v>
      </c>
      <c r="D1542" t="inlineStr">
        <is>
          <t>VÄRMLANDS LÄN</t>
        </is>
      </c>
      <c r="E1542" t="inlineStr">
        <is>
          <t>FILIPSTAD</t>
        </is>
      </c>
      <c r="F1542" t="inlineStr">
        <is>
          <t>Bergvik skog väst AB</t>
        </is>
      </c>
      <c r="G1542" t="n">
        <v>30.7</v>
      </c>
      <c r="H1542" t="n">
        <v>0</v>
      </c>
      <c r="I1542" t="n">
        <v>0</v>
      </c>
      <c r="J1542" t="n">
        <v>0</v>
      </c>
      <c r="K1542" t="n">
        <v>0</v>
      </c>
      <c r="L1542" t="n">
        <v>0</v>
      </c>
      <c r="M1542" t="n">
        <v>0</v>
      </c>
      <c r="N1542" t="n">
        <v>0</v>
      </c>
      <c r="O1542" t="n">
        <v>0</v>
      </c>
      <c r="P1542" t="n">
        <v>0</v>
      </c>
      <c r="Q1542" t="n">
        <v>0</v>
      </c>
      <c r="R1542" s="2" t="inlineStr"/>
    </row>
    <row r="1543" ht="15" customHeight="1">
      <c r="A1543" t="inlineStr">
        <is>
          <t>A 71742-2021</t>
        </is>
      </c>
      <c r="B1543" s="1" t="n">
        <v>44543.47636574074</v>
      </c>
      <c r="C1543" s="1" t="n">
        <v>45932</v>
      </c>
      <c r="D1543" t="inlineStr">
        <is>
          <t>VÄRMLANDS LÄN</t>
        </is>
      </c>
      <c r="E1543" t="inlineStr">
        <is>
          <t>SÄFFLE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2461-2022</t>
        </is>
      </c>
      <c r="B1544" s="1" t="n">
        <v>44579</v>
      </c>
      <c r="C1544" s="1" t="n">
        <v>45932</v>
      </c>
      <c r="D1544" t="inlineStr">
        <is>
          <t>VÄRMLANDS LÄN</t>
        </is>
      </c>
      <c r="E1544" t="inlineStr">
        <is>
          <t>SUNNE</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72291-2021</t>
        </is>
      </c>
      <c r="B1545" s="1" t="n">
        <v>44545.37615740741</v>
      </c>
      <c r="C1545" s="1" t="n">
        <v>45932</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20819-2022</t>
        </is>
      </c>
      <c r="B1546" s="1" t="n">
        <v>44699</v>
      </c>
      <c r="C1546" s="1" t="n">
        <v>45932</v>
      </c>
      <c r="D1546" t="inlineStr">
        <is>
          <t>VÄRMLANDS LÄN</t>
        </is>
      </c>
      <c r="E1546" t="inlineStr">
        <is>
          <t>TORSBY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65998-2021</t>
        </is>
      </c>
      <c r="B1547" s="1" t="n">
        <v>44517</v>
      </c>
      <c r="C1547" s="1" t="n">
        <v>45932</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5667-2022</t>
        </is>
      </c>
      <c r="B1548" s="1" t="n">
        <v>44595</v>
      </c>
      <c r="C1548" s="1" t="n">
        <v>45932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63714-2021</t>
        </is>
      </c>
      <c r="B1549" s="1" t="n">
        <v>44505</v>
      </c>
      <c r="C1549" s="1" t="n">
        <v>45932</v>
      </c>
      <c r="D1549" t="inlineStr">
        <is>
          <t>VÄRMLANDS LÄN</t>
        </is>
      </c>
      <c r="E1549" t="inlineStr">
        <is>
          <t>FILIPSTAD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63112-2021</t>
        </is>
      </c>
      <c r="B1550" s="1" t="n">
        <v>44505.63077546296</v>
      </c>
      <c r="C1550" s="1" t="n">
        <v>45932</v>
      </c>
      <c r="D1550" t="inlineStr">
        <is>
          <t>VÄRMLANDS LÄN</t>
        </is>
      </c>
      <c r="E1550" t="inlineStr">
        <is>
          <t>SÄFFLE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68252-2021</t>
        </is>
      </c>
      <c r="B1551" s="1" t="n">
        <v>44526</v>
      </c>
      <c r="C1551" s="1" t="n">
        <v>45932</v>
      </c>
      <c r="D1551" t="inlineStr">
        <is>
          <t>VÄRMLANDS LÄN</t>
        </is>
      </c>
      <c r="E1551" t="inlineStr">
        <is>
          <t>HAGFORS</t>
        </is>
      </c>
      <c r="F1551" t="inlineStr">
        <is>
          <t>Bergvik skog väst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17765-2022</t>
        </is>
      </c>
      <c r="B1552" s="1" t="n">
        <v>44681.41195601852</v>
      </c>
      <c r="C1552" s="1" t="n">
        <v>45932</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60377-2021</t>
        </is>
      </c>
      <c r="B1553" s="1" t="n">
        <v>44496.35686342593</v>
      </c>
      <c r="C1553" s="1" t="n">
        <v>45932</v>
      </c>
      <c r="D1553" t="inlineStr">
        <is>
          <t>VÄRMLANDS LÄN</t>
        </is>
      </c>
      <c r="E1553" t="inlineStr">
        <is>
          <t>FILIPSTAD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64814-2021</t>
        </is>
      </c>
      <c r="B1554" s="1" t="n">
        <v>44512</v>
      </c>
      <c r="C1554" s="1" t="n">
        <v>45932</v>
      </c>
      <c r="D1554" t="inlineStr">
        <is>
          <t>VÄRMLANDS LÄN</t>
        </is>
      </c>
      <c r="E1554" t="inlineStr">
        <is>
          <t>STORFORS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23254-2021</t>
        </is>
      </c>
      <c r="B1555" s="1" t="n">
        <v>44333</v>
      </c>
      <c r="C1555" s="1" t="n">
        <v>45932</v>
      </c>
      <c r="D1555" t="inlineStr">
        <is>
          <t>VÄRMLANDS LÄN</t>
        </is>
      </c>
      <c r="E1555" t="inlineStr">
        <is>
          <t>KARLSTAD</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68171-2020</t>
        </is>
      </c>
      <c r="B1556" s="1" t="n">
        <v>44183</v>
      </c>
      <c r="C1556" s="1" t="n">
        <v>45932</v>
      </c>
      <c r="D1556" t="inlineStr">
        <is>
          <t>VÄRMLANDS LÄN</t>
        </is>
      </c>
      <c r="E1556" t="inlineStr">
        <is>
          <t>SÄFFLE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7301-2021</t>
        </is>
      </c>
      <c r="B1557" s="1" t="n">
        <v>44238</v>
      </c>
      <c r="C1557" s="1" t="n">
        <v>45932</v>
      </c>
      <c r="D1557" t="inlineStr">
        <is>
          <t>VÄRMLANDS LÄN</t>
        </is>
      </c>
      <c r="E1557" t="inlineStr">
        <is>
          <t>SÄFFLE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68014-2021</t>
        </is>
      </c>
      <c r="B1558" s="1" t="n">
        <v>44525</v>
      </c>
      <c r="C1558" s="1" t="n">
        <v>45932</v>
      </c>
      <c r="D1558" t="inlineStr">
        <is>
          <t>VÄRMLANDS LÄN</t>
        </is>
      </c>
      <c r="E1558" t="inlineStr">
        <is>
          <t>SUNNE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23116-2022</t>
        </is>
      </c>
      <c r="B1559" s="1" t="n">
        <v>44719</v>
      </c>
      <c r="C1559" s="1" t="n">
        <v>45932</v>
      </c>
      <c r="D1559" t="inlineStr">
        <is>
          <t>VÄRMLANDS LÄN</t>
        </is>
      </c>
      <c r="E1559" t="inlineStr">
        <is>
          <t>HAGFORS</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65353-2020</t>
        </is>
      </c>
      <c r="B1560" s="1" t="n">
        <v>44169</v>
      </c>
      <c r="C1560" s="1" t="n">
        <v>45932</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65398-2020</t>
        </is>
      </c>
      <c r="B1561" s="1" t="n">
        <v>44169</v>
      </c>
      <c r="C1561" s="1" t="n">
        <v>45932</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66111-2021</t>
        </is>
      </c>
      <c r="B1562" s="1" t="n">
        <v>44517</v>
      </c>
      <c r="C1562" s="1" t="n">
        <v>45932</v>
      </c>
      <c r="D1562" t="inlineStr">
        <is>
          <t>VÄRMLANDS LÄN</t>
        </is>
      </c>
      <c r="E1562" t="inlineStr">
        <is>
          <t>FORSHAGA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55797-2022</t>
        </is>
      </c>
      <c r="B1563" s="1" t="n">
        <v>44888.6372337963</v>
      </c>
      <c r="C1563" s="1" t="n">
        <v>45932</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9851-2021</t>
        </is>
      </c>
      <c r="B1564" s="1" t="n">
        <v>44253</v>
      </c>
      <c r="C1564" s="1" t="n">
        <v>45932</v>
      </c>
      <c r="D1564" t="inlineStr">
        <is>
          <t>VÄRMLANDS LÄN</t>
        </is>
      </c>
      <c r="E1564" t="inlineStr">
        <is>
          <t>ARVIKA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19489-2021</t>
        </is>
      </c>
      <c r="B1565" s="1" t="n">
        <v>44312</v>
      </c>
      <c r="C1565" s="1" t="n">
        <v>45932</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10803-2021</t>
        </is>
      </c>
      <c r="B1566" s="1" t="n">
        <v>44258</v>
      </c>
      <c r="C1566" s="1" t="n">
        <v>45932</v>
      </c>
      <c r="D1566" t="inlineStr">
        <is>
          <t>VÄRMLANDS LÄN</t>
        </is>
      </c>
      <c r="E1566" t="inlineStr">
        <is>
          <t>GRUMS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51296-2022</t>
        </is>
      </c>
      <c r="B1567" s="1" t="n">
        <v>44868</v>
      </c>
      <c r="C1567" s="1" t="n">
        <v>45932</v>
      </c>
      <c r="D1567" t="inlineStr">
        <is>
          <t>VÄRMLANDS LÄN</t>
        </is>
      </c>
      <c r="E1567" t="inlineStr">
        <is>
          <t>FORSHAGA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59341-2021</t>
        </is>
      </c>
      <c r="B1568" s="1" t="n">
        <v>44491</v>
      </c>
      <c r="C1568" s="1" t="n">
        <v>45932</v>
      </c>
      <c r="D1568" t="inlineStr">
        <is>
          <t>VÄRMLANDS LÄN</t>
        </is>
      </c>
      <c r="E1568" t="inlineStr">
        <is>
          <t>ÅRJÄNG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49192-2021</t>
        </is>
      </c>
      <c r="B1569" s="1" t="n">
        <v>44454.33175925926</v>
      </c>
      <c r="C1569" s="1" t="n">
        <v>45932</v>
      </c>
      <c r="D1569" t="inlineStr">
        <is>
          <t>VÄRMLANDS LÄN</t>
        </is>
      </c>
      <c r="E1569" t="inlineStr">
        <is>
          <t>TORSBY</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64754-2020</t>
        </is>
      </c>
      <c r="B1570" s="1" t="n">
        <v>44169</v>
      </c>
      <c r="C1570" s="1" t="n">
        <v>45932</v>
      </c>
      <c r="D1570" t="inlineStr">
        <is>
          <t>VÄRMLANDS LÄN</t>
        </is>
      </c>
      <c r="E1570" t="inlineStr">
        <is>
          <t>FILIPSTAD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45932</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28562-2021</t>
        </is>
      </c>
      <c r="B1572" s="1" t="n">
        <v>44356.69538194445</v>
      </c>
      <c r="C1572" s="1" t="n">
        <v>45932</v>
      </c>
      <c r="D1572" t="inlineStr">
        <is>
          <t>VÄRMLANDS LÄN</t>
        </is>
      </c>
      <c r="E1572" t="inlineStr">
        <is>
          <t>TORSBY</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24332-2021</t>
        </is>
      </c>
      <c r="B1573" s="1" t="n">
        <v>44337</v>
      </c>
      <c r="C1573" s="1" t="n">
        <v>45932</v>
      </c>
      <c r="D1573" t="inlineStr">
        <is>
          <t>VÄRMLANDS LÄN</t>
        </is>
      </c>
      <c r="E1573" t="inlineStr">
        <is>
          <t>SUNNE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36587-2022</t>
        </is>
      </c>
      <c r="B1574" s="1" t="n">
        <v>44804.62511574074</v>
      </c>
      <c r="C1574" s="1" t="n">
        <v>45932</v>
      </c>
      <c r="D1574" t="inlineStr">
        <is>
          <t>VÄRMLANDS LÄN</t>
        </is>
      </c>
      <c r="E1574" t="inlineStr">
        <is>
          <t>TORSBY</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55401-2020</t>
        </is>
      </c>
      <c r="B1575" s="1" t="n">
        <v>44131</v>
      </c>
      <c r="C1575" s="1" t="n">
        <v>45932</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70883-2021</t>
        </is>
      </c>
      <c r="B1576" s="1" t="n">
        <v>44538.39300925926</v>
      </c>
      <c r="C1576" s="1" t="n">
        <v>45932</v>
      </c>
      <c r="D1576" t="inlineStr">
        <is>
          <t>VÄRMLANDS LÄN</t>
        </is>
      </c>
      <c r="E1576" t="inlineStr">
        <is>
          <t>ÅRJÄNG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52146-2021</t>
        </is>
      </c>
      <c r="B1577" s="1" t="n">
        <v>44463</v>
      </c>
      <c r="C1577" s="1" t="n">
        <v>45932</v>
      </c>
      <c r="D1577" t="inlineStr">
        <is>
          <t>VÄRMLANDS LÄN</t>
        </is>
      </c>
      <c r="E1577" t="inlineStr">
        <is>
          <t>SUNNE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43475-2022</t>
        </is>
      </c>
      <c r="B1578" s="1" t="n">
        <v>44836.91193287037</v>
      </c>
      <c r="C1578" s="1" t="n">
        <v>45932</v>
      </c>
      <c r="D1578" t="inlineStr">
        <is>
          <t>VÄRMLANDS LÄN</t>
        </is>
      </c>
      <c r="E1578" t="inlineStr">
        <is>
          <t>HAGFORS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28197-2022</t>
        </is>
      </c>
      <c r="B1579" s="1" t="n">
        <v>44746</v>
      </c>
      <c r="C1579" s="1" t="n">
        <v>45932</v>
      </c>
      <c r="D1579" t="inlineStr">
        <is>
          <t>VÄRMLANDS LÄN</t>
        </is>
      </c>
      <c r="E1579" t="inlineStr">
        <is>
          <t>ARVIKA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48787-2022</t>
        </is>
      </c>
      <c r="B1580" s="1" t="n">
        <v>44859.60792824074</v>
      </c>
      <c r="C1580" s="1" t="n">
        <v>45932</v>
      </c>
      <c r="D1580" t="inlineStr">
        <is>
          <t>VÄRMLANDS LÄN</t>
        </is>
      </c>
      <c r="E1580" t="inlineStr">
        <is>
          <t>KIL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17619-2021</t>
        </is>
      </c>
      <c r="B1581" s="1" t="n">
        <v>44299</v>
      </c>
      <c r="C1581" s="1" t="n">
        <v>45932</v>
      </c>
      <c r="D1581" t="inlineStr">
        <is>
          <t>VÄRMLANDS LÄN</t>
        </is>
      </c>
      <c r="E1581" t="inlineStr">
        <is>
          <t>STORFORS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30707-2022</t>
        </is>
      </c>
      <c r="B1582" s="1" t="n">
        <v>44763.73310185185</v>
      </c>
      <c r="C1582" s="1" t="n">
        <v>45932</v>
      </c>
      <c r="D1582" t="inlineStr">
        <is>
          <t>VÄRMLANDS LÄN</t>
        </is>
      </c>
      <c r="E1582" t="inlineStr">
        <is>
          <t>HAGFORS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50415-2022</t>
        </is>
      </c>
      <c r="B1583" s="1" t="n">
        <v>44861</v>
      </c>
      <c r="C1583" s="1" t="n">
        <v>45932</v>
      </c>
      <c r="D1583" t="inlineStr">
        <is>
          <t>VÄRMLANDS LÄN</t>
        </is>
      </c>
      <c r="E1583" t="inlineStr">
        <is>
          <t>SÄFFLE</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28655-2021</t>
        </is>
      </c>
      <c r="B1584" s="1" t="n">
        <v>44357.35731481481</v>
      </c>
      <c r="C1584" s="1" t="n">
        <v>45932</v>
      </c>
      <c r="D1584" t="inlineStr">
        <is>
          <t>VÄRMLANDS LÄN</t>
        </is>
      </c>
      <c r="E1584" t="inlineStr">
        <is>
          <t>ARVIKA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59954-2021</t>
        </is>
      </c>
      <c r="B1585" s="1" t="n">
        <v>44494.86805555555</v>
      </c>
      <c r="C1585" s="1" t="n">
        <v>45932</v>
      </c>
      <c r="D1585" t="inlineStr">
        <is>
          <t>VÄRMLANDS LÄN</t>
        </is>
      </c>
      <c r="E1585" t="inlineStr">
        <is>
          <t>FILIPSTAD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33958-2022</t>
        </is>
      </c>
      <c r="B1586" s="1" t="n">
        <v>44790.67916666667</v>
      </c>
      <c r="C1586" s="1" t="n">
        <v>45932</v>
      </c>
      <c r="D1586" t="inlineStr">
        <is>
          <t>VÄRMLANDS LÄN</t>
        </is>
      </c>
      <c r="E1586" t="inlineStr">
        <is>
          <t>TORSBY</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59143-2021</t>
        </is>
      </c>
      <c r="B1587" s="1" t="n">
        <v>44490</v>
      </c>
      <c r="C1587" s="1" t="n">
        <v>45932</v>
      </c>
      <c r="D1587" t="inlineStr">
        <is>
          <t>VÄRMLANDS LÄN</t>
        </is>
      </c>
      <c r="E1587" t="inlineStr">
        <is>
          <t>ÅRJÄNG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68620-2020</t>
        </is>
      </c>
      <c r="B1588" s="1" t="n">
        <v>44186</v>
      </c>
      <c r="C1588" s="1" t="n">
        <v>45932</v>
      </c>
      <c r="D1588" t="inlineStr">
        <is>
          <t>VÄRMLANDS LÄN</t>
        </is>
      </c>
      <c r="E1588" t="inlineStr">
        <is>
          <t>FILIPSTAD</t>
        </is>
      </c>
      <c r="G1588" t="n">
        <v>29.6</v>
      </c>
      <c r="H1588" t="n">
        <v>0</v>
      </c>
      <c r="I1588" t="n">
        <v>0</v>
      </c>
      <c r="J1588" t="n">
        <v>0</v>
      </c>
      <c r="K1588" t="n">
        <v>0</v>
      </c>
      <c r="L1588" t="n">
        <v>0</v>
      </c>
      <c r="M1588" t="n">
        <v>0</v>
      </c>
      <c r="N1588" t="n">
        <v>0</v>
      </c>
      <c r="O1588" t="n">
        <v>0</v>
      </c>
      <c r="P1588" t="n">
        <v>0</v>
      </c>
      <c r="Q1588" t="n">
        <v>0</v>
      </c>
      <c r="R1588" s="2" t="inlineStr"/>
    </row>
    <row r="1589" ht="15" customHeight="1">
      <c r="A1589" t="inlineStr">
        <is>
          <t>A 16400-2022</t>
        </is>
      </c>
      <c r="B1589" s="1" t="n">
        <v>44671</v>
      </c>
      <c r="C1589" s="1" t="n">
        <v>45932</v>
      </c>
      <c r="D1589" t="inlineStr">
        <is>
          <t>VÄRMLANDS LÄN</t>
        </is>
      </c>
      <c r="E1589" t="inlineStr">
        <is>
          <t>ÅRJÄNG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73805-2021</t>
        </is>
      </c>
      <c r="B1590" s="1" t="n">
        <v>44552.71710648148</v>
      </c>
      <c r="C1590" s="1" t="n">
        <v>45932</v>
      </c>
      <c r="D1590" t="inlineStr">
        <is>
          <t>VÄRMLANDS LÄN</t>
        </is>
      </c>
      <c r="E1590" t="inlineStr">
        <is>
          <t>ARVIKA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57453-2021</t>
        </is>
      </c>
      <c r="B1591" s="1" t="n">
        <v>44483</v>
      </c>
      <c r="C1591" s="1" t="n">
        <v>45932</v>
      </c>
      <c r="D1591" t="inlineStr">
        <is>
          <t>VÄRMLANDS LÄN</t>
        </is>
      </c>
      <c r="E1591" t="inlineStr">
        <is>
          <t>KARLSTAD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31797-2022</t>
        </is>
      </c>
      <c r="B1592" s="1" t="n">
        <v>44776</v>
      </c>
      <c r="C1592" s="1" t="n">
        <v>45932</v>
      </c>
      <c r="D1592" t="inlineStr">
        <is>
          <t>VÄRMLANDS LÄN</t>
        </is>
      </c>
      <c r="E1592" t="inlineStr">
        <is>
          <t>ARVIKA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35015-2021</t>
        </is>
      </c>
      <c r="B1593" s="1" t="n">
        <v>44383.69291666667</v>
      </c>
      <c r="C1593" s="1" t="n">
        <v>45932</v>
      </c>
      <c r="D1593" t="inlineStr">
        <is>
          <t>VÄRMLANDS LÄN</t>
        </is>
      </c>
      <c r="E1593" t="inlineStr">
        <is>
          <t>ÅRJÄNG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33005-2021</t>
        </is>
      </c>
      <c r="B1594" s="1" t="n">
        <v>44376.46671296296</v>
      </c>
      <c r="C1594" s="1" t="n">
        <v>45932</v>
      </c>
      <c r="D1594" t="inlineStr">
        <is>
          <t>VÄRMLANDS LÄN</t>
        </is>
      </c>
      <c r="E1594" t="inlineStr">
        <is>
          <t>SUNNE</t>
        </is>
      </c>
      <c r="G1594" t="n">
        <v>13.5</v>
      </c>
      <c r="H1594" t="n">
        <v>0</v>
      </c>
      <c r="I1594" t="n">
        <v>0</v>
      </c>
      <c r="J1594" t="n">
        <v>0</v>
      </c>
      <c r="K1594" t="n">
        <v>0</v>
      </c>
      <c r="L1594" t="n">
        <v>0</v>
      </c>
      <c r="M1594" t="n">
        <v>0</v>
      </c>
      <c r="N1594" t="n">
        <v>0</v>
      </c>
      <c r="O1594" t="n">
        <v>0</v>
      </c>
      <c r="P1594" t="n">
        <v>0</v>
      </c>
      <c r="Q1594" t="n">
        <v>0</v>
      </c>
      <c r="R1594" s="2" t="inlineStr"/>
    </row>
    <row r="1595" ht="15" customHeight="1">
      <c r="A1595" t="inlineStr">
        <is>
          <t>A 13644-2022</t>
        </is>
      </c>
      <c r="B1595" s="1" t="n">
        <v>44648.64385416666</v>
      </c>
      <c r="C1595" s="1" t="n">
        <v>45932</v>
      </c>
      <c r="D1595" t="inlineStr">
        <is>
          <t>VÄRMLANDS LÄN</t>
        </is>
      </c>
      <c r="E1595" t="inlineStr">
        <is>
          <t>SUNNE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34937-2021</t>
        </is>
      </c>
      <c r="B1596" s="1" t="n">
        <v>44383</v>
      </c>
      <c r="C1596" s="1" t="n">
        <v>45932</v>
      </c>
      <c r="D1596" t="inlineStr">
        <is>
          <t>VÄRMLANDS LÄN</t>
        </is>
      </c>
      <c r="E1596" t="inlineStr">
        <is>
          <t>GRUMS</t>
        </is>
      </c>
      <c r="F1596" t="inlineStr">
        <is>
          <t>Bergvik skog väst AB</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65369-2020</t>
        </is>
      </c>
      <c r="B1597" s="1" t="n">
        <v>44169</v>
      </c>
      <c r="C1597" s="1" t="n">
        <v>45932</v>
      </c>
      <c r="D1597" t="inlineStr">
        <is>
          <t>VÄRMLANDS LÄN</t>
        </is>
      </c>
      <c r="E1597" t="inlineStr">
        <is>
          <t>TORSBY</t>
        </is>
      </c>
      <c r="G1597" t="n">
        <v>32.5</v>
      </c>
      <c r="H1597" t="n">
        <v>0</v>
      </c>
      <c r="I1597" t="n">
        <v>0</v>
      </c>
      <c r="J1597" t="n">
        <v>0</v>
      </c>
      <c r="K1597" t="n">
        <v>0</v>
      </c>
      <c r="L1597" t="n">
        <v>0</v>
      </c>
      <c r="M1597" t="n">
        <v>0</v>
      </c>
      <c r="N1597" t="n">
        <v>0</v>
      </c>
      <c r="O1597" t="n">
        <v>0</v>
      </c>
      <c r="P1597" t="n">
        <v>0</v>
      </c>
      <c r="Q1597" t="n">
        <v>0</v>
      </c>
      <c r="R1597" s="2" t="inlineStr"/>
    </row>
    <row r="1598" ht="15" customHeight="1">
      <c r="A1598" t="inlineStr">
        <is>
          <t>A 50009-2021</t>
        </is>
      </c>
      <c r="B1598" s="1" t="n">
        <v>44454</v>
      </c>
      <c r="C1598" s="1" t="n">
        <v>45932</v>
      </c>
      <c r="D1598" t="inlineStr">
        <is>
          <t>VÄRMLANDS LÄN</t>
        </is>
      </c>
      <c r="E1598" t="inlineStr">
        <is>
          <t>FILIPSTAD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28997-2021</t>
        </is>
      </c>
      <c r="B1599" s="1" t="n">
        <v>44358</v>
      </c>
      <c r="C1599" s="1" t="n">
        <v>45932</v>
      </c>
      <c r="D1599" t="inlineStr">
        <is>
          <t>VÄRMLANDS LÄN</t>
        </is>
      </c>
      <c r="E1599" t="inlineStr">
        <is>
          <t>SÄFFLE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51759-2022</t>
        </is>
      </c>
      <c r="B1600" s="1" t="n">
        <v>44872.51354166667</v>
      </c>
      <c r="C1600" s="1" t="n">
        <v>45932</v>
      </c>
      <c r="D1600" t="inlineStr">
        <is>
          <t>VÄRMLANDS LÄN</t>
        </is>
      </c>
      <c r="E1600" t="inlineStr">
        <is>
          <t>HAGFORS</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50827-2021</t>
        </is>
      </c>
      <c r="B1601" s="1" t="n">
        <v>44460.49873842593</v>
      </c>
      <c r="C1601" s="1" t="n">
        <v>45932</v>
      </c>
      <c r="D1601" t="inlineStr">
        <is>
          <t>VÄRMLANDS LÄN</t>
        </is>
      </c>
      <c r="E1601" t="inlineStr">
        <is>
          <t>SUNNE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32146-2022</t>
        </is>
      </c>
      <c r="B1602" s="1" t="n">
        <v>44780.62754629629</v>
      </c>
      <c r="C1602" s="1" t="n">
        <v>45932</v>
      </c>
      <c r="D1602" t="inlineStr">
        <is>
          <t>VÄRMLANDS LÄN</t>
        </is>
      </c>
      <c r="E1602" t="inlineStr">
        <is>
          <t>SÄFFLE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4593-2021</t>
        </is>
      </c>
      <c r="B1603" s="1" t="n">
        <v>44224</v>
      </c>
      <c r="C1603" s="1" t="n">
        <v>45932</v>
      </c>
      <c r="D1603" t="inlineStr">
        <is>
          <t>VÄRMLANDS LÄN</t>
        </is>
      </c>
      <c r="E1603" t="inlineStr">
        <is>
          <t>SÄFFLE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4617-2021</t>
        </is>
      </c>
      <c r="B1604" s="1" t="n">
        <v>44224</v>
      </c>
      <c r="C1604" s="1" t="n">
        <v>45932</v>
      </c>
      <c r="D1604" t="inlineStr">
        <is>
          <t>VÄRMLANDS LÄN</t>
        </is>
      </c>
      <c r="E1604" t="inlineStr">
        <is>
          <t>FILIPSTAD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15551-2022</t>
        </is>
      </c>
      <c r="B1605" s="1" t="n">
        <v>44662</v>
      </c>
      <c r="C1605" s="1" t="n">
        <v>45932</v>
      </c>
      <c r="D1605" t="inlineStr">
        <is>
          <t>VÄRMLANDS LÄN</t>
        </is>
      </c>
      <c r="E1605" t="inlineStr">
        <is>
          <t>KRISTINEHAMN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48966-2022</t>
        </is>
      </c>
      <c r="B1606" s="1" t="n">
        <v>44860.33234953704</v>
      </c>
      <c r="C1606" s="1" t="n">
        <v>45932</v>
      </c>
      <c r="D1606" t="inlineStr">
        <is>
          <t>VÄRMLANDS LÄN</t>
        </is>
      </c>
      <c r="E1606" t="inlineStr">
        <is>
          <t>ARVIKA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52900-2021</t>
        </is>
      </c>
      <c r="B1607" s="1" t="n">
        <v>44467</v>
      </c>
      <c r="C1607" s="1" t="n">
        <v>45932</v>
      </c>
      <c r="D1607" t="inlineStr">
        <is>
          <t>VÄRMLANDS LÄN</t>
        </is>
      </c>
      <c r="E1607" t="inlineStr">
        <is>
          <t>TORSBY</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29340-2021</t>
        </is>
      </c>
      <c r="B1608" s="1" t="n">
        <v>44361</v>
      </c>
      <c r="C1608" s="1" t="n">
        <v>45932</v>
      </c>
      <c r="D1608" t="inlineStr">
        <is>
          <t>VÄRMLANDS LÄN</t>
        </is>
      </c>
      <c r="E1608" t="inlineStr">
        <is>
          <t>KRISTINEHAMN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66807-2020</t>
        </is>
      </c>
      <c r="B1609" s="1" t="n">
        <v>44179</v>
      </c>
      <c r="C1609" s="1" t="n">
        <v>45932</v>
      </c>
      <c r="D1609" t="inlineStr">
        <is>
          <t>VÄRMLANDS LÄN</t>
        </is>
      </c>
      <c r="E1609" t="inlineStr">
        <is>
          <t>ARVIKA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33149-2021</t>
        </is>
      </c>
      <c r="B1610" s="1" t="n">
        <v>44376.67658564815</v>
      </c>
      <c r="C1610" s="1" t="n">
        <v>45932</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35543-2021</t>
        </is>
      </c>
      <c r="B1611" s="1" t="n">
        <v>44385</v>
      </c>
      <c r="C1611" s="1" t="n">
        <v>45932</v>
      </c>
      <c r="D1611" t="inlineStr">
        <is>
          <t>VÄRMLANDS LÄN</t>
        </is>
      </c>
      <c r="E1611" t="inlineStr">
        <is>
          <t>ÅRJÄNG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68515-2020</t>
        </is>
      </c>
      <c r="B1612" s="1" t="n">
        <v>44186</v>
      </c>
      <c r="C1612" s="1" t="n">
        <v>45932</v>
      </c>
      <c r="D1612" t="inlineStr">
        <is>
          <t>VÄRMLANDS LÄN</t>
        </is>
      </c>
      <c r="E1612" t="inlineStr">
        <is>
          <t>FILIPSTAD</t>
        </is>
      </c>
      <c r="G1612" t="n">
        <v>14.7</v>
      </c>
      <c r="H1612" t="n">
        <v>0</v>
      </c>
      <c r="I1612" t="n">
        <v>0</v>
      </c>
      <c r="J1612" t="n">
        <v>0</v>
      </c>
      <c r="K1612" t="n">
        <v>0</v>
      </c>
      <c r="L1612" t="n">
        <v>0</v>
      </c>
      <c r="M1612" t="n">
        <v>0</v>
      </c>
      <c r="N1612" t="n">
        <v>0</v>
      </c>
      <c r="O1612" t="n">
        <v>0</v>
      </c>
      <c r="P1612" t="n">
        <v>0</v>
      </c>
      <c r="Q1612" t="n">
        <v>0</v>
      </c>
      <c r="R1612" s="2" t="inlineStr"/>
    </row>
    <row r="1613" ht="15" customHeight="1">
      <c r="A1613" t="inlineStr">
        <is>
          <t>A 53362-2020</t>
        </is>
      </c>
      <c r="B1613" s="1" t="n">
        <v>44123</v>
      </c>
      <c r="C1613" s="1" t="n">
        <v>45932</v>
      </c>
      <c r="D1613" t="inlineStr">
        <is>
          <t>VÄRMLANDS LÄN</t>
        </is>
      </c>
      <c r="E1613" t="inlineStr">
        <is>
          <t>KRISTINEHAMN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29509-2022</t>
        </is>
      </c>
      <c r="B1614" s="1" t="n">
        <v>44753</v>
      </c>
      <c r="C1614" s="1" t="n">
        <v>45932</v>
      </c>
      <c r="D1614" t="inlineStr">
        <is>
          <t>VÄRMLANDS LÄN</t>
        </is>
      </c>
      <c r="E1614" t="inlineStr">
        <is>
          <t>TORSBY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16206-2021</t>
        </is>
      </c>
      <c r="B1615" s="1" t="n">
        <v>44292</v>
      </c>
      <c r="C1615" s="1" t="n">
        <v>45932</v>
      </c>
      <c r="D1615" t="inlineStr">
        <is>
          <t>VÄRMLANDS LÄN</t>
        </is>
      </c>
      <c r="E1615" t="inlineStr">
        <is>
          <t>KARLSTAD</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55902-2021</t>
        </is>
      </c>
      <c r="B1616" s="1" t="n">
        <v>44476.88310185185</v>
      </c>
      <c r="C1616" s="1" t="n">
        <v>45932</v>
      </c>
      <c r="D1616" t="inlineStr">
        <is>
          <t>VÄRMLANDS LÄN</t>
        </is>
      </c>
      <c r="E1616" t="inlineStr">
        <is>
          <t>ARVIKA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4724-2021</t>
        </is>
      </c>
      <c r="B1617" s="1" t="n">
        <v>44225</v>
      </c>
      <c r="C1617" s="1" t="n">
        <v>45932</v>
      </c>
      <c r="D1617" t="inlineStr">
        <is>
          <t>VÄRMLANDS LÄN</t>
        </is>
      </c>
      <c r="E1617" t="inlineStr">
        <is>
          <t>SUNNE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18044-2021</t>
        </is>
      </c>
      <c r="B1618" s="1" t="n">
        <v>44302.39375</v>
      </c>
      <c r="C1618" s="1" t="n">
        <v>45932</v>
      </c>
      <c r="D1618" t="inlineStr">
        <is>
          <t>VÄRMLANDS LÄN</t>
        </is>
      </c>
      <c r="E1618" t="inlineStr">
        <is>
          <t>SÄFFLE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20907-2022</t>
        </is>
      </c>
      <c r="B1619" s="1" t="n">
        <v>44701.60076388889</v>
      </c>
      <c r="C1619" s="1" t="n">
        <v>45932</v>
      </c>
      <c r="D1619" t="inlineStr">
        <is>
          <t>VÄRMLANDS LÄN</t>
        </is>
      </c>
      <c r="E1619" t="inlineStr">
        <is>
          <t>TORSBY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56062-2021</t>
        </is>
      </c>
      <c r="B1620" s="1" t="n">
        <v>44477.51216435185</v>
      </c>
      <c r="C1620" s="1" t="n">
        <v>45932</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4450-2022</t>
        </is>
      </c>
      <c r="B1621" s="1" t="n">
        <v>44589</v>
      </c>
      <c r="C1621" s="1" t="n">
        <v>45932</v>
      </c>
      <c r="D1621" t="inlineStr">
        <is>
          <t>VÄRMLANDS LÄN</t>
        </is>
      </c>
      <c r="E1621" t="inlineStr">
        <is>
          <t>KIL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7170-2021</t>
        </is>
      </c>
      <c r="B1622" s="1" t="n">
        <v>44238</v>
      </c>
      <c r="C1622" s="1" t="n">
        <v>45932</v>
      </c>
      <c r="D1622" t="inlineStr">
        <is>
          <t>VÄRMLANDS LÄN</t>
        </is>
      </c>
      <c r="E1622" t="inlineStr">
        <is>
          <t>MUNKFORS</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59375-2021</t>
        </is>
      </c>
      <c r="B1623" s="1" t="n">
        <v>44491.3625</v>
      </c>
      <c r="C1623" s="1" t="n">
        <v>45932</v>
      </c>
      <c r="D1623" t="inlineStr">
        <is>
          <t>VÄRMLANDS LÄN</t>
        </is>
      </c>
      <c r="E1623" t="inlineStr">
        <is>
          <t>EDA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57469-2021</t>
        </is>
      </c>
      <c r="B1624" s="1" t="n">
        <v>44483</v>
      </c>
      <c r="C1624" s="1" t="n">
        <v>45932</v>
      </c>
      <c r="D1624" t="inlineStr">
        <is>
          <t>VÄRMLANDS LÄN</t>
        </is>
      </c>
      <c r="E1624" t="inlineStr">
        <is>
          <t>KARLSTAD</t>
        </is>
      </c>
      <c r="F1624" t="inlineStr">
        <is>
          <t>Kommuner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50294-2020</t>
        </is>
      </c>
      <c r="B1625" s="1" t="n">
        <v>44110</v>
      </c>
      <c r="C1625" s="1" t="n">
        <v>45932</v>
      </c>
      <c r="D1625" t="inlineStr">
        <is>
          <t>VÄRMLANDS LÄN</t>
        </is>
      </c>
      <c r="E1625" t="inlineStr">
        <is>
          <t>EDA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59376-2020</t>
        </is>
      </c>
      <c r="B1626" s="1" t="n">
        <v>44148</v>
      </c>
      <c r="C1626" s="1" t="n">
        <v>45932</v>
      </c>
      <c r="D1626" t="inlineStr">
        <is>
          <t>VÄRMLANDS LÄN</t>
        </is>
      </c>
      <c r="E1626" t="inlineStr">
        <is>
          <t>EDA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66334-2020</t>
        </is>
      </c>
      <c r="B1627" s="1" t="n">
        <v>44174</v>
      </c>
      <c r="C1627" s="1" t="n">
        <v>45932</v>
      </c>
      <c r="D1627" t="inlineStr">
        <is>
          <t>VÄRMLANDS LÄN</t>
        </is>
      </c>
      <c r="E1627" t="inlineStr">
        <is>
          <t>ÅRJÄNG</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82-2022</t>
        </is>
      </c>
      <c r="B1628" s="1" t="n">
        <v>44564.47741898148</v>
      </c>
      <c r="C1628" s="1" t="n">
        <v>45932</v>
      </c>
      <c r="D1628" t="inlineStr">
        <is>
          <t>VÄRMLANDS LÄN</t>
        </is>
      </c>
      <c r="E1628" t="inlineStr">
        <is>
          <t>SUNNE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61514-2021</t>
        </is>
      </c>
      <c r="B1629" s="1" t="n">
        <v>44501.3636574074</v>
      </c>
      <c r="C1629" s="1" t="n">
        <v>45932</v>
      </c>
      <c r="D1629" t="inlineStr">
        <is>
          <t>VÄRMLANDS LÄN</t>
        </is>
      </c>
      <c r="E1629" t="inlineStr">
        <is>
          <t>KARLSTAD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62334-2021</t>
        </is>
      </c>
      <c r="B1630" s="1" t="n">
        <v>44501</v>
      </c>
      <c r="C1630" s="1" t="n">
        <v>45932</v>
      </c>
      <c r="D1630" t="inlineStr">
        <is>
          <t>VÄRMLANDS LÄN</t>
        </is>
      </c>
      <c r="E1630" t="inlineStr">
        <is>
          <t>SUNNE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33515-2021</t>
        </is>
      </c>
      <c r="B1631" s="1" t="n">
        <v>44377</v>
      </c>
      <c r="C1631" s="1" t="n">
        <v>45932</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33517-2021</t>
        </is>
      </c>
      <c r="B1632" s="1" t="n">
        <v>44377</v>
      </c>
      <c r="C1632" s="1" t="n">
        <v>45932</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57734-2021</t>
        </is>
      </c>
      <c r="B1633" s="1" t="n">
        <v>44484.52479166666</v>
      </c>
      <c r="C1633" s="1" t="n">
        <v>45932</v>
      </c>
      <c r="D1633" t="inlineStr">
        <is>
          <t>VÄRMLANDS LÄN</t>
        </is>
      </c>
      <c r="E1633" t="inlineStr">
        <is>
          <t>STORFORS</t>
        </is>
      </c>
      <c r="F1633" t="inlineStr">
        <is>
          <t>Naturvårdsverket</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72346-2021</t>
        </is>
      </c>
      <c r="B1634" s="1" t="n">
        <v>44544</v>
      </c>
      <c r="C1634" s="1" t="n">
        <v>45932</v>
      </c>
      <c r="D1634" t="inlineStr">
        <is>
          <t>VÄRMLANDS LÄN</t>
        </is>
      </c>
      <c r="E1634" t="inlineStr">
        <is>
          <t>KARLSTAD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22657-2021</t>
        </is>
      </c>
      <c r="B1635" s="1" t="n">
        <v>44327</v>
      </c>
      <c r="C1635" s="1" t="n">
        <v>45932</v>
      </c>
      <c r="D1635" t="inlineStr">
        <is>
          <t>VÄRMLANDS LÄN</t>
        </is>
      </c>
      <c r="E1635" t="inlineStr">
        <is>
          <t>KARLSTAD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22671-2021</t>
        </is>
      </c>
      <c r="B1636" s="1" t="n">
        <v>44327</v>
      </c>
      <c r="C1636" s="1" t="n">
        <v>45932</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55989-2021</t>
        </is>
      </c>
      <c r="B1637" s="1" t="n">
        <v>44477.40104166666</v>
      </c>
      <c r="C1637" s="1" t="n">
        <v>45932</v>
      </c>
      <c r="D1637" t="inlineStr">
        <is>
          <t>VÄRMLANDS LÄN</t>
        </is>
      </c>
      <c r="E1637" t="inlineStr">
        <is>
          <t>EDA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5050-2021</t>
        </is>
      </c>
      <c r="B1638" s="1" t="n">
        <v>44228.5018287037</v>
      </c>
      <c r="C1638" s="1" t="n">
        <v>45932</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65060-2021</t>
        </is>
      </c>
      <c r="B1639" s="1" t="n">
        <v>44515</v>
      </c>
      <c r="C1639" s="1" t="n">
        <v>45932</v>
      </c>
      <c r="D1639" t="inlineStr">
        <is>
          <t>VÄRMLANDS LÄN</t>
        </is>
      </c>
      <c r="E1639" t="inlineStr">
        <is>
          <t>EDA</t>
        </is>
      </c>
      <c r="F1639" t="inlineStr">
        <is>
          <t>Bergvik skog väst AB</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65074-2021</t>
        </is>
      </c>
      <c r="B1640" s="1" t="n">
        <v>44515</v>
      </c>
      <c r="C1640" s="1" t="n">
        <v>45932</v>
      </c>
      <c r="D1640" t="inlineStr">
        <is>
          <t>VÄRMLANDS LÄN</t>
        </is>
      </c>
      <c r="E1640" t="inlineStr">
        <is>
          <t>SUNNE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35391-2022</t>
        </is>
      </c>
      <c r="B1641" s="1" t="n">
        <v>44798</v>
      </c>
      <c r="C1641" s="1" t="n">
        <v>45932</v>
      </c>
      <c r="D1641" t="inlineStr">
        <is>
          <t>VÄRMLANDS LÄN</t>
        </is>
      </c>
      <c r="E1641" t="inlineStr">
        <is>
          <t>GRUMS</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34538-2021</t>
        </is>
      </c>
      <c r="B1642" s="1" t="n">
        <v>44382</v>
      </c>
      <c r="C1642" s="1" t="n">
        <v>45932</v>
      </c>
      <c r="D1642" t="inlineStr">
        <is>
          <t>VÄRMLANDS LÄN</t>
        </is>
      </c>
      <c r="E1642" t="inlineStr">
        <is>
          <t>MUNKFORS</t>
        </is>
      </c>
      <c r="F1642" t="inlineStr">
        <is>
          <t>Kommuner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259-2022</t>
        </is>
      </c>
      <c r="B1643" s="1" t="n">
        <v>44565</v>
      </c>
      <c r="C1643" s="1" t="n">
        <v>45932</v>
      </c>
      <c r="D1643" t="inlineStr">
        <is>
          <t>VÄRMLANDS LÄN</t>
        </is>
      </c>
      <c r="E1643" t="inlineStr">
        <is>
          <t>SUNNE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65979-2021</t>
        </is>
      </c>
      <c r="B1644" s="1" t="n">
        <v>44517.54078703704</v>
      </c>
      <c r="C1644" s="1" t="n">
        <v>45932</v>
      </c>
      <c r="D1644" t="inlineStr">
        <is>
          <t>VÄRMLANDS LÄN</t>
        </is>
      </c>
      <c r="E1644" t="inlineStr">
        <is>
          <t>ÅRJÄNG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63140-2021</t>
        </is>
      </c>
      <c r="B1645" s="1" t="n">
        <v>44505</v>
      </c>
      <c r="C1645" s="1" t="n">
        <v>45932</v>
      </c>
      <c r="D1645" t="inlineStr">
        <is>
          <t>VÄRMLANDS LÄN</t>
        </is>
      </c>
      <c r="E1645" t="inlineStr">
        <is>
          <t>FILIPSTAD</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17006-2022</t>
        </is>
      </c>
      <c r="B1646" s="1" t="n">
        <v>44676</v>
      </c>
      <c r="C1646" s="1" t="n">
        <v>45932</v>
      </c>
      <c r="D1646" t="inlineStr">
        <is>
          <t>VÄRMLANDS LÄN</t>
        </is>
      </c>
      <c r="E1646" t="inlineStr">
        <is>
          <t>SÄFFLE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675-2022</t>
        </is>
      </c>
      <c r="B1647" s="1" t="n">
        <v>44568</v>
      </c>
      <c r="C1647" s="1" t="n">
        <v>45932</v>
      </c>
      <c r="D1647" t="inlineStr">
        <is>
          <t>VÄRMLANDS LÄN</t>
        </is>
      </c>
      <c r="E1647" t="inlineStr">
        <is>
          <t>SUNNE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61835-2021</t>
        </is>
      </c>
      <c r="B1648" s="1" t="n">
        <v>44501.88946759259</v>
      </c>
      <c r="C1648" s="1" t="n">
        <v>45932</v>
      </c>
      <c r="D1648" t="inlineStr">
        <is>
          <t>VÄRMLANDS LÄN</t>
        </is>
      </c>
      <c r="E1648" t="inlineStr">
        <is>
          <t>ARVIKA</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7555-2021</t>
        </is>
      </c>
      <c r="B1649" s="1" t="n">
        <v>44239</v>
      </c>
      <c r="C1649" s="1" t="n">
        <v>45932</v>
      </c>
      <c r="D1649" t="inlineStr">
        <is>
          <t>VÄRMLANDS LÄN</t>
        </is>
      </c>
      <c r="E1649" t="inlineStr">
        <is>
          <t>ÅRJÄNG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56567-2020</t>
        </is>
      </c>
      <c r="B1650" s="1" t="n">
        <v>44137</v>
      </c>
      <c r="C1650" s="1" t="n">
        <v>45932</v>
      </c>
      <c r="D1650" t="inlineStr">
        <is>
          <t>VÄRMLANDS LÄN</t>
        </is>
      </c>
      <c r="E1650" t="inlineStr">
        <is>
          <t>HAGFORS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38342-2022</t>
        </is>
      </c>
      <c r="B1651" s="1" t="n">
        <v>44812.61857638889</v>
      </c>
      <c r="C1651" s="1" t="n">
        <v>45932</v>
      </c>
      <c r="D1651" t="inlineStr">
        <is>
          <t>VÄRMLANDS LÄN</t>
        </is>
      </c>
      <c r="E1651" t="inlineStr">
        <is>
          <t>ARVIKA</t>
        </is>
      </c>
      <c r="F1651" t="inlineStr">
        <is>
          <t>Bergvik skog väst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55059-2021</t>
        </is>
      </c>
      <c r="B1652" s="1" t="n">
        <v>44474.6218287037</v>
      </c>
      <c r="C1652" s="1" t="n">
        <v>45932</v>
      </c>
      <c r="D1652" t="inlineStr">
        <is>
          <t>VÄRMLANDS LÄN</t>
        </is>
      </c>
      <c r="E1652" t="inlineStr">
        <is>
          <t>KIL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62310-2021</t>
        </is>
      </c>
      <c r="B1653" s="1" t="n">
        <v>44501</v>
      </c>
      <c r="C1653" s="1" t="n">
        <v>45932</v>
      </c>
      <c r="D1653" t="inlineStr">
        <is>
          <t>VÄRMLANDS LÄN</t>
        </is>
      </c>
      <c r="E1653" t="inlineStr">
        <is>
          <t>SUNNE</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54916-2020</t>
        </is>
      </c>
      <c r="B1654" s="1" t="n">
        <v>44127</v>
      </c>
      <c r="C1654" s="1" t="n">
        <v>45932</v>
      </c>
      <c r="D1654" t="inlineStr">
        <is>
          <t>VÄRMLANDS LÄN</t>
        </is>
      </c>
      <c r="E1654" t="inlineStr">
        <is>
          <t>TORSBY</t>
        </is>
      </c>
      <c r="F1654" t="inlineStr">
        <is>
          <t>Kyrkan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56849-2020</t>
        </is>
      </c>
      <c r="B1655" s="1" t="n">
        <v>44134</v>
      </c>
      <c r="C1655" s="1" t="n">
        <v>45932</v>
      </c>
      <c r="D1655" t="inlineStr">
        <is>
          <t>VÄRMLANDS LÄN</t>
        </is>
      </c>
      <c r="E1655" t="inlineStr">
        <is>
          <t>ÅRJÄNG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8945-2022</t>
        </is>
      </c>
      <c r="B1656" s="1" t="n">
        <v>44614.79133101852</v>
      </c>
      <c r="C1656" s="1" t="n">
        <v>45932</v>
      </c>
      <c r="D1656" t="inlineStr">
        <is>
          <t>VÄRMLANDS LÄN</t>
        </is>
      </c>
      <c r="E1656" t="inlineStr">
        <is>
          <t>EDA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40411-2022</t>
        </is>
      </c>
      <c r="B1657" s="1" t="n">
        <v>44823</v>
      </c>
      <c r="C1657" s="1" t="n">
        <v>45932</v>
      </c>
      <c r="D1657" t="inlineStr">
        <is>
          <t>VÄRMLANDS LÄN</t>
        </is>
      </c>
      <c r="E1657" t="inlineStr">
        <is>
          <t>SUNNE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40439-2022</t>
        </is>
      </c>
      <c r="B1658" s="1" t="n">
        <v>44823.4903125</v>
      </c>
      <c r="C1658" s="1" t="n">
        <v>45932</v>
      </c>
      <c r="D1658" t="inlineStr">
        <is>
          <t>VÄRMLANDS LÄN</t>
        </is>
      </c>
      <c r="E1658" t="inlineStr">
        <is>
          <t>ÅRJÄNG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20041-2022</t>
        </is>
      </c>
      <c r="B1659" s="1" t="n">
        <v>44697.70008101852</v>
      </c>
      <c r="C1659" s="1" t="n">
        <v>45932</v>
      </c>
      <c r="D1659" t="inlineStr">
        <is>
          <t>VÄRMLANDS LÄN</t>
        </is>
      </c>
      <c r="E1659" t="inlineStr">
        <is>
          <t>SUNNE</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20045-2022</t>
        </is>
      </c>
      <c r="B1660" s="1" t="n">
        <v>44697</v>
      </c>
      <c r="C1660" s="1" t="n">
        <v>45932</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66165-2020</t>
        </is>
      </c>
      <c r="B1661" s="1" t="n">
        <v>44175</v>
      </c>
      <c r="C1661" s="1" t="n">
        <v>45932</v>
      </c>
      <c r="D1661" t="inlineStr">
        <is>
          <t>VÄRMLANDS LÄN</t>
        </is>
      </c>
      <c r="E1661" t="inlineStr">
        <is>
          <t>HAGFORS</t>
        </is>
      </c>
      <c r="F1661" t="inlineStr">
        <is>
          <t>Bergvik skog väst AB</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29507-2022</t>
        </is>
      </c>
      <c r="B1662" s="1" t="n">
        <v>44753</v>
      </c>
      <c r="C1662" s="1" t="n">
        <v>45932</v>
      </c>
      <c r="D1662" t="inlineStr">
        <is>
          <t>VÄRMLANDS LÄN</t>
        </is>
      </c>
      <c r="E1662" t="inlineStr">
        <is>
          <t>FORSHAGA</t>
        </is>
      </c>
      <c r="F1662" t="inlineStr">
        <is>
          <t>Kommuner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57314-2021</t>
        </is>
      </c>
      <c r="B1663" s="1" t="n">
        <v>44483.44457175926</v>
      </c>
      <c r="C1663" s="1" t="n">
        <v>45932</v>
      </c>
      <c r="D1663" t="inlineStr">
        <is>
          <t>VÄRMLANDS LÄN</t>
        </is>
      </c>
      <c r="E1663" t="inlineStr">
        <is>
          <t>KIL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64526-2021</t>
        </is>
      </c>
      <c r="B1664" s="1" t="n">
        <v>44511.62271990741</v>
      </c>
      <c r="C1664" s="1" t="n">
        <v>45932</v>
      </c>
      <c r="D1664" t="inlineStr">
        <is>
          <t>VÄRMLANDS LÄN</t>
        </is>
      </c>
      <c r="E1664" t="inlineStr">
        <is>
          <t>FILIPSTAD</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1301-2022</t>
        </is>
      </c>
      <c r="B1665" s="1" t="n">
        <v>44572</v>
      </c>
      <c r="C1665" s="1" t="n">
        <v>45932</v>
      </c>
      <c r="D1665" t="inlineStr">
        <is>
          <t>VÄRMLANDS LÄN</t>
        </is>
      </c>
      <c r="E1665" t="inlineStr">
        <is>
          <t>SUNNE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73470-2021</t>
        </is>
      </c>
      <c r="B1666" s="1" t="n">
        <v>44551</v>
      </c>
      <c r="C1666" s="1" t="n">
        <v>45932</v>
      </c>
      <c r="D1666" t="inlineStr">
        <is>
          <t>VÄRMLANDS LÄN</t>
        </is>
      </c>
      <c r="E1666" t="inlineStr">
        <is>
          <t>SUNNE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68244-2020</t>
        </is>
      </c>
      <c r="B1667" s="1" t="n">
        <v>44182</v>
      </c>
      <c r="C1667" s="1" t="n">
        <v>45932</v>
      </c>
      <c r="D1667" t="inlineStr">
        <is>
          <t>VÄRMLANDS LÄN</t>
        </is>
      </c>
      <c r="E1667" t="inlineStr">
        <is>
          <t>EDA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4571-2022</t>
        </is>
      </c>
      <c r="B1668" s="1" t="n">
        <v>44591.73207175926</v>
      </c>
      <c r="C1668" s="1" t="n">
        <v>45932</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61383-2020</t>
        </is>
      </c>
      <c r="B1669" s="1" t="n">
        <v>44155</v>
      </c>
      <c r="C1669" s="1" t="n">
        <v>45932</v>
      </c>
      <c r="D1669" t="inlineStr">
        <is>
          <t>VÄRMLANDS LÄN</t>
        </is>
      </c>
      <c r="E1669" t="inlineStr">
        <is>
          <t>GRUMS</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70921-2021</t>
        </is>
      </c>
      <c r="B1670" s="1" t="n">
        <v>44537</v>
      </c>
      <c r="C1670" s="1" t="n">
        <v>45932</v>
      </c>
      <c r="D1670" t="inlineStr">
        <is>
          <t>VÄRMLANDS LÄN</t>
        </is>
      </c>
      <c r="E1670" t="inlineStr">
        <is>
          <t>KARLSTAD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21031-2021</t>
        </is>
      </c>
      <c r="B1671" s="1" t="n">
        <v>44319</v>
      </c>
      <c r="C1671" s="1" t="n">
        <v>45932</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69177-2020</t>
        </is>
      </c>
      <c r="B1672" s="1" t="n">
        <v>44189</v>
      </c>
      <c r="C1672" s="1" t="n">
        <v>45932</v>
      </c>
      <c r="D1672" t="inlineStr">
        <is>
          <t>VÄRMLANDS LÄN</t>
        </is>
      </c>
      <c r="E1672" t="inlineStr">
        <is>
          <t>SÄFFLE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52141-2020</t>
        </is>
      </c>
      <c r="B1673" s="1" t="n">
        <v>44117</v>
      </c>
      <c r="C1673" s="1" t="n">
        <v>45932</v>
      </c>
      <c r="D1673" t="inlineStr">
        <is>
          <t>VÄRMLANDS LÄN</t>
        </is>
      </c>
      <c r="E1673" t="inlineStr">
        <is>
          <t>TORSBY</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4445-2022</t>
        </is>
      </c>
      <c r="B1674" s="1" t="n">
        <v>44589</v>
      </c>
      <c r="C1674" s="1" t="n">
        <v>45932</v>
      </c>
      <c r="D1674" t="inlineStr">
        <is>
          <t>VÄRMLANDS LÄN</t>
        </is>
      </c>
      <c r="E1674" t="inlineStr">
        <is>
          <t>KIL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9630-2022</t>
        </is>
      </c>
      <c r="B1675" s="1" t="n">
        <v>44617</v>
      </c>
      <c r="C1675" s="1" t="n">
        <v>45932</v>
      </c>
      <c r="D1675" t="inlineStr">
        <is>
          <t>VÄRMLANDS LÄN</t>
        </is>
      </c>
      <c r="E1675" t="inlineStr">
        <is>
          <t>ÅRJÄNG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56531-2020</t>
        </is>
      </c>
      <c r="B1676" s="1" t="n">
        <v>44137</v>
      </c>
      <c r="C1676" s="1" t="n">
        <v>45932</v>
      </c>
      <c r="D1676" t="inlineStr">
        <is>
          <t>VÄRMLANDS LÄN</t>
        </is>
      </c>
      <c r="E1676" t="inlineStr">
        <is>
          <t>GRUMS</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63383-2020</t>
        </is>
      </c>
      <c r="B1677" s="1" t="n">
        <v>44165.49491898148</v>
      </c>
      <c r="C1677" s="1" t="n">
        <v>45932</v>
      </c>
      <c r="D1677" t="inlineStr">
        <is>
          <t>VÄRMLANDS LÄN</t>
        </is>
      </c>
      <c r="E1677" t="inlineStr">
        <is>
          <t>ÅRJÄNG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14214-2021</t>
        </is>
      </c>
      <c r="B1678" s="1" t="n">
        <v>44278</v>
      </c>
      <c r="C1678" s="1" t="n">
        <v>45932</v>
      </c>
      <c r="D1678" t="inlineStr">
        <is>
          <t>VÄRMLANDS LÄN</t>
        </is>
      </c>
      <c r="E1678" t="inlineStr">
        <is>
          <t>SUNNE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62130-2020</t>
        </is>
      </c>
      <c r="B1679" s="1" t="n">
        <v>44158</v>
      </c>
      <c r="C1679" s="1" t="n">
        <v>45932</v>
      </c>
      <c r="D1679" t="inlineStr">
        <is>
          <t>VÄRMLANDS LÄN</t>
        </is>
      </c>
      <c r="E1679" t="inlineStr">
        <is>
          <t>KARLSTAD</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57775-2020</t>
        </is>
      </c>
      <c r="B1680" s="1" t="n">
        <v>44141</v>
      </c>
      <c r="C1680" s="1" t="n">
        <v>45932</v>
      </c>
      <c r="D1680" t="inlineStr">
        <is>
          <t>VÄRMLANDS LÄN</t>
        </is>
      </c>
      <c r="E1680" t="inlineStr">
        <is>
          <t>KRISTINEHAMN</t>
        </is>
      </c>
      <c r="F1680" t="inlineStr">
        <is>
          <t>Sveaskog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57776-2020</t>
        </is>
      </c>
      <c r="B1681" s="1" t="n">
        <v>44141</v>
      </c>
      <c r="C1681" s="1" t="n">
        <v>45932</v>
      </c>
      <c r="D1681" t="inlineStr">
        <is>
          <t>VÄRMLANDS LÄN</t>
        </is>
      </c>
      <c r="E1681" t="inlineStr">
        <is>
          <t>KRISTINEHAMN</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57778-2020</t>
        </is>
      </c>
      <c r="B1682" s="1" t="n">
        <v>44141.34995370371</v>
      </c>
      <c r="C1682" s="1" t="n">
        <v>45932</v>
      </c>
      <c r="D1682" t="inlineStr">
        <is>
          <t>VÄRMLANDS LÄN</t>
        </is>
      </c>
      <c r="E1682" t="inlineStr">
        <is>
          <t>KRISTINEHAMN</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27394-2022</t>
        </is>
      </c>
      <c r="B1683" s="1" t="n">
        <v>44742</v>
      </c>
      <c r="C1683" s="1" t="n">
        <v>45932</v>
      </c>
      <c r="D1683" t="inlineStr">
        <is>
          <t>VÄRMLANDS LÄN</t>
        </is>
      </c>
      <c r="E1683" t="inlineStr">
        <is>
          <t>KRISTINEHAMN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14854-2022</t>
        </is>
      </c>
      <c r="B1684" s="1" t="n">
        <v>44656</v>
      </c>
      <c r="C1684" s="1" t="n">
        <v>45932</v>
      </c>
      <c r="D1684" t="inlineStr">
        <is>
          <t>VÄRMLANDS LÄN</t>
        </is>
      </c>
      <c r="E1684" t="inlineStr">
        <is>
          <t>KARLSTAD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13514-2022</t>
        </is>
      </c>
      <c r="B1685" s="1" t="n">
        <v>44648.34890046297</v>
      </c>
      <c r="C1685" s="1" t="n">
        <v>45932</v>
      </c>
      <c r="D1685" t="inlineStr">
        <is>
          <t>VÄRMLANDS LÄN</t>
        </is>
      </c>
      <c r="E1685" t="inlineStr">
        <is>
          <t>ARVIKA</t>
        </is>
      </c>
      <c r="F1685" t="inlineStr">
        <is>
          <t>Bergvik skog väst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68517-2020</t>
        </is>
      </c>
      <c r="B1686" s="1" t="n">
        <v>44186</v>
      </c>
      <c r="C1686" s="1" t="n">
        <v>45932</v>
      </c>
      <c r="D1686" t="inlineStr">
        <is>
          <t>VÄRMLANDS LÄN</t>
        </is>
      </c>
      <c r="E1686" t="inlineStr">
        <is>
          <t>FILIPSTAD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13578-2022</t>
        </is>
      </c>
      <c r="B1687" s="1" t="n">
        <v>44648.46649305556</v>
      </c>
      <c r="C1687" s="1" t="n">
        <v>45932</v>
      </c>
      <c r="D1687" t="inlineStr">
        <is>
          <t>VÄRMLANDS LÄN</t>
        </is>
      </c>
      <c r="E1687" t="inlineStr">
        <is>
          <t>MUNKFORS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997-2022</t>
        </is>
      </c>
      <c r="B1688" s="1" t="n">
        <v>44571</v>
      </c>
      <c r="C1688" s="1" t="n">
        <v>45932</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7830-2022</t>
        </is>
      </c>
      <c r="B1689" s="1" t="n">
        <v>44608</v>
      </c>
      <c r="C1689" s="1" t="n">
        <v>45932</v>
      </c>
      <c r="D1689" t="inlineStr">
        <is>
          <t>VÄRMLANDS LÄN</t>
        </is>
      </c>
      <c r="E1689" t="inlineStr">
        <is>
          <t>FORSHAGA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64552-2021</t>
        </is>
      </c>
      <c r="B1690" s="1" t="n">
        <v>44511.63989583333</v>
      </c>
      <c r="C1690" s="1" t="n">
        <v>45932</v>
      </c>
      <c r="D1690" t="inlineStr">
        <is>
          <t>VÄRMLANDS LÄN</t>
        </is>
      </c>
      <c r="E1690" t="inlineStr">
        <is>
          <t>KIL</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26558-2021</t>
        </is>
      </c>
      <c r="B1691" s="1" t="n">
        <v>44348</v>
      </c>
      <c r="C1691" s="1" t="n">
        <v>45932</v>
      </c>
      <c r="D1691" t="inlineStr">
        <is>
          <t>VÄRMLANDS LÄN</t>
        </is>
      </c>
      <c r="E1691" t="inlineStr">
        <is>
          <t>TORSBY</t>
        </is>
      </c>
      <c r="G1691" t="n">
        <v>19.7</v>
      </c>
      <c r="H1691" t="n">
        <v>0</v>
      </c>
      <c r="I1691" t="n">
        <v>0</v>
      </c>
      <c r="J1691" t="n">
        <v>0</v>
      </c>
      <c r="K1691" t="n">
        <v>0</v>
      </c>
      <c r="L1691" t="n">
        <v>0</v>
      </c>
      <c r="M1691" t="n">
        <v>0</v>
      </c>
      <c r="N1691" t="n">
        <v>0</v>
      </c>
      <c r="O1691" t="n">
        <v>0</v>
      </c>
      <c r="P1691" t="n">
        <v>0</v>
      </c>
      <c r="Q1691" t="n">
        <v>0</v>
      </c>
      <c r="R1691" s="2" t="inlineStr"/>
    </row>
    <row r="1692" ht="15" customHeight="1">
      <c r="A1692" t="inlineStr">
        <is>
          <t>A 68155-2021</t>
        </is>
      </c>
      <c r="B1692" s="1" t="n">
        <v>44526</v>
      </c>
      <c r="C1692" s="1" t="n">
        <v>45932</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14320-2022</t>
        </is>
      </c>
      <c r="B1693" s="1" t="n">
        <v>44652</v>
      </c>
      <c r="C1693" s="1" t="n">
        <v>45932</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4086-2021</t>
        </is>
      </c>
      <c r="B1694" s="1" t="n">
        <v>44222</v>
      </c>
      <c r="C1694" s="1" t="n">
        <v>45932</v>
      </c>
      <c r="D1694" t="inlineStr">
        <is>
          <t>VÄRMLANDS LÄN</t>
        </is>
      </c>
      <c r="E1694" t="inlineStr">
        <is>
          <t>ARVIKA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70713-2021</t>
        </is>
      </c>
      <c r="B1695" s="1" t="n">
        <v>44537</v>
      </c>
      <c r="C1695" s="1" t="n">
        <v>45932</v>
      </c>
      <c r="D1695" t="inlineStr">
        <is>
          <t>VÄRMLANDS LÄN</t>
        </is>
      </c>
      <c r="E1695" t="inlineStr">
        <is>
          <t>HAGFORS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39125-2021</t>
        </is>
      </c>
      <c r="B1696" s="1" t="n">
        <v>44412</v>
      </c>
      <c r="C1696" s="1" t="n">
        <v>45932</v>
      </c>
      <c r="D1696" t="inlineStr">
        <is>
          <t>VÄRMLANDS LÄN</t>
        </is>
      </c>
      <c r="E1696" t="inlineStr">
        <is>
          <t>SUNNE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5202-2022</t>
        </is>
      </c>
      <c r="B1697" s="1" t="n">
        <v>44594</v>
      </c>
      <c r="C1697" s="1" t="n">
        <v>45932</v>
      </c>
      <c r="D1697" t="inlineStr">
        <is>
          <t>VÄRMLANDS LÄN</t>
        </is>
      </c>
      <c r="E1697" t="inlineStr">
        <is>
          <t>HAGFORS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17514-2022</t>
        </is>
      </c>
      <c r="B1698" s="1" t="n">
        <v>44679</v>
      </c>
      <c r="C1698" s="1" t="n">
        <v>45932</v>
      </c>
      <c r="D1698" t="inlineStr">
        <is>
          <t>VÄRMLANDS LÄN</t>
        </is>
      </c>
      <c r="E1698" t="inlineStr">
        <is>
          <t>SUNNE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64543-2021</t>
        </is>
      </c>
      <c r="B1699" s="1" t="n">
        <v>44511.6343287037</v>
      </c>
      <c r="C1699" s="1" t="n">
        <v>45932</v>
      </c>
      <c r="D1699" t="inlineStr">
        <is>
          <t>VÄRMLANDS LÄN</t>
        </is>
      </c>
      <c r="E1699" t="inlineStr">
        <is>
          <t>KIL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64559-2021</t>
        </is>
      </c>
      <c r="B1700" s="1" t="n">
        <v>44511.64890046296</v>
      </c>
      <c r="C1700" s="1" t="n">
        <v>45932</v>
      </c>
      <c r="D1700" t="inlineStr">
        <is>
          <t>VÄRMLANDS LÄN</t>
        </is>
      </c>
      <c r="E1700" t="inlineStr">
        <is>
          <t>KIL</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53361-2020</t>
        </is>
      </c>
      <c r="B1701" s="1" t="n">
        <v>44123</v>
      </c>
      <c r="C1701" s="1" t="n">
        <v>45932</v>
      </c>
      <c r="D1701" t="inlineStr">
        <is>
          <t>VÄRMLANDS LÄN</t>
        </is>
      </c>
      <c r="E1701" t="inlineStr">
        <is>
          <t>KRISTINEHAMN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3348-2022</t>
        </is>
      </c>
      <c r="B1702" s="1" t="n">
        <v>44585.38177083333</v>
      </c>
      <c r="C1702" s="1" t="n">
        <v>45932</v>
      </c>
      <c r="D1702" t="inlineStr">
        <is>
          <t>VÄRMLANDS LÄN</t>
        </is>
      </c>
      <c r="E1702" t="inlineStr">
        <is>
          <t>EDA</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11945-2021</t>
        </is>
      </c>
      <c r="B1703" s="1" t="n">
        <v>44266.37754629629</v>
      </c>
      <c r="C1703" s="1" t="n">
        <v>45932</v>
      </c>
      <c r="D1703" t="inlineStr">
        <is>
          <t>VÄRMLANDS LÄN</t>
        </is>
      </c>
      <c r="E1703" t="inlineStr">
        <is>
          <t>ARVIKA</t>
        </is>
      </c>
      <c r="F1703" t="inlineStr">
        <is>
          <t>Bergvik skog väst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58340-2020</t>
        </is>
      </c>
      <c r="B1704" s="1" t="n">
        <v>44145.3672337963</v>
      </c>
      <c r="C1704" s="1" t="n">
        <v>45932</v>
      </c>
      <c r="D1704" t="inlineStr">
        <is>
          <t>VÄRMLANDS LÄN</t>
        </is>
      </c>
      <c r="E1704" t="inlineStr">
        <is>
          <t>SÄFFLE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41974-2021</t>
        </is>
      </c>
      <c r="B1705" s="1" t="n">
        <v>44426</v>
      </c>
      <c r="C1705" s="1" t="n">
        <v>45932</v>
      </c>
      <c r="D1705" t="inlineStr">
        <is>
          <t>VÄRMLANDS LÄN</t>
        </is>
      </c>
      <c r="E1705" t="inlineStr">
        <is>
          <t>SUNNE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41987-2021</t>
        </is>
      </c>
      <c r="B1706" s="1" t="n">
        <v>44426</v>
      </c>
      <c r="C1706" s="1" t="n">
        <v>45932</v>
      </c>
      <c r="D1706" t="inlineStr">
        <is>
          <t>VÄRMLANDS LÄN</t>
        </is>
      </c>
      <c r="E1706" t="inlineStr">
        <is>
          <t>SUNNE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43136-2021</t>
        </is>
      </c>
      <c r="B1707" s="1" t="n">
        <v>44431.6690625</v>
      </c>
      <c r="C1707" s="1" t="n">
        <v>45932</v>
      </c>
      <c r="D1707" t="inlineStr">
        <is>
          <t>VÄRMLANDS LÄN</t>
        </is>
      </c>
      <c r="E1707" t="inlineStr">
        <is>
          <t>TORSBY</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47436-2021</t>
        </is>
      </c>
      <c r="B1708" s="1" t="n">
        <v>44447</v>
      </c>
      <c r="C1708" s="1" t="n">
        <v>45932</v>
      </c>
      <c r="D1708" t="inlineStr">
        <is>
          <t>VÄRMLANDS LÄN</t>
        </is>
      </c>
      <c r="E1708" t="inlineStr">
        <is>
          <t>FORSHAGA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28471-2021</t>
        </is>
      </c>
      <c r="B1709" s="1" t="n">
        <v>44356</v>
      </c>
      <c r="C1709" s="1" t="n">
        <v>45932</v>
      </c>
      <c r="D1709" t="inlineStr">
        <is>
          <t>VÄRMLANDS LÄN</t>
        </is>
      </c>
      <c r="E1709" t="inlineStr">
        <is>
          <t>EDA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59147-2020</t>
        </is>
      </c>
      <c r="B1710" s="1" t="n">
        <v>44147</v>
      </c>
      <c r="C1710" s="1" t="n">
        <v>45932</v>
      </c>
      <c r="D1710" t="inlineStr">
        <is>
          <t>VÄRMLANDS LÄN</t>
        </is>
      </c>
      <c r="E1710" t="inlineStr">
        <is>
          <t>KIL</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8378-2021</t>
        </is>
      </c>
      <c r="B1711" s="1" t="n">
        <v>44245</v>
      </c>
      <c r="C1711" s="1" t="n">
        <v>45932</v>
      </c>
      <c r="D1711" t="inlineStr">
        <is>
          <t>VÄRMLANDS LÄN</t>
        </is>
      </c>
      <c r="E1711" t="inlineStr">
        <is>
          <t>HAGFORS</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10842-2022</t>
        </is>
      </c>
      <c r="B1712" s="1" t="n">
        <v>44627.57815972222</v>
      </c>
      <c r="C1712" s="1" t="n">
        <v>45932</v>
      </c>
      <c r="D1712" t="inlineStr">
        <is>
          <t>VÄRMLANDS LÄN</t>
        </is>
      </c>
      <c r="E1712" t="inlineStr">
        <is>
          <t>ARVIKA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35116-2022</t>
        </is>
      </c>
      <c r="B1713" s="1" t="n">
        <v>44797.45269675926</v>
      </c>
      <c r="C1713" s="1" t="n">
        <v>45932</v>
      </c>
      <c r="D1713" t="inlineStr">
        <is>
          <t>VÄRMLANDS LÄN</t>
        </is>
      </c>
      <c r="E1713" t="inlineStr">
        <is>
          <t>ARVIKA</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66553-2021</t>
        </is>
      </c>
      <c r="B1714" s="1" t="n">
        <v>44519.40490740741</v>
      </c>
      <c r="C1714" s="1" t="n">
        <v>45932</v>
      </c>
      <c r="D1714" t="inlineStr">
        <is>
          <t>VÄRMLANDS LÄN</t>
        </is>
      </c>
      <c r="E1714" t="inlineStr">
        <is>
          <t>ARVIKA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62135-2021</t>
        </is>
      </c>
      <c r="B1715" s="1" t="n">
        <v>44502</v>
      </c>
      <c r="C1715" s="1" t="n">
        <v>45932</v>
      </c>
      <c r="D1715" t="inlineStr">
        <is>
          <t>VÄRMLANDS LÄN</t>
        </is>
      </c>
      <c r="E1715" t="inlineStr">
        <is>
          <t>KIL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17923-2022</t>
        </is>
      </c>
      <c r="B1716" s="1" t="n">
        <v>44683</v>
      </c>
      <c r="C1716" s="1" t="n">
        <v>45932</v>
      </c>
      <c r="D1716" t="inlineStr">
        <is>
          <t>VÄRMLANDS LÄN</t>
        </is>
      </c>
      <c r="E1716" t="inlineStr">
        <is>
          <t>HAGFORS</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63356-2021</t>
        </is>
      </c>
      <c r="B1717" s="1" t="n">
        <v>44508.48819444444</v>
      </c>
      <c r="C1717" s="1" t="n">
        <v>45932</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50563-2020</t>
        </is>
      </c>
      <c r="B1718" s="1" t="n">
        <v>44110</v>
      </c>
      <c r="C1718" s="1" t="n">
        <v>45932</v>
      </c>
      <c r="D1718" t="inlineStr">
        <is>
          <t>VÄRMLANDS LÄN</t>
        </is>
      </c>
      <c r="E1718" t="inlineStr">
        <is>
          <t>HAGFORS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35349-2022</t>
        </is>
      </c>
      <c r="B1719" s="1" t="n">
        <v>44798.52652777778</v>
      </c>
      <c r="C1719" s="1" t="n">
        <v>45932</v>
      </c>
      <c r="D1719" t="inlineStr">
        <is>
          <t>VÄRMLANDS LÄN</t>
        </is>
      </c>
      <c r="E1719" t="inlineStr">
        <is>
          <t>SUNNE</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10884-2022</t>
        </is>
      </c>
      <c r="B1720" s="1" t="n">
        <v>44627.72101851852</v>
      </c>
      <c r="C1720" s="1" t="n">
        <v>45932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4936-2021</t>
        </is>
      </c>
      <c r="B1721" s="1" t="n">
        <v>44227.85820601852</v>
      </c>
      <c r="C1721" s="1" t="n">
        <v>45932</v>
      </c>
      <c r="D1721" t="inlineStr">
        <is>
          <t>VÄRMLANDS LÄN</t>
        </is>
      </c>
      <c r="E1721" t="inlineStr">
        <is>
          <t>EDA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5259-2021</t>
        </is>
      </c>
      <c r="B1722" s="1" t="n">
        <v>44229</v>
      </c>
      <c r="C1722" s="1" t="n">
        <v>45932</v>
      </c>
      <c r="D1722" t="inlineStr">
        <is>
          <t>VÄRMLANDS LÄN</t>
        </is>
      </c>
      <c r="E1722" t="inlineStr">
        <is>
          <t>ÅRJÄNG</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21382-2021</t>
        </is>
      </c>
      <c r="B1723" s="1" t="n">
        <v>44320</v>
      </c>
      <c r="C1723" s="1" t="n">
        <v>45932</v>
      </c>
      <c r="D1723" t="inlineStr">
        <is>
          <t>VÄRMLANDS LÄN</t>
        </is>
      </c>
      <c r="E1723" t="inlineStr">
        <is>
          <t>ARVIKA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39628-2021</t>
        </is>
      </c>
      <c r="B1724" s="1" t="n">
        <v>44413</v>
      </c>
      <c r="C1724" s="1" t="n">
        <v>45932</v>
      </c>
      <c r="D1724" t="inlineStr">
        <is>
          <t>VÄRMLANDS LÄN</t>
        </is>
      </c>
      <c r="E1724" t="inlineStr">
        <is>
          <t>KRISTINEHAMN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15380-2022</t>
        </is>
      </c>
      <c r="B1725" s="1" t="n">
        <v>44659.58193287037</v>
      </c>
      <c r="C1725" s="1" t="n">
        <v>45932</v>
      </c>
      <c r="D1725" t="inlineStr">
        <is>
          <t>VÄRMLANDS LÄN</t>
        </is>
      </c>
      <c r="E1725" t="inlineStr">
        <is>
          <t>EDA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47777-2021</t>
        </is>
      </c>
      <c r="B1726" s="1" t="n">
        <v>44448.5831712963</v>
      </c>
      <c r="C1726" s="1" t="n">
        <v>45932</v>
      </c>
      <c r="D1726" t="inlineStr">
        <is>
          <t>VÄRMLANDS LÄN</t>
        </is>
      </c>
      <c r="E1726" t="inlineStr">
        <is>
          <t>SÄFFLE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11184-2022</t>
        </is>
      </c>
      <c r="B1727" s="1" t="n">
        <v>44629</v>
      </c>
      <c r="C1727" s="1" t="n">
        <v>45932</v>
      </c>
      <c r="D1727" t="inlineStr">
        <is>
          <t>VÄRMLANDS LÄN</t>
        </is>
      </c>
      <c r="E1727" t="inlineStr">
        <is>
          <t>SÄFFLE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45554-2021</t>
        </is>
      </c>
      <c r="B1728" s="1" t="n">
        <v>44440</v>
      </c>
      <c r="C1728" s="1" t="n">
        <v>45932</v>
      </c>
      <c r="D1728" t="inlineStr">
        <is>
          <t>VÄRMLANDS LÄN</t>
        </is>
      </c>
      <c r="E1728" t="inlineStr">
        <is>
          <t>SÄFFLE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39000-2021</t>
        </is>
      </c>
      <c r="B1729" s="1" t="n">
        <v>44412</v>
      </c>
      <c r="C1729" s="1" t="n">
        <v>45932</v>
      </c>
      <c r="D1729" t="inlineStr">
        <is>
          <t>VÄRMLANDS LÄN</t>
        </is>
      </c>
      <c r="E1729" t="inlineStr">
        <is>
          <t>SUNNE</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20176-2022</t>
        </is>
      </c>
      <c r="B1730" s="1" t="n">
        <v>44698</v>
      </c>
      <c r="C1730" s="1" t="n">
        <v>45932</v>
      </c>
      <c r="D1730" t="inlineStr">
        <is>
          <t>VÄRMLANDS LÄN</t>
        </is>
      </c>
      <c r="E1730" t="inlineStr">
        <is>
          <t>ARVIKA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46899-2021</t>
        </is>
      </c>
      <c r="B1731" s="1" t="n">
        <v>44446</v>
      </c>
      <c r="C1731" s="1" t="n">
        <v>45932</v>
      </c>
      <c r="D1731" t="inlineStr">
        <is>
          <t>VÄRMLANDS LÄN</t>
        </is>
      </c>
      <c r="E1731" t="inlineStr">
        <is>
          <t>SÄFFLE</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66103-2021</t>
        </is>
      </c>
      <c r="B1732" s="1" t="n">
        <v>44517</v>
      </c>
      <c r="C1732" s="1" t="n">
        <v>45932</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36948-2021</t>
        </is>
      </c>
      <c r="B1733" s="1" t="n">
        <v>44393.53646990741</v>
      </c>
      <c r="C1733" s="1" t="n">
        <v>45932</v>
      </c>
      <c r="D1733" t="inlineStr">
        <is>
          <t>VÄRMLANDS LÄN</t>
        </is>
      </c>
      <c r="E1733" t="inlineStr">
        <is>
          <t>ÅRJÄNG</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50241-2021</t>
        </is>
      </c>
      <c r="B1734" s="1" t="n">
        <v>44458</v>
      </c>
      <c r="C1734" s="1" t="n">
        <v>45932</v>
      </c>
      <c r="D1734" t="inlineStr">
        <is>
          <t>VÄRMLANDS LÄN</t>
        </is>
      </c>
      <c r="E1734" t="inlineStr">
        <is>
          <t>SUNNE</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26786-2022</t>
        </is>
      </c>
      <c r="B1735" s="1" t="n">
        <v>44740</v>
      </c>
      <c r="C1735" s="1" t="n">
        <v>45932</v>
      </c>
      <c r="D1735" t="inlineStr">
        <is>
          <t>VÄRMLANDS LÄN</t>
        </is>
      </c>
      <c r="E1735" t="inlineStr">
        <is>
          <t>EDA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39665-2021</t>
        </is>
      </c>
      <c r="B1736" s="1" t="n">
        <v>44413</v>
      </c>
      <c r="C1736" s="1" t="n">
        <v>45932</v>
      </c>
      <c r="D1736" t="inlineStr">
        <is>
          <t>VÄRMLANDS LÄN</t>
        </is>
      </c>
      <c r="E1736" t="inlineStr">
        <is>
          <t>GRUMS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27871-2021</t>
        </is>
      </c>
      <c r="B1737" s="1" t="n">
        <v>44354</v>
      </c>
      <c r="C1737" s="1" t="n">
        <v>45932</v>
      </c>
      <c r="D1737" t="inlineStr">
        <is>
          <t>VÄRMLANDS LÄN</t>
        </is>
      </c>
      <c r="E1737" t="inlineStr">
        <is>
          <t>ÅRJÄNG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67734-2020</t>
        </is>
      </c>
      <c r="B1738" s="1" t="n">
        <v>44182</v>
      </c>
      <c r="C1738" s="1" t="n">
        <v>45932</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65940-2020</t>
        </is>
      </c>
      <c r="B1739" s="1" t="n">
        <v>44175</v>
      </c>
      <c r="C1739" s="1" t="n">
        <v>45932</v>
      </c>
      <c r="D1739" t="inlineStr">
        <is>
          <t>VÄRMLANDS LÄN</t>
        </is>
      </c>
      <c r="E1739" t="inlineStr">
        <is>
          <t>FORSHAGA</t>
        </is>
      </c>
      <c r="F1739" t="inlineStr">
        <is>
          <t>Bergvik skog väst AB</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7898-2021</t>
        </is>
      </c>
      <c r="B1740" s="1" t="n">
        <v>44243</v>
      </c>
      <c r="C1740" s="1" t="n">
        <v>45932</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33438-2021</t>
        </is>
      </c>
      <c r="B1741" s="1" t="n">
        <v>44377.61174768519</v>
      </c>
      <c r="C1741" s="1" t="n">
        <v>45932</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66602-2020</t>
        </is>
      </c>
      <c r="B1742" s="1" t="n">
        <v>44179.43253472223</v>
      </c>
      <c r="C1742" s="1" t="n">
        <v>45932</v>
      </c>
      <c r="D1742" t="inlineStr">
        <is>
          <t>VÄRMLANDS LÄN</t>
        </is>
      </c>
      <c r="E1742" t="inlineStr">
        <is>
          <t>SUNNE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52285-2020</t>
        </is>
      </c>
      <c r="B1743" s="1" t="n">
        <v>44112</v>
      </c>
      <c r="C1743" s="1" t="n">
        <v>45932</v>
      </c>
      <c r="D1743" t="inlineStr">
        <is>
          <t>VÄRMLANDS LÄN</t>
        </is>
      </c>
      <c r="E1743" t="inlineStr">
        <is>
          <t>SÄFFLE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70962-2021</t>
        </is>
      </c>
      <c r="B1744" s="1" t="n">
        <v>44538</v>
      </c>
      <c r="C1744" s="1" t="n">
        <v>45932</v>
      </c>
      <c r="D1744" t="inlineStr">
        <is>
          <t>VÄRMLANDS LÄN</t>
        </is>
      </c>
      <c r="E1744" t="inlineStr">
        <is>
          <t>SÄFFLE</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4619-2021</t>
        </is>
      </c>
      <c r="B1745" s="1" t="n">
        <v>44224</v>
      </c>
      <c r="C1745" s="1" t="n">
        <v>45932</v>
      </c>
      <c r="D1745" t="inlineStr">
        <is>
          <t>VÄRMLANDS LÄN</t>
        </is>
      </c>
      <c r="E1745" t="inlineStr">
        <is>
          <t>FILIPSTAD</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421-2021</t>
        </is>
      </c>
      <c r="B1746" s="1" t="n">
        <v>44201</v>
      </c>
      <c r="C1746" s="1" t="n">
        <v>45932</v>
      </c>
      <c r="D1746" t="inlineStr">
        <is>
          <t>VÄRMLANDS LÄN</t>
        </is>
      </c>
      <c r="E1746" t="inlineStr">
        <is>
          <t>EDA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14077-2022</t>
        </is>
      </c>
      <c r="B1747" s="1" t="n">
        <v>44651</v>
      </c>
      <c r="C1747" s="1" t="n">
        <v>45932</v>
      </c>
      <c r="D1747" t="inlineStr">
        <is>
          <t>VÄRMLANDS LÄN</t>
        </is>
      </c>
      <c r="E1747" t="inlineStr">
        <is>
          <t>FILIPSTAD</t>
        </is>
      </c>
      <c r="F1747" t="inlineStr">
        <is>
          <t>Bergvik skog väst AB</t>
        </is>
      </c>
      <c r="G1747" t="n">
        <v>18.7</v>
      </c>
      <c r="H1747" t="n">
        <v>0</v>
      </c>
      <c r="I1747" t="n">
        <v>0</v>
      </c>
      <c r="J1747" t="n">
        <v>0</v>
      </c>
      <c r="K1747" t="n">
        <v>0</v>
      </c>
      <c r="L1747" t="n">
        <v>0</v>
      </c>
      <c r="M1747" t="n">
        <v>0</v>
      </c>
      <c r="N1747" t="n">
        <v>0</v>
      </c>
      <c r="O1747" t="n">
        <v>0</v>
      </c>
      <c r="P1747" t="n">
        <v>0</v>
      </c>
      <c r="Q1747" t="n">
        <v>0</v>
      </c>
      <c r="R1747" s="2" t="inlineStr"/>
    </row>
    <row r="1748" ht="15" customHeight="1">
      <c r="A1748" t="inlineStr">
        <is>
          <t>A 73022-2021</t>
        </is>
      </c>
      <c r="B1748" s="1" t="n">
        <v>44550</v>
      </c>
      <c r="C1748" s="1" t="n">
        <v>45932</v>
      </c>
      <c r="D1748" t="inlineStr">
        <is>
          <t>VÄRMLANDS LÄN</t>
        </is>
      </c>
      <c r="E1748" t="inlineStr">
        <is>
          <t>KIL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33033-2022</t>
        </is>
      </c>
      <c r="B1749" s="1" t="n">
        <v>44785.36472222222</v>
      </c>
      <c r="C1749" s="1" t="n">
        <v>45932</v>
      </c>
      <c r="D1749" t="inlineStr">
        <is>
          <t>VÄRMLANDS LÄN</t>
        </is>
      </c>
      <c r="E1749" t="inlineStr">
        <is>
          <t>FORSHAGA</t>
        </is>
      </c>
      <c r="F1749" t="inlineStr">
        <is>
          <t>Bergvik skog väst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12659-2021</t>
        </is>
      </c>
      <c r="B1750" s="1" t="n">
        <v>44270</v>
      </c>
      <c r="C1750" s="1" t="n">
        <v>45932</v>
      </c>
      <c r="D1750" t="inlineStr">
        <is>
          <t>VÄRMLANDS LÄN</t>
        </is>
      </c>
      <c r="E1750" t="inlineStr">
        <is>
          <t>ARVIKA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8739-2022</t>
        </is>
      </c>
      <c r="B1751" s="1" t="n">
        <v>44615</v>
      </c>
      <c r="C1751" s="1" t="n">
        <v>45932</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45299-2021</t>
        </is>
      </c>
      <c r="B1752" s="1" t="n">
        <v>44439</v>
      </c>
      <c r="C1752" s="1" t="n">
        <v>45932</v>
      </c>
      <c r="D1752" t="inlineStr">
        <is>
          <t>VÄRMLANDS LÄN</t>
        </is>
      </c>
      <c r="E1752" t="inlineStr">
        <is>
          <t>SUNNE</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18628-2022</t>
        </is>
      </c>
      <c r="B1753" s="1" t="n">
        <v>44687</v>
      </c>
      <c r="C1753" s="1" t="n">
        <v>45932</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55791-2021</t>
        </is>
      </c>
      <c r="B1754" s="1" t="n">
        <v>44476.569375</v>
      </c>
      <c r="C1754" s="1" t="n">
        <v>45932</v>
      </c>
      <c r="D1754" t="inlineStr">
        <is>
          <t>VÄRMLANDS LÄN</t>
        </is>
      </c>
      <c r="E1754" t="inlineStr">
        <is>
          <t>ARVIKA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71837-2021</t>
        </is>
      </c>
      <c r="B1755" s="1" t="n">
        <v>44543</v>
      </c>
      <c r="C1755" s="1" t="n">
        <v>45932</v>
      </c>
      <c r="D1755" t="inlineStr">
        <is>
          <t>VÄRMLANDS LÄN</t>
        </is>
      </c>
      <c r="E1755" t="inlineStr">
        <is>
          <t>ÅRJÄNG</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35973-2022</t>
        </is>
      </c>
      <c r="B1756" s="1" t="n">
        <v>44802</v>
      </c>
      <c r="C1756" s="1" t="n">
        <v>45932</v>
      </c>
      <c r="D1756" t="inlineStr">
        <is>
          <t>VÄRMLANDS LÄN</t>
        </is>
      </c>
      <c r="E1756" t="inlineStr">
        <is>
          <t>SUNNE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23055-2021</t>
        </is>
      </c>
      <c r="B1757" s="1" t="n">
        <v>44329.58519675926</v>
      </c>
      <c r="C1757" s="1" t="n">
        <v>45932</v>
      </c>
      <c r="D1757" t="inlineStr">
        <is>
          <t>VÄRMLANDS LÄN</t>
        </is>
      </c>
      <c r="E1757" t="inlineStr">
        <is>
          <t>EDA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16940-2021</t>
        </is>
      </c>
      <c r="B1758" s="1" t="n">
        <v>44295.54856481482</v>
      </c>
      <c r="C1758" s="1" t="n">
        <v>45932</v>
      </c>
      <c r="D1758" t="inlineStr">
        <is>
          <t>VÄRMLANDS LÄN</t>
        </is>
      </c>
      <c r="E1758" t="inlineStr">
        <is>
          <t>SUNNE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22158-2021</t>
        </is>
      </c>
      <c r="B1759" s="1" t="n">
        <v>44325.57944444445</v>
      </c>
      <c r="C1759" s="1" t="n">
        <v>45932</v>
      </c>
      <c r="D1759" t="inlineStr">
        <is>
          <t>VÄRMLANDS LÄN</t>
        </is>
      </c>
      <c r="E1759" t="inlineStr">
        <is>
          <t>ÅRJÄNG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57065-2021</t>
        </is>
      </c>
      <c r="B1760" s="1" t="n">
        <v>44482.56591435185</v>
      </c>
      <c r="C1760" s="1" t="n">
        <v>45932</v>
      </c>
      <c r="D1760" t="inlineStr">
        <is>
          <t>VÄRMLANDS LÄN</t>
        </is>
      </c>
      <c r="E1760" t="inlineStr">
        <is>
          <t>KIL</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8483-2022</t>
        </is>
      </c>
      <c r="B1761" s="1" t="n">
        <v>44613</v>
      </c>
      <c r="C1761" s="1" t="n">
        <v>45932</v>
      </c>
      <c r="D1761" t="inlineStr">
        <is>
          <t>VÄRMLANDS LÄN</t>
        </is>
      </c>
      <c r="E1761" t="inlineStr">
        <is>
          <t>KARLSTAD</t>
        </is>
      </c>
      <c r="F1761" t="inlineStr">
        <is>
          <t>Bergvik skog väst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34219-2022</t>
        </is>
      </c>
      <c r="B1762" s="1" t="n">
        <v>44791.68009259259</v>
      </c>
      <c r="C1762" s="1" t="n">
        <v>45932</v>
      </c>
      <c r="D1762" t="inlineStr">
        <is>
          <t>VÄRMLANDS LÄN</t>
        </is>
      </c>
      <c r="E1762" t="inlineStr">
        <is>
          <t>HAGFORS</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44778-2021</t>
        </is>
      </c>
      <c r="B1763" s="1" t="n">
        <v>44438</v>
      </c>
      <c r="C1763" s="1" t="n">
        <v>45932</v>
      </c>
      <c r="D1763" t="inlineStr">
        <is>
          <t>VÄRMLANDS LÄN</t>
        </is>
      </c>
      <c r="E1763" t="inlineStr">
        <is>
          <t>SÄFFLE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37608-2021</t>
        </is>
      </c>
      <c r="B1764" s="1" t="n">
        <v>44399</v>
      </c>
      <c r="C1764" s="1" t="n">
        <v>45932</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66091-2020</t>
        </is>
      </c>
      <c r="B1765" s="1" t="n">
        <v>44175</v>
      </c>
      <c r="C1765" s="1" t="n">
        <v>45932</v>
      </c>
      <c r="D1765" t="inlineStr">
        <is>
          <t>VÄRMLANDS LÄN</t>
        </is>
      </c>
      <c r="E1765" t="inlineStr">
        <is>
          <t>HAGFORS</t>
        </is>
      </c>
      <c r="F1765" t="inlineStr">
        <is>
          <t>Bergvik skog väst AB</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37637-2021</t>
        </is>
      </c>
      <c r="B1766" s="1" t="n">
        <v>44400</v>
      </c>
      <c r="C1766" s="1" t="n">
        <v>45932</v>
      </c>
      <c r="D1766" t="inlineStr">
        <is>
          <t>VÄRMLANDS LÄN</t>
        </is>
      </c>
      <c r="E1766" t="inlineStr">
        <is>
          <t>SÄFFLE</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42160-2022</t>
        </is>
      </c>
      <c r="B1767" s="1" t="n">
        <v>44830</v>
      </c>
      <c r="C1767" s="1" t="n">
        <v>45932</v>
      </c>
      <c r="D1767" t="inlineStr">
        <is>
          <t>VÄRMLANDS LÄN</t>
        </is>
      </c>
      <c r="E1767" t="inlineStr">
        <is>
          <t>ARVIKA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30355-2022</t>
        </is>
      </c>
      <c r="B1768" s="1" t="n">
        <v>44759</v>
      </c>
      <c r="C1768" s="1" t="n">
        <v>45932</v>
      </c>
      <c r="D1768" t="inlineStr">
        <is>
          <t>VÄRMLANDS LÄN</t>
        </is>
      </c>
      <c r="E1768" t="inlineStr">
        <is>
          <t>SÄFFLE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30785-2021</t>
        </is>
      </c>
      <c r="B1769" s="1" t="n">
        <v>44365.49452546296</v>
      </c>
      <c r="C1769" s="1" t="n">
        <v>45932</v>
      </c>
      <c r="D1769" t="inlineStr">
        <is>
          <t>VÄRMLANDS LÄN</t>
        </is>
      </c>
      <c r="E1769" t="inlineStr">
        <is>
          <t>SUNNE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30787-2021</t>
        </is>
      </c>
      <c r="B1770" s="1" t="n">
        <v>44365.49597222222</v>
      </c>
      <c r="C1770" s="1" t="n">
        <v>45932</v>
      </c>
      <c r="D1770" t="inlineStr">
        <is>
          <t>VÄRMLANDS LÄN</t>
        </is>
      </c>
      <c r="E1770" t="inlineStr">
        <is>
          <t>KIL</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30817-2021</t>
        </is>
      </c>
      <c r="B1771" s="1" t="n">
        <v>44365</v>
      </c>
      <c r="C1771" s="1" t="n">
        <v>45932</v>
      </c>
      <c r="D1771" t="inlineStr">
        <is>
          <t>VÄRMLANDS LÄN</t>
        </is>
      </c>
      <c r="E1771" t="inlineStr">
        <is>
          <t>ÅRJÄNG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47013-2021</t>
        </is>
      </c>
      <c r="B1772" s="1" t="n">
        <v>44446</v>
      </c>
      <c r="C1772" s="1" t="n">
        <v>45932</v>
      </c>
      <c r="D1772" t="inlineStr">
        <is>
          <t>VÄRMLANDS LÄN</t>
        </is>
      </c>
      <c r="E1772" t="inlineStr">
        <is>
          <t>ÅRJÄNG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47041-2021</t>
        </is>
      </c>
      <c r="B1773" s="1" t="n">
        <v>44446</v>
      </c>
      <c r="C1773" s="1" t="n">
        <v>45932</v>
      </c>
      <c r="D1773" t="inlineStr">
        <is>
          <t>VÄRMLANDS LÄN</t>
        </is>
      </c>
      <c r="E1773" t="inlineStr">
        <is>
          <t>KARLSTAD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46934-2021</t>
        </is>
      </c>
      <c r="B1774" s="1" t="n">
        <v>44446.49893518518</v>
      </c>
      <c r="C1774" s="1" t="n">
        <v>45932</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39195-2021</t>
        </is>
      </c>
      <c r="B1775" s="1" t="n">
        <v>44413</v>
      </c>
      <c r="C1775" s="1" t="n">
        <v>45932</v>
      </c>
      <c r="D1775" t="inlineStr">
        <is>
          <t>VÄRMLANDS LÄN</t>
        </is>
      </c>
      <c r="E1775" t="inlineStr">
        <is>
          <t>ARVIKA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43473-2021</t>
        </is>
      </c>
      <c r="B1776" s="1" t="n">
        <v>44432</v>
      </c>
      <c r="C1776" s="1" t="n">
        <v>45932</v>
      </c>
      <c r="D1776" t="inlineStr">
        <is>
          <t>VÄRMLANDS LÄN</t>
        </is>
      </c>
      <c r="E1776" t="inlineStr">
        <is>
          <t>HAGFORS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35577-2022</t>
        </is>
      </c>
      <c r="B1777" s="1" t="n">
        <v>44799.42243055555</v>
      </c>
      <c r="C1777" s="1" t="n">
        <v>45932</v>
      </c>
      <c r="D1777" t="inlineStr">
        <is>
          <t>VÄRMLANDS LÄN</t>
        </is>
      </c>
      <c r="E1777" t="inlineStr">
        <is>
          <t>EDA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332-2021</t>
        </is>
      </c>
      <c r="B1778" s="1" t="n">
        <v>44201</v>
      </c>
      <c r="C1778" s="1" t="n">
        <v>45932</v>
      </c>
      <c r="D1778" t="inlineStr">
        <is>
          <t>VÄRMLANDS LÄN</t>
        </is>
      </c>
      <c r="E1778" t="inlineStr">
        <is>
          <t>ÅRJÄNG</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8910-2021</t>
        </is>
      </c>
      <c r="B1779" s="1" t="n">
        <v>44246</v>
      </c>
      <c r="C1779" s="1" t="n">
        <v>45932</v>
      </c>
      <c r="D1779" t="inlineStr">
        <is>
          <t>VÄRMLANDS LÄN</t>
        </is>
      </c>
      <c r="E1779" t="inlineStr">
        <is>
          <t>TORSBY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35622-2022</t>
        </is>
      </c>
      <c r="B1780" s="1" t="n">
        <v>44799.50680555555</v>
      </c>
      <c r="C1780" s="1" t="n">
        <v>45932</v>
      </c>
      <c r="D1780" t="inlineStr">
        <is>
          <t>VÄRMLANDS LÄN</t>
        </is>
      </c>
      <c r="E1780" t="inlineStr">
        <is>
          <t>HAGFORS</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449-2022</t>
        </is>
      </c>
      <c r="B1781" s="1" t="n">
        <v>44566</v>
      </c>
      <c r="C1781" s="1" t="n">
        <v>45932</v>
      </c>
      <c r="D1781" t="inlineStr">
        <is>
          <t>VÄRMLANDS LÄN</t>
        </is>
      </c>
      <c r="E1781" t="inlineStr">
        <is>
          <t>MUNKFORS</t>
        </is>
      </c>
      <c r="F1781" t="inlineStr">
        <is>
          <t>Bergvik skog väst AB</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69428-2021</t>
        </is>
      </c>
      <c r="B1782" s="1" t="n">
        <v>44531</v>
      </c>
      <c r="C1782" s="1" t="n">
        <v>45932</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44517-2022</t>
        </is>
      </c>
      <c r="B1783" s="1" t="n">
        <v>44840.43184027778</v>
      </c>
      <c r="C1783" s="1" t="n">
        <v>45932</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5713-2021</t>
        </is>
      </c>
      <c r="B1784" s="1" t="n">
        <v>44230</v>
      </c>
      <c r="C1784" s="1" t="n">
        <v>45932</v>
      </c>
      <c r="D1784" t="inlineStr">
        <is>
          <t>VÄRMLANDS LÄN</t>
        </is>
      </c>
      <c r="E1784" t="inlineStr">
        <is>
          <t>ÅRJÄNG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42705-2021</t>
        </is>
      </c>
      <c r="B1785" s="1" t="n">
        <v>44428</v>
      </c>
      <c r="C1785" s="1" t="n">
        <v>45932</v>
      </c>
      <c r="D1785" t="inlineStr">
        <is>
          <t>VÄRMLANDS LÄN</t>
        </is>
      </c>
      <c r="E1785" t="inlineStr">
        <is>
          <t>SUNNE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45716-2021</t>
        </is>
      </c>
      <c r="B1786" s="1" t="n">
        <v>44435</v>
      </c>
      <c r="C1786" s="1" t="n">
        <v>45932</v>
      </c>
      <c r="D1786" t="inlineStr">
        <is>
          <t>VÄRMLANDS LÄN</t>
        </is>
      </c>
      <c r="E1786" t="inlineStr">
        <is>
          <t>ARVIKA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23451-2021</t>
        </is>
      </c>
      <c r="B1787" s="1" t="n">
        <v>44333.89180555556</v>
      </c>
      <c r="C1787" s="1" t="n">
        <v>45932</v>
      </c>
      <c r="D1787" t="inlineStr">
        <is>
          <t>VÄRMLANDS LÄN</t>
        </is>
      </c>
      <c r="E1787" t="inlineStr">
        <is>
          <t>ÅRJÄNG</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53495-2021</t>
        </is>
      </c>
      <c r="B1788" s="1" t="n">
        <v>44468</v>
      </c>
      <c r="C1788" s="1" t="n">
        <v>45932</v>
      </c>
      <c r="D1788" t="inlineStr">
        <is>
          <t>VÄRMLANDS LÄN</t>
        </is>
      </c>
      <c r="E1788" t="inlineStr">
        <is>
          <t>SUNNE</t>
        </is>
      </c>
      <c r="F1788" t="inlineStr">
        <is>
          <t>Övriga statliga verk och myndigheter</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50063-2021</t>
        </is>
      </c>
      <c r="B1789" s="1" t="n">
        <v>44456.55350694444</v>
      </c>
      <c r="C1789" s="1" t="n">
        <v>45932</v>
      </c>
      <c r="D1789" t="inlineStr">
        <is>
          <t>VÄRMLANDS LÄN</t>
        </is>
      </c>
      <c r="E1789" t="inlineStr">
        <is>
          <t>FILIPSTAD</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15738-2022</t>
        </is>
      </c>
      <c r="B1790" s="1" t="n">
        <v>44663</v>
      </c>
      <c r="C1790" s="1" t="n">
        <v>45932</v>
      </c>
      <c r="D1790" t="inlineStr">
        <is>
          <t>VÄRMLANDS LÄN</t>
        </is>
      </c>
      <c r="E1790" t="inlineStr">
        <is>
          <t>HAGFORS</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40391-2022</t>
        </is>
      </c>
      <c r="B1791" s="1" t="n">
        <v>44819</v>
      </c>
      <c r="C1791" s="1" t="n">
        <v>45932</v>
      </c>
      <c r="D1791" t="inlineStr">
        <is>
          <t>VÄRMLANDS LÄN</t>
        </is>
      </c>
      <c r="E1791" t="inlineStr">
        <is>
          <t>SÄFFLE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67147-2021</t>
        </is>
      </c>
      <c r="B1792" s="1" t="n">
        <v>44523</v>
      </c>
      <c r="C1792" s="1" t="n">
        <v>45932</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45149-2021</t>
        </is>
      </c>
      <c r="B1793" s="1" t="n">
        <v>44439</v>
      </c>
      <c r="C1793" s="1" t="n">
        <v>45932</v>
      </c>
      <c r="D1793" t="inlineStr">
        <is>
          <t>VÄRMLANDS LÄN</t>
        </is>
      </c>
      <c r="E1793" t="inlineStr">
        <is>
          <t>SÄFFLE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2143-2022</t>
        </is>
      </c>
      <c r="B1794" s="1" t="n">
        <v>44571</v>
      </c>
      <c r="C1794" s="1" t="n">
        <v>45932</v>
      </c>
      <c r="D1794" t="inlineStr">
        <is>
          <t>VÄRMLANDS LÄN</t>
        </is>
      </c>
      <c r="E1794" t="inlineStr">
        <is>
          <t>ÅRJÄNG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29720-2022</t>
        </is>
      </c>
      <c r="B1795" s="1" t="n">
        <v>44755</v>
      </c>
      <c r="C1795" s="1" t="n">
        <v>45932</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20436-2022</t>
        </is>
      </c>
      <c r="B1796" s="1" t="n">
        <v>44699.56317129629</v>
      </c>
      <c r="C1796" s="1" t="n">
        <v>45932</v>
      </c>
      <c r="D1796" t="inlineStr">
        <is>
          <t>VÄRMLANDS LÄN</t>
        </is>
      </c>
      <c r="E1796" t="inlineStr">
        <is>
          <t>HAGFORS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41982-2021</t>
        </is>
      </c>
      <c r="B1797" s="1" t="n">
        <v>44426</v>
      </c>
      <c r="C1797" s="1" t="n">
        <v>45932</v>
      </c>
      <c r="D1797" t="inlineStr">
        <is>
          <t>VÄRMLANDS LÄN</t>
        </is>
      </c>
      <c r="E1797" t="inlineStr">
        <is>
          <t>SUNNE</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42025-2021</t>
        </is>
      </c>
      <c r="B1798" s="1" t="n">
        <v>44426</v>
      </c>
      <c r="C1798" s="1" t="n">
        <v>45932</v>
      </c>
      <c r="D1798" t="inlineStr">
        <is>
          <t>VÄRMLANDS LÄN</t>
        </is>
      </c>
      <c r="E1798" t="inlineStr">
        <is>
          <t>EDA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6937-2021</t>
        </is>
      </c>
      <c r="B1799" s="1" t="n">
        <v>44237.55291666667</v>
      </c>
      <c r="C1799" s="1" t="n">
        <v>45932</v>
      </c>
      <c r="D1799" t="inlineStr">
        <is>
          <t>VÄRMLANDS LÄN</t>
        </is>
      </c>
      <c r="E1799" t="inlineStr">
        <is>
          <t>SUNNE</t>
        </is>
      </c>
      <c r="F1799" t="inlineStr">
        <is>
          <t>Bergvik skog väst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49714-2021</t>
        </is>
      </c>
      <c r="B1800" s="1" t="n">
        <v>44455</v>
      </c>
      <c r="C1800" s="1" t="n">
        <v>45932</v>
      </c>
      <c r="D1800" t="inlineStr">
        <is>
          <t>VÄRMLANDS LÄN</t>
        </is>
      </c>
      <c r="E1800" t="inlineStr">
        <is>
          <t>KRISTINEHAMN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47921-2022</t>
        </is>
      </c>
      <c r="B1801" s="1" t="n">
        <v>44855.50005787037</v>
      </c>
      <c r="C1801" s="1" t="n">
        <v>45932</v>
      </c>
      <c r="D1801" t="inlineStr">
        <is>
          <t>VÄRMLANDS LÄN</t>
        </is>
      </c>
      <c r="E1801" t="inlineStr">
        <is>
          <t>KRISTINEHAMN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33160-2022</t>
        </is>
      </c>
      <c r="B1802" s="1" t="n">
        <v>44785</v>
      </c>
      <c r="C1802" s="1" t="n">
        <v>45932</v>
      </c>
      <c r="D1802" t="inlineStr">
        <is>
          <t>VÄRMLANDS LÄN</t>
        </is>
      </c>
      <c r="E1802" t="inlineStr">
        <is>
          <t>SÄFFLE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33107-2021</t>
        </is>
      </c>
      <c r="B1803" s="1" t="n">
        <v>44376</v>
      </c>
      <c r="C1803" s="1" t="n">
        <v>45932</v>
      </c>
      <c r="D1803" t="inlineStr">
        <is>
          <t>VÄRMLANDS LÄN</t>
        </is>
      </c>
      <c r="E1803" t="inlineStr">
        <is>
          <t>HAGFORS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23063-2022</t>
        </is>
      </c>
      <c r="B1804" s="1" t="n">
        <v>44719</v>
      </c>
      <c r="C1804" s="1" t="n">
        <v>45932</v>
      </c>
      <c r="D1804" t="inlineStr">
        <is>
          <t>VÄRMLANDS LÄN</t>
        </is>
      </c>
      <c r="E1804" t="inlineStr">
        <is>
          <t>FILIPSTAD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23090-2022</t>
        </is>
      </c>
      <c r="B1805" s="1" t="n">
        <v>44719.48399305555</v>
      </c>
      <c r="C1805" s="1" t="n">
        <v>45932</v>
      </c>
      <c r="D1805" t="inlineStr">
        <is>
          <t>VÄRMLANDS LÄN</t>
        </is>
      </c>
      <c r="E1805" t="inlineStr">
        <is>
          <t>SÄFFLE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3382-2022</t>
        </is>
      </c>
      <c r="B1806" s="1" t="n">
        <v>44585</v>
      </c>
      <c r="C1806" s="1" t="n">
        <v>45932</v>
      </c>
      <c r="D1806" t="inlineStr">
        <is>
          <t>VÄRMLANDS LÄN</t>
        </is>
      </c>
      <c r="E1806" t="inlineStr">
        <is>
          <t>TORSBY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7292-2022</t>
        </is>
      </c>
      <c r="B1807" s="1" t="n">
        <v>44606</v>
      </c>
      <c r="C1807" s="1" t="n">
        <v>45932</v>
      </c>
      <c r="D1807" t="inlineStr">
        <is>
          <t>VÄRMLANDS LÄN</t>
        </is>
      </c>
      <c r="E1807" t="inlineStr">
        <is>
          <t>FILIPSTAD</t>
        </is>
      </c>
      <c r="F1807" t="inlineStr">
        <is>
          <t>Bergvik skog väst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59620-2020</t>
        </is>
      </c>
      <c r="B1808" s="1" t="n">
        <v>44150</v>
      </c>
      <c r="C1808" s="1" t="n">
        <v>45932</v>
      </c>
      <c r="D1808" t="inlineStr">
        <is>
          <t>VÄRMLANDS LÄN</t>
        </is>
      </c>
      <c r="E1808" t="inlineStr">
        <is>
          <t>FORSHAGA</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14401-2022</t>
        </is>
      </c>
      <c r="B1809" s="1" t="n">
        <v>44652</v>
      </c>
      <c r="C1809" s="1" t="n">
        <v>45932</v>
      </c>
      <c r="D1809" t="inlineStr">
        <is>
          <t>VÄRMLANDS LÄN</t>
        </is>
      </c>
      <c r="E1809" t="inlineStr">
        <is>
          <t>KARLSTAD</t>
        </is>
      </c>
      <c r="F1809" t="inlineStr">
        <is>
          <t>Naturvårdsverket</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7543-2022</t>
        </is>
      </c>
      <c r="B1810" s="1" t="n">
        <v>44607</v>
      </c>
      <c r="C1810" s="1" t="n">
        <v>45932</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23802-2021</t>
        </is>
      </c>
      <c r="B1811" s="1" t="n">
        <v>44334</v>
      </c>
      <c r="C1811" s="1" t="n">
        <v>45932</v>
      </c>
      <c r="D1811" t="inlineStr">
        <is>
          <t>VÄRMLANDS LÄN</t>
        </is>
      </c>
      <c r="E1811" t="inlineStr">
        <is>
          <t>SÄFFLE</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54444-2022</t>
        </is>
      </c>
      <c r="B1812" s="1" t="n">
        <v>44882.59195601852</v>
      </c>
      <c r="C1812" s="1" t="n">
        <v>45932</v>
      </c>
      <c r="D1812" t="inlineStr">
        <is>
          <t>VÄRMLANDS LÄN</t>
        </is>
      </c>
      <c r="E1812" t="inlineStr">
        <is>
          <t>GRUMS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42720-2021</t>
        </is>
      </c>
      <c r="B1813" s="1" t="n">
        <v>44428</v>
      </c>
      <c r="C1813" s="1" t="n">
        <v>45932</v>
      </c>
      <c r="D1813" t="inlineStr">
        <is>
          <t>VÄRMLANDS LÄN</t>
        </is>
      </c>
      <c r="E1813" t="inlineStr">
        <is>
          <t>ARVIKA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17135-2022</t>
        </is>
      </c>
      <c r="B1814" s="1" t="n">
        <v>44677</v>
      </c>
      <c r="C1814" s="1" t="n">
        <v>45932</v>
      </c>
      <c r="D1814" t="inlineStr">
        <is>
          <t>VÄRMLANDS LÄN</t>
        </is>
      </c>
      <c r="E1814" t="inlineStr">
        <is>
          <t>ÅRJÄNG</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54133-2022</t>
        </is>
      </c>
      <c r="B1815" s="1" t="n">
        <v>44881</v>
      </c>
      <c r="C1815" s="1" t="n">
        <v>45932</v>
      </c>
      <c r="D1815" t="inlineStr">
        <is>
          <t>VÄRMLANDS LÄN</t>
        </is>
      </c>
      <c r="E1815" t="inlineStr">
        <is>
          <t>EDA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54137-2022</t>
        </is>
      </c>
      <c r="B1816" s="1" t="n">
        <v>44881</v>
      </c>
      <c r="C1816" s="1" t="n">
        <v>45932</v>
      </c>
      <c r="D1816" t="inlineStr">
        <is>
          <t>VÄRMLANDS LÄN</t>
        </is>
      </c>
      <c r="E1816" t="inlineStr">
        <is>
          <t>EDA</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3199-2022</t>
        </is>
      </c>
      <c r="B1817" s="1" t="n">
        <v>44582</v>
      </c>
      <c r="C1817" s="1" t="n">
        <v>45932</v>
      </c>
      <c r="D1817" t="inlineStr">
        <is>
          <t>VÄRMLANDS LÄN</t>
        </is>
      </c>
      <c r="E1817" t="inlineStr">
        <is>
          <t>HAGFORS</t>
        </is>
      </c>
      <c r="F1817" t="inlineStr">
        <is>
          <t>Bergvik skog väst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42734-2021</t>
        </is>
      </c>
      <c r="B1818" s="1" t="n">
        <v>44428</v>
      </c>
      <c r="C1818" s="1" t="n">
        <v>45932</v>
      </c>
      <c r="D1818" t="inlineStr">
        <is>
          <t>VÄRMLANDS LÄN</t>
        </is>
      </c>
      <c r="E1818" t="inlineStr">
        <is>
          <t>ARVIKA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66438-2021</t>
        </is>
      </c>
      <c r="B1819" s="1" t="n">
        <v>44518</v>
      </c>
      <c r="C1819" s="1" t="n">
        <v>45932</v>
      </c>
      <c r="D1819" t="inlineStr">
        <is>
          <t>VÄRMLANDS LÄN</t>
        </is>
      </c>
      <c r="E1819" t="inlineStr">
        <is>
          <t>KRISTINEHAMN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66442-2021</t>
        </is>
      </c>
      <c r="B1820" s="1" t="n">
        <v>44518</v>
      </c>
      <c r="C1820" s="1" t="n">
        <v>45932</v>
      </c>
      <c r="D1820" t="inlineStr">
        <is>
          <t>VÄRMLANDS LÄN</t>
        </is>
      </c>
      <c r="E1820" t="inlineStr">
        <is>
          <t>KRISTINEHAMN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61707-2021</t>
        </is>
      </c>
      <c r="B1821" s="1" t="n">
        <v>44501</v>
      </c>
      <c r="C1821" s="1" t="n">
        <v>45932</v>
      </c>
      <c r="D1821" t="inlineStr">
        <is>
          <t>VÄRMLANDS LÄN</t>
        </is>
      </c>
      <c r="E1821" t="inlineStr">
        <is>
          <t>KRISTINEHAMN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62039-2021</t>
        </is>
      </c>
      <c r="B1822" s="1" t="n">
        <v>44502</v>
      </c>
      <c r="C1822" s="1" t="n">
        <v>45932</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5038-2022</t>
        </is>
      </c>
      <c r="B1823" s="1" t="n">
        <v>44593</v>
      </c>
      <c r="C1823" s="1" t="n">
        <v>45932</v>
      </c>
      <c r="D1823" t="inlineStr">
        <is>
          <t>VÄRMLANDS LÄN</t>
        </is>
      </c>
      <c r="E1823" t="inlineStr">
        <is>
          <t>KARLSTAD</t>
        </is>
      </c>
      <c r="F1823" t="inlineStr">
        <is>
          <t>Kommuner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23248-2021</t>
        </is>
      </c>
      <c r="B1824" s="1" t="n">
        <v>44333</v>
      </c>
      <c r="C1824" s="1" t="n">
        <v>45932</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45928-2022</t>
        </is>
      </c>
      <c r="B1825" s="1" t="n">
        <v>44846.63113425926</v>
      </c>
      <c r="C1825" s="1" t="n">
        <v>45932</v>
      </c>
      <c r="D1825" t="inlineStr">
        <is>
          <t>VÄRMLANDS LÄN</t>
        </is>
      </c>
      <c r="E1825" t="inlineStr">
        <is>
          <t>SUNNE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7144-2022</t>
        </is>
      </c>
      <c r="B1826" s="1" t="n">
        <v>44603</v>
      </c>
      <c r="C1826" s="1" t="n">
        <v>45932</v>
      </c>
      <c r="D1826" t="inlineStr">
        <is>
          <t>VÄRMLANDS LÄN</t>
        </is>
      </c>
      <c r="E1826" t="inlineStr">
        <is>
          <t>ARVIKA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39059-2022</t>
        </is>
      </c>
      <c r="B1827" s="1" t="n">
        <v>44817</v>
      </c>
      <c r="C1827" s="1" t="n">
        <v>45932</v>
      </c>
      <c r="D1827" t="inlineStr">
        <is>
          <t>VÄRMLANDS LÄN</t>
        </is>
      </c>
      <c r="E1827" t="inlineStr">
        <is>
          <t>HAGFORS</t>
        </is>
      </c>
      <c r="F1827" t="inlineStr">
        <is>
          <t>Bergvik skog väst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37794-2022</t>
        </is>
      </c>
      <c r="B1828" s="1" t="n">
        <v>44810</v>
      </c>
      <c r="C1828" s="1" t="n">
        <v>45932</v>
      </c>
      <c r="D1828" t="inlineStr">
        <is>
          <t>VÄRMLANDS LÄN</t>
        </is>
      </c>
      <c r="E1828" t="inlineStr">
        <is>
          <t>KRISTINEHAMN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51838-2020</t>
        </is>
      </c>
      <c r="B1829" s="1" t="n">
        <v>44116</v>
      </c>
      <c r="C1829" s="1" t="n">
        <v>45932</v>
      </c>
      <c r="D1829" t="inlineStr">
        <is>
          <t>VÄRMLANDS LÄN</t>
        </is>
      </c>
      <c r="E1829" t="inlineStr">
        <is>
          <t>TORSBY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51876-2020</t>
        </is>
      </c>
      <c r="B1830" s="1" t="n">
        <v>44109</v>
      </c>
      <c r="C1830" s="1" t="n">
        <v>45932</v>
      </c>
      <c r="D1830" t="inlineStr">
        <is>
          <t>VÄRMLANDS LÄN</t>
        </is>
      </c>
      <c r="E1830" t="inlineStr">
        <is>
          <t>KIL</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40904-2021</t>
        </is>
      </c>
      <c r="B1831" s="1" t="n">
        <v>44421</v>
      </c>
      <c r="C1831" s="1" t="n">
        <v>45932</v>
      </c>
      <c r="D1831" t="inlineStr">
        <is>
          <t>VÄRMLANDS LÄN</t>
        </is>
      </c>
      <c r="E1831" t="inlineStr">
        <is>
          <t>SÄFFLE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4960-2022</t>
        </is>
      </c>
      <c r="B1832" s="1" t="n">
        <v>44593</v>
      </c>
      <c r="C1832" s="1" t="n">
        <v>45932</v>
      </c>
      <c r="D1832" t="inlineStr">
        <is>
          <t>VÄRMLANDS LÄN</t>
        </is>
      </c>
      <c r="E1832" t="inlineStr">
        <is>
          <t>TORSBY</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54157-2020</t>
        </is>
      </c>
      <c r="B1833" s="1" t="n">
        <v>44124</v>
      </c>
      <c r="C1833" s="1" t="n">
        <v>45932</v>
      </c>
      <c r="D1833" t="inlineStr">
        <is>
          <t>VÄRMLANDS LÄN</t>
        </is>
      </c>
      <c r="E1833" t="inlineStr">
        <is>
          <t>SÄFFLE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48210-2022</t>
        </is>
      </c>
      <c r="B1834" s="1" t="n">
        <v>44858</v>
      </c>
      <c r="C1834" s="1" t="n">
        <v>45932</v>
      </c>
      <c r="D1834" t="inlineStr">
        <is>
          <t>VÄRMLANDS LÄN</t>
        </is>
      </c>
      <c r="E1834" t="inlineStr">
        <is>
          <t>HAGFORS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4096-2022</t>
        </is>
      </c>
      <c r="B1835" s="1" t="n">
        <v>44588</v>
      </c>
      <c r="C1835" s="1" t="n">
        <v>45932</v>
      </c>
      <c r="D1835" t="inlineStr">
        <is>
          <t>VÄRMLANDS LÄN</t>
        </is>
      </c>
      <c r="E1835" t="inlineStr">
        <is>
          <t>EDA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70123-2021</t>
        </is>
      </c>
      <c r="B1836" s="1" t="n">
        <v>44533</v>
      </c>
      <c r="C1836" s="1" t="n">
        <v>45932</v>
      </c>
      <c r="D1836" t="inlineStr">
        <is>
          <t>VÄRMLANDS LÄN</t>
        </is>
      </c>
      <c r="E1836" t="inlineStr">
        <is>
          <t>KARLSTAD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70144-2021</t>
        </is>
      </c>
      <c r="B1837" s="1" t="n">
        <v>44533</v>
      </c>
      <c r="C1837" s="1" t="n">
        <v>45932</v>
      </c>
      <c r="D1837" t="inlineStr">
        <is>
          <t>VÄRMLANDS LÄN</t>
        </is>
      </c>
      <c r="E1837" t="inlineStr">
        <is>
          <t>KARLSTAD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55792-2022</t>
        </is>
      </c>
      <c r="B1838" s="1" t="n">
        <v>44888.63201388889</v>
      </c>
      <c r="C1838" s="1" t="n">
        <v>45932</v>
      </c>
      <c r="D1838" t="inlineStr">
        <is>
          <t>VÄRMLANDS LÄN</t>
        </is>
      </c>
      <c r="E1838" t="inlineStr">
        <is>
          <t>ARVIKA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41512-2021</t>
        </is>
      </c>
      <c r="B1839" s="1" t="n">
        <v>44424</v>
      </c>
      <c r="C1839" s="1" t="n">
        <v>45932</v>
      </c>
      <c r="D1839" t="inlineStr">
        <is>
          <t>VÄRMLANDS LÄN</t>
        </is>
      </c>
      <c r="E1839" t="inlineStr">
        <is>
          <t>SÄFFLE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52526-2021</t>
        </is>
      </c>
      <c r="B1840" s="1" t="n">
        <v>44466</v>
      </c>
      <c r="C1840" s="1" t="n">
        <v>45932</v>
      </c>
      <c r="D1840" t="inlineStr">
        <is>
          <t>VÄRMLANDS LÄN</t>
        </is>
      </c>
      <c r="E1840" t="inlineStr">
        <is>
          <t>KIL</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71255-2021</t>
        </is>
      </c>
      <c r="B1841" s="1" t="n">
        <v>44538</v>
      </c>
      <c r="C1841" s="1" t="n">
        <v>45932</v>
      </c>
      <c r="D1841" t="inlineStr">
        <is>
          <t>VÄRMLANDS LÄN</t>
        </is>
      </c>
      <c r="E1841" t="inlineStr">
        <is>
          <t>TORSBY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54072-2020</t>
        </is>
      </c>
      <c r="B1842" s="1" t="n">
        <v>44125</v>
      </c>
      <c r="C1842" s="1" t="n">
        <v>45932</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1811-2022</t>
        </is>
      </c>
      <c r="B1843" s="1" t="n">
        <v>44574.63291666667</v>
      </c>
      <c r="C1843" s="1" t="n">
        <v>45932</v>
      </c>
      <c r="D1843" t="inlineStr">
        <is>
          <t>VÄRMLANDS LÄN</t>
        </is>
      </c>
      <c r="E1843" t="inlineStr">
        <is>
          <t>KARLSTAD</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42283-2021</t>
        </is>
      </c>
      <c r="B1844" s="1" t="n">
        <v>44427</v>
      </c>
      <c r="C1844" s="1" t="n">
        <v>45932</v>
      </c>
      <c r="D1844" t="inlineStr">
        <is>
          <t>VÄRMLANDS LÄN</t>
        </is>
      </c>
      <c r="E1844" t="inlineStr">
        <is>
          <t>KARLSTAD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63899-2021</t>
        </is>
      </c>
      <c r="B1845" s="1" t="n">
        <v>44509</v>
      </c>
      <c r="C1845" s="1" t="n">
        <v>45932</v>
      </c>
      <c r="D1845" t="inlineStr">
        <is>
          <t>VÄRMLANDS LÄN</t>
        </is>
      </c>
      <c r="E1845" t="inlineStr">
        <is>
          <t>SUNNE</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15149-2021</t>
        </is>
      </c>
      <c r="B1846" s="1" t="n">
        <v>44284</v>
      </c>
      <c r="C1846" s="1" t="n">
        <v>45932</v>
      </c>
      <c r="D1846" t="inlineStr">
        <is>
          <t>VÄRMLANDS LÄN</t>
        </is>
      </c>
      <c r="E1846" t="inlineStr">
        <is>
          <t>KARLSTAD</t>
        </is>
      </c>
      <c r="F1846" t="inlineStr">
        <is>
          <t>Bergvik skog väst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56835-2021</t>
        </is>
      </c>
      <c r="B1847" s="1" t="n">
        <v>44481</v>
      </c>
      <c r="C1847" s="1" t="n">
        <v>45932</v>
      </c>
      <c r="D1847" t="inlineStr">
        <is>
          <t>VÄRMLANDS LÄN</t>
        </is>
      </c>
      <c r="E1847" t="inlineStr">
        <is>
          <t>HAMMARÖ</t>
        </is>
      </c>
      <c r="F1847" t="inlineStr">
        <is>
          <t>Kommuner</t>
        </is>
      </c>
      <c r="G1847" t="n">
        <v>18.8</v>
      </c>
      <c r="H1847" t="n">
        <v>0</v>
      </c>
      <c r="I1847" t="n">
        <v>0</v>
      </c>
      <c r="J1847" t="n">
        <v>0</v>
      </c>
      <c r="K1847" t="n">
        <v>0</v>
      </c>
      <c r="L1847" t="n">
        <v>0</v>
      </c>
      <c r="M1847" t="n">
        <v>0</v>
      </c>
      <c r="N1847" t="n">
        <v>0</v>
      </c>
      <c r="O1847" t="n">
        <v>0</v>
      </c>
      <c r="P1847" t="n">
        <v>0</v>
      </c>
      <c r="Q1847" t="n">
        <v>0</v>
      </c>
      <c r="R1847" s="2" t="inlineStr"/>
    </row>
    <row r="1848" ht="15" customHeight="1">
      <c r="A1848" t="inlineStr">
        <is>
          <t>A 13698-2022</t>
        </is>
      </c>
      <c r="B1848" s="1" t="n">
        <v>44648</v>
      </c>
      <c r="C1848" s="1" t="n">
        <v>45932</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25616-2022</t>
        </is>
      </c>
      <c r="B1849" s="1" t="n">
        <v>44732</v>
      </c>
      <c r="C1849" s="1" t="n">
        <v>45932</v>
      </c>
      <c r="D1849" t="inlineStr">
        <is>
          <t>VÄRMLANDS LÄN</t>
        </is>
      </c>
      <c r="E1849" t="inlineStr">
        <is>
          <t>SUNNE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49899-2020</t>
        </is>
      </c>
      <c r="B1850" s="1" t="n">
        <v>44108</v>
      </c>
      <c r="C1850" s="1" t="n">
        <v>45932</v>
      </c>
      <c r="D1850" t="inlineStr">
        <is>
          <t>VÄRMLANDS LÄN</t>
        </is>
      </c>
      <c r="E1850" t="inlineStr">
        <is>
          <t>SUNNE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7499-2022</t>
        </is>
      </c>
      <c r="B1851" s="1" t="n">
        <v>44607</v>
      </c>
      <c r="C1851" s="1" t="n">
        <v>45932</v>
      </c>
      <c r="D1851" t="inlineStr">
        <is>
          <t>VÄRMLANDS LÄN</t>
        </is>
      </c>
      <c r="E1851" t="inlineStr">
        <is>
          <t>SÄFFLE</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7502-2022</t>
        </is>
      </c>
      <c r="B1852" s="1" t="n">
        <v>44607</v>
      </c>
      <c r="C1852" s="1" t="n">
        <v>45932</v>
      </c>
      <c r="D1852" t="inlineStr">
        <is>
          <t>VÄRMLANDS LÄN</t>
        </is>
      </c>
      <c r="E1852" t="inlineStr">
        <is>
          <t>SÄFFLE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31251-2022</t>
        </is>
      </c>
      <c r="B1853" s="1" t="n">
        <v>44771</v>
      </c>
      <c r="C1853" s="1" t="n">
        <v>45932</v>
      </c>
      <c r="D1853" t="inlineStr">
        <is>
          <t>VÄRMLANDS LÄN</t>
        </is>
      </c>
      <c r="E1853" t="inlineStr">
        <is>
          <t>FORSHAGA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37334-2022</t>
        </is>
      </c>
      <c r="B1854" s="1" t="n">
        <v>44809.34965277778</v>
      </c>
      <c r="C1854" s="1" t="n">
        <v>45932</v>
      </c>
      <c r="D1854" t="inlineStr">
        <is>
          <t>VÄRMLANDS LÄN</t>
        </is>
      </c>
      <c r="E1854" t="inlineStr">
        <is>
          <t>SUNNE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38179-2022</t>
        </is>
      </c>
      <c r="B1855" s="1" t="n">
        <v>44812</v>
      </c>
      <c r="C1855" s="1" t="n">
        <v>45932</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49334-2021</t>
        </is>
      </c>
      <c r="B1856" s="1" t="n">
        <v>44454</v>
      </c>
      <c r="C1856" s="1" t="n">
        <v>45932</v>
      </c>
      <c r="D1856" t="inlineStr">
        <is>
          <t>VÄRMLANDS LÄN</t>
        </is>
      </c>
      <c r="E1856" t="inlineStr">
        <is>
          <t>SUNNE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3028-2022</t>
        </is>
      </c>
      <c r="B1857" s="1" t="n">
        <v>44581.99863425926</v>
      </c>
      <c r="C1857" s="1" t="n">
        <v>45932</v>
      </c>
      <c r="D1857" t="inlineStr">
        <is>
          <t>VÄRMLANDS LÄN</t>
        </is>
      </c>
      <c r="E1857" t="inlineStr">
        <is>
          <t>EDA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44327-2022</t>
        </is>
      </c>
      <c r="B1858" s="1" t="n">
        <v>44839</v>
      </c>
      <c r="C1858" s="1" t="n">
        <v>45932</v>
      </c>
      <c r="D1858" t="inlineStr">
        <is>
          <t>VÄRMLANDS LÄN</t>
        </is>
      </c>
      <c r="E1858" t="inlineStr">
        <is>
          <t>TORSBY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7235-2022</t>
        </is>
      </c>
      <c r="B1859" s="1" t="n">
        <v>44606</v>
      </c>
      <c r="C1859" s="1" t="n">
        <v>45932</v>
      </c>
      <c r="D1859" t="inlineStr">
        <is>
          <t>VÄRMLANDS LÄN</t>
        </is>
      </c>
      <c r="E1859" t="inlineStr">
        <is>
          <t>ÅRJÄNG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72609-2021</t>
        </is>
      </c>
      <c r="B1860" s="1" t="n">
        <v>44546.50645833334</v>
      </c>
      <c r="C1860" s="1" t="n">
        <v>45932</v>
      </c>
      <c r="D1860" t="inlineStr">
        <is>
          <t>VÄRMLANDS LÄN</t>
        </is>
      </c>
      <c r="E1860" t="inlineStr">
        <is>
          <t>ÅRJÄNG</t>
        </is>
      </c>
      <c r="F1860" t="inlineStr">
        <is>
          <t>Kyrkan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27224-2021</t>
        </is>
      </c>
      <c r="B1861" s="1" t="n">
        <v>44350</v>
      </c>
      <c r="C1861" s="1" t="n">
        <v>45932</v>
      </c>
      <c r="D1861" t="inlineStr">
        <is>
          <t>VÄRMLANDS LÄN</t>
        </is>
      </c>
      <c r="E1861" t="inlineStr">
        <is>
          <t>SUNNE</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48712-2022</t>
        </is>
      </c>
      <c r="B1862" s="1" t="n">
        <v>44859.49574074074</v>
      </c>
      <c r="C1862" s="1" t="n">
        <v>45932</v>
      </c>
      <c r="D1862" t="inlineStr">
        <is>
          <t>VÄRMLANDS LÄN</t>
        </is>
      </c>
      <c r="E1862" t="inlineStr">
        <is>
          <t>TORSBY</t>
        </is>
      </c>
      <c r="F1862" t="inlineStr">
        <is>
          <t>Bergvik skog väst AB</t>
        </is>
      </c>
      <c r="G1862" t="n">
        <v>22.7</v>
      </c>
      <c r="H1862" t="n">
        <v>0</v>
      </c>
      <c r="I1862" t="n">
        <v>0</v>
      </c>
      <c r="J1862" t="n">
        <v>0</v>
      </c>
      <c r="K1862" t="n">
        <v>0</v>
      </c>
      <c r="L1862" t="n">
        <v>0</v>
      </c>
      <c r="M1862" t="n">
        <v>0</v>
      </c>
      <c r="N1862" t="n">
        <v>0</v>
      </c>
      <c r="O1862" t="n">
        <v>0</v>
      </c>
      <c r="P1862" t="n">
        <v>0</v>
      </c>
      <c r="Q1862" t="n">
        <v>0</v>
      </c>
      <c r="R1862" s="2" t="inlineStr"/>
    </row>
    <row r="1863" ht="15" customHeight="1">
      <c r="A1863" t="inlineStr">
        <is>
          <t>A 6773-2022</t>
        </is>
      </c>
      <c r="B1863" s="1" t="n">
        <v>44602.52010416667</v>
      </c>
      <c r="C1863" s="1" t="n">
        <v>45932</v>
      </c>
      <c r="D1863" t="inlineStr">
        <is>
          <t>VÄRMLANDS LÄN</t>
        </is>
      </c>
      <c r="E1863" t="inlineStr">
        <is>
          <t>SÄFFLE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40872-2022</t>
        </is>
      </c>
      <c r="B1864" s="1" t="n">
        <v>44825.33496527778</v>
      </c>
      <c r="C1864" s="1" t="n">
        <v>45932</v>
      </c>
      <c r="D1864" t="inlineStr">
        <is>
          <t>VÄRMLANDS LÄN</t>
        </is>
      </c>
      <c r="E1864" t="inlineStr">
        <is>
          <t>ÅRJÄNG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71084-2021</t>
        </is>
      </c>
      <c r="B1865" s="1" t="n">
        <v>44538.96543981481</v>
      </c>
      <c r="C1865" s="1" t="n">
        <v>45932</v>
      </c>
      <c r="D1865" t="inlineStr">
        <is>
          <t>VÄRMLANDS LÄN</t>
        </is>
      </c>
      <c r="E1865" t="inlineStr">
        <is>
          <t>TORSBY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52842-2021</t>
        </is>
      </c>
      <c r="B1866" s="1" t="n">
        <v>44467</v>
      </c>
      <c r="C1866" s="1" t="n">
        <v>45932</v>
      </c>
      <c r="D1866" t="inlineStr">
        <is>
          <t>VÄRMLANDS LÄN</t>
        </is>
      </c>
      <c r="E1866" t="inlineStr">
        <is>
          <t>GRUMS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6708-2022</t>
        </is>
      </c>
      <c r="B1867" s="1" t="n">
        <v>44602.43873842592</v>
      </c>
      <c r="C1867" s="1" t="n">
        <v>45932</v>
      </c>
      <c r="D1867" t="inlineStr">
        <is>
          <t>VÄRMLANDS LÄN</t>
        </is>
      </c>
      <c r="E1867" t="inlineStr">
        <is>
          <t>HAGFORS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43634-2021</t>
        </is>
      </c>
      <c r="B1868" s="1" t="n">
        <v>44433</v>
      </c>
      <c r="C1868" s="1" t="n">
        <v>45932</v>
      </c>
      <c r="D1868" t="inlineStr">
        <is>
          <t>VÄRMLANDS LÄN</t>
        </is>
      </c>
      <c r="E1868" t="inlineStr">
        <is>
          <t>FILIPSTAD</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9359-2022</t>
        </is>
      </c>
      <c r="B1869" s="1" t="n">
        <v>44616.59842592593</v>
      </c>
      <c r="C1869" s="1" t="n">
        <v>45932</v>
      </c>
      <c r="D1869" t="inlineStr">
        <is>
          <t>VÄRMLANDS LÄN</t>
        </is>
      </c>
      <c r="E1869" t="inlineStr">
        <is>
          <t>SÄFFLE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37917-2022</t>
        </is>
      </c>
      <c r="B1870" s="1" t="n">
        <v>44811.44335648148</v>
      </c>
      <c r="C1870" s="1" t="n">
        <v>45932</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35606-2022</t>
        </is>
      </c>
      <c r="B1871" s="1" t="n">
        <v>44799</v>
      </c>
      <c r="C1871" s="1" t="n">
        <v>45932</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72375-2021</t>
        </is>
      </c>
      <c r="B1872" s="1" t="n">
        <v>44545</v>
      </c>
      <c r="C1872" s="1" t="n">
        <v>45932</v>
      </c>
      <c r="D1872" t="inlineStr">
        <is>
          <t>VÄRMLANDS LÄN</t>
        </is>
      </c>
      <c r="E1872" t="inlineStr">
        <is>
          <t>HAGFORS</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37927-2021</t>
        </is>
      </c>
      <c r="B1873" s="1" t="n">
        <v>44403</v>
      </c>
      <c r="C1873" s="1" t="n">
        <v>45932</v>
      </c>
      <c r="D1873" t="inlineStr">
        <is>
          <t>VÄRMLANDS LÄN</t>
        </is>
      </c>
      <c r="E1873" t="inlineStr">
        <is>
          <t>SUNNE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9894-2022</t>
        </is>
      </c>
      <c r="B1874" s="1" t="n">
        <v>44620</v>
      </c>
      <c r="C1874" s="1" t="n">
        <v>45932</v>
      </c>
      <c r="D1874" t="inlineStr">
        <is>
          <t>VÄRMLANDS LÄN</t>
        </is>
      </c>
      <c r="E1874" t="inlineStr">
        <is>
          <t>SUNNE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52386-2022</t>
        </is>
      </c>
      <c r="B1875" s="1" t="n">
        <v>44874.3750462963</v>
      </c>
      <c r="C1875" s="1" t="n">
        <v>45932</v>
      </c>
      <c r="D1875" t="inlineStr">
        <is>
          <t>VÄRMLANDS LÄN</t>
        </is>
      </c>
      <c r="E1875" t="inlineStr">
        <is>
          <t>TORSBY</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37773-2022</t>
        </is>
      </c>
      <c r="B1876" s="1" t="n">
        <v>44810.64122685185</v>
      </c>
      <c r="C1876" s="1" t="n">
        <v>45932</v>
      </c>
      <c r="D1876" t="inlineStr">
        <is>
          <t>VÄRMLANDS LÄN</t>
        </is>
      </c>
      <c r="E1876" t="inlineStr">
        <is>
          <t>HAGFORS</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53419-2022</t>
        </is>
      </c>
      <c r="B1877" s="1" t="n">
        <v>44879</v>
      </c>
      <c r="C1877" s="1" t="n">
        <v>45932</v>
      </c>
      <c r="D1877" t="inlineStr">
        <is>
          <t>VÄRMLANDS LÄN</t>
        </is>
      </c>
      <c r="E1877" t="inlineStr">
        <is>
          <t>HAGFORS</t>
        </is>
      </c>
      <c r="F1877" t="inlineStr">
        <is>
          <t>Bergvik skog väst AB</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61520-2021</t>
        </is>
      </c>
      <c r="B1878" s="1" t="n">
        <v>44501.37252314815</v>
      </c>
      <c r="C1878" s="1" t="n">
        <v>45932</v>
      </c>
      <c r="D1878" t="inlineStr">
        <is>
          <t>VÄRMLANDS LÄN</t>
        </is>
      </c>
      <c r="E1878" t="inlineStr">
        <is>
          <t>ARVIKA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54258-2020</t>
        </is>
      </c>
      <c r="B1879" s="1" t="n">
        <v>44124</v>
      </c>
      <c r="C1879" s="1" t="n">
        <v>45932</v>
      </c>
      <c r="D1879" t="inlineStr">
        <is>
          <t>VÄRMLANDS LÄN</t>
        </is>
      </c>
      <c r="E1879" t="inlineStr">
        <is>
          <t>KARLSTAD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30162-2021</t>
        </is>
      </c>
      <c r="B1880" s="1" t="n">
        <v>44363</v>
      </c>
      <c r="C1880" s="1" t="n">
        <v>45932</v>
      </c>
      <c r="D1880" t="inlineStr">
        <is>
          <t>VÄRMLANDS LÄN</t>
        </is>
      </c>
      <c r="E1880" t="inlineStr">
        <is>
          <t>TORSBY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12389-2021</t>
        </is>
      </c>
      <c r="B1881" s="1" t="n">
        <v>44267</v>
      </c>
      <c r="C1881" s="1" t="n">
        <v>45932</v>
      </c>
      <c r="D1881" t="inlineStr">
        <is>
          <t>VÄRMLANDS LÄN</t>
        </is>
      </c>
      <c r="E1881" t="inlineStr">
        <is>
          <t>GRUMS</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35540-2022</t>
        </is>
      </c>
      <c r="B1882" s="1" t="n">
        <v>44799</v>
      </c>
      <c r="C1882" s="1" t="n">
        <v>45932</v>
      </c>
      <c r="D1882" t="inlineStr">
        <is>
          <t>VÄRMLANDS LÄN</t>
        </is>
      </c>
      <c r="E1882" t="inlineStr">
        <is>
          <t>EDA</t>
        </is>
      </c>
      <c r="F1882" t="inlineStr">
        <is>
          <t>Kommuner</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5346-2022</t>
        </is>
      </c>
      <c r="B1883" s="1" t="n">
        <v>44594.74583333333</v>
      </c>
      <c r="C1883" s="1" t="n">
        <v>45932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47466-2022</t>
        </is>
      </c>
      <c r="B1884" s="1" t="n">
        <v>44852</v>
      </c>
      <c r="C1884" s="1" t="n">
        <v>45932</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22356-2022</t>
        </is>
      </c>
      <c r="B1885" s="1" t="n">
        <v>44713</v>
      </c>
      <c r="C1885" s="1" t="n">
        <v>45932</v>
      </c>
      <c r="D1885" t="inlineStr">
        <is>
          <t>VÄRMLANDS LÄN</t>
        </is>
      </c>
      <c r="E1885" t="inlineStr">
        <is>
          <t>FILIPSTAD</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51101-2022</t>
        </is>
      </c>
      <c r="B1886" s="1" t="n">
        <v>44868.41391203704</v>
      </c>
      <c r="C1886" s="1" t="n">
        <v>45932</v>
      </c>
      <c r="D1886" t="inlineStr">
        <is>
          <t>VÄRMLANDS LÄN</t>
        </is>
      </c>
      <c r="E1886" t="inlineStr">
        <is>
          <t>EDA</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51113-2022</t>
        </is>
      </c>
      <c r="B1887" s="1" t="n">
        <v>44868.4477662037</v>
      </c>
      <c r="C1887" s="1" t="n">
        <v>45932</v>
      </c>
      <c r="D1887" t="inlineStr">
        <is>
          <t>VÄRMLANDS LÄN</t>
        </is>
      </c>
      <c r="E1887" t="inlineStr">
        <is>
          <t>SÄFFLE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6692-2022</t>
        </is>
      </c>
      <c r="B1888" s="1" t="n">
        <v>44602.41798611111</v>
      </c>
      <c r="C1888" s="1" t="n">
        <v>45932</v>
      </c>
      <c r="D1888" t="inlineStr">
        <is>
          <t>VÄRMLANDS LÄN</t>
        </is>
      </c>
      <c r="E1888" t="inlineStr">
        <is>
          <t>SUNNE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11103-2022</t>
        </is>
      </c>
      <c r="B1889" s="1" t="n">
        <v>44628</v>
      </c>
      <c r="C1889" s="1" t="n">
        <v>45932</v>
      </c>
      <c r="D1889" t="inlineStr">
        <is>
          <t>VÄRMLANDS LÄN</t>
        </is>
      </c>
      <c r="E1889" t="inlineStr">
        <is>
          <t>GRUMS</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50493-2020</t>
        </is>
      </c>
      <c r="B1890" s="1" t="n">
        <v>44110</v>
      </c>
      <c r="C1890" s="1" t="n">
        <v>45932</v>
      </c>
      <c r="D1890" t="inlineStr">
        <is>
          <t>VÄRMLANDS LÄN</t>
        </is>
      </c>
      <c r="E1890" t="inlineStr">
        <is>
          <t>KRISTINEHAMN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73568-2021</t>
        </is>
      </c>
      <c r="B1891" s="1" t="n">
        <v>44551</v>
      </c>
      <c r="C1891" s="1" t="n">
        <v>45932</v>
      </c>
      <c r="D1891" t="inlineStr">
        <is>
          <t>VÄRMLANDS LÄN</t>
        </is>
      </c>
      <c r="E1891" t="inlineStr">
        <is>
          <t>KRISTINEHAMN</t>
        </is>
      </c>
      <c r="G1891" t="n">
        <v>13.9</v>
      </c>
      <c r="H1891" t="n">
        <v>0</v>
      </c>
      <c r="I1891" t="n">
        <v>0</v>
      </c>
      <c r="J1891" t="n">
        <v>0</v>
      </c>
      <c r="K1891" t="n">
        <v>0</v>
      </c>
      <c r="L1891" t="n">
        <v>0</v>
      </c>
      <c r="M1891" t="n">
        <v>0</v>
      </c>
      <c r="N1891" t="n">
        <v>0</v>
      </c>
      <c r="O1891" t="n">
        <v>0</v>
      </c>
      <c r="P1891" t="n">
        <v>0</v>
      </c>
      <c r="Q1891" t="n">
        <v>0</v>
      </c>
      <c r="R1891" s="2" t="inlineStr"/>
    </row>
    <row r="1892" ht="15" customHeight="1">
      <c r="A1892" t="inlineStr">
        <is>
          <t>A 11210-2022</t>
        </is>
      </c>
      <c r="B1892" s="1" t="n">
        <v>44629</v>
      </c>
      <c r="C1892" s="1" t="n">
        <v>45932</v>
      </c>
      <c r="D1892" t="inlineStr">
        <is>
          <t>VÄRMLANDS LÄN</t>
        </is>
      </c>
      <c r="E1892" t="inlineStr">
        <is>
          <t>SÄFFLE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30384-2021</t>
        </is>
      </c>
      <c r="B1893" s="1" t="n">
        <v>44364.4903587963</v>
      </c>
      <c r="C1893" s="1" t="n">
        <v>45932</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26427-2021</t>
        </is>
      </c>
      <c r="B1894" s="1" t="n">
        <v>44347</v>
      </c>
      <c r="C1894" s="1" t="n">
        <v>45932</v>
      </c>
      <c r="D1894" t="inlineStr">
        <is>
          <t>VÄRMLANDS LÄN</t>
        </is>
      </c>
      <c r="E1894" t="inlineStr">
        <is>
          <t>KRISTINEHAMN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57331-2020</t>
        </is>
      </c>
      <c r="B1895" s="1" t="n">
        <v>44139</v>
      </c>
      <c r="C1895" s="1" t="n">
        <v>45932</v>
      </c>
      <c r="D1895" t="inlineStr">
        <is>
          <t>VÄRMLANDS LÄN</t>
        </is>
      </c>
      <c r="E1895" t="inlineStr">
        <is>
          <t>ARVIKA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37878-2021</t>
        </is>
      </c>
      <c r="B1896" s="1" t="n">
        <v>44403</v>
      </c>
      <c r="C1896" s="1" t="n">
        <v>45932</v>
      </c>
      <c r="D1896" t="inlineStr">
        <is>
          <t>VÄRMLANDS LÄN</t>
        </is>
      </c>
      <c r="E1896" t="inlineStr">
        <is>
          <t>KARLSTAD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22459-2021</t>
        </is>
      </c>
      <c r="B1897" s="1" t="n">
        <v>44326</v>
      </c>
      <c r="C1897" s="1" t="n">
        <v>45932</v>
      </c>
      <c r="D1897" t="inlineStr">
        <is>
          <t>VÄRMLANDS LÄN</t>
        </is>
      </c>
      <c r="E1897" t="inlineStr">
        <is>
          <t>MUNKFORS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51088-2020</t>
        </is>
      </c>
      <c r="B1898" s="1" t="n">
        <v>44112</v>
      </c>
      <c r="C1898" s="1" t="n">
        <v>45932</v>
      </c>
      <c r="D1898" t="inlineStr">
        <is>
          <t>VÄRMLANDS LÄN</t>
        </is>
      </c>
      <c r="E1898" t="inlineStr">
        <is>
          <t>SÄFFLE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60082-2020</t>
        </is>
      </c>
      <c r="B1899" s="1" t="n">
        <v>44152</v>
      </c>
      <c r="C1899" s="1" t="n">
        <v>45932</v>
      </c>
      <c r="D1899" t="inlineStr">
        <is>
          <t>VÄRMLANDS LÄN</t>
        </is>
      </c>
      <c r="E1899" t="inlineStr">
        <is>
          <t>KARLSTAD</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59453-2021</t>
        </is>
      </c>
      <c r="B1900" s="1" t="n">
        <v>44491</v>
      </c>
      <c r="C1900" s="1" t="n">
        <v>45932</v>
      </c>
      <c r="D1900" t="inlineStr">
        <is>
          <t>VÄRMLANDS LÄN</t>
        </is>
      </c>
      <c r="E1900" t="inlineStr">
        <is>
          <t>ÅRJÄNG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18303-2022</t>
        </is>
      </c>
      <c r="B1901" s="1" t="n">
        <v>44685.55225694444</v>
      </c>
      <c r="C1901" s="1" t="n">
        <v>45932</v>
      </c>
      <c r="D1901" t="inlineStr">
        <is>
          <t>VÄRMLANDS LÄN</t>
        </is>
      </c>
      <c r="E1901" t="inlineStr">
        <is>
          <t>MUNKFORS</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18406-2022</t>
        </is>
      </c>
      <c r="B1902" s="1" t="n">
        <v>44686</v>
      </c>
      <c r="C1902" s="1" t="n">
        <v>45932</v>
      </c>
      <c r="D1902" t="inlineStr">
        <is>
          <t>VÄRMLANDS LÄN</t>
        </is>
      </c>
      <c r="E1902" t="inlineStr">
        <is>
          <t>SUNNE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7289-2022</t>
        </is>
      </c>
      <c r="B1903" s="1" t="n">
        <v>44606</v>
      </c>
      <c r="C1903" s="1" t="n">
        <v>45932</v>
      </c>
      <c r="D1903" t="inlineStr">
        <is>
          <t>VÄRMLANDS LÄN</t>
        </is>
      </c>
      <c r="E1903" t="inlineStr">
        <is>
          <t>FORSHAGA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31189-2021</t>
        </is>
      </c>
      <c r="B1904" s="1" t="n">
        <v>44368.60549768519</v>
      </c>
      <c r="C1904" s="1" t="n">
        <v>45932</v>
      </c>
      <c r="D1904" t="inlineStr">
        <is>
          <t>VÄRMLANDS LÄN</t>
        </is>
      </c>
      <c r="E1904" t="inlineStr">
        <is>
          <t>FILIPSTAD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43937-2021</t>
        </is>
      </c>
      <c r="B1905" s="1" t="n">
        <v>44434.40748842592</v>
      </c>
      <c r="C1905" s="1" t="n">
        <v>45932</v>
      </c>
      <c r="D1905" t="inlineStr">
        <is>
          <t>VÄRMLANDS LÄN</t>
        </is>
      </c>
      <c r="E1905" t="inlineStr">
        <is>
          <t>SÄFFLE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43960-2021</t>
        </is>
      </c>
      <c r="B1906" s="1" t="n">
        <v>44434</v>
      </c>
      <c r="C1906" s="1" t="n">
        <v>45932</v>
      </c>
      <c r="D1906" t="inlineStr">
        <is>
          <t>VÄRMLANDS LÄN</t>
        </is>
      </c>
      <c r="E1906" t="inlineStr">
        <is>
          <t>GRUMS</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14582-2022</t>
        </is>
      </c>
      <c r="B1907" s="1" t="n">
        <v>44655</v>
      </c>
      <c r="C1907" s="1" t="n">
        <v>45932</v>
      </c>
      <c r="D1907" t="inlineStr">
        <is>
          <t>VÄRMLANDS LÄN</t>
        </is>
      </c>
      <c r="E1907" t="inlineStr">
        <is>
          <t>FILIPSTAD</t>
        </is>
      </c>
      <c r="F1907" t="inlineStr">
        <is>
          <t>Bergvik skog väst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14615-2022</t>
        </is>
      </c>
      <c r="B1908" s="1" t="n">
        <v>44655</v>
      </c>
      <c r="C1908" s="1" t="n">
        <v>45932</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51553-2021</t>
        </is>
      </c>
      <c r="B1909" s="1" t="n">
        <v>44462</v>
      </c>
      <c r="C1909" s="1" t="n">
        <v>45932</v>
      </c>
      <c r="D1909" t="inlineStr">
        <is>
          <t>VÄRMLANDS LÄN</t>
        </is>
      </c>
      <c r="E1909" t="inlineStr">
        <is>
          <t>ARVIKA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27160-2022</t>
        </is>
      </c>
      <c r="B1910" s="1" t="n">
        <v>44741</v>
      </c>
      <c r="C1910" s="1" t="n">
        <v>45932</v>
      </c>
      <c r="D1910" t="inlineStr">
        <is>
          <t>VÄRMLANDS LÄN</t>
        </is>
      </c>
      <c r="E1910" t="inlineStr">
        <is>
          <t>KRISTINEHAMN</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23075-2022</t>
        </is>
      </c>
      <c r="B1911" s="1" t="n">
        <v>44718</v>
      </c>
      <c r="C1911" s="1" t="n">
        <v>45932</v>
      </c>
      <c r="D1911" t="inlineStr">
        <is>
          <t>VÄRMLANDS LÄN</t>
        </is>
      </c>
      <c r="E1911" t="inlineStr">
        <is>
          <t>ARVIKA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23086-2022</t>
        </is>
      </c>
      <c r="B1912" s="1" t="n">
        <v>44719.4793287037</v>
      </c>
      <c r="C1912" s="1" t="n">
        <v>45932</v>
      </c>
      <c r="D1912" t="inlineStr">
        <is>
          <t>VÄRMLANDS LÄN</t>
        </is>
      </c>
      <c r="E1912" t="inlineStr">
        <is>
          <t>SÄFFLE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13843-2022</t>
        </is>
      </c>
      <c r="B1913" s="1" t="n">
        <v>44649.65836805556</v>
      </c>
      <c r="C1913" s="1" t="n">
        <v>45932</v>
      </c>
      <c r="D1913" t="inlineStr">
        <is>
          <t>VÄRMLANDS LÄN</t>
        </is>
      </c>
      <c r="E1913" t="inlineStr">
        <is>
          <t>GRUMS</t>
        </is>
      </c>
      <c r="F1913" t="inlineStr">
        <is>
          <t>Bergvik skog väst AB</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64202-2021</t>
        </is>
      </c>
      <c r="B1914" s="1" t="n">
        <v>44510.60755787037</v>
      </c>
      <c r="C1914" s="1" t="n">
        <v>45932</v>
      </c>
      <c r="D1914" t="inlineStr">
        <is>
          <t>VÄRMLANDS LÄN</t>
        </is>
      </c>
      <c r="E1914" t="inlineStr">
        <is>
          <t>EDA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48994-2021</t>
        </is>
      </c>
      <c r="B1915" s="1" t="n">
        <v>44453</v>
      </c>
      <c r="C1915" s="1" t="n">
        <v>45932</v>
      </c>
      <c r="D1915" t="inlineStr">
        <is>
          <t>VÄRMLANDS LÄN</t>
        </is>
      </c>
      <c r="E1915" t="inlineStr">
        <is>
          <t>SUNNE</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28703-2021</t>
        </is>
      </c>
      <c r="B1916" s="1" t="n">
        <v>44357.43211805556</v>
      </c>
      <c r="C1916" s="1" t="n">
        <v>45932</v>
      </c>
      <c r="D1916" t="inlineStr">
        <is>
          <t>VÄRMLANDS LÄN</t>
        </is>
      </c>
      <c r="E1916" t="inlineStr">
        <is>
          <t>HAGFORS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22413-2021</t>
        </is>
      </c>
      <c r="B1917" s="1" t="n">
        <v>44326.62013888889</v>
      </c>
      <c r="C1917" s="1" t="n">
        <v>45932</v>
      </c>
      <c r="D1917" t="inlineStr">
        <is>
          <t>VÄRMLANDS LÄN</t>
        </is>
      </c>
      <c r="E1917" t="inlineStr">
        <is>
          <t>EDA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17927-2021</t>
        </is>
      </c>
      <c r="B1918" s="1" t="n">
        <v>44301</v>
      </c>
      <c r="C1918" s="1" t="n">
        <v>45932</v>
      </c>
      <c r="D1918" t="inlineStr">
        <is>
          <t>VÄRMLANDS LÄN</t>
        </is>
      </c>
      <c r="E1918" t="inlineStr">
        <is>
          <t>ÅRJÄNG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20777-2022</t>
        </is>
      </c>
      <c r="B1919" s="1" t="n">
        <v>44701.37635416666</v>
      </c>
      <c r="C1919" s="1" t="n">
        <v>45932</v>
      </c>
      <c r="D1919" t="inlineStr">
        <is>
          <t>VÄRMLANDS LÄN</t>
        </is>
      </c>
      <c r="E1919" t="inlineStr">
        <is>
          <t>KARLSTAD</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21323-2022</t>
        </is>
      </c>
      <c r="B1920" s="1" t="n">
        <v>44705</v>
      </c>
      <c r="C1920" s="1" t="n">
        <v>45932</v>
      </c>
      <c r="D1920" t="inlineStr">
        <is>
          <t>VÄRMLANDS LÄN</t>
        </is>
      </c>
      <c r="E1920" t="inlineStr">
        <is>
          <t>EDA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26300-2021</t>
        </is>
      </c>
      <c r="B1921" s="1" t="n">
        <v>44347</v>
      </c>
      <c r="C1921" s="1" t="n">
        <v>45932</v>
      </c>
      <c r="D1921" t="inlineStr">
        <is>
          <t>VÄRMLANDS LÄN</t>
        </is>
      </c>
      <c r="E1921" t="inlineStr">
        <is>
          <t>SUNNE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53262-2022</t>
        </is>
      </c>
      <c r="B1922" s="1" t="n">
        <v>44876</v>
      </c>
      <c r="C1922" s="1" t="n">
        <v>45932</v>
      </c>
      <c r="D1922" t="inlineStr">
        <is>
          <t>VÄRMLANDS LÄN</t>
        </is>
      </c>
      <c r="E1922" t="inlineStr">
        <is>
          <t>ÅRJÄNG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10376-2022</t>
        </is>
      </c>
      <c r="B1923" s="1" t="n">
        <v>44623</v>
      </c>
      <c r="C1923" s="1" t="n">
        <v>45932</v>
      </c>
      <c r="D1923" t="inlineStr">
        <is>
          <t>VÄRMLANDS LÄN</t>
        </is>
      </c>
      <c r="E1923" t="inlineStr">
        <is>
          <t>KARLSTAD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25694-2022</t>
        </is>
      </c>
      <c r="B1924" s="1" t="n">
        <v>44732</v>
      </c>
      <c r="C1924" s="1" t="n">
        <v>45932</v>
      </c>
      <c r="D1924" t="inlineStr">
        <is>
          <t>VÄRMLANDS LÄN</t>
        </is>
      </c>
      <c r="E1924" t="inlineStr">
        <is>
          <t>GRUMS</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42324-2022</t>
        </is>
      </c>
      <c r="B1925" s="1" t="n">
        <v>44831.34027777778</v>
      </c>
      <c r="C1925" s="1" t="n">
        <v>45932</v>
      </c>
      <c r="D1925" t="inlineStr">
        <is>
          <t>VÄRMLANDS LÄN</t>
        </is>
      </c>
      <c r="E1925" t="inlineStr">
        <is>
          <t>ARVIKA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51194-2021</t>
        </is>
      </c>
      <c r="B1926" s="1" t="n">
        <v>44461</v>
      </c>
      <c r="C1926" s="1" t="n">
        <v>45932</v>
      </c>
      <c r="D1926" t="inlineStr">
        <is>
          <t>VÄRMLANDS LÄN</t>
        </is>
      </c>
      <c r="E1926" t="inlineStr">
        <is>
          <t>SUNNE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14145-2022</t>
        </is>
      </c>
      <c r="B1927" s="1" t="n">
        <v>44651</v>
      </c>
      <c r="C1927" s="1" t="n">
        <v>45932</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47180-2022</t>
        </is>
      </c>
      <c r="B1928" s="1" t="n">
        <v>44852.62166666667</v>
      </c>
      <c r="C1928" s="1" t="n">
        <v>45932</v>
      </c>
      <c r="D1928" t="inlineStr">
        <is>
          <t>VÄRMLANDS LÄN</t>
        </is>
      </c>
      <c r="E1928" t="inlineStr">
        <is>
          <t>EDA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21818-2021</t>
        </is>
      </c>
      <c r="B1929" s="1" t="n">
        <v>44322.62567129629</v>
      </c>
      <c r="C1929" s="1" t="n">
        <v>45932</v>
      </c>
      <c r="D1929" t="inlineStr">
        <is>
          <t>VÄRMLANDS LÄN</t>
        </is>
      </c>
      <c r="E1929" t="inlineStr">
        <is>
          <t>KARLSTAD</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51380-2020</t>
        </is>
      </c>
      <c r="B1930" s="1" t="n">
        <v>44113</v>
      </c>
      <c r="C1930" s="1" t="n">
        <v>45932</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51382-2020</t>
        </is>
      </c>
      <c r="B1931" s="1" t="n">
        <v>44113</v>
      </c>
      <c r="C1931" s="1" t="n">
        <v>45932</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21939-2022</t>
        </is>
      </c>
      <c r="B1932" s="1" t="n">
        <v>44711</v>
      </c>
      <c r="C1932" s="1" t="n">
        <v>45932</v>
      </c>
      <c r="D1932" t="inlineStr">
        <is>
          <t>VÄRMLANDS LÄN</t>
        </is>
      </c>
      <c r="E1932" t="inlineStr">
        <is>
          <t>ÅRJÄNG</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19244-2021</t>
        </is>
      </c>
      <c r="B1933" s="1" t="n">
        <v>44309</v>
      </c>
      <c r="C1933" s="1" t="n">
        <v>45932</v>
      </c>
      <c r="D1933" t="inlineStr">
        <is>
          <t>VÄRMLANDS LÄN</t>
        </is>
      </c>
      <c r="E1933" t="inlineStr">
        <is>
          <t>ÅRJÄNG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19349-2021</t>
        </is>
      </c>
      <c r="B1934" s="1" t="n">
        <v>44309</v>
      </c>
      <c r="C1934" s="1" t="n">
        <v>45932</v>
      </c>
      <c r="D1934" t="inlineStr">
        <is>
          <t>VÄRMLANDS LÄN</t>
        </is>
      </c>
      <c r="E1934" t="inlineStr">
        <is>
          <t>KRISTINEHAMN</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19375-2021</t>
        </is>
      </c>
      <c r="B1935" s="1" t="n">
        <v>44309.6765625</v>
      </c>
      <c r="C1935" s="1" t="n">
        <v>45932</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26317-2021</t>
        </is>
      </c>
      <c r="B1936" s="1" t="n">
        <v>44347.59332175926</v>
      </c>
      <c r="C1936" s="1" t="n">
        <v>45932</v>
      </c>
      <c r="D1936" t="inlineStr">
        <is>
          <t>VÄRMLANDS LÄN</t>
        </is>
      </c>
      <c r="E1936" t="inlineStr">
        <is>
          <t>KRISTINEHAMN</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55959-2020</t>
        </is>
      </c>
      <c r="B1937" s="1" t="n">
        <v>44133</v>
      </c>
      <c r="C1937" s="1" t="n">
        <v>45932</v>
      </c>
      <c r="D1937" t="inlineStr">
        <is>
          <t>VÄRMLANDS LÄN</t>
        </is>
      </c>
      <c r="E1937" t="inlineStr">
        <is>
          <t>EDA</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36955-2021</t>
        </is>
      </c>
      <c r="B1938" s="1" t="n">
        <v>44393.55623842592</v>
      </c>
      <c r="C1938" s="1" t="n">
        <v>45932</v>
      </c>
      <c r="D1938" t="inlineStr">
        <is>
          <t>VÄRMLANDS LÄN</t>
        </is>
      </c>
      <c r="E1938" t="inlineStr">
        <is>
          <t>KRISTINEHAMN</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60167-2020</t>
        </is>
      </c>
      <c r="B1939" s="1" t="n">
        <v>44152</v>
      </c>
      <c r="C1939" s="1" t="n">
        <v>45932</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22604-2022</t>
        </is>
      </c>
      <c r="B1940" s="1" t="n">
        <v>44714.3706712963</v>
      </c>
      <c r="C1940" s="1" t="n">
        <v>45932</v>
      </c>
      <c r="D1940" t="inlineStr">
        <is>
          <t>VÄRMLANDS LÄN</t>
        </is>
      </c>
      <c r="E1940" t="inlineStr">
        <is>
          <t>ARVIKA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58078-2020</t>
        </is>
      </c>
      <c r="B1941" s="1" t="n">
        <v>44144</v>
      </c>
      <c r="C1941" s="1" t="n">
        <v>45932</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56993-2021</t>
        </is>
      </c>
      <c r="B1942" s="1" t="n">
        <v>44482</v>
      </c>
      <c r="C1942" s="1" t="n">
        <v>45932</v>
      </c>
      <c r="D1942" t="inlineStr">
        <is>
          <t>VÄRMLANDS LÄN</t>
        </is>
      </c>
      <c r="E1942" t="inlineStr">
        <is>
          <t>ÅRJÄNG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57090-2021</t>
        </is>
      </c>
      <c r="B1943" s="1" t="n">
        <v>44482</v>
      </c>
      <c r="C1943" s="1" t="n">
        <v>45932</v>
      </c>
      <c r="D1943" t="inlineStr">
        <is>
          <t>VÄRMLANDS LÄN</t>
        </is>
      </c>
      <c r="E1943" t="inlineStr">
        <is>
          <t>FILIPSTAD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2031-2021</t>
        </is>
      </c>
      <c r="B1944" s="1" t="n">
        <v>44211.32855324074</v>
      </c>
      <c r="C1944" s="1" t="n">
        <v>45932</v>
      </c>
      <c r="D1944" t="inlineStr">
        <is>
          <t>VÄRMLANDS LÄN</t>
        </is>
      </c>
      <c r="E1944" t="inlineStr">
        <is>
          <t>KRISTINEHAMN</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23813-2021</t>
        </is>
      </c>
      <c r="B1945" s="1" t="n">
        <v>44335.38092592593</v>
      </c>
      <c r="C1945" s="1" t="n">
        <v>45932</v>
      </c>
      <c r="D1945" t="inlineStr">
        <is>
          <t>VÄRMLANDS LÄN</t>
        </is>
      </c>
      <c r="E1945" t="inlineStr">
        <is>
          <t>STORFORS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61998-2020</t>
        </is>
      </c>
      <c r="B1946" s="1" t="n">
        <v>44158</v>
      </c>
      <c r="C1946" s="1" t="n">
        <v>45932</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51975-2022</t>
        </is>
      </c>
      <c r="B1947" s="1" t="n">
        <v>44872.71702546296</v>
      </c>
      <c r="C1947" s="1" t="n">
        <v>45932</v>
      </c>
      <c r="D1947" t="inlineStr">
        <is>
          <t>VÄRMLANDS LÄN</t>
        </is>
      </c>
      <c r="E1947" t="inlineStr">
        <is>
          <t>ÅRJÄNG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61597-2020</t>
        </is>
      </c>
      <c r="B1948" s="1" t="n">
        <v>44158</v>
      </c>
      <c r="C1948" s="1" t="n">
        <v>45932</v>
      </c>
      <c r="D1948" t="inlineStr">
        <is>
          <t>VÄRMLANDS LÄN</t>
        </is>
      </c>
      <c r="E1948" t="inlineStr">
        <is>
          <t>SUNNE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68948-2020</t>
        </is>
      </c>
      <c r="B1949" s="1" t="n">
        <v>44187</v>
      </c>
      <c r="C1949" s="1" t="n">
        <v>45932</v>
      </c>
      <c r="D1949" t="inlineStr">
        <is>
          <t>VÄRMLANDS LÄN</t>
        </is>
      </c>
      <c r="E1949" t="inlineStr">
        <is>
          <t>SUNNE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50803-2022</t>
        </is>
      </c>
      <c r="B1950" s="1" t="n">
        <v>44867</v>
      </c>
      <c r="C1950" s="1" t="n">
        <v>45932</v>
      </c>
      <c r="D1950" t="inlineStr">
        <is>
          <t>VÄRMLANDS LÄN</t>
        </is>
      </c>
      <c r="E1950" t="inlineStr">
        <is>
          <t>KARLSTAD</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32145-2022</t>
        </is>
      </c>
      <c r="B1951" s="1" t="n">
        <v>44780.62675925926</v>
      </c>
      <c r="C1951" s="1" t="n">
        <v>45932</v>
      </c>
      <c r="D1951" t="inlineStr">
        <is>
          <t>VÄRMLANDS LÄN</t>
        </is>
      </c>
      <c r="E1951" t="inlineStr">
        <is>
          <t>SÄFFLE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32147-2022</t>
        </is>
      </c>
      <c r="B1952" s="1" t="n">
        <v>44780.62833333333</v>
      </c>
      <c r="C1952" s="1" t="n">
        <v>45932</v>
      </c>
      <c r="D1952" t="inlineStr">
        <is>
          <t>VÄRMLANDS LÄN</t>
        </is>
      </c>
      <c r="E1952" t="inlineStr">
        <is>
          <t>SÄFFLE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48465-2021</t>
        </is>
      </c>
      <c r="B1953" s="1" t="n">
        <v>44452.38961805555</v>
      </c>
      <c r="C1953" s="1" t="n">
        <v>45932</v>
      </c>
      <c r="D1953" t="inlineStr">
        <is>
          <t>VÄRMLANDS LÄN</t>
        </is>
      </c>
      <c r="E1953" t="inlineStr">
        <is>
          <t>FORSHAGA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21826-2021</t>
        </is>
      </c>
      <c r="B1954" s="1" t="n">
        <v>44322</v>
      </c>
      <c r="C1954" s="1" t="n">
        <v>45932</v>
      </c>
      <c r="D1954" t="inlineStr">
        <is>
          <t>VÄRMLANDS LÄN</t>
        </is>
      </c>
      <c r="E1954" t="inlineStr">
        <is>
          <t>KARLSTAD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50060-2022</t>
        </is>
      </c>
      <c r="B1955" s="1" t="n">
        <v>44865</v>
      </c>
      <c r="C1955" s="1" t="n">
        <v>45932</v>
      </c>
      <c r="D1955" t="inlineStr">
        <is>
          <t>VÄRMLANDS LÄN</t>
        </is>
      </c>
      <c r="E1955" t="inlineStr">
        <is>
          <t>FORSHAGA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21862-2021</t>
        </is>
      </c>
      <c r="B1956" s="1" t="n">
        <v>44322.66199074074</v>
      </c>
      <c r="C1956" s="1" t="n">
        <v>45932</v>
      </c>
      <c r="D1956" t="inlineStr">
        <is>
          <t>VÄRMLANDS LÄN</t>
        </is>
      </c>
      <c r="E1956" t="inlineStr">
        <is>
          <t>KARLSTAD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57003-2020</t>
        </is>
      </c>
      <c r="B1957" s="1" t="n">
        <v>44138</v>
      </c>
      <c r="C1957" s="1" t="n">
        <v>45932</v>
      </c>
      <c r="D1957" t="inlineStr">
        <is>
          <t>VÄRMLANDS LÄN</t>
        </is>
      </c>
      <c r="E1957" t="inlineStr">
        <is>
          <t>KARLSTAD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24960-2022</t>
        </is>
      </c>
      <c r="B1958" s="1" t="n">
        <v>44728</v>
      </c>
      <c r="C1958" s="1" t="n">
        <v>45932</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64879-2020</t>
        </is>
      </c>
      <c r="B1959" s="1" t="n">
        <v>44171</v>
      </c>
      <c r="C1959" s="1" t="n">
        <v>45932</v>
      </c>
      <c r="D1959" t="inlineStr">
        <is>
          <t>VÄRMLANDS LÄN</t>
        </is>
      </c>
      <c r="E1959" t="inlineStr">
        <is>
          <t>GRUMS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16981-2021</t>
        </is>
      </c>
      <c r="B1960" s="1" t="n">
        <v>44295</v>
      </c>
      <c r="C1960" s="1" t="n">
        <v>45932</v>
      </c>
      <c r="D1960" t="inlineStr">
        <is>
          <t>VÄRMLANDS LÄN</t>
        </is>
      </c>
      <c r="E1960" t="inlineStr">
        <is>
          <t>ARVIKA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37040-2022</t>
        </is>
      </c>
      <c r="B1961" s="1" t="n">
        <v>44806</v>
      </c>
      <c r="C1961" s="1" t="n">
        <v>45932</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37045-2022</t>
        </is>
      </c>
      <c r="B1962" s="1" t="n">
        <v>44806</v>
      </c>
      <c r="C1962" s="1" t="n">
        <v>45932</v>
      </c>
      <c r="D1962" t="inlineStr">
        <is>
          <t>VÄRMLANDS LÄN</t>
        </is>
      </c>
      <c r="E1962" t="inlineStr">
        <is>
          <t>GRUMS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35221-2021</t>
        </is>
      </c>
      <c r="B1963" s="1" t="n">
        <v>44384</v>
      </c>
      <c r="C1963" s="1" t="n">
        <v>45932</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32680-2022</t>
        </is>
      </c>
      <c r="B1964" s="1" t="n">
        <v>44783</v>
      </c>
      <c r="C1964" s="1" t="n">
        <v>45932</v>
      </c>
      <c r="D1964" t="inlineStr">
        <is>
          <t>VÄRMLANDS LÄN</t>
        </is>
      </c>
      <c r="E1964" t="inlineStr">
        <is>
          <t>FILIPSTAD</t>
        </is>
      </c>
      <c r="F1964" t="inlineStr">
        <is>
          <t>Bergvik skog väst AB</t>
        </is>
      </c>
      <c r="G1964" t="n">
        <v>30.5</v>
      </c>
      <c r="H1964" t="n">
        <v>0</v>
      </c>
      <c r="I1964" t="n">
        <v>0</v>
      </c>
      <c r="J1964" t="n">
        <v>0</v>
      </c>
      <c r="K1964" t="n">
        <v>0</v>
      </c>
      <c r="L1964" t="n">
        <v>0</v>
      </c>
      <c r="M1964" t="n">
        <v>0</v>
      </c>
      <c r="N1964" t="n">
        <v>0</v>
      </c>
      <c r="O1964" t="n">
        <v>0</v>
      </c>
      <c r="P1964" t="n">
        <v>0</v>
      </c>
      <c r="Q1964" t="n">
        <v>0</v>
      </c>
      <c r="R1964" s="2" t="inlineStr"/>
    </row>
    <row r="1965" ht="15" customHeight="1">
      <c r="A1965" t="inlineStr">
        <is>
          <t>A 2089-2022</t>
        </is>
      </c>
      <c r="B1965" s="1" t="n">
        <v>44577.00778935185</v>
      </c>
      <c r="C1965" s="1" t="n">
        <v>45932</v>
      </c>
      <c r="D1965" t="inlineStr">
        <is>
          <t>VÄRMLANDS LÄN</t>
        </is>
      </c>
      <c r="E1965" t="inlineStr">
        <is>
          <t>GRUMS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31611-2022</t>
        </is>
      </c>
      <c r="B1966" s="1" t="n">
        <v>44775</v>
      </c>
      <c r="C1966" s="1" t="n">
        <v>45932</v>
      </c>
      <c r="D1966" t="inlineStr">
        <is>
          <t>VÄRMLANDS LÄN</t>
        </is>
      </c>
      <c r="E1966" t="inlineStr">
        <is>
          <t>SUNNE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16375-2021</t>
        </is>
      </c>
      <c r="B1967" s="1" t="n">
        <v>44292</v>
      </c>
      <c r="C1967" s="1" t="n">
        <v>45932</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64025-2020</t>
        </is>
      </c>
      <c r="B1968" s="1" t="n">
        <v>44167</v>
      </c>
      <c r="C1968" s="1" t="n">
        <v>45932</v>
      </c>
      <c r="D1968" t="inlineStr">
        <is>
          <t>VÄRMLANDS LÄN</t>
        </is>
      </c>
      <c r="E1968" t="inlineStr">
        <is>
          <t>FILIPSTAD</t>
        </is>
      </c>
      <c r="F1968" t="inlineStr">
        <is>
          <t>Bergvik skog väst AB</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22205-2022</t>
        </is>
      </c>
      <c r="B1969" s="1" t="n">
        <v>44712</v>
      </c>
      <c r="C1969" s="1" t="n">
        <v>45932</v>
      </c>
      <c r="D1969" t="inlineStr">
        <is>
          <t>VÄRMLANDS LÄN</t>
        </is>
      </c>
      <c r="E1969" t="inlineStr">
        <is>
          <t>KARLSTAD</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59343-2020</t>
        </is>
      </c>
      <c r="B1970" s="1" t="n">
        <v>44148</v>
      </c>
      <c r="C1970" s="1" t="n">
        <v>45932</v>
      </c>
      <c r="D1970" t="inlineStr">
        <is>
          <t>VÄRMLANDS LÄN</t>
        </is>
      </c>
      <c r="E1970" t="inlineStr">
        <is>
          <t>EDA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50557-2021</t>
        </is>
      </c>
      <c r="B1971" s="1" t="n">
        <v>44459</v>
      </c>
      <c r="C1971" s="1" t="n">
        <v>45932</v>
      </c>
      <c r="D1971" t="inlineStr">
        <is>
          <t>VÄRMLANDS LÄN</t>
        </is>
      </c>
      <c r="E1971" t="inlineStr">
        <is>
          <t>SUNNE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32438-2022</t>
        </is>
      </c>
      <c r="B1972" s="1" t="n">
        <v>44782</v>
      </c>
      <c r="C1972" s="1" t="n">
        <v>45932</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37860-2021</t>
        </is>
      </c>
      <c r="B1973" s="1" t="n">
        <v>44403</v>
      </c>
      <c r="C1973" s="1" t="n">
        <v>45932</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69281-2021</t>
        </is>
      </c>
      <c r="B1974" s="1" t="n">
        <v>44526</v>
      </c>
      <c r="C1974" s="1" t="n">
        <v>45932</v>
      </c>
      <c r="D1974" t="inlineStr">
        <is>
          <t>VÄRMLANDS LÄN</t>
        </is>
      </c>
      <c r="E1974" t="inlineStr">
        <is>
          <t>TORSBY</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59746-2021</t>
        </is>
      </c>
      <c r="B1975" s="1" t="n">
        <v>44494.44803240741</v>
      </c>
      <c r="C1975" s="1" t="n">
        <v>45932</v>
      </c>
      <c r="D1975" t="inlineStr">
        <is>
          <t>VÄRMLANDS LÄN</t>
        </is>
      </c>
      <c r="E1975" t="inlineStr">
        <is>
          <t>GRUMS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44066-2021</t>
        </is>
      </c>
      <c r="B1976" s="1" t="n">
        <v>44434</v>
      </c>
      <c r="C1976" s="1" t="n">
        <v>45932</v>
      </c>
      <c r="D1976" t="inlineStr">
        <is>
          <t>VÄRMLANDS LÄN</t>
        </is>
      </c>
      <c r="E1976" t="inlineStr">
        <is>
          <t>SUNNE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44067-2021</t>
        </is>
      </c>
      <c r="B1977" s="1" t="n">
        <v>44434</v>
      </c>
      <c r="C1977" s="1" t="n">
        <v>45932</v>
      </c>
      <c r="D1977" t="inlineStr">
        <is>
          <t>VÄRMLANDS LÄN</t>
        </is>
      </c>
      <c r="E1977" t="inlineStr">
        <is>
          <t>ARVIKA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65630-2021</t>
        </is>
      </c>
      <c r="B1978" s="1" t="n">
        <v>44516.55710648148</v>
      </c>
      <c r="C1978" s="1" t="n">
        <v>45932</v>
      </c>
      <c r="D1978" t="inlineStr">
        <is>
          <t>VÄRMLANDS LÄN</t>
        </is>
      </c>
      <c r="E1978" t="inlineStr">
        <is>
          <t>KARLSTAD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73208-2021</t>
        </is>
      </c>
      <c r="B1979" s="1" t="n">
        <v>44550.64060185185</v>
      </c>
      <c r="C1979" s="1" t="n">
        <v>45932</v>
      </c>
      <c r="D1979" t="inlineStr">
        <is>
          <t>VÄRMLANDS LÄN</t>
        </is>
      </c>
      <c r="E1979" t="inlineStr">
        <is>
          <t>ARVIKA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73318-2021</t>
        </is>
      </c>
      <c r="B1980" s="1" t="n">
        <v>44550</v>
      </c>
      <c r="C1980" s="1" t="n">
        <v>45932</v>
      </c>
      <c r="D1980" t="inlineStr">
        <is>
          <t>VÄRMLANDS LÄN</t>
        </is>
      </c>
      <c r="E1980" t="inlineStr">
        <is>
          <t>KARLSTAD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73322-2021</t>
        </is>
      </c>
      <c r="B1981" s="1" t="n">
        <v>44551.34428240741</v>
      </c>
      <c r="C1981" s="1" t="n">
        <v>45932</v>
      </c>
      <c r="D1981" t="inlineStr">
        <is>
          <t>VÄRMLANDS LÄN</t>
        </is>
      </c>
      <c r="E1981" t="inlineStr">
        <is>
          <t>SUNNE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59392-2020</t>
        </is>
      </c>
      <c r="B1982" s="1" t="n">
        <v>44148</v>
      </c>
      <c r="C1982" s="1" t="n">
        <v>45932</v>
      </c>
      <c r="D1982" t="inlineStr">
        <is>
          <t>VÄRMLANDS LÄN</t>
        </is>
      </c>
      <c r="E1982" t="inlineStr">
        <is>
          <t>MUNKFORS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29515-2022</t>
        </is>
      </c>
      <c r="B1983" s="1" t="n">
        <v>44753</v>
      </c>
      <c r="C1983" s="1" t="n">
        <v>45932</v>
      </c>
      <c r="D1983" t="inlineStr">
        <is>
          <t>VÄRMLANDS LÄN</t>
        </is>
      </c>
      <c r="E1983" t="inlineStr">
        <is>
          <t>GRUMS</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29520-2022</t>
        </is>
      </c>
      <c r="B1984" s="1" t="n">
        <v>44753</v>
      </c>
      <c r="C1984" s="1" t="n">
        <v>45932</v>
      </c>
      <c r="D1984" t="inlineStr">
        <is>
          <t>VÄRMLANDS LÄN</t>
        </is>
      </c>
      <c r="E1984" t="inlineStr">
        <is>
          <t>FORSHAGA</t>
        </is>
      </c>
      <c r="F1984" t="inlineStr">
        <is>
          <t>Kommuner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61768-2021</t>
        </is>
      </c>
      <c r="B1985" s="1" t="n">
        <v>44501</v>
      </c>
      <c r="C1985" s="1" t="n">
        <v>45932</v>
      </c>
      <c r="D1985" t="inlineStr">
        <is>
          <t>VÄRMLANDS LÄN</t>
        </is>
      </c>
      <c r="E1985" t="inlineStr">
        <is>
          <t>KRISTINEHAMN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51203-2021</t>
        </is>
      </c>
      <c r="B1986" s="1" t="n">
        <v>44460</v>
      </c>
      <c r="C1986" s="1" t="n">
        <v>45932</v>
      </c>
      <c r="D1986" t="inlineStr">
        <is>
          <t>VÄRMLANDS LÄN</t>
        </is>
      </c>
      <c r="E1986" t="inlineStr">
        <is>
          <t>GRUMS</t>
        </is>
      </c>
      <c r="F1986" t="inlineStr">
        <is>
          <t>Bergvik skog väst AB</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47206-2022</t>
        </is>
      </c>
      <c r="B1987" s="1" t="n">
        <v>44852.67550925926</v>
      </c>
      <c r="C1987" s="1" t="n">
        <v>45932</v>
      </c>
      <c r="D1987" t="inlineStr">
        <is>
          <t>VÄRMLANDS LÄN</t>
        </is>
      </c>
      <c r="E1987" t="inlineStr">
        <is>
          <t>TORSBY</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53765-2021</t>
        </is>
      </c>
      <c r="B1988" s="1" t="n">
        <v>44469</v>
      </c>
      <c r="C1988" s="1" t="n">
        <v>45932</v>
      </c>
      <c r="D1988" t="inlineStr">
        <is>
          <t>VÄRMLANDS LÄN</t>
        </is>
      </c>
      <c r="E1988" t="inlineStr">
        <is>
          <t>EDA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71818-2021</t>
        </is>
      </c>
      <c r="B1989" s="1" t="n">
        <v>44543</v>
      </c>
      <c r="C1989" s="1" t="n">
        <v>45932</v>
      </c>
      <c r="D1989" t="inlineStr">
        <is>
          <t>VÄRMLANDS LÄN</t>
        </is>
      </c>
      <c r="E1989" t="inlineStr">
        <is>
          <t>SUNNE</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71840-2021</t>
        </is>
      </c>
      <c r="B1990" s="1" t="n">
        <v>44543</v>
      </c>
      <c r="C1990" s="1" t="n">
        <v>45932</v>
      </c>
      <c r="D1990" t="inlineStr">
        <is>
          <t>VÄRMLANDS LÄN</t>
        </is>
      </c>
      <c r="E1990" t="inlineStr">
        <is>
          <t>ÅRJÄNG</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64442-2021</t>
        </is>
      </c>
      <c r="B1991" s="1" t="n">
        <v>44511</v>
      </c>
      <c r="C1991" s="1" t="n">
        <v>45932</v>
      </c>
      <c r="D1991" t="inlineStr">
        <is>
          <t>VÄRMLANDS LÄN</t>
        </is>
      </c>
      <c r="E1991" t="inlineStr">
        <is>
          <t>SÄFFLE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52799-2020</t>
        </is>
      </c>
      <c r="B1992" s="1" t="n">
        <v>44119.5903125</v>
      </c>
      <c r="C1992" s="1" t="n">
        <v>45932</v>
      </c>
      <c r="D1992" t="inlineStr">
        <is>
          <t>VÄRMLANDS LÄN</t>
        </is>
      </c>
      <c r="E1992" t="inlineStr">
        <is>
          <t>TORSBY</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53629-2021</t>
        </is>
      </c>
      <c r="B1993" s="1" t="n">
        <v>44469.39340277778</v>
      </c>
      <c r="C1993" s="1" t="n">
        <v>45932</v>
      </c>
      <c r="D1993" t="inlineStr">
        <is>
          <t>VÄRMLANDS LÄN</t>
        </is>
      </c>
      <c r="E1993" t="inlineStr">
        <is>
          <t>SUNNE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41450-2021</t>
        </is>
      </c>
      <c r="B1994" s="1" t="n">
        <v>44424</v>
      </c>
      <c r="C1994" s="1" t="n">
        <v>45932</v>
      </c>
      <c r="D1994" t="inlineStr">
        <is>
          <t>VÄRMLANDS LÄN</t>
        </is>
      </c>
      <c r="E1994" t="inlineStr">
        <is>
          <t>ARVIKA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54189-2021</t>
        </is>
      </c>
      <c r="B1995" s="1" t="n">
        <v>44470</v>
      </c>
      <c r="C1995" s="1" t="n">
        <v>45932</v>
      </c>
      <c r="D1995" t="inlineStr">
        <is>
          <t>VÄRMLANDS LÄN</t>
        </is>
      </c>
      <c r="E1995" t="inlineStr">
        <is>
          <t>FORSHAGA</t>
        </is>
      </c>
      <c r="F1995" t="inlineStr">
        <is>
          <t>Bergvik skog väst AB</t>
        </is>
      </c>
      <c r="G1995" t="n">
        <v>24.8</v>
      </c>
      <c r="H1995" t="n">
        <v>0</v>
      </c>
      <c r="I1995" t="n">
        <v>0</v>
      </c>
      <c r="J1995" t="n">
        <v>0</v>
      </c>
      <c r="K1995" t="n">
        <v>0</v>
      </c>
      <c r="L1995" t="n">
        <v>0</v>
      </c>
      <c r="M1995" t="n">
        <v>0</v>
      </c>
      <c r="N1995" t="n">
        <v>0</v>
      </c>
      <c r="O1995" t="n">
        <v>0</v>
      </c>
      <c r="P1995" t="n">
        <v>0</v>
      </c>
      <c r="Q1995" t="n">
        <v>0</v>
      </c>
      <c r="R1995" s="2" t="inlineStr"/>
    </row>
    <row r="1996" ht="15" customHeight="1">
      <c r="A1996" t="inlineStr">
        <is>
          <t>A 68858-2020</t>
        </is>
      </c>
      <c r="B1996" s="1" t="n">
        <v>44187</v>
      </c>
      <c r="C1996" s="1" t="n">
        <v>45932</v>
      </c>
      <c r="D1996" t="inlineStr">
        <is>
          <t>VÄRMLANDS LÄN</t>
        </is>
      </c>
      <c r="E1996" t="inlineStr">
        <is>
          <t>SUNNE</t>
        </is>
      </c>
      <c r="F1996" t="inlineStr">
        <is>
          <t>Bergvik skog väst AB</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22113-2021</t>
        </is>
      </c>
      <c r="B1997" s="1" t="n">
        <v>44323</v>
      </c>
      <c r="C1997" s="1" t="n">
        <v>45932</v>
      </c>
      <c r="D1997" t="inlineStr">
        <is>
          <t>VÄRMLANDS LÄN</t>
        </is>
      </c>
      <c r="E1997" t="inlineStr">
        <is>
          <t>TORSBY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42646-2021</t>
        </is>
      </c>
      <c r="B1998" s="1" t="n">
        <v>44428.45663194444</v>
      </c>
      <c r="C1998" s="1" t="n">
        <v>45932</v>
      </c>
      <c r="D1998" t="inlineStr">
        <is>
          <t>VÄRMLANDS LÄN</t>
        </is>
      </c>
      <c r="E1998" t="inlineStr">
        <is>
          <t>TORSBY</t>
        </is>
      </c>
      <c r="F1998" t="inlineStr">
        <is>
          <t>Bergvik skog väst AB</t>
        </is>
      </c>
      <c r="G1998" t="n">
        <v>21.4</v>
      </c>
      <c r="H1998" t="n">
        <v>0</v>
      </c>
      <c r="I1998" t="n">
        <v>0</v>
      </c>
      <c r="J1998" t="n">
        <v>0</v>
      </c>
      <c r="K1998" t="n">
        <v>0</v>
      </c>
      <c r="L1998" t="n">
        <v>0</v>
      </c>
      <c r="M1998" t="n">
        <v>0</v>
      </c>
      <c r="N1998" t="n">
        <v>0</v>
      </c>
      <c r="O1998" t="n">
        <v>0</v>
      </c>
      <c r="P1998" t="n">
        <v>0</v>
      </c>
      <c r="Q1998" t="n">
        <v>0</v>
      </c>
      <c r="R1998" s="2" t="inlineStr"/>
    </row>
    <row r="1999" ht="15" customHeight="1">
      <c r="A1999" t="inlineStr">
        <is>
          <t>A 3443-2022</t>
        </is>
      </c>
      <c r="B1999" s="1" t="n">
        <v>44585.56623842593</v>
      </c>
      <c r="C1999" s="1" t="n">
        <v>45932</v>
      </c>
      <c r="D1999" t="inlineStr">
        <is>
          <t>VÄRMLANDS LÄN</t>
        </is>
      </c>
      <c r="E1999" t="inlineStr">
        <is>
          <t>ARVIKA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62713-2020</t>
        </is>
      </c>
      <c r="B2000" s="1" t="n">
        <v>44161</v>
      </c>
      <c r="C2000" s="1" t="n">
        <v>45932</v>
      </c>
      <c r="D2000" t="inlineStr">
        <is>
          <t>VÄRMLANDS LÄN</t>
        </is>
      </c>
      <c r="E2000" t="inlineStr">
        <is>
          <t>ARVIKA</t>
        </is>
      </c>
      <c r="F2000" t="inlineStr">
        <is>
          <t>Kyrkan</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29098-2022</t>
        </is>
      </c>
      <c r="B2001" s="1" t="n">
        <v>44750</v>
      </c>
      <c r="C2001" s="1" t="n">
        <v>45932</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1880-2021</t>
        </is>
      </c>
      <c r="B2002" s="1" t="n">
        <v>44210</v>
      </c>
      <c r="C2002" s="1" t="n">
        <v>45932</v>
      </c>
      <c r="D2002" t="inlineStr">
        <is>
          <t>VÄRMLANDS LÄN</t>
        </is>
      </c>
      <c r="E2002" t="inlineStr">
        <is>
          <t>GRUMS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63536-2020</t>
        </is>
      </c>
      <c r="B2003" s="1" t="n">
        <v>44165</v>
      </c>
      <c r="C2003" s="1" t="n">
        <v>45932</v>
      </c>
      <c r="D2003" t="inlineStr">
        <is>
          <t>VÄRMLANDS LÄN</t>
        </is>
      </c>
      <c r="E2003" t="inlineStr">
        <is>
          <t>ARVIKA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29174-2022</t>
        </is>
      </c>
      <c r="B2004" s="1" t="n">
        <v>44750</v>
      </c>
      <c r="C2004" s="1" t="n">
        <v>45932</v>
      </c>
      <c r="D2004" t="inlineStr">
        <is>
          <t>VÄRMLANDS LÄN</t>
        </is>
      </c>
      <c r="E2004" t="inlineStr">
        <is>
          <t>ÅRJÄNG</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56928-2021</t>
        </is>
      </c>
      <c r="B2005" s="1" t="n">
        <v>44482</v>
      </c>
      <c r="C2005" s="1" t="n">
        <v>45932</v>
      </c>
      <c r="D2005" t="inlineStr">
        <is>
          <t>VÄRMLANDS LÄN</t>
        </is>
      </c>
      <c r="E2005" t="inlineStr">
        <is>
          <t>KARLSTAD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13146-2022</t>
        </is>
      </c>
      <c r="B2006" s="1" t="n">
        <v>44644</v>
      </c>
      <c r="C2006" s="1" t="n">
        <v>45932</v>
      </c>
      <c r="D2006" t="inlineStr">
        <is>
          <t>VÄRMLANDS LÄN</t>
        </is>
      </c>
      <c r="E2006" t="inlineStr">
        <is>
          <t>SÄFFLE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13152-2022</t>
        </is>
      </c>
      <c r="B2007" s="1" t="n">
        <v>44643</v>
      </c>
      <c r="C2007" s="1" t="n">
        <v>45932</v>
      </c>
      <c r="D2007" t="inlineStr">
        <is>
          <t>VÄRMLANDS LÄN</t>
        </is>
      </c>
      <c r="E2007" t="inlineStr">
        <is>
          <t>ÅRJÄNG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48577-2021</t>
        </is>
      </c>
      <c r="B2008" s="1" t="n">
        <v>44452.47320601852</v>
      </c>
      <c r="C2008" s="1" t="n">
        <v>45932</v>
      </c>
      <c r="D2008" t="inlineStr">
        <is>
          <t>VÄRMLANDS LÄN</t>
        </is>
      </c>
      <c r="E2008" t="inlineStr">
        <is>
          <t>KARLSTAD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16676-2021</t>
        </is>
      </c>
      <c r="B2009" s="1" t="n">
        <v>44294.5668287037</v>
      </c>
      <c r="C2009" s="1" t="n">
        <v>45932</v>
      </c>
      <c r="D2009" t="inlineStr">
        <is>
          <t>VÄRMLANDS LÄN</t>
        </is>
      </c>
      <c r="E2009" t="inlineStr">
        <is>
          <t>ÅRJÄNG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8408-2022</t>
        </is>
      </c>
      <c r="B2010" s="1" t="n">
        <v>44610</v>
      </c>
      <c r="C2010" s="1" t="n">
        <v>45932</v>
      </c>
      <c r="D2010" t="inlineStr">
        <is>
          <t>VÄRMLANDS LÄN</t>
        </is>
      </c>
      <c r="E2010" t="inlineStr">
        <is>
          <t>ÅRJÄNG</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55564-2021</t>
        </is>
      </c>
      <c r="B2011" s="1" t="n">
        <v>44475</v>
      </c>
      <c r="C2011" s="1" t="n">
        <v>45932</v>
      </c>
      <c r="D2011" t="inlineStr">
        <is>
          <t>VÄRMLANDS LÄN</t>
        </is>
      </c>
      <c r="E2011" t="inlineStr">
        <is>
          <t>KARLSTAD</t>
        </is>
      </c>
      <c r="F2011" t="inlineStr">
        <is>
          <t>Övriga statliga verk och myndigheter</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29654-2022</t>
        </is>
      </c>
      <c r="B2012" s="1" t="n">
        <v>44754</v>
      </c>
      <c r="C2012" s="1" t="n">
        <v>45932</v>
      </c>
      <c r="D2012" t="inlineStr">
        <is>
          <t>VÄRMLANDS LÄN</t>
        </is>
      </c>
      <c r="E2012" t="inlineStr">
        <is>
          <t>KARLSTAD</t>
        </is>
      </c>
      <c r="F2012" t="inlineStr">
        <is>
          <t>Kommuner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8882-2021</t>
        </is>
      </c>
      <c r="B2013" s="1" t="n">
        <v>44247</v>
      </c>
      <c r="C2013" s="1" t="n">
        <v>45932</v>
      </c>
      <c r="D2013" t="inlineStr">
        <is>
          <t>VÄRMLANDS LÄN</t>
        </is>
      </c>
      <c r="E2013" t="inlineStr">
        <is>
          <t>SÄFFLE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17033-2022</t>
        </is>
      </c>
      <c r="B2014" s="1" t="n">
        <v>44676</v>
      </c>
      <c r="C2014" s="1" t="n">
        <v>45932</v>
      </c>
      <c r="D2014" t="inlineStr">
        <is>
          <t>VÄRMLANDS LÄN</t>
        </is>
      </c>
      <c r="E2014" t="inlineStr">
        <is>
          <t>SUNNE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36087-2021</t>
        </is>
      </c>
      <c r="B2015" s="1" t="n">
        <v>44389</v>
      </c>
      <c r="C2015" s="1" t="n">
        <v>45932</v>
      </c>
      <c r="D2015" t="inlineStr">
        <is>
          <t>VÄRMLANDS LÄN</t>
        </is>
      </c>
      <c r="E2015" t="inlineStr">
        <is>
          <t>ÅRJÄNG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22719-2022</t>
        </is>
      </c>
      <c r="B2016" s="1" t="n">
        <v>44714.6290625</v>
      </c>
      <c r="C2016" s="1" t="n">
        <v>45932</v>
      </c>
      <c r="D2016" t="inlineStr">
        <is>
          <t>VÄRMLANDS LÄN</t>
        </is>
      </c>
      <c r="E2016" t="inlineStr">
        <is>
          <t>EDA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37212-2021</t>
        </is>
      </c>
      <c r="B2017" s="1" t="n">
        <v>44396</v>
      </c>
      <c r="C2017" s="1" t="n">
        <v>45932</v>
      </c>
      <c r="D2017" t="inlineStr">
        <is>
          <t>VÄRMLANDS LÄN</t>
        </is>
      </c>
      <c r="E2017" t="inlineStr">
        <is>
          <t>SUNNE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21515-2022</t>
        </is>
      </c>
      <c r="B2018" s="1" t="n">
        <v>44706</v>
      </c>
      <c r="C2018" s="1" t="n">
        <v>45932</v>
      </c>
      <c r="D2018" t="inlineStr">
        <is>
          <t>VÄRMLANDS LÄN</t>
        </is>
      </c>
      <c r="E2018" t="inlineStr">
        <is>
          <t>KRISTINEHAMN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33907-2022</t>
        </is>
      </c>
      <c r="B2019" s="1" t="n">
        <v>44790</v>
      </c>
      <c r="C2019" s="1" t="n">
        <v>45932</v>
      </c>
      <c r="D2019" t="inlineStr">
        <is>
          <t>VÄRMLANDS LÄN</t>
        </is>
      </c>
      <c r="E2019" t="inlineStr">
        <is>
          <t>KIL</t>
        </is>
      </c>
      <c r="F2019" t="inlineStr">
        <is>
          <t>Kommuner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9138-2022</t>
        </is>
      </c>
      <c r="B2020" s="1" t="n">
        <v>44615</v>
      </c>
      <c r="C2020" s="1" t="n">
        <v>45932</v>
      </c>
      <c r="D2020" t="inlineStr">
        <is>
          <t>VÄRMLANDS LÄN</t>
        </is>
      </c>
      <c r="E2020" t="inlineStr">
        <is>
          <t>SUNNE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40599-2021</t>
        </is>
      </c>
      <c r="B2021" s="1" t="n">
        <v>44420</v>
      </c>
      <c r="C2021" s="1" t="n">
        <v>45932</v>
      </c>
      <c r="D2021" t="inlineStr">
        <is>
          <t>VÄRMLANDS LÄN</t>
        </is>
      </c>
      <c r="E2021" t="inlineStr">
        <is>
          <t>SUNNE</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27686-2022</t>
        </is>
      </c>
      <c r="B2022" s="1" t="n">
        <v>44743.43273148148</v>
      </c>
      <c r="C2022" s="1" t="n">
        <v>45932</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13572-2022</t>
        </is>
      </c>
      <c r="B2023" s="1" t="n">
        <v>44648.45946759259</v>
      </c>
      <c r="C2023" s="1" t="n">
        <v>45932</v>
      </c>
      <c r="D2023" t="inlineStr">
        <is>
          <t>VÄRMLANDS LÄN</t>
        </is>
      </c>
      <c r="E2023" t="inlineStr">
        <is>
          <t>MUNKFORS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13654-2022</t>
        </is>
      </c>
      <c r="B2024" s="1" t="n">
        <v>44648.65623842592</v>
      </c>
      <c r="C2024" s="1" t="n">
        <v>45932</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10029-2022</t>
        </is>
      </c>
      <c r="B2025" s="1" t="n">
        <v>44621</v>
      </c>
      <c r="C2025" s="1" t="n">
        <v>45932</v>
      </c>
      <c r="D2025" t="inlineStr">
        <is>
          <t>VÄRMLANDS LÄN</t>
        </is>
      </c>
      <c r="E2025" t="inlineStr">
        <is>
          <t>SUNNE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70775-2021</t>
        </is>
      </c>
      <c r="B2026" s="1" t="n">
        <v>44537</v>
      </c>
      <c r="C2026" s="1" t="n">
        <v>45932</v>
      </c>
      <c r="D2026" t="inlineStr">
        <is>
          <t>VÄRMLANDS LÄN</t>
        </is>
      </c>
      <c r="E2026" t="inlineStr">
        <is>
          <t>TORSBY</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38014-2021</t>
        </is>
      </c>
      <c r="B2027" s="1" t="n">
        <v>44404.53424768519</v>
      </c>
      <c r="C2027" s="1" t="n">
        <v>45932</v>
      </c>
      <c r="D2027" t="inlineStr">
        <is>
          <t>VÄRMLANDS LÄN</t>
        </is>
      </c>
      <c r="E2027" t="inlineStr">
        <is>
          <t>SÄFFLE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34006-2021</t>
        </is>
      </c>
      <c r="B2028" s="1" t="n">
        <v>44378</v>
      </c>
      <c r="C2028" s="1" t="n">
        <v>45932</v>
      </c>
      <c r="D2028" t="inlineStr">
        <is>
          <t>VÄRMLANDS LÄN</t>
        </is>
      </c>
      <c r="E2028" t="inlineStr">
        <is>
          <t>SÄFFLE</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57391-2021</t>
        </is>
      </c>
      <c r="B2029" s="1" t="n">
        <v>44483</v>
      </c>
      <c r="C2029" s="1" t="n">
        <v>45932</v>
      </c>
      <c r="D2029" t="inlineStr">
        <is>
          <t>VÄRMLANDS LÄN</t>
        </is>
      </c>
      <c r="E2029" t="inlineStr">
        <is>
          <t>KARLSTAD</t>
        </is>
      </c>
      <c r="F2029" t="inlineStr">
        <is>
          <t>Kommuner</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43263-2021</t>
        </is>
      </c>
      <c r="B2030" s="1" t="n">
        <v>44432.36793981482</v>
      </c>
      <c r="C2030" s="1" t="n">
        <v>45932</v>
      </c>
      <c r="D2030" t="inlineStr">
        <is>
          <t>VÄRMLANDS LÄN</t>
        </is>
      </c>
      <c r="E2030" t="inlineStr">
        <is>
          <t>KARLSTAD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19889-2022</t>
        </is>
      </c>
      <c r="B2031" s="1" t="n">
        <v>44697.3821875</v>
      </c>
      <c r="C2031" s="1" t="n">
        <v>45932</v>
      </c>
      <c r="D2031" t="inlineStr">
        <is>
          <t>VÄRMLANDS LÄN</t>
        </is>
      </c>
      <c r="E2031" t="inlineStr">
        <is>
          <t>ARVIKA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19893-2022</t>
        </is>
      </c>
      <c r="B2032" s="1" t="n">
        <v>44697</v>
      </c>
      <c r="C2032" s="1" t="n">
        <v>45932</v>
      </c>
      <c r="D2032" t="inlineStr">
        <is>
          <t>VÄRMLANDS LÄN</t>
        </is>
      </c>
      <c r="E2032" t="inlineStr">
        <is>
          <t>ÅRJÄNG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40855-2022</t>
        </is>
      </c>
      <c r="B2033" s="1" t="n">
        <v>44825</v>
      </c>
      <c r="C2033" s="1" t="n">
        <v>45932</v>
      </c>
      <c r="D2033" t="inlineStr">
        <is>
          <t>VÄRMLANDS LÄN</t>
        </is>
      </c>
      <c r="E2033" t="inlineStr">
        <is>
          <t>KARLSTAD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47004-2022</t>
        </is>
      </c>
      <c r="B2034" s="1" t="n">
        <v>44852.31881944444</v>
      </c>
      <c r="C2034" s="1" t="n">
        <v>45932</v>
      </c>
      <c r="D2034" t="inlineStr">
        <is>
          <t>VÄRMLANDS LÄN</t>
        </is>
      </c>
      <c r="E2034" t="inlineStr">
        <is>
          <t>ARVIKA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25796-2021</t>
        </is>
      </c>
      <c r="B2035" s="1" t="n">
        <v>44343.85636574074</v>
      </c>
      <c r="C2035" s="1" t="n">
        <v>45932</v>
      </c>
      <c r="D2035" t="inlineStr">
        <is>
          <t>VÄRMLANDS LÄN</t>
        </is>
      </c>
      <c r="E2035" t="inlineStr">
        <is>
          <t>SUNNE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25797-2021</t>
        </is>
      </c>
      <c r="B2036" s="1" t="n">
        <v>44343.85788194444</v>
      </c>
      <c r="C2036" s="1" t="n">
        <v>45932</v>
      </c>
      <c r="D2036" t="inlineStr">
        <is>
          <t>VÄRMLANDS LÄN</t>
        </is>
      </c>
      <c r="E2036" t="inlineStr">
        <is>
          <t>SUNNE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10612-2022</t>
        </is>
      </c>
      <c r="B2037" s="1" t="n">
        <v>44624</v>
      </c>
      <c r="C2037" s="1" t="n">
        <v>45932</v>
      </c>
      <c r="D2037" t="inlineStr">
        <is>
          <t>VÄRMLANDS LÄN</t>
        </is>
      </c>
      <c r="E2037" t="inlineStr">
        <is>
          <t>ÅRJÄNG</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34359-2021</t>
        </is>
      </c>
      <c r="B2038" s="1" t="n">
        <v>44379</v>
      </c>
      <c r="C2038" s="1" t="n">
        <v>45932</v>
      </c>
      <c r="D2038" t="inlineStr">
        <is>
          <t>VÄRMLANDS LÄN</t>
        </is>
      </c>
      <c r="E2038" t="inlineStr">
        <is>
          <t>KARLSTAD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30685-2021</t>
        </is>
      </c>
      <c r="B2039" s="1" t="n">
        <v>44365</v>
      </c>
      <c r="C2039" s="1" t="n">
        <v>45932</v>
      </c>
      <c r="D2039" t="inlineStr">
        <is>
          <t>VÄRMLANDS LÄN</t>
        </is>
      </c>
      <c r="E2039" t="inlineStr">
        <is>
          <t>KRISTINEHAMN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24568-2022</t>
        </is>
      </c>
      <c r="B2040" s="1" t="n">
        <v>44727</v>
      </c>
      <c r="C2040" s="1" t="n">
        <v>45932</v>
      </c>
      <c r="D2040" t="inlineStr">
        <is>
          <t>VÄRMLANDS LÄN</t>
        </is>
      </c>
      <c r="E2040" t="inlineStr">
        <is>
          <t>SUNNE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31603-2021</t>
        </is>
      </c>
      <c r="B2041" s="1" t="n">
        <v>44369</v>
      </c>
      <c r="C2041" s="1" t="n">
        <v>45932</v>
      </c>
      <c r="D2041" t="inlineStr">
        <is>
          <t>VÄRMLANDS LÄN</t>
        </is>
      </c>
      <c r="E2041" t="inlineStr">
        <is>
          <t>SUNNE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31657-2021</t>
        </is>
      </c>
      <c r="B2042" s="1" t="n">
        <v>44369</v>
      </c>
      <c r="C2042" s="1" t="n">
        <v>45932</v>
      </c>
      <c r="D2042" t="inlineStr">
        <is>
          <t>VÄRMLANDS LÄN</t>
        </is>
      </c>
      <c r="E2042" t="inlineStr">
        <is>
          <t>EDA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66521-2020</t>
        </is>
      </c>
      <c r="B2043" s="1" t="n">
        <v>44179</v>
      </c>
      <c r="C2043" s="1" t="n">
        <v>45932</v>
      </c>
      <c r="D2043" t="inlineStr">
        <is>
          <t>VÄRMLANDS LÄN</t>
        </is>
      </c>
      <c r="E2043" t="inlineStr">
        <is>
          <t>EDA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42423-2022</t>
        </is>
      </c>
      <c r="B2044" s="1" t="n">
        <v>44830</v>
      </c>
      <c r="C2044" s="1" t="n">
        <v>45932</v>
      </c>
      <c r="D2044" t="inlineStr">
        <is>
          <t>VÄRMLANDS LÄN</t>
        </is>
      </c>
      <c r="E2044" t="inlineStr">
        <is>
          <t>HAGFORS</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42538-2022</t>
        </is>
      </c>
      <c r="B2045" s="1" t="n">
        <v>44831.62728009259</v>
      </c>
      <c r="C2045" s="1" t="n">
        <v>45932</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27045-2022</t>
        </is>
      </c>
      <c r="B2046" s="1" t="n">
        <v>44741.31314814815</v>
      </c>
      <c r="C2046" s="1" t="n">
        <v>45932</v>
      </c>
      <c r="D2046" t="inlineStr">
        <is>
          <t>VÄRMLANDS LÄN</t>
        </is>
      </c>
      <c r="E2046" t="inlineStr">
        <is>
          <t>HAGFORS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23450-2021</t>
        </is>
      </c>
      <c r="B2047" s="1" t="n">
        <v>44333</v>
      </c>
      <c r="C2047" s="1" t="n">
        <v>45932</v>
      </c>
      <c r="D2047" t="inlineStr">
        <is>
          <t>VÄRMLANDS LÄN</t>
        </is>
      </c>
      <c r="E2047" t="inlineStr">
        <is>
          <t>ÅRJÄNG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7253-2021</t>
        </is>
      </c>
      <c r="B2048" s="1" t="n">
        <v>44238</v>
      </c>
      <c r="C2048" s="1" t="n">
        <v>45932</v>
      </c>
      <c r="D2048" t="inlineStr">
        <is>
          <t>VÄRMLANDS LÄN</t>
        </is>
      </c>
      <c r="E2048" t="inlineStr">
        <is>
          <t>KARLSTAD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58501-2021</t>
        </is>
      </c>
      <c r="B2049" s="1" t="n">
        <v>44488</v>
      </c>
      <c r="C2049" s="1" t="n">
        <v>45932</v>
      </c>
      <c r="D2049" t="inlineStr">
        <is>
          <t>VÄRMLANDS LÄN</t>
        </is>
      </c>
      <c r="E2049" t="inlineStr">
        <is>
          <t>KARLSTAD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7312-2021</t>
        </is>
      </c>
      <c r="B2050" s="1" t="n">
        <v>44238</v>
      </c>
      <c r="C2050" s="1" t="n">
        <v>45932</v>
      </c>
      <c r="D2050" t="inlineStr">
        <is>
          <t>VÄRMLANDS LÄN</t>
        </is>
      </c>
      <c r="E2050" t="inlineStr">
        <is>
          <t>GRUMS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30111-2021</t>
        </is>
      </c>
      <c r="B2051" s="1" t="n">
        <v>44363</v>
      </c>
      <c r="C2051" s="1" t="n">
        <v>45932</v>
      </c>
      <c r="D2051" t="inlineStr">
        <is>
          <t>VÄRMLANDS LÄN</t>
        </is>
      </c>
      <c r="E2051" t="inlineStr">
        <is>
          <t>KARLSTAD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34694-2021</t>
        </is>
      </c>
      <c r="B2052" s="1" t="n">
        <v>44382.61398148148</v>
      </c>
      <c r="C2052" s="1" t="n">
        <v>45932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41382-2021</t>
        </is>
      </c>
      <c r="B2053" s="1" t="n">
        <v>44424</v>
      </c>
      <c r="C2053" s="1" t="n">
        <v>45932</v>
      </c>
      <c r="D2053" t="inlineStr">
        <is>
          <t>VÄRMLANDS LÄN</t>
        </is>
      </c>
      <c r="E2053" t="inlineStr">
        <is>
          <t>SUNNE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41416-2021</t>
        </is>
      </c>
      <c r="B2054" s="1" t="n">
        <v>44424</v>
      </c>
      <c r="C2054" s="1" t="n">
        <v>45932</v>
      </c>
      <c r="D2054" t="inlineStr">
        <is>
          <t>VÄRMLANDS LÄN</t>
        </is>
      </c>
      <c r="E2054" t="inlineStr">
        <is>
          <t>ÅRJÄNG</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39113-2021</t>
        </is>
      </c>
      <c r="B2055" s="1" t="n">
        <v>44412</v>
      </c>
      <c r="C2055" s="1" t="n">
        <v>45932</v>
      </c>
      <c r="D2055" t="inlineStr">
        <is>
          <t>VÄRMLANDS LÄN</t>
        </is>
      </c>
      <c r="E2055" t="inlineStr">
        <is>
          <t>SUNNE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49348-2021</t>
        </is>
      </c>
      <c r="B2056" s="1" t="n">
        <v>44454</v>
      </c>
      <c r="C2056" s="1" t="n">
        <v>45932</v>
      </c>
      <c r="D2056" t="inlineStr">
        <is>
          <t>VÄRMLANDS LÄN</t>
        </is>
      </c>
      <c r="E2056" t="inlineStr">
        <is>
          <t>KRISTINEHAMN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35909-2021</t>
        </is>
      </c>
      <c r="B2057" s="1" t="n">
        <v>44387</v>
      </c>
      <c r="C2057" s="1" t="n">
        <v>45932</v>
      </c>
      <c r="D2057" t="inlineStr">
        <is>
          <t>VÄRMLANDS LÄN</t>
        </is>
      </c>
      <c r="E2057" t="inlineStr">
        <is>
          <t>TORSBY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34909-2022</t>
        </is>
      </c>
      <c r="B2058" s="1" t="n">
        <v>44796</v>
      </c>
      <c r="C2058" s="1" t="n">
        <v>45932</v>
      </c>
      <c r="D2058" t="inlineStr">
        <is>
          <t>VÄRMLANDS LÄN</t>
        </is>
      </c>
      <c r="E2058" t="inlineStr">
        <is>
          <t>SUNNE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47083-2021</t>
        </is>
      </c>
      <c r="B2059" s="1" t="n">
        <v>44446.66114583334</v>
      </c>
      <c r="C2059" s="1" t="n">
        <v>45932</v>
      </c>
      <c r="D2059" t="inlineStr">
        <is>
          <t>VÄRMLANDS LÄN</t>
        </is>
      </c>
      <c r="E2059" t="inlineStr">
        <is>
          <t>TORSBY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40601-2021</t>
        </is>
      </c>
      <c r="B2060" s="1" t="n">
        <v>44420.48331018518</v>
      </c>
      <c r="C2060" s="1" t="n">
        <v>45932</v>
      </c>
      <c r="D2060" t="inlineStr">
        <is>
          <t>VÄRMLANDS LÄN</t>
        </is>
      </c>
      <c r="E2060" t="inlineStr">
        <is>
          <t>HAGFORS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47098-2021</t>
        </is>
      </c>
      <c r="B2061" s="1" t="n">
        <v>44446.67429398148</v>
      </c>
      <c r="C2061" s="1" t="n">
        <v>45932</v>
      </c>
      <c r="D2061" t="inlineStr">
        <is>
          <t>VÄRMLANDS LÄN</t>
        </is>
      </c>
      <c r="E2061" t="inlineStr">
        <is>
          <t>TORSBY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9109-2022</t>
        </is>
      </c>
      <c r="B2062" s="1" t="n">
        <v>44615</v>
      </c>
      <c r="C2062" s="1" t="n">
        <v>45932</v>
      </c>
      <c r="D2062" t="inlineStr">
        <is>
          <t>VÄRMLANDS LÄN</t>
        </is>
      </c>
      <c r="E2062" t="inlineStr">
        <is>
          <t>SÄFFLE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9122-2022</t>
        </is>
      </c>
      <c r="B2063" s="1" t="n">
        <v>44615.56917824074</v>
      </c>
      <c r="C2063" s="1" t="n">
        <v>45932</v>
      </c>
      <c r="D2063" t="inlineStr">
        <is>
          <t>VÄRMLANDS LÄN</t>
        </is>
      </c>
      <c r="E2063" t="inlineStr">
        <is>
          <t>ARVIKA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1269-2021</t>
        </is>
      </c>
      <c r="B2064" s="1" t="n">
        <v>44208</v>
      </c>
      <c r="C2064" s="1" t="n">
        <v>45932</v>
      </c>
      <c r="D2064" t="inlineStr">
        <is>
          <t>VÄRMLANDS LÄN</t>
        </is>
      </c>
      <c r="E2064" t="inlineStr">
        <is>
          <t>KIL</t>
        </is>
      </c>
      <c r="F2064" t="inlineStr">
        <is>
          <t>Kyrkan</t>
        </is>
      </c>
      <c r="G2064" t="n">
        <v>2.6</v>
      </c>
      <c r="H2064" t="n">
        <v>0</v>
      </c>
      <c r="I2064" t="n">
        <v>0</v>
      </c>
      <c r="J2064" t="n">
        <v>0</v>
      </c>
      <c r="K2064" t="n">
        <v>0</v>
      </c>
      <c r="L2064" t="n">
        <v>0</v>
      </c>
      <c r="M2064" t="n">
        <v>0</v>
      </c>
      <c r="N2064" t="n">
        <v>0</v>
      </c>
      <c r="O2064" t="n">
        <v>0</v>
      </c>
      <c r="P2064" t="n">
        <v>0</v>
      </c>
      <c r="Q2064" t="n">
        <v>0</v>
      </c>
      <c r="R2064" s="2" t="inlineStr"/>
      <c r="U2064">
        <f>HYPERLINK("https://klasma.github.io/Logging_1715/knärot/A 1269-2021 karta knärot.png", "A 1269-2021")</f>
        <v/>
      </c>
      <c r="V2064">
        <f>HYPERLINK("https://klasma.github.io/Logging_1715/klagomål/A 1269-2021 FSC-klagomål.docx", "A 1269-2021")</f>
        <v/>
      </c>
      <c r="W2064">
        <f>HYPERLINK("https://klasma.github.io/Logging_1715/klagomålsmail/A 1269-2021 FSC-klagomål mail.docx", "A 1269-2021")</f>
        <v/>
      </c>
      <c r="X2064">
        <f>HYPERLINK("https://klasma.github.io/Logging_1715/tillsyn/A 1269-2021 tillsynsbegäran.docx", "A 1269-2021")</f>
        <v/>
      </c>
      <c r="Y2064">
        <f>HYPERLINK("https://klasma.github.io/Logging_1715/tillsynsmail/A 1269-2021 tillsynsbegäran mail.docx", "A 1269-2021")</f>
        <v/>
      </c>
    </row>
    <row r="2065" ht="15" customHeight="1">
      <c r="A2065" t="inlineStr">
        <is>
          <t>A 31829-2022</t>
        </is>
      </c>
      <c r="B2065" s="1" t="n">
        <v>44776</v>
      </c>
      <c r="C2065" s="1" t="n">
        <v>45932</v>
      </c>
      <c r="D2065" t="inlineStr">
        <is>
          <t>VÄRMLANDS LÄN</t>
        </is>
      </c>
      <c r="E2065" t="inlineStr">
        <is>
          <t>ARVIKA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15185-2022</t>
        </is>
      </c>
      <c r="B2066" s="1" t="n">
        <v>44658.58828703704</v>
      </c>
      <c r="C2066" s="1" t="n">
        <v>45932</v>
      </c>
      <c r="D2066" t="inlineStr">
        <is>
          <t>VÄRMLANDS LÄN</t>
        </is>
      </c>
      <c r="E2066" t="inlineStr">
        <is>
          <t>SÄFFLE</t>
        </is>
      </c>
      <c r="F2066" t="inlineStr">
        <is>
          <t>Bergvik skog väst AB</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29119-2021</t>
        </is>
      </c>
      <c r="B2067" s="1" t="n">
        <v>44358</v>
      </c>
      <c r="C2067" s="1" t="n">
        <v>45932</v>
      </c>
      <c r="D2067" t="inlineStr">
        <is>
          <t>VÄRMLANDS LÄN</t>
        </is>
      </c>
      <c r="E2067" t="inlineStr">
        <is>
          <t>SUNNE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23277-2022</t>
        </is>
      </c>
      <c r="B2068" s="1" t="n">
        <v>44720</v>
      </c>
      <c r="C2068" s="1" t="n">
        <v>45932</v>
      </c>
      <c r="D2068" t="inlineStr">
        <is>
          <t>VÄRMLANDS LÄN</t>
        </is>
      </c>
      <c r="E2068" t="inlineStr">
        <is>
          <t>ARVIKA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31576-2021</t>
        </is>
      </c>
      <c r="B2069" s="1" t="n">
        <v>44369</v>
      </c>
      <c r="C2069" s="1" t="n">
        <v>45932</v>
      </c>
      <c r="D2069" t="inlineStr">
        <is>
          <t>VÄRMLANDS LÄN</t>
        </is>
      </c>
      <c r="E2069" t="inlineStr">
        <is>
          <t>SUNNE</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30539-2022</t>
        </is>
      </c>
      <c r="B2070" s="1" t="n">
        <v>44762.46194444445</v>
      </c>
      <c r="C2070" s="1" t="n">
        <v>45932</v>
      </c>
      <c r="D2070" t="inlineStr">
        <is>
          <t>VÄRMLANDS LÄN</t>
        </is>
      </c>
      <c r="E2070" t="inlineStr">
        <is>
          <t>GRUMS</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63478-2020</t>
        </is>
      </c>
      <c r="B2071" s="1" t="n">
        <v>44161</v>
      </c>
      <c r="C2071" s="1" t="n">
        <v>45932</v>
      </c>
      <c r="D2071" t="inlineStr">
        <is>
          <t>VÄRMLANDS LÄN</t>
        </is>
      </c>
      <c r="E2071" t="inlineStr">
        <is>
          <t>HAGFORS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26353-2021</t>
        </is>
      </c>
      <c r="B2072" s="1" t="n">
        <v>44347.63983796296</v>
      </c>
      <c r="C2072" s="1" t="n">
        <v>45932</v>
      </c>
      <c r="D2072" t="inlineStr">
        <is>
          <t>VÄRMLANDS LÄN</t>
        </is>
      </c>
      <c r="E2072" t="inlineStr">
        <is>
          <t>SÄFFLE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26154-2022</t>
        </is>
      </c>
      <c r="B2073" s="1" t="n">
        <v>44735</v>
      </c>
      <c r="C2073" s="1" t="n">
        <v>45932</v>
      </c>
      <c r="D2073" t="inlineStr">
        <is>
          <t>VÄRMLANDS LÄN</t>
        </is>
      </c>
      <c r="E2073" t="inlineStr">
        <is>
          <t>FORSHAGA</t>
        </is>
      </c>
      <c r="F2073" t="inlineStr">
        <is>
          <t>Bergvik skog väst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63494-2020</t>
        </is>
      </c>
      <c r="B2074" s="1" t="n">
        <v>44161</v>
      </c>
      <c r="C2074" s="1" t="n">
        <v>45932</v>
      </c>
      <c r="D2074" t="inlineStr">
        <is>
          <t>VÄRMLANDS LÄN</t>
        </is>
      </c>
      <c r="E2074" t="inlineStr">
        <is>
          <t>SÄFFLE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43839-2022</t>
        </is>
      </c>
      <c r="B2075" s="1" t="n">
        <v>44838</v>
      </c>
      <c r="C2075" s="1" t="n">
        <v>45932</v>
      </c>
      <c r="D2075" t="inlineStr">
        <is>
          <t>VÄRMLANDS LÄN</t>
        </is>
      </c>
      <c r="E2075" t="inlineStr">
        <is>
          <t>SUNNE</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33593-2021</t>
        </is>
      </c>
      <c r="B2076" s="1" t="n">
        <v>44378</v>
      </c>
      <c r="C2076" s="1" t="n">
        <v>45932</v>
      </c>
      <c r="D2076" t="inlineStr">
        <is>
          <t>VÄRMLANDS LÄN</t>
        </is>
      </c>
      <c r="E2076" t="inlineStr">
        <is>
          <t>KARLSTAD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33182-2021</t>
        </is>
      </c>
      <c r="B2077" s="1" t="n">
        <v>44376</v>
      </c>
      <c r="C2077" s="1" t="n">
        <v>45932</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23318-2022</t>
        </is>
      </c>
      <c r="B2078" s="1" t="n">
        <v>44720.49045138889</v>
      </c>
      <c r="C2078" s="1" t="n">
        <v>45932</v>
      </c>
      <c r="D2078" t="inlineStr">
        <is>
          <t>VÄRMLANDS LÄN</t>
        </is>
      </c>
      <c r="E2078" t="inlineStr">
        <is>
          <t>SUNNE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71819-2021</t>
        </is>
      </c>
      <c r="B2079" s="1" t="n">
        <v>44540</v>
      </c>
      <c r="C2079" s="1" t="n">
        <v>45932</v>
      </c>
      <c r="D2079" t="inlineStr">
        <is>
          <t>VÄRMLANDS LÄN</t>
        </is>
      </c>
      <c r="E2079" t="inlineStr">
        <is>
          <t>ÅRJÄNG</t>
        </is>
      </c>
      <c r="F2079" t="inlineStr">
        <is>
          <t>Övriga Aktiebolag</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25686-2022</t>
        </is>
      </c>
      <c r="B2080" s="1" t="n">
        <v>44733.34216435185</v>
      </c>
      <c r="C2080" s="1" t="n">
        <v>45932</v>
      </c>
      <c r="D2080" t="inlineStr">
        <is>
          <t>VÄRMLANDS LÄN</t>
        </is>
      </c>
      <c r="E2080" t="inlineStr">
        <is>
          <t>EDA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72996-2021</t>
        </is>
      </c>
      <c r="B2081" s="1" t="n">
        <v>44549.8596875</v>
      </c>
      <c r="C2081" s="1" t="n">
        <v>45932</v>
      </c>
      <c r="D2081" t="inlineStr">
        <is>
          <t>VÄRMLANDS LÄN</t>
        </is>
      </c>
      <c r="E2081" t="inlineStr">
        <is>
          <t>ÅRJÄNG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73004-2021</t>
        </is>
      </c>
      <c r="B2082" s="1" t="n">
        <v>44547</v>
      </c>
      <c r="C2082" s="1" t="n">
        <v>45932</v>
      </c>
      <c r="D2082" t="inlineStr">
        <is>
          <t>VÄRMLANDS LÄN</t>
        </is>
      </c>
      <c r="E2082" t="inlineStr">
        <is>
          <t>KARLSTAD</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7921-2022</t>
        </is>
      </c>
      <c r="B2083" s="1" t="n">
        <v>44608</v>
      </c>
      <c r="C2083" s="1" t="n">
        <v>45932</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67198-2021</t>
        </is>
      </c>
      <c r="B2084" s="1" t="n">
        <v>44523</v>
      </c>
      <c r="C2084" s="1" t="n">
        <v>45932</v>
      </c>
      <c r="D2084" t="inlineStr">
        <is>
          <t>VÄRMLANDS LÄN</t>
        </is>
      </c>
      <c r="E2084" t="inlineStr">
        <is>
          <t>FORSHAGA</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54261-2021</t>
        </is>
      </c>
      <c r="B2085" s="1" t="n">
        <v>44470</v>
      </c>
      <c r="C2085" s="1" t="n">
        <v>45932</v>
      </c>
      <c r="D2085" t="inlineStr">
        <is>
          <t>VÄRMLANDS LÄN</t>
        </is>
      </c>
      <c r="E2085" t="inlineStr">
        <is>
          <t>ARVIKA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4263-2021</t>
        </is>
      </c>
      <c r="B2086" s="1" t="n">
        <v>44221</v>
      </c>
      <c r="C2086" s="1" t="n">
        <v>45932</v>
      </c>
      <c r="D2086" t="inlineStr">
        <is>
          <t>VÄRMLANDS LÄN</t>
        </is>
      </c>
      <c r="E2086" t="inlineStr">
        <is>
          <t>SÄFFLE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32723-2022</t>
        </is>
      </c>
      <c r="B2087" s="1" t="n">
        <v>44783.66143518518</v>
      </c>
      <c r="C2087" s="1" t="n">
        <v>45932</v>
      </c>
      <c r="D2087" t="inlineStr">
        <is>
          <t>VÄRMLANDS LÄN</t>
        </is>
      </c>
      <c r="E2087" t="inlineStr">
        <is>
          <t>ARVIKA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47421-2022</t>
        </is>
      </c>
      <c r="B2088" s="1" t="n">
        <v>44853</v>
      </c>
      <c r="C2088" s="1" t="n">
        <v>45932</v>
      </c>
      <c r="D2088" t="inlineStr">
        <is>
          <t>VÄRMLANDS LÄN</t>
        </is>
      </c>
      <c r="E2088" t="inlineStr">
        <is>
          <t>EDA</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4915-2022</t>
        </is>
      </c>
      <c r="B2089" s="1" t="n">
        <v>44593</v>
      </c>
      <c r="C2089" s="1" t="n">
        <v>45932</v>
      </c>
      <c r="D2089" t="inlineStr">
        <is>
          <t>VÄRMLANDS LÄN</t>
        </is>
      </c>
      <c r="E2089" t="inlineStr">
        <is>
          <t>ÅRJÄNG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26999-2021</t>
        </is>
      </c>
      <c r="B2090" s="1" t="n">
        <v>44350.34581018519</v>
      </c>
      <c r="C2090" s="1" t="n">
        <v>45932</v>
      </c>
      <c r="D2090" t="inlineStr">
        <is>
          <t>VÄRMLANDS LÄN</t>
        </is>
      </c>
      <c r="E2090" t="inlineStr">
        <is>
          <t>ARVIKA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14074-2022</t>
        </is>
      </c>
      <c r="B2091" s="1" t="n">
        <v>44651</v>
      </c>
      <c r="C2091" s="1" t="n">
        <v>45932</v>
      </c>
      <c r="D2091" t="inlineStr">
        <is>
          <t>VÄRMLANDS LÄN</t>
        </is>
      </c>
      <c r="E2091" t="inlineStr">
        <is>
          <t>FILIPSTAD</t>
        </is>
      </c>
      <c r="F2091" t="inlineStr">
        <is>
          <t>Bergvik skog väst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61594-2020</t>
        </is>
      </c>
      <c r="B2092" s="1" t="n">
        <v>44154</v>
      </c>
      <c r="C2092" s="1" t="n">
        <v>45932</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33239-2021</t>
        </is>
      </c>
      <c r="B2093" s="1" t="n">
        <v>44377.31774305556</v>
      </c>
      <c r="C2093" s="1" t="n">
        <v>45932</v>
      </c>
      <c r="D2093" t="inlineStr">
        <is>
          <t>VÄRMLANDS LÄN</t>
        </is>
      </c>
      <c r="E2093" t="inlineStr">
        <is>
          <t>EDA</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36632-2022</t>
        </is>
      </c>
      <c r="B2094" s="1" t="n">
        <v>44804</v>
      </c>
      <c r="C2094" s="1" t="n">
        <v>45932</v>
      </c>
      <c r="D2094" t="inlineStr">
        <is>
          <t>VÄRMLANDS LÄN</t>
        </is>
      </c>
      <c r="E2094" t="inlineStr">
        <is>
          <t>SUNNE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48203-2022</t>
        </is>
      </c>
      <c r="B2095" s="1" t="n">
        <v>44858</v>
      </c>
      <c r="C2095" s="1" t="n">
        <v>45932</v>
      </c>
      <c r="D2095" t="inlineStr">
        <is>
          <t>VÄRMLANDS LÄN</t>
        </is>
      </c>
      <c r="E2095" t="inlineStr">
        <is>
          <t>HAGFORS</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40221-2022</t>
        </is>
      </c>
      <c r="B2096" s="1" t="n">
        <v>44820.6512037037</v>
      </c>
      <c r="C2096" s="1" t="n">
        <v>45932</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37757-2022</t>
        </is>
      </c>
      <c r="B2097" s="1" t="n">
        <v>44810.61072916666</v>
      </c>
      <c r="C2097" s="1" t="n">
        <v>45932</v>
      </c>
      <c r="D2097" t="inlineStr">
        <is>
          <t>VÄRMLANDS LÄN</t>
        </is>
      </c>
      <c r="E2097" t="inlineStr">
        <is>
          <t>KRISTINEHAMN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3278-2022</t>
        </is>
      </c>
      <c r="B2098" s="1" t="n">
        <v>44584.43501157407</v>
      </c>
      <c r="C2098" s="1" t="n">
        <v>45932</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32287-2022</t>
        </is>
      </c>
      <c r="B2099" s="1" t="n">
        <v>44781</v>
      </c>
      <c r="C2099" s="1" t="n">
        <v>45932</v>
      </c>
      <c r="D2099" t="inlineStr">
        <is>
          <t>VÄRMLANDS LÄN</t>
        </is>
      </c>
      <c r="E2099" t="inlineStr">
        <is>
          <t>ARVIKA</t>
        </is>
      </c>
      <c r="F2099" t="inlineStr">
        <is>
          <t>Bergvik skog väst AB</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50569-2021</t>
        </is>
      </c>
      <c r="B2100" s="1" t="n">
        <v>44459</v>
      </c>
      <c r="C2100" s="1" t="n">
        <v>45932</v>
      </c>
      <c r="D2100" t="inlineStr">
        <is>
          <t>VÄRMLANDS LÄN</t>
        </is>
      </c>
      <c r="E2100" t="inlineStr">
        <is>
          <t>ÅRJÄNG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47693-2022</t>
        </is>
      </c>
      <c r="B2101" s="1" t="n">
        <v>44854</v>
      </c>
      <c r="C2101" s="1" t="n">
        <v>45932</v>
      </c>
      <c r="D2101" t="inlineStr">
        <is>
          <t>VÄRMLANDS LÄN</t>
        </is>
      </c>
      <c r="E2101" t="inlineStr">
        <is>
          <t>FILIPSTAD</t>
        </is>
      </c>
      <c r="F2101" t="inlineStr">
        <is>
          <t>Bergvik skog väst AB</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9296-2022</t>
        </is>
      </c>
      <c r="B2102" s="1" t="n">
        <v>44616</v>
      </c>
      <c r="C2102" s="1" t="n">
        <v>45932</v>
      </c>
      <c r="D2102" t="inlineStr">
        <is>
          <t>VÄRMLANDS LÄN</t>
        </is>
      </c>
      <c r="E2102" t="inlineStr">
        <is>
          <t>SÄFFLE</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7304-2022</t>
        </is>
      </c>
      <c r="B2103" s="1" t="n">
        <v>44606</v>
      </c>
      <c r="C2103" s="1" t="n">
        <v>45932</v>
      </c>
      <c r="D2103" t="inlineStr">
        <is>
          <t>VÄRMLANDS LÄN</t>
        </is>
      </c>
      <c r="E2103" t="inlineStr">
        <is>
          <t>HAGFORS</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39661-2022</t>
        </is>
      </c>
      <c r="B2104" s="1" t="n">
        <v>44818.79202546296</v>
      </c>
      <c r="C2104" s="1" t="n">
        <v>45932</v>
      </c>
      <c r="D2104" t="inlineStr">
        <is>
          <t>VÄRMLANDS LÄN</t>
        </is>
      </c>
      <c r="E2104" t="inlineStr">
        <is>
          <t>ÅRJÄNG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29495-2021</t>
        </is>
      </c>
      <c r="B2105" s="1" t="n">
        <v>44361</v>
      </c>
      <c r="C2105" s="1" t="n">
        <v>45932</v>
      </c>
      <c r="D2105" t="inlineStr">
        <is>
          <t>VÄRMLANDS LÄN</t>
        </is>
      </c>
      <c r="E2105" t="inlineStr">
        <is>
          <t>TORSBY</t>
        </is>
      </c>
      <c r="F2105" t="inlineStr">
        <is>
          <t>Övriga Aktiebolag</t>
        </is>
      </c>
      <c r="G2105" t="n">
        <v>38.2</v>
      </c>
      <c r="H2105" t="n">
        <v>0</v>
      </c>
      <c r="I2105" t="n">
        <v>0</v>
      </c>
      <c r="J2105" t="n">
        <v>0</v>
      </c>
      <c r="K2105" t="n">
        <v>0</v>
      </c>
      <c r="L2105" t="n">
        <v>0</v>
      </c>
      <c r="M2105" t="n">
        <v>0</v>
      </c>
      <c r="N2105" t="n">
        <v>0</v>
      </c>
      <c r="O2105" t="n">
        <v>0</v>
      </c>
      <c r="P2105" t="n">
        <v>0</v>
      </c>
      <c r="Q2105" t="n">
        <v>0</v>
      </c>
      <c r="R2105" s="2" t="inlineStr"/>
    </row>
    <row r="2106" ht="15" customHeight="1">
      <c r="A2106" t="inlineStr">
        <is>
          <t>A 1516-2021</t>
        </is>
      </c>
      <c r="B2106" s="1" t="n">
        <v>44209</v>
      </c>
      <c r="C2106" s="1" t="n">
        <v>45932</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67164-2021</t>
        </is>
      </c>
      <c r="B2107" s="1" t="n">
        <v>44523.41300925926</v>
      </c>
      <c r="C2107" s="1" t="n">
        <v>45932</v>
      </c>
      <c r="D2107" t="inlineStr">
        <is>
          <t>VÄRMLANDS LÄN</t>
        </is>
      </c>
      <c r="E2107" t="inlineStr">
        <is>
          <t>EDA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69647-2020</t>
        </is>
      </c>
      <c r="B2108" s="1" t="n">
        <v>44195</v>
      </c>
      <c r="C2108" s="1" t="n">
        <v>45932</v>
      </c>
      <c r="D2108" t="inlineStr">
        <is>
          <t>VÄRMLANDS LÄN</t>
        </is>
      </c>
      <c r="E2108" t="inlineStr">
        <is>
          <t>ÅRJÄNG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66376-2021</t>
        </is>
      </c>
      <c r="B2109" s="1" t="n">
        <v>44518.60405092593</v>
      </c>
      <c r="C2109" s="1" t="n">
        <v>45932</v>
      </c>
      <c r="D2109" t="inlineStr">
        <is>
          <t>VÄRMLANDS LÄN</t>
        </is>
      </c>
      <c r="E2109" t="inlineStr">
        <is>
          <t>FILIPSTAD</t>
        </is>
      </c>
      <c r="F2109" t="inlineStr">
        <is>
          <t>Bergvik skog väst AB</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48192-2022</t>
        </is>
      </c>
      <c r="B2110" s="1" t="n">
        <v>44853</v>
      </c>
      <c r="C2110" s="1" t="n">
        <v>45932</v>
      </c>
      <c r="D2110" t="inlineStr">
        <is>
          <t>VÄRMLANDS LÄN</t>
        </is>
      </c>
      <c r="E2110" t="inlineStr">
        <is>
          <t>ÅRJÄNG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33247-2022</t>
        </is>
      </c>
      <c r="B2111" s="1" t="n">
        <v>44787.57554398148</v>
      </c>
      <c r="C2111" s="1" t="n">
        <v>45932</v>
      </c>
      <c r="D2111" t="inlineStr">
        <is>
          <t>VÄRMLANDS LÄN</t>
        </is>
      </c>
      <c r="E2111" t="inlineStr">
        <is>
          <t>SÄFFLE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10096-2021</t>
        </is>
      </c>
      <c r="B2112" s="1" t="n">
        <v>44256</v>
      </c>
      <c r="C2112" s="1" t="n">
        <v>45932</v>
      </c>
      <c r="D2112" t="inlineStr">
        <is>
          <t>VÄRMLANDS LÄN</t>
        </is>
      </c>
      <c r="E2112" t="inlineStr">
        <is>
          <t>HAGFORS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54924-2020</t>
        </is>
      </c>
      <c r="B2113" s="1" t="n">
        <v>44127</v>
      </c>
      <c r="C2113" s="1" t="n">
        <v>45932</v>
      </c>
      <c r="D2113" t="inlineStr">
        <is>
          <t>VÄRMLANDS LÄN</t>
        </is>
      </c>
      <c r="E2113" t="inlineStr">
        <is>
          <t>TORSBY</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36781-2021</t>
        </is>
      </c>
      <c r="B2114" s="1" t="n">
        <v>44392</v>
      </c>
      <c r="C2114" s="1" t="n">
        <v>45932</v>
      </c>
      <c r="D2114" t="inlineStr">
        <is>
          <t>VÄRMLANDS LÄN</t>
        </is>
      </c>
      <c r="E2114" t="inlineStr">
        <is>
          <t>SÄFFLE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22121-2022</t>
        </is>
      </c>
      <c r="B2115" s="1" t="n">
        <v>44712</v>
      </c>
      <c r="C2115" s="1" t="n">
        <v>45932</v>
      </c>
      <c r="D2115" t="inlineStr">
        <is>
          <t>VÄRMLANDS LÄN</t>
        </is>
      </c>
      <c r="E2115" t="inlineStr">
        <is>
          <t>SUNNE</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2428-2021</t>
        </is>
      </c>
      <c r="B2116" s="1" t="n">
        <v>44214</v>
      </c>
      <c r="C2116" s="1" t="n">
        <v>45932</v>
      </c>
      <c r="D2116" t="inlineStr">
        <is>
          <t>VÄRMLANDS LÄN</t>
        </is>
      </c>
      <c r="E2116" t="inlineStr">
        <is>
          <t>HAGFORS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31599-2021</t>
        </is>
      </c>
      <c r="B2117" s="1" t="n">
        <v>44369</v>
      </c>
      <c r="C2117" s="1" t="n">
        <v>45932</v>
      </c>
      <c r="D2117" t="inlineStr">
        <is>
          <t>VÄRMLANDS LÄN</t>
        </is>
      </c>
      <c r="E2117" t="inlineStr">
        <is>
          <t>EDA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31608-2021</t>
        </is>
      </c>
      <c r="B2118" s="1" t="n">
        <v>44369</v>
      </c>
      <c r="C2118" s="1" t="n">
        <v>45932</v>
      </c>
      <c r="D2118" t="inlineStr">
        <is>
          <t>VÄRMLANDS LÄN</t>
        </is>
      </c>
      <c r="E2118" t="inlineStr">
        <is>
          <t>SUNNE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31615-2021</t>
        </is>
      </c>
      <c r="B2119" s="1" t="n">
        <v>44369</v>
      </c>
      <c r="C2119" s="1" t="n">
        <v>45932</v>
      </c>
      <c r="D2119" t="inlineStr">
        <is>
          <t>VÄRMLANDS LÄN</t>
        </is>
      </c>
      <c r="E2119" t="inlineStr">
        <is>
          <t>SUNNE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37949-2022</t>
        </is>
      </c>
      <c r="B2120" s="1" t="n">
        <v>44811.48773148148</v>
      </c>
      <c r="C2120" s="1" t="n">
        <v>45932</v>
      </c>
      <c r="D2120" t="inlineStr">
        <is>
          <t>VÄRMLANDS LÄN</t>
        </is>
      </c>
      <c r="E2120" t="inlineStr">
        <is>
          <t>ÅRJÄNG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37962-2022</t>
        </is>
      </c>
      <c r="B2121" s="1" t="n">
        <v>44811</v>
      </c>
      <c r="C2121" s="1" t="n">
        <v>45932</v>
      </c>
      <c r="D2121" t="inlineStr">
        <is>
          <t>VÄRMLANDS LÄN</t>
        </is>
      </c>
      <c r="E2121" t="inlineStr">
        <is>
          <t>KIL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27862-2021</t>
        </is>
      </c>
      <c r="B2122" s="1" t="n">
        <v>44354</v>
      </c>
      <c r="C2122" s="1" t="n">
        <v>45932</v>
      </c>
      <c r="D2122" t="inlineStr">
        <is>
          <t>VÄRMLANDS LÄN</t>
        </is>
      </c>
      <c r="E2122" t="inlineStr">
        <is>
          <t>ÅRJÄNG</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29142-2022</t>
        </is>
      </c>
      <c r="B2123" s="1" t="n">
        <v>44750</v>
      </c>
      <c r="C2123" s="1" t="n">
        <v>45932</v>
      </c>
      <c r="D2123" t="inlineStr">
        <is>
          <t>VÄRMLANDS LÄN</t>
        </is>
      </c>
      <c r="E2123" t="inlineStr">
        <is>
          <t>TORSBY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43034-2021</t>
        </is>
      </c>
      <c r="B2124" s="1" t="n">
        <v>44431</v>
      </c>
      <c r="C2124" s="1" t="n">
        <v>45932</v>
      </c>
      <c r="D2124" t="inlineStr">
        <is>
          <t>VÄRMLANDS LÄN</t>
        </is>
      </c>
      <c r="E2124" t="inlineStr">
        <is>
          <t>ÅRJÄNG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44835-2021</t>
        </is>
      </c>
      <c r="B2125" s="1" t="n">
        <v>44438</v>
      </c>
      <c r="C2125" s="1" t="n">
        <v>45932</v>
      </c>
      <c r="D2125" t="inlineStr">
        <is>
          <t>VÄRMLANDS LÄN</t>
        </is>
      </c>
      <c r="E2125" t="inlineStr">
        <is>
          <t>EDA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15536-2021</t>
        </is>
      </c>
      <c r="B2126" s="1" t="n">
        <v>44285</v>
      </c>
      <c r="C2126" s="1" t="n">
        <v>45932</v>
      </c>
      <c r="D2126" t="inlineStr">
        <is>
          <t>VÄRMLANDS LÄN</t>
        </is>
      </c>
      <c r="E2126" t="inlineStr">
        <is>
          <t>ARVIKA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40651-2021</t>
        </is>
      </c>
      <c r="B2127" s="1" t="n">
        <v>44420.56142361111</v>
      </c>
      <c r="C2127" s="1" t="n">
        <v>45932</v>
      </c>
      <c r="D2127" t="inlineStr">
        <is>
          <t>VÄRMLANDS LÄN</t>
        </is>
      </c>
      <c r="E2127" t="inlineStr">
        <is>
          <t>HAGFORS</t>
        </is>
      </c>
      <c r="F2127" t="inlineStr">
        <is>
          <t>Bergvik skog väst AB</t>
        </is>
      </c>
      <c r="G2127" t="n">
        <v>28.9</v>
      </c>
      <c r="H2127" t="n">
        <v>0</v>
      </c>
      <c r="I2127" t="n">
        <v>0</v>
      </c>
      <c r="J2127" t="n">
        <v>0</v>
      </c>
      <c r="K2127" t="n">
        <v>0</v>
      </c>
      <c r="L2127" t="n">
        <v>0</v>
      </c>
      <c r="M2127" t="n">
        <v>0</v>
      </c>
      <c r="N2127" t="n">
        <v>0</v>
      </c>
      <c r="O2127" t="n">
        <v>0</v>
      </c>
      <c r="P2127" t="n">
        <v>0</v>
      </c>
      <c r="Q2127" t="n">
        <v>0</v>
      </c>
      <c r="R2127" s="2" t="inlineStr"/>
    </row>
    <row r="2128" ht="15" customHeight="1">
      <c r="A2128" t="inlineStr">
        <is>
          <t>A 45893-2022</t>
        </is>
      </c>
      <c r="B2128" s="1" t="n">
        <v>44846</v>
      </c>
      <c r="C2128" s="1" t="n">
        <v>45932</v>
      </c>
      <c r="D2128" t="inlineStr">
        <is>
          <t>VÄRMLANDS LÄN</t>
        </is>
      </c>
      <c r="E2128" t="inlineStr">
        <is>
          <t>SÄFFLE</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66899-2020</t>
        </is>
      </c>
      <c r="B2129" s="1" t="n">
        <v>44180</v>
      </c>
      <c r="C2129" s="1" t="n">
        <v>45932</v>
      </c>
      <c r="D2129" t="inlineStr">
        <is>
          <t>VÄRMLANDS LÄN</t>
        </is>
      </c>
      <c r="E2129" t="inlineStr">
        <is>
          <t>SUNNE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67564-2020</t>
        </is>
      </c>
      <c r="B2130" s="1" t="n">
        <v>44181</v>
      </c>
      <c r="C2130" s="1" t="n">
        <v>45932</v>
      </c>
      <c r="D2130" t="inlineStr">
        <is>
          <t>VÄRMLANDS LÄN</t>
        </is>
      </c>
      <c r="E2130" t="inlineStr">
        <is>
          <t>EDA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43128-2021</t>
        </is>
      </c>
      <c r="B2131" s="1" t="n">
        <v>44431.65930555556</v>
      </c>
      <c r="C2131" s="1" t="n">
        <v>45932</v>
      </c>
      <c r="D2131" t="inlineStr">
        <is>
          <t>VÄRMLANDS LÄN</t>
        </is>
      </c>
      <c r="E2131" t="inlineStr">
        <is>
          <t>TORSBY</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43169-2021</t>
        </is>
      </c>
      <c r="B2132" s="1" t="n">
        <v>44431</v>
      </c>
      <c r="C2132" s="1" t="n">
        <v>45932</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23061-2022</t>
        </is>
      </c>
      <c r="B2133" s="1" t="n">
        <v>44718</v>
      </c>
      <c r="C2133" s="1" t="n">
        <v>45932</v>
      </c>
      <c r="D2133" t="inlineStr">
        <is>
          <t>VÄRMLANDS LÄN</t>
        </is>
      </c>
      <c r="E2133" t="inlineStr">
        <is>
          <t>ARVIKA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32003-2022</t>
        </is>
      </c>
      <c r="B2134" s="1" t="n">
        <v>44778</v>
      </c>
      <c r="C2134" s="1" t="n">
        <v>45932</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42205-2021</t>
        </is>
      </c>
      <c r="B2135" s="1" t="n">
        <v>44426.72920138889</v>
      </c>
      <c r="C2135" s="1" t="n">
        <v>45932</v>
      </c>
      <c r="D2135" t="inlineStr">
        <is>
          <t>VÄRMLANDS LÄN</t>
        </is>
      </c>
      <c r="E2135" t="inlineStr">
        <is>
          <t>EDA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23194-2021</t>
        </is>
      </c>
      <c r="B2136" s="1" t="n">
        <v>44328</v>
      </c>
      <c r="C2136" s="1" t="n">
        <v>45932</v>
      </c>
      <c r="D2136" t="inlineStr">
        <is>
          <t>VÄRMLANDS LÄN</t>
        </is>
      </c>
      <c r="E2136" t="inlineStr">
        <is>
          <t>TORSBY</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41686-2022</t>
        </is>
      </c>
      <c r="B2137" s="1" t="n">
        <v>44826</v>
      </c>
      <c r="C2137" s="1" t="n">
        <v>45932</v>
      </c>
      <c r="D2137" t="inlineStr">
        <is>
          <t>VÄRMLANDS LÄN</t>
        </is>
      </c>
      <c r="E2137" t="inlineStr">
        <is>
          <t>SÄFFLE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61834-2021</t>
        </is>
      </c>
      <c r="B2138" s="1" t="n">
        <v>44501.88587962963</v>
      </c>
      <c r="C2138" s="1" t="n">
        <v>45932</v>
      </c>
      <c r="D2138" t="inlineStr">
        <is>
          <t>VÄRMLANDS LÄN</t>
        </is>
      </c>
      <c r="E2138" t="inlineStr">
        <is>
          <t>ARVIKA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23062-2022</t>
        </is>
      </c>
      <c r="B2139" s="1" t="n">
        <v>44719.44417824074</v>
      </c>
      <c r="C2139" s="1" t="n">
        <v>45932</v>
      </c>
      <c r="D2139" t="inlineStr">
        <is>
          <t>VÄRMLANDS LÄN</t>
        </is>
      </c>
      <c r="E2139" t="inlineStr">
        <is>
          <t>SUNNE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23078-2022</t>
        </is>
      </c>
      <c r="B2140" s="1" t="n">
        <v>44718</v>
      </c>
      <c r="C2140" s="1" t="n">
        <v>45932</v>
      </c>
      <c r="D2140" t="inlineStr">
        <is>
          <t>VÄRMLANDS LÄN</t>
        </is>
      </c>
      <c r="E2140" t="inlineStr">
        <is>
          <t>ARVIKA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65900-2021</t>
        </is>
      </c>
      <c r="B2141" s="1" t="n">
        <v>44517.4383912037</v>
      </c>
      <c r="C2141" s="1" t="n">
        <v>45932</v>
      </c>
      <c r="D2141" t="inlineStr">
        <is>
          <t>VÄRMLANDS LÄN</t>
        </is>
      </c>
      <c r="E2141" t="inlineStr">
        <is>
          <t>KIL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65910-2021</t>
        </is>
      </c>
      <c r="B2142" s="1" t="n">
        <v>44517</v>
      </c>
      <c r="C2142" s="1" t="n">
        <v>45932</v>
      </c>
      <c r="D2142" t="inlineStr">
        <is>
          <t>VÄRMLANDS LÄN</t>
        </is>
      </c>
      <c r="E2142" t="inlineStr">
        <is>
          <t>SUNNE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69024-2021</t>
        </is>
      </c>
      <c r="B2143" s="1" t="n">
        <v>44530.61547453704</v>
      </c>
      <c r="C2143" s="1" t="n">
        <v>45932</v>
      </c>
      <c r="D2143" t="inlineStr">
        <is>
          <t>VÄRMLANDS LÄN</t>
        </is>
      </c>
      <c r="E2143" t="inlineStr">
        <is>
          <t>ÅRJÄNG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40643-2022</t>
        </is>
      </c>
      <c r="B2144" s="1" t="n">
        <v>44824.32023148148</v>
      </c>
      <c r="C2144" s="1" t="n">
        <v>45932</v>
      </c>
      <c r="D2144" t="inlineStr">
        <is>
          <t>VÄRMLANDS LÄN</t>
        </is>
      </c>
      <c r="E2144" t="inlineStr">
        <is>
          <t>ÅRJÄNG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15497-2022</t>
        </is>
      </c>
      <c r="B2145" s="1" t="n">
        <v>44662</v>
      </c>
      <c r="C2145" s="1" t="n">
        <v>45932</v>
      </c>
      <c r="D2145" t="inlineStr">
        <is>
          <t>VÄRMLANDS LÄN</t>
        </is>
      </c>
      <c r="E2145" t="inlineStr">
        <is>
          <t>EDA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9484-2021</t>
        </is>
      </c>
      <c r="B2146" s="1" t="n">
        <v>44251</v>
      </c>
      <c r="C2146" s="1" t="n">
        <v>45932</v>
      </c>
      <c r="D2146" t="inlineStr">
        <is>
          <t>VÄRMLANDS LÄN</t>
        </is>
      </c>
      <c r="E2146" t="inlineStr">
        <is>
          <t>ÅRJÄNG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70253-2021</t>
        </is>
      </c>
      <c r="B2147" s="1" t="n">
        <v>44536</v>
      </c>
      <c r="C2147" s="1" t="n">
        <v>45932</v>
      </c>
      <c r="D2147" t="inlineStr">
        <is>
          <t>VÄRMLANDS LÄN</t>
        </is>
      </c>
      <c r="E2147" t="inlineStr">
        <is>
          <t>TORSBY</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17512-2022</t>
        </is>
      </c>
      <c r="B2148" s="1" t="n">
        <v>44679.55215277777</v>
      </c>
      <c r="C2148" s="1" t="n">
        <v>45932</v>
      </c>
      <c r="D2148" t="inlineStr">
        <is>
          <t>VÄRMLANDS LÄN</t>
        </is>
      </c>
      <c r="E2148" t="inlineStr">
        <is>
          <t>SUNNE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42664-2021</t>
        </is>
      </c>
      <c r="B2149" s="1" t="n">
        <v>44428.49829861111</v>
      </c>
      <c r="C2149" s="1" t="n">
        <v>45932</v>
      </c>
      <c r="D2149" t="inlineStr">
        <is>
          <t>VÄRMLANDS LÄN</t>
        </is>
      </c>
      <c r="E2149" t="inlineStr">
        <is>
          <t>KARLSTAD</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70381-2021</t>
        </is>
      </c>
      <c r="B2150" s="1" t="n">
        <v>44536.52726851852</v>
      </c>
      <c r="C2150" s="1" t="n">
        <v>45932</v>
      </c>
      <c r="D2150" t="inlineStr">
        <is>
          <t>VÄRMLANDS LÄN</t>
        </is>
      </c>
      <c r="E2150" t="inlineStr">
        <is>
          <t>ARVIKA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41995-2022</t>
        </is>
      </c>
      <c r="B2151" s="1" t="n">
        <v>44830</v>
      </c>
      <c r="C2151" s="1" t="n">
        <v>45932</v>
      </c>
      <c r="D2151" t="inlineStr">
        <is>
          <t>VÄRMLANDS LÄN</t>
        </is>
      </c>
      <c r="E2151" t="inlineStr">
        <is>
          <t>TORSBY</t>
        </is>
      </c>
      <c r="F2151" t="inlineStr">
        <is>
          <t>Bergvik skog väst AB</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60715-2021</t>
        </is>
      </c>
      <c r="B2152" s="1" t="n">
        <v>44496.70440972222</v>
      </c>
      <c r="C2152" s="1" t="n">
        <v>45932</v>
      </c>
      <c r="D2152" t="inlineStr">
        <is>
          <t>VÄRMLANDS LÄN</t>
        </is>
      </c>
      <c r="E2152" t="inlineStr">
        <is>
          <t>ÅRJÄNG</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35712-2022</t>
        </is>
      </c>
      <c r="B2153" s="1" t="n">
        <v>44799.66078703704</v>
      </c>
      <c r="C2153" s="1" t="n">
        <v>45932</v>
      </c>
      <c r="D2153" t="inlineStr">
        <is>
          <t>VÄRMLANDS LÄN</t>
        </is>
      </c>
      <c r="E2153" t="inlineStr">
        <is>
          <t>FILIPSTAD</t>
        </is>
      </c>
      <c r="F2153" t="inlineStr">
        <is>
          <t>Bergvik skog väst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72410-2021</t>
        </is>
      </c>
      <c r="B2154" s="1" t="n">
        <v>44545.62045138889</v>
      </c>
      <c r="C2154" s="1" t="n">
        <v>45932</v>
      </c>
      <c r="D2154" t="inlineStr">
        <is>
          <t>VÄRMLANDS LÄN</t>
        </is>
      </c>
      <c r="E2154" t="inlineStr">
        <is>
          <t>SUNNE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56762-2021</t>
        </is>
      </c>
      <c r="B2155" s="1" t="n">
        <v>44481.48305555555</v>
      </c>
      <c r="C2155" s="1" t="n">
        <v>45932</v>
      </c>
      <c r="D2155" t="inlineStr">
        <is>
          <t>VÄRMLANDS LÄN</t>
        </is>
      </c>
      <c r="E2155" t="inlineStr">
        <is>
          <t>KIL</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74085-2021</t>
        </is>
      </c>
      <c r="B2156" s="1" t="n">
        <v>44557.58021990741</v>
      </c>
      <c r="C2156" s="1" t="n">
        <v>45932</v>
      </c>
      <c r="D2156" t="inlineStr">
        <is>
          <t>VÄRMLANDS LÄN</t>
        </is>
      </c>
      <c r="E2156" t="inlineStr">
        <is>
          <t>EDA</t>
        </is>
      </c>
      <c r="F2156" t="inlineStr">
        <is>
          <t>Övriga Aktiebolag</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74166-2021</t>
        </is>
      </c>
      <c r="B2157" s="1" t="n">
        <v>44558</v>
      </c>
      <c r="C2157" s="1" t="n">
        <v>45932</v>
      </c>
      <c r="D2157" t="inlineStr">
        <is>
          <t>VÄRMLANDS LÄN</t>
        </is>
      </c>
      <c r="E2157" t="inlineStr">
        <is>
          <t>ÅRJÄNG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53721-2022</t>
        </is>
      </c>
      <c r="B2158" s="1" t="n">
        <v>44880</v>
      </c>
      <c r="C2158" s="1" t="n">
        <v>45932</v>
      </c>
      <c r="D2158" t="inlineStr">
        <is>
          <t>VÄRMLANDS LÄN</t>
        </is>
      </c>
      <c r="E2158" t="inlineStr">
        <is>
          <t>KRISTINEHAMN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53913-2022</t>
        </is>
      </c>
      <c r="B2159" s="1" t="n">
        <v>44880.86898148148</v>
      </c>
      <c r="C2159" s="1" t="n">
        <v>45932</v>
      </c>
      <c r="D2159" t="inlineStr">
        <is>
          <t>VÄRMLANDS LÄN</t>
        </is>
      </c>
      <c r="E2159" t="inlineStr">
        <is>
          <t>FORSHAGA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37509-2021</t>
        </is>
      </c>
      <c r="B2160" s="1" t="n">
        <v>44399</v>
      </c>
      <c r="C2160" s="1" t="n">
        <v>45932</v>
      </c>
      <c r="D2160" t="inlineStr">
        <is>
          <t>VÄRMLANDS LÄN</t>
        </is>
      </c>
      <c r="E2160" t="inlineStr">
        <is>
          <t>SUNNE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9799-2022</t>
        </is>
      </c>
      <c r="B2161" s="1" t="n">
        <v>44620</v>
      </c>
      <c r="C2161" s="1" t="n">
        <v>45932</v>
      </c>
      <c r="D2161" t="inlineStr">
        <is>
          <t>VÄRMLANDS LÄN</t>
        </is>
      </c>
      <c r="E2161" t="inlineStr">
        <is>
          <t>GRUMS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53294-2022</t>
        </is>
      </c>
      <c r="B2162" s="1" t="n">
        <v>44877.47369212963</v>
      </c>
      <c r="C2162" s="1" t="n">
        <v>45932</v>
      </c>
      <c r="D2162" t="inlineStr">
        <is>
          <t>VÄRMLANDS LÄN</t>
        </is>
      </c>
      <c r="E2162" t="inlineStr">
        <is>
          <t>EDA</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45922-2021</t>
        </is>
      </c>
      <c r="B2163" s="1" t="n">
        <v>44441</v>
      </c>
      <c r="C2163" s="1" t="n">
        <v>45932</v>
      </c>
      <c r="D2163" t="inlineStr">
        <is>
          <t>VÄRMLANDS LÄN</t>
        </is>
      </c>
      <c r="E2163" t="inlineStr">
        <is>
          <t>SUNNE</t>
        </is>
      </c>
      <c r="F2163" t="inlineStr">
        <is>
          <t>Kommuner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46812-2021</t>
        </is>
      </c>
      <c r="B2164" s="1" t="n">
        <v>44446.32172453704</v>
      </c>
      <c r="C2164" s="1" t="n">
        <v>45932</v>
      </c>
      <c r="D2164" t="inlineStr">
        <is>
          <t>VÄRMLANDS LÄN</t>
        </is>
      </c>
      <c r="E2164" t="inlineStr">
        <is>
          <t>KARLSTAD</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13757-2022</t>
        </is>
      </c>
      <c r="B2165" s="1" t="n">
        <v>44649</v>
      </c>
      <c r="C2165" s="1" t="n">
        <v>45932</v>
      </c>
      <c r="D2165" t="inlineStr">
        <is>
          <t>VÄRMLANDS LÄN</t>
        </is>
      </c>
      <c r="E2165" t="inlineStr">
        <is>
          <t>SÄFFLE</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45303-2022</t>
        </is>
      </c>
      <c r="B2166" s="1" t="n">
        <v>44844</v>
      </c>
      <c r="C2166" s="1" t="n">
        <v>45932</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7372-2021</t>
        </is>
      </c>
      <c r="B2167" s="1" t="n">
        <v>44239</v>
      </c>
      <c r="C2167" s="1" t="n">
        <v>45932</v>
      </c>
      <c r="D2167" t="inlineStr">
        <is>
          <t>VÄRMLANDS LÄN</t>
        </is>
      </c>
      <c r="E2167" t="inlineStr">
        <is>
          <t>SUNNE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41551-2022</t>
        </is>
      </c>
      <c r="B2168" s="1" t="n">
        <v>44825</v>
      </c>
      <c r="C2168" s="1" t="n">
        <v>45932</v>
      </c>
      <c r="D2168" t="inlineStr">
        <is>
          <t>VÄRMLANDS LÄN</t>
        </is>
      </c>
      <c r="E2168" t="inlineStr">
        <is>
          <t>KRISTINEHAMN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72658-2021</t>
        </is>
      </c>
      <c r="B2169" s="1" t="n">
        <v>44546</v>
      </c>
      <c r="C2169" s="1" t="n">
        <v>45932</v>
      </c>
      <c r="D2169" t="inlineStr">
        <is>
          <t>VÄRMLANDS LÄN</t>
        </is>
      </c>
      <c r="E2169" t="inlineStr">
        <is>
          <t>SUNNE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72722-2021</t>
        </is>
      </c>
      <c r="B2170" s="1" t="n">
        <v>44546</v>
      </c>
      <c r="C2170" s="1" t="n">
        <v>45932</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60428-2021</t>
        </is>
      </c>
      <c r="B2171" s="1" t="n">
        <v>44496.42145833333</v>
      </c>
      <c r="C2171" s="1" t="n">
        <v>45932</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36191-2021</t>
        </is>
      </c>
      <c r="B2172" s="1" t="n">
        <v>44389.64984953704</v>
      </c>
      <c r="C2172" s="1" t="n">
        <v>45932</v>
      </c>
      <c r="D2172" t="inlineStr">
        <is>
          <t>VÄRMLANDS LÄN</t>
        </is>
      </c>
      <c r="E2172" t="inlineStr">
        <is>
          <t>SÄFFLE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30983-2022</t>
        </is>
      </c>
      <c r="B2173" s="1" t="n">
        <v>44768.51357638889</v>
      </c>
      <c r="C2173" s="1" t="n">
        <v>45932</v>
      </c>
      <c r="D2173" t="inlineStr">
        <is>
          <t>VÄRMLANDS LÄN</t>
        </is>
      </c>
      <c r="E2173" t="inlineStr">
        <is>
          <t>ARVIKA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9080-2022</t>
        </is>
      </c>
      <c r="B2174" s="1" t="n">
        <v>44615</v>
      </c>
      <c r="C2174" s="1" t="n">
        <v>45932</v>
      </c>
      <c r="D2174" t="inlineStr">
        <is>
          <t>VÄRMLANDS LÄN</t>
        </is>
      </c>
      <c r="E2174" t="inlineStr">
        <is>
          <t>ARVIKA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10765-2022</t>
        </is>
      </c>
      <c r="B2175" s="1" t="n">
        <v>44627.42550925926</v>
      </c>
      <c r="C2175" s="1" t="n">
        <v>45932</v>
      </c>
      <c r="D2175" t="inlineStr">
        <is>
          <t>VÄRMLANDS LÄN</t>
        </is>
      </c>
      <c r="E2175" t="inlineStr">
        <is>
          <t>FORSHAGA</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24600-2022</t>
        </is>
      </c>
      <c r="B2176" s="1" t="n">
        <v>44727.48119212963</v>
      </c>
      <c r="C2176" s="1" t="n">
        <v>45932</v>
      </c>
      <c r="D2176" t="inlineStr">
        <is>
          <t>VÄRMLANDS LÄN</t>
        </is>
      </c>
      <c r="E2176" t="inlineStr">
        <is>
          <t>SUNNE</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60713-2021</t>
        </is>
      </c>
      <c r="B2177" s="1" t="n">
        <v>44496</v>
      </c>
      <c r="C2177" s="1" t="n">
        <v>45932</v>
      </c>
      <c r="D2177" t="inlineStr">
        <is>
          <t>VÄRMLANDS LÄN</t>
        </is>
      </c>
      <c r="E2177" t="inlineStr">
        <is>
          <t>ÅRJÄNG</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61327-2021</t>
        </is>
      </c>
      <c r="B2178" s="1" t="n">
        <v>44498.66922453704</v>
      </c>
      <c r="C2178" s="1" t="n">
        <v>45932</v>
      </c>
      <c r="D2178" t="inlineStr">
        <is>
          <t>VÄRMLANDS LÄN</t>
        </is>
      </c>
      <c r="E2178" t="inlineStr">
        <is>
          <t>GRUMS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61373-2021</t>
        </is>
      </c>
      <c r="B2179" s="1" t="n">
        <v>44499</v>
      </c>
      <c r="C2179" s="1" t="n">
        <v>45932</v>
      </c>
      <c r="D2179" t="inlineStr">
        <is>
          <t>VÄRMLANDS LÄN</t>
        </is>
      </c>
      <c r="E2179" t="inlineStr">
        <is>
          <t>SUNNE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44783-2022</t>
        </is>
      </c>
      <c r="B2180" s="1" t="n">
        <v>44841.35112268518</v>
      </c>
      <c r="C2180" s="1" t="n">
        <v>45932</v>
      </c>
      <c r="D2180" t="inlineStr">
        <is>
          <t>VÄRMLANDS LÄN</t>
        </is>
      </c>
      <c r="E2180" t="inlineStr">
        <is>
          <t>STORFORS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71728-2021</t>
        </is>
      </c>
      <c r="B2181" s="1" t="n">
        <v>44543.45789351852</v>
      </c>
      <c r="C2181" s="1" t="n">
        <v>45932</v>
      </c>
      <c r="D2181" t="inlineStr">
        <is>
          <t>VÄRMLANDS LÄN</t>
        </is>
      </c>
      <c r="E2181" t="inlineStr">
        <is>
          <t>KIL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38894-2022</t>
        </is>
      </c>
      <c r="B2182" s="1" t="n">
        <v>44816</v>
      </c>
      <c r="C2182" s="1" t="n">
        <v>45932</v>
      </c>
      <c r="D2182" t="inlineStr">
        <is>
          <t>VÄRMLANDS LÄN</t>
        </is>
      </c>
      <c r="E2182" t="inlineStr">
        <is>
          <t>ARVIKA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73442-2021</t>
        </is>
      </c>
      <c r="B2183" s="1" t="n">
        <v>44551.55063657407</v>
      </c>
      <c r="C2183" s="1" t="n">
        <v>45932</v>
      </c>
      <c r="D2183" t="inlineStr">
        <is>
          <t>VÄRMLANDS LÄN</t>
        </is>
      </c>
      <c r="E2183" t="inlineStr">
        <is>
          <t>TORSBY</t>
        </is>
      </c>
      <c r="F2183" t="inlineStr">
        <is>
          <t>Bergvik skog väst AB</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23011-2022</t>
        </is>
      </c>
      <c r="B2184" s="1" t="n">
        <v>44719.35471064815</v>
      </c>
      <c r="C2184" s="1" t="n">
        <v>45932</v>
      </c>
      <c r="D2184" t="inlineStr">
        <is>
          <t>VÄRMLANDS LÄN</t>
        </is>
      </c>
      <c r="E2184" t="inlineStr">
        <is>
          <t>TORSBY</t>
        </is>
      </c>
      <c r="F2184" t="inlineStr">
        <is>
          <t>Bergvik skog väst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8577-2022</t>
        </is>
      </c>
      <c r="B2185" s="1" t="n">
        <v>44613.54695601852</v>
      </c>
      <c r="C2185" s="1" t="n">
        <v>45932</v>
      </c>
      <c r="D2185" t="inlineStr">
        <is>
          <t>VÄRMLANDS LÄN</t>
        </is>
      </c>
      <c r="E2185" t="inlineStr">
        <is>
          <t>HAGFORS</t>
        </is>
      </c>
      <c r="F2185" t="inlineStr">
        <is>
          <t>Bergvik skog väst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34581-2022</t>
        </is>
      </c>
      <c r="B2186" s="1" t="n">
        <v>44792</v>
      </c>
      <c r="C2186" s="1" t="n">
        <v>45932</v>
      </c>
      <c r="D2186" t="inlineStr">
        <is>
          <t>VÄRMLANDS LÄN</t>
        </is>
      </c>
      <c r="E2186" t="inlineStr">
        <is>
          <t>TORSBY</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66809-2021</t>
        </is>
      </c>
      <c r="B2187" s="1" t="n">
        <v>44522.37934027778</v>
      </c>
      <c r="C2187" s="1" t="n">
        <v>45932</v>
      </c>
      <c r="D2187" t="inlineStr">
        <is>
          <t>VÄRMLANDS LÄN</t>
        </is>
      </c>
      <c r="E2187" t="inlineStr">
        <is>
          <t>KIL</t>
        </is>
      </c>
      <c r="G2187" t="n">
        <v>13.7</v>
      </c>
      <c r="H2187" t="n">
        <v>0</v>
      </c>
      <c r="I2187" t="n">
        <v>0</v>
      </c>
      <c r="J2187" t="n">
        <v>0</v>
      </c>
      <c r="K2187" t="n">
        <v>0</v>
      </c>
      <c r="L2187" t="n">
        <v>0</v>
      </c>
      <c r="M2187" t="n">
        <v>0</v>
      </c>
      <c r="N2187" t="n">
        <v>0</v>
      </c>
      <c r="O2187" t="n">
        <v>0</v>
      </c>
      <c r="P2187" t="n">
        <v>0</v>
      </c>
      <c r="Q2187" t="n">
        <v>0</v>
      </c>
      <c r="R2187" s="2" t="inlineStr"/>
    </row>
    <row r="2188" ht="15" customHeight="1">
      <c r="A2188" t="inlineStr">
        <is>
          <t>A 57833-2021</t>
        </is>
      </c>
      <c r="B2188" s="1" t="n">
        <v>44484.71295138889</v>
      </c>
      <c r="C2188" s="1" t="n">
        <v>45932</v>
      </c>
      <c r="D2188" t="inlineStr">
        <is>
          <t>VÄRMLANDS LÄN</t>
        </is>
      </c>
      <c r="E2188" t="inlineStr">
        <is>
          <t>ÅRJÄNG</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73138-2021</t>
        </is>
      </c>
      <c r="B2189" s="1" t="n">
        <v>44550</v>
      </c>
      <c r="C2189" s="1" t="n">
        <v>45932</v>
      </c>
      <c r="D2189" t="inlineStr">
        <is>
          <t>VÄRMLANDS LÄN</t>
        </is>
      </c>
      <c r="E2189" t="inlineStr">
        <is>
          <t>ÅRJÄNG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44554-2022</t>
        </is>
      </c>
      <c r="B2190" s="1" t="n">
        <v>44840.47571759259</v>
      </c>
      <c r="C2190" s="1" t="n">
        <v>45932</v>
      </c>
      <c r="D2190" t="inlineStr">
        <is>
          <t>VÄRMLANDS LÄN</t>
        </is>
      </c>
      <c r="E2190" t="inlineStr">
        <is>
          <t>SÄFFLE</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44561-2022</t>
        </is>
      </c>
      <c r="B2191" s="1" t="n">
        <v>44840.48149305556</v>
      </c>
      <c r="C2191" s="1" t="n">
        <v>45932</v>
      </c>
      <c r="D2191" t="inlineStr">
        <is>
          <t>VÄRMLANDS LÄN</t>
        </is>
      </c>
      <c r="E2191" t="inlineStr">
        <is>
          <t>SÄFFLE</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26362-2022</t>
        </is>
      </c>
      <c r="B2192" s="1" t="n">
        <v>44735</v>
      </c>
      <c r="C2192" s="1" t="n">
        <v>45932</v>
      </c>
      <c r="D2192" t="inlineStr">
        <is>
          <t>VÄRMLANDS LÄN</t>
        </is>
      </c>
      <c r="E2192" t="inlineStr">
        <is>
          <t>GRUMS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53009-2020</t>
        </is>
      </c>
      <c r="B2193" s="1" t="n">
        <v>44119</v>
      </c>
      <c r="C2193" s="1" t="n">
        <v>45932</v>
      </c>
      <c r="D2193" t="inlineStr">
        <is>
          <t>VÄRMLANDS LÄN</t>
        </is>
      </c>
      <c r="E2193" t="inlineStr">
        <is>
          <t>HAGFORS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57087-2021</t>
        </is>
      </c>
      <c r="B2194" s="1" t="n">
        <v>44482</v>
      </c>
      <c r="C2194" s="1" t="n">
        <v>45932</v>
      </c>
      <c r="D2194" t="inlineStr">
        <is>
          <t>VÄRMLANDS LÄN</t>
        </is>
      </c>
      <c r="E2194" t="inlineStr">
        <is>
          <t>FILIPSTAD</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17904-2022</t>
        </is>
      </c>
      <c r="B2195" s="1" t="n">
        <v>44683.5315625</v>
      </c>
      <c r="C2195" s="1" t="n">
        <v>45932</v>
      </c>
      <c r="D2195" t="inlineStr">
        <is>
          <t>VÄRMLANDS LÄN</t>
        </is>
      </c>
      <c r="E2195" t="inlineStr">
        <is>
          <t>SÄFFLE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74147-2021</t>
        </is>
      </c>
      <c r="B2196" s="1" t="n">
        <v>44557</v>
      </c>
      <c r="C2196" s="1" t="n">
        <v>45932</v>
      </c>
      <c r="D2196" t="inlineStr">
        <is>
          <t>VÄRMLANDS LÄN</t>
        </is>
      </c>
      <c r="E2196" t="inlineStr">
        <is>
          <t>SÄFFLE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74189-2021</t>
        </is>
      </c>
      <c r="B2197" s="1" t="n">
        <v>44553</v>
      </c>
      <c r="C2197" s="1" t="n">
        <v>45932</v>
      </c>
      <c r="D2197" t="inlineStr">
        <is>
          <t>VÄRMLANDS LÄN</t>
        </is>
      </c>
      <c r="E2197" t="inlineStr">
        <is>
          <t>ÅRJÄNG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37754-2022</t>
        </is>
      </c>
      <c r="B2198" s="1" t="n">
        <v>44810</v>
      </c>
      <c r="C2198" s="1" t="n">
        <v>45932</v>
      </c>
      <c r="D2198" t="inlineStr">
        <is>
          <t>VÄRMLANDS LÄN</t>
        </is>
      </c>
      <c r="E2198" t="inlineStr">
        <is>
          <t>TORSBY</t>
        </is>
      </c>
      <c r="F2198" t="inlineStr">
        <is>
          <t>Kyrkan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56518-2020</t>
        </is>
      </c>
      <c r="B2199" s="1" t="n">
        <v>44137.49497685185</v>
      </c>
      <c r="C2199" s="1" t="n">
        <v>45932</v>
      </c>
      <c r="D2199" t="inlineStr">
        <is>
          <t>VÄRMLANDS LÄN</t>
        </is>
      </c>
      <c r="E2199" t="inlineStr">
        <is>
          <t>ARVIKA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33181-2022</t>
        </is>
      </c>
      <c r="B2200" s="1" t="n">
        <v>44785</v>
      </c>
      <c r="C2200" s="1" t="n">
        <v>45932</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33189-2022</t>
        </is>
      </c>
      <c r="B2201" s="1" t="n">
        <v>44785.63675925926</v>
      </c>
      <c r="C2201" s="1" t="n">
        <v>45932</v>
      </c>
      <c r="D2201" t="inlineStr">
        <is>
          <t>VÄRMLANDS LÄN</t>
        </is>
      </c>
      <c r="E2201" t="inlineStr">
        <is>
          <t>ARVIKA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23823-2022</t>
        </is>
      </c>
      <c r="B2202" s="1" t="n">
        <v>44722</v>
      </c>
      <c r="C2202" s="1" t="n">
        <v>45932</v>
      </c>
      <c r="D2202" t="inlineStr">
        <is>
          <t>VÄRMLANDS LÄN</t>
        </is>
      </c>
      <c r="E2202" t="inlineStr">
        <is>
          <t>TORSBY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10518-2022</t>
        </is>
      </c>
      <c r="B2203" s="1" t="n">
        <v>44623.77545138889</v>
      </c>
      <c r="C2203" s="1" t="n">
        <v>45932</v>
      </c>
      <c r="D2203" t="inlineStr">
        <is>
          <t>VÄRMLANDS LÄN</t>
        </is>
      </c>
      <c r="E2203" t="inlineStr">
        <is>
          <t>ÅRJÄNG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73115-2021</t>
        </is>
      </c>
      <c r="B2204" s="1" t="n">
        <v>44546</v>
      </c>
      <c r="C2204" s="1" t="n">
        <v>45932</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73162-2021</t>
        </is>
      </c>
      <c r="B2205" s="1" t="n">
        <v>44550</v>
      </c>
      <c r="C2205" s="1" t="n">
        <v>45932</v>
      </c>
      <c r="D2205" t="inlineStr">
        <is>
          <t>VÄRMLANDS LÄN</t>
        </is>
      </c>
      <c r="E2205" t="inlineStr">
        <is>
          <t>SÄFFLE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35978-2021</t>
        </is>
      </c>
      <c r="B2206" s="1" t="n">
        <v>44389.34393518518</v>
      </c>
      <c r="C2206" s="1" t="n">
        <v>45932</v>
      </c>
      <c r="D2206" t="inlineStr">
        <is>
          <t>VÄRMLANDS LÄN</t>
        </is>
      </c>
      <c r="E2206" t="inlineStr">
        <is>
          <t>KRISTINEHAMN</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57452-2022</t>
        </is>
      </c>
      <c r="B2207" s="1" t="n">
        <v>44896.55787037037</v>
      </c>
      <c r="C2207" s="1" t="n">
        <v>45932</v>
      </c>
      <c r="D2207" t="inlineStr">
        <is>
          <t>VÄRMLANDS LÄN</t>
        </is>
      </c>
      <c r="E2207" t="inlineStr">
        <is>
          <t>TORSBY</t>
        </is>
      </c>
      <c r="F2207" t="inlineStr">
        <is>
          <t>Bergvik skog väst AB</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25316-2024</t>
        </is>
      </c>
      <c r="B2208" s="1" t="n">
        <v>45462</v>
      </c>
      <c r="C2208" s="1" t="n">
        <v>45932</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31582-2024</t>
        </is>
      </c>
      <c r="B2209" s="1" t="n">
        <v>45506.3546875</v>
      </c>
      <c r="C2209" s="1" t="n">
        <v>45932</v>
      </c>
      <c r="D2209" t="inlineStr">
        <is>
          <t>VÄRMLANDS LÄN</t>
        </is>
      </c>
      <c r="E2209" t="inlineStr">
        <is>
          <t>ARVIKA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53038-2021</t>
        </is>
      </c>
      <c r="B2210" s="1" t="n">
        <v>44466</v>
      </c>
      <c r="C2210" s="1" t="n">
        <v>45932</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37191-2023</t>
        </is>
      </c>
      <c r="B2211" s="1" t="n">
        <v>45154</v>
      </c>
      <c r="C2211" s="1" t="n">
        <v>45932</v>
      </c>
      <c r="D2211" t="inlineStr">
        <is>
          <t>VÄRMLANDS LÄN</t>
        </is>
      </c>
      <c r="E2211" t="inlineStr">
        <is>
          <t>ÅRJÄNG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5928-2022</t>
        </is>
      </c>
      <c r="B2212" s="1" t="n">
        <v>44598</v>
      </c>
      <c r="C2212" s="1" t="n">
        <v>45932</v>
      </c>
      <c r="D2212" t="inlineStr">
        <is>
          <t>VÄRMLANDS LÄN</t>
        </is>
      </c>
      <c r="E2212" t="inlineStr">
        <is>
          <t>FILIPSTAD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3285-2022</t>
        </is>
      </c>
      <c r="B2213" s="1" t="n">
        <v>44584.61653935185</v>
      </c>
      <c r="C2213" s="1" t="n">
        <v>45932</v>
      </c>
      <c r="D2213" t="inlineStr">
        <is>
          <t>VÄRMLANDS LÄN</t>
        </is>
      </c>
      <c r="E2213" t="inlineStr">
        <is>
          <t>EDA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4178-2022</t>
        </is>
      </c>
      <c r="B2214" s="1" t="n">
        <v>44588</v>
      </c>
      <c r="C2214" s="1" t="n">
        <v>45932</v>
      </c>
      <c r="D2214" t="inlineStr">
        <is>
          <t>VÄRMLANDS LÄN</t>
        </is>
      </c>
      <c r="E2214" t="inlineStr">
        <is>
          <t>GRUMS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12635-2021</t>
        </is>
      </c>
      <c r="B2215" s="1" t="n">
        <v>44270</v>
      </c>
      <c r="C2215" s="1" t="n">
        <v>45932</v>
      </c>
      <c r="D2215" t="inlineStr">
        <is>
          <t>VÄRMLANDS LÄN</t>
        </is>
      </c>
      <c r="E2215" t="inlineStr">
        <is>
          <t>SUNNE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29299-2024</t>
        </is>
      </c>
      <c r="B2216" s="1" t="n">
        <v>45483</v>
      </c>
      <c r="C2216" s="1" t="n">
        <v>45932</v>
      </c>
      <c r="D2216" t="inlineStr">
        <is>
          <t>VÄRMLANDS LÄN</t>
        </is>
      </c>
      <c r="E2216" t="inlineStr">
        <is>
          <t>ARVIKA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29301-2024</t>
        </is>
      </c>
      <c r="B2217" s="1" t="n">
        <v>45483</v>
      </c>
      <c r="C2217" s="1" t="n">
        <v>45932</v>
      </c>
      <c r="D2217" t="inlineStr">
        <is>
          <t>VÄRMLANDS LÄN</t>
        </is>
      </c>
      <c r="E2217" t="inlineStr">
        <is>
          <t>ARVIKA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18120-2024</t>
        </is>
      </c>
      <c r="B2218" s="1" t="n">
        <v>45420</v>
      </c>
      <c r="C2218" s="1" t="n">
        <v>45932</v>
      </c>
      <c r="D2218" t="inlineStr">
        <is>
          <t>VÄRMLANDS LÄN</t>
        </is>
      </c>
      <c r="E2218" t="inlineStr">
        <is>
          <t>ARVIKA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18651-2023</t>
        </is>
      </c>
      <c r="B2219" s="1" t="n">
        <v>45043.53853009259</v>
      </c>
      <c r="C2219" s="1" t="n">
        <v>45932</v>
      </c>
      <c r="D2219" t="inlineStr">
        <is>
          <t>VÄRMLANDS LÄN</t>
        </is>
      </c>
      <c r="E2219" t="inlineStr">
        <is>
          <t>ARVIKA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20042-2022</t>
        </is>
      </c>
      <c r="B2220" s="1" t="n">
        <v>44697.7060300926</v>
      </c>
      <c r="C2220" s="1" t="n">
        <v>45932</v>
      </c>
      <c r="D2220" t="inlineStr">
        <is>
          <t>VÄRMLANDS LÄN</t>
        </is>
      </c>
      <c r="E2220" t="inlineStr">
        <is>
          <t>SUNNE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13156-2022</t>
        </is>
      </c>
      <c r="B2221" s="1" t="n">
        <v>44643</v>
      </c>
      <c r="C2221" s="1" t="n">
        <v>45932</v>
      </c>
      <c r="D2221" t="inlineStr">
        <is>
          <t>VÄRMLANDS LÄN</t>
        </is>
      </c>
      <c r="E2221" t="inlineStr">
        <is>
          <t>ÅRJÄNG</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47974-2022</t>
        </is>
      </c>
      <c r="B2222" s="1" t="n">
        <v>44853</v>
      </c>
      <c r="C2222" s="1" t="n">
        <v>45932</v>
      </c>
      <c r="D2222" t="inlineStr">
        <is>
          <t>VÄRMLANDS LÄN</t>
        </is>
      </c>
      <c r="E2222" t="inlineStr">
        <is>
          <t>KRISTINEHAMN</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47005-2021</t>
        </is>
      </c>
      <c r="B2223" s="1" t="n">
        <v>44446</v>
      </c>
      <c r="C2223" s="1" t="n">
        <v>45932</v>
      </c>
      <c r="D2223" t="inlineStr">
        <is>
          <t>VÄRMLANDS LÄN</t>
        </is>
      </c>
      <c r="E2223" t="inlineStr">
        <is>
          <t>ÅRJÄNG</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47033-2021</t>
        </is>
      </c>
      <c r="B2224" s="1" t="n">
        <v>44446</v>
      </c>
      <c r="C2224" s="1" t="n">
        <v>45932</v>
      </c>
      <c r="D2224" t="inlineStr">
        <is>
          <t>VÄRMLANDS LÄN</t>
        </is>
      </c>
      <c r="E2224" t="inlineStr">
        <is>
          <t>ÅRJÄNG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39186-2022</t>
        </is>
      </c>
      <c r="B2225" s="1" t="n">
        <v>44817.51549768518</v>
      </c>
      <c r="C2225" s="1" t="n">
        <v>45932</v>
      </c>
      <c r="D2225" t="inlineStr">
        <is>
          <t>VÄRMLANDS LÄN</t>
        </is>
      </c>
      <c r="E2225" t="inlineStr">
        <is>
          <t>TORSBY</t>
        </is>
      </c>
      <c r="F2225" t="inlineStr">
        <is>
          <t>Bergvik skog väst AB</t>
        </is>
      </c>
      <c r="G2225" t="n">
        <v>20.3</v>
      </c>
      <c r="H2225" t="n">
        <v>0</v>
      </c>
      <c r="I2225" t="n">
        <v>0</v>
      </c>
      <c r="J2225" t="n">
        <v>0</v>
      </c>
      <c r="K2225" t="n">
        <v>0</v>
      </c>
      <c r="L2225" t="n">
        <v>0</v>
      </c>
      <c r="M2225" t="n">
        <v>0</v>
      </c>
      <c r="N2225" t="n">
        <v>0</v>
      </c>
      <c r="O2225" t="n">
        <v>0</v>
      </c>
      <c r="P2225" t="n">
        <v>0</v>
      </c>
      <c r="Q2225" t="n">
        <v>0</v>
      </c>
      <c r="R2225" s="2" t="inlineStr"/>
    </row>
    <row r="2226" ht="15" customHeight="1">
      <c r="A2226" t="inlineStr">
        <is>
          <t>A 39194-2022</t>
        </is>
      </c>
      <c r="B2226" s="1" t="n">
        <v>44817</v>
      </c>
      <c r="C2226" s="1" t="n">
        <v>45932</v>
      </c>
      <c r="D2226" t="inlineStr">
        <is>
          <t>VÄRMLANDS LÄN</t>
        </is>
      </c>
      <c r="E2226" t="inlineStr">
        <is>
          <t>EDA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63119-2021</t>
        </is>
      </c>
      <c r="B2227" s="1" t="n">
        <v>44505</v>
      </c>
      <c r="C2227" s="1" t="n">
        <v>45932</v>
      </c>
      <c r="D2227" t="inlineStr">
        <is>
          <t>VÄRMLANDS LÄN</t>
        </is>
      </c>
      <c r="E2227" t="inlineStr">
        <is>
          <t>EDA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63122-2021</t>
        </is>
      </c>
      <c r="B2228" s="1" t="n">
        <v>44505</v>
      </c>
      <c r="C2228" s="1" t="n">
        <v>45932</v>
      </c>
      <c r="D2228" t="inlineStr">
        <is>
          <t>VÄRMLANDS LÄN</t>
        </is>
      </c>
      <c r="E2228" t="inlineStr">
        <is>
          <t>EDA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54654-2024</t>
        </is>
      </c>
      <c r="B2229" s="1" t="n">
        <v>45617</v>
      </c>
      <c r="C2229" s="1" t="n">
        <v>45932</v>
      </c>
      <c r="D2229" t="inlineStr">
        <is>
          <t>VÄRMLANDS LÄN</t>
        </is>
      </c>
      <c r="E2229" t="inlineStr">
        <is>
          <t>SÄFFLE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9407-2022</t>
        </is>
      </c>
      <c r="B2230" s="1" t="n">
        <v>44616.65760416666</v>
      </c>
      <c r="C2230" s="1" t="n">
        <v>45932</v>
      </c>
      <c r="D2230" t="inlineStr">
        <is>
          <t>VÄRMLANDS LÄN</t>
        </is>
      </c>
      <c r="E2230" t="inlineStr">
        <is>
          <t>ÅRJÄNG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35851-2022</t>
        </is>
      </c>
      <c r="B2231" s="1" t="n">
        <v>44802</v>
      </c>
      <c r="C2231" s="1" t="n">
        <v>45932</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16014-2024</t>
        </is>
      </c>
      <c r="B2232" s="1" t="n">
        <v>45405</v>
      </c>
      <c r="C2232" s="1" t="n">
        <v>45932</v>
      </c>
      <c r="D2232" t="inlineStr">
        <is>
          <t>VÄRMLANDS LÄN</t>
        </is>
      </c>
      <c r="E2232" t="inlineStr">
        <is>
          <t>ARVIKA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13791-2023</t>
        </is>
      </c>
      <c r="B2233" s="1" t="n">
        <v>45005</v>
      </c>
      <c r="C2233" s="1" t="n">
        <v>45932</v>
      </c>
      <c r="D2233" t="inlineStr">
        <is>
          <t>VÄRMLANDS LÄN</t>
        </is>
      </c>
      <c r="E2233" t="inlineStr">
        <is>
          <t>TORSBY</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8938-2022</t>
        </is>
      </c>
      <c r="B2234" s="1" t="n">
        <v>44614.7222337963</v>
      </c>
      <c r="C2234" s="1" t="n">
        <v>45932</v>
      </c>
      <c r="D2234" t="inlineStr">
        <is>
          <t>VÄRMLANDS LÄN</t>
        </is>
      </c>
      <c r="E2234" t="inlineStr">
        <is>
          <t>ÅRJÄNG</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8943-2022</t>
        </is>
      </c>
      <c r="B2235" s="1" t="n">
        <v>44614</v>
      </c>
      <c r="C2235" s="1" t="n">
        <v>45932</v>
      </c>
      <c r="D2235" t="inlineStr">
        <is>
          <t>VÄRMLANDS LÄN</t>
        </is>
      </c>
      <c r="E2235" t="inlineStr">
        <is>
          <t>EDA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16079-2024</t>
        </is>
      </c>
      <c r="B2236" s="1" t="n">
        <v>45406</v>
      </c>
      <c r="C2236" s="1" t="n">
        <v>45932</v>
      </c>
      <c r="D2236" t="inlineStr">
        <is>
          <t>VÄRMLANDS LÄN</t>
        </is>
      </c>
      <c r="E2236" t="inlineStr">
        <is>
          <t>ÅRJÄNG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13859-2023</t>
        </is>
      </c>
      <c r="B2237" s="1" t="n">
        <v>45007.63384259259</v>
      </c>
      <c r="C2237" s="1" t="n">
        <v>45932</v>
      </c>
      <c r="D2237" t="inlineStr">
        <is>
          <t>VÄRMLANDS LÄN</t>
        </is>
      </c>
      <c r="E2237" t="inlineStr">
        <is>
          <t>ÅRJÄNG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59368-2020</t>
        </is>
      </c>
      <c r="B2238" s="1" t="n">
        <v>44148</v>
      </c>
      <c r="C2238" s="1" t="n">
        <v>45932</v>
      </c>
      <c r="D2238" t="inlineStr">
        <is>
          <t>VÄRMLANDS LÄN</t>
        </is>
      </c>
      <c r="E2238" t="inlineStr">
        <is>
          <t>EDA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23904-2023</t>
        </is>
      </c>
      <c r="B2239" s="1" t="n">
        <v>45078.55413194445</v>
      </c>
      <c r="C2239" s="1" t="n">
        <v>45932</v>
      </c>
      <c r="D2239" t="inlineStr">
        <is>
          <t>VÄRMLANDS LÄN</t>
        </is>
      </c>
      <c r="E2239" t="inlineStr">
        <is>
          <t>ÅRJÄNG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73467-2021</t>
        </is>
      </c>
      <c r="B2240" s="1" t="n">
        <v>44551</v>
      </c>
      <c r="C2240" s="1" t="n">
        <v>45932</v>
      </c>
      <c r="D2240" t="inlineStr">
        <is>
          <t>VÄRMLANDS LÄN</t>
        </is>
      </c>
      <c r="E2240" t="inlineStr">
        <is>
          <t>SUNNE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10261-2025</t>
        </is>
      </c>
      <c r="B2241" s="1" t="n">
        <v>45720</v>
      </c>
      <c r="C2241" s="1" t="n">
        <v>45932</v>
      </c>
      <c r="D2241" t="inlineStr">
        <is>
          <t>VÄRMLANDS LÄN</t>
        </is>
      </c>
      <c r="E2241" t="inlineStr">
        <is>
          <t>SUNNE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55839-2024</t>
        </is>
      </c>
      <c r="B2242" s="1" t="n">
        <v>45623.49502314815</v>
      </c>
      <c r="C2242" s="1" t="n">
        <v>45932</v>
      </c>
      <c r="D2242" t="inlineStr">
        <is>
          <t>VÄRMLANDS LÄN</t>
        </is>
      </c>
      <c r="E2242" t="inlineStr">
        <is>
          <t>TORSBY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40675-2021</t>
        </is>
      </c>
      <c r="B2243" s="1" t="n">
        <v>44420.5846875</v>
      </c>
      <c r="C2243" s="1" t="n">
        <v>45932</v>
      </c>
      <c r="D2243" t="inlineStr">
        <is>
          <t>VÄRMLANDS LÄN</t>
        </is>
      </c>
      <c r="E2243" t="inlineStr">
        <is>
          <t>HAGFORS</t>
        </is>
      </c>
      <c r="F2243" t="inlineStr">
        <is>
          <t>Bergvik skog väst AB</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40678-2021</t>
        </is>
      </c>
      <c r="B2244" s="1" t="n">
        <v>44420</v>
      </c>
      <c r="C2244" s="1" t="n">
        <v>45932</v>
      </c>
      <c r="D2244" t="inlineStr">
        <is>
          <t>VÄRMLANDS LÄN</t>
        </is>
      </c>
      <c r="E2244" t="inlineStr">
        <is>
          <t>SUNNE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39698-2021</t>
        </is>
      </c>
      <c r="B2245" s="1" t="n">
        <v>44417</v>
      </c>
      <c r="C2245" s="1" t="n">
        <v>45932</v>
      </c>
      <c r="D2245" t="inlineStr">
        <is>
          <t>VÄRMLANDS LÄN</t>
        </is>
      </c>
      <c r="E2245" t="inlineStr">
        <is>
          <t>HAGFORS</t>
        </is>
      </c>
      <c r="F2245" t="inlineStr">
        <is>
          <t>Bergvik skog väst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5360-2025</t>
        </is>
      </c>
      <c r="B2246" s="1" t="n">
        <v>45692</v>
      </c>
      <c r="C2246" s="1" t="n">
        <v>45932</v>
      </c>
      <c r="D2246" t="inlineStr">
        <is>
          <t>VÄRMLANDS LÄN</t>
        </is>
      </c>
      <c r="E2246" t="inlineStr">
        <is>
          <t>ARVIKA</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39756-2021</t>
        </is>
      </c>
      <c r="B2247" s="1" t="n">
        <v>44417.52393518519</v>
      </c>
      <c r="C2247" s="1" t="n">
        <v>45932</v>
      </c>
      <c r="D2247" t="inlineStr">
        <is>
          <t>VÄRMLANDS LÄN</t>
        </is>
      </c>
      <c r="E2247" t="inlineStr">
        <is>
          <t>SÄFFLE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59336-2023</t>
        </is>
      </c>
      <c r="B2248" s="1" t="n">
        <v>45253.64381944444</v>
      </c>
      <c r="C2248" s="1" t="n">
        <v>45932</v>
      </c>
      <c r="D2248" t="inlineStr">
        <is>
          <t>VÄRMLANDS LÄN</t>
        </is>
      </c>
      <c r="E2248" t="inlineStr">
        <is>
          <t>FILIPSTAD</t>
        </is>
      </c>
      <c r="F2248" t="inlineStr">
        <is>
          <t>Bergvik skog väst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59384-2023</t>
        </is>
      </c>
      <c r="B2249" s="1" t="n">
        <v>45253</v>
      </c>
      <c r="C2249" s="1" t="n">
        <v>45932</v>
      </c>
      <c r="D2249" t="inlineStr">
        <is>
          <t>VÄRMLANDS LÄN</t>
        </is>
      </c>
      <c r="E2249" t="inlineStr">
        <is>
          <t>ÅRJÄNG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32543-2022</t>
        </is>
      </c>
      <c r="B2250" s="1" t="n">
        <v>44783</v>
      </c>
      <c r="C2250" s="1" t="n">
        <v>45932</v>
      </c>
      <c r="D2250" t="inlineStr">
        <is>
          <t>VÄRMLANDS LÄN</t>
        </is>
      </c>
      <c r="E2250" t="inlineStr">
        <is>
          <t>SUNNE</t>
        </is>
      </c>
      <c r="F2250" t="inlineStr">
        <is>
          <t>Kommuner</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74331-2021</t>
        </is>
      </c>
      <c r="B2251" s="1" t="n">
        <v>44559</v>
      </c>
      <c r="C2251" s="1" t="n">
        <v>45932</v>
      </c>
      <c r="D2251" t="inlineStr">
        <is>
          <t>VÄRMLANDS LÄN</t>
        </is>
      </c>
      <c r="E2251" t="inlineStr">
        <is>
          <t>ARVIKA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36527-2022</t>
        </is>
      </c>
      <c r="B2252" s="1" t="n">
        <v>44804</v>
      </c>
      <c r="C2252" s="1" t="n">
        <v>45932</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36532-2022</t>
        </is>
      </c>
      <c r="B2253" s="1" t="n">
        <v>44804</v>
      </c>
      <c r="C2253" s="1" t="n">
        <v>45932</v>
      </c>
      <c r="D2253" t="inlineStr">
        <is>
          <t>VÄRMLANDS LÄN</t>
        </is>
      </c>
      <c r="E2253" t="inlineStr">
        <is>
          <t>ÅRJÄNG</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7259-2021</t>
        </is>
      </c>
      <c r="B2254" s="1" t="n">
        <v>44238.63473379629</v>
      </c>
      <c r="C2254" s="1" t="n">
        <v>45932</v>
      </c>
      <c r="D2254" t="inlineStr">
        <is>
          <t>VÄRMLANDS LÄN</t>
        </is>
      </c>
      <c r="E2254" t="inlineStr">
        <is>
          <t>ARVIKA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12352-2021</t>
        </is>
      </c>
      <c r="B2255" s="1" t="n">
        <v>44267.44386574074</v>
      </c>
      <c r="C2255" s="1" t="n">
        <v>45932</v>
      </c>
      <c r="D2255" t="inlineStr">
        <is>
          <t>VÄRMLANDS LÄN</t>
        </is>
      </c>
      <c r="E2255" t="inlineStr">
        <is>
          <t>ÅRJÄNG</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59976-2022</t>
        </is>
      </c>
      <c r="B2256" s="1" t="n">
        <v>44901</v>
      </c>
      <c r="C2256" s="1" t="n">
        <v>45932</v>
      </c>
      <c r="D2256" t="inlineStr">
        <is>
          <t>VÄRMLANDS LÄN</t>
        </is>
      </c>
      <c r="E2256" t="inlineStr">
        <is>
          <t>ÅRJÄNG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61251-2024</t>
        </is>
      </c>
      <c r="B2257" s="1" t="n">
        <v>45645</v>
      </c>
      <c r="C2257" s="1" t="n">
        <v>45932</v>
      </c>
      <c r="D2257" t="inlineStr">
        <is>
          <t>VÄRMLANDS LÄN</t>
        </is>
      </c>
      <c r="E2257" t="inlineStr">
        <is>
          <t>TORSBY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61259-2024</t>
        </is>
      </c>
      <c r="B2258" s="1" t="n">
        <v>45645.71188657408</v>
      </c>
      <c r="C2258" s="1" t="n">
        <v>45932</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11664-2022</t>
        </is>
      </c>
      <c r="B2259" s="1" t="n">
        <v>44632.86525462963</v>
      </c>
      <c r="C2259" s="1" t="n">
        <v>45932</v>
      </c>
      <c r="D2259" t="inlineStr">
        <is>
          <t>VÄRMLANDS LÄN</t>
        </is>
      </c>
      <c r="E2259" t="inlineStr">
        <is>
          <t>TORSBY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49732-2022</t>
        </is>
      </c>
      <c r="B2260" s="1" t="n">
        <v>44862.56357638889</v>
      </c>
      <c r="C2260" s="1" t="n">
        <v>45932</v>
      </c>
      <c r="D2260" t="inlineStr">
        <is>
          <t>VÄRMLANDS LÄN</t>
        </is>
      </c>
      <c r="E2260" t="inlineStr">
        <is>
          <t>SUNNE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20168-2022</t>
        </is>
      </c>
      <c r="B2261" s="1" t="n">
        <v>44698.50056712963</v>
      </c>
      <c r="C2261" s="1" t="n">
        <v>45932</v>
      </c>
      <c r="D2261" t="inlineStr">
        <is>
          <t>VÄRMLANDS LÄN</t>
        </is>
      </c>
      <c r="E2261" t="inlineStr">
        <is>
          <t>TORSBY</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36572-2022</t>
        </is>
      </c>
      <c r="B2262" s="1" t="n">
        <v>44804.60271990741</v>
      </c>
      <c r="C2262" s="1" t="n">
        <v>45932</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15934-2025</t>
        </is>
      </c>
      <c r="B2263" s="1" t="n">
        <v>45749</v>
      </c>
      <c r="C2263" s="1" t="n">
        <v>45932</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15945-2025</t>
        </is>
      </c>
      <c r="B2264" s="1" t="n">
        <v>45749</v>
      </c>
      <c r="C2264" s="1" t="n">
        <v>45932</v>
      </c>
      <c r="D2264" t="inlineStr">
        <is>
          <t>VÄRMLANDS LÄN</t>
        </is>
      </c>
      <c r="E2264" t="inlineStr">
        <is>
          <t>FILIPSTAD</t>
        </is>
      </c>
      <c r="F2264" t="inlineStr">
        <is>
          <t>Bergvik skog väst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15954-2025</t>
        </is>
      </c>
      <c r="B2265" s="1" t="n">
        <v>45749</v>
      </c>
      <c r="C2265" s="1" t="n">
        <v>45932</v>
      </c>
      <c r="D2265" t="inlineStr">
        <is>
          <t>VÄRMLANDS LÄN</t>
        </is>
      </c>
      <c r="E2265" t="inlineStr">
        <is>
          <t>ÅRJÄNG</t>
        </is>
      </c>
      <c r="F2265" t="inlineStr">
        <is>
          <t>Bergvik skog väst AB</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31038-2023</t>
        </is>
      </c>
      <c r="B2266" s="1" t="n">
        <v>45113.5912962963</v>
      </c>
      <c r="C2266" s="1" t="n">
        <v>45932</v>
      </c>
      <c r="D2266" t="inlineStr">
        <is>
          <t>VÄRMLANDS LÄN</t>
        </is>
      </c>
      <c r="E2266" t="inlineStr">
        <is>
          <t>SUNNE</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60933-2021</t>
        </is>
      </c>
      <c r="B2267" s="1" t="n">
        <v>44497</v>
      </c>
      <c r="C2267" s="1" t="n">
        <v>45932</v>
      </c>
      <c r="D2267" t="inlineStr">
        <is>
          <t>VÄRMLANDS LÄN</t>
        </is>
      </c>
      <c r="E2267" t="inlineStr">
        <is>
          <t>SUNNE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6900-2021</t>
        </is>
      </c>
      <c r="B2268" s="1" t="n">
        <v>44237</v>
      </c>
      <c r="C2268" s="1" t="n">
        <v>45932</v>
      </c>
      <c r="D2268" t="inlineStr">
        <is>
          <t>VÄRMLANDS LÄN</t>
        </is>
      </c>
      <c r="E2268" t="inlineStr">
        <is>
          <t>ÅRJÄNG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6908-2021</t>
        </is>
      </c>
      <c r="B2269" s="1" t="n">
        <v>44237</v>
      </c>
      <c r="C2269" s="1" t="n">
        <v>45932</v>
      </c>
      <c r="D2269" t="inlineStr">
        <is>
          <t>VÄRMLANDS LÄN</t>
        </is>
      </c>
      <c r="E2269" t="inlineStr">
        <is>
          <t>ÅRJÄNG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4099-2021</t>
        </is>
      </c>
      <c r="B2270" s="1" t="n">
        <v>44222</v>
      </c>
      <c r="C2270" s="1" t="n">
        <v>45932</v>
      </c>
      <c r="D2270" t="inlineStr">
        <is>
          <t>VÄRMLANDS LÄN</t>
        </is>
      </c>
      <c r="E2270" t="inlineStr">
        <is>
          <t>ARVIKA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36195-2023</t>
        </is>
      </c>
      <c r="B2271" s="1" t="n">
        <v>45149</v>
      </c>
      <c r="C2271" s="1" t="n">
        <v>45932</v>
      </c>
      <c r="D2271" t="inlineStr">
        <is>
          <t>VÄRMLANDS LÄN</t>
        </is>
      </c>
      <c r="E2271" t="inlineStr">
        <is>
          <t>ÅRJÄNG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57119-2020</t>
        </is>
      </c>
      <c r="B2272" s="1" t="n">
        <v>44139</v>
      </c>
      <c r="C2272" s="1" t="n">
        <v>45932</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48334-2021</t>
        </is>
      </c>
      <c r="B2273" s="1" t="n">
        <v>44451.46739583334</v>
      </c>
      <c r="C2273" s="1" t="n">
        <v>45932</v>
      </c>
      <c r="D2273" t="inlineStr">
        <is>
          <t>VÄRMLANDS LÄN</t>
        </is>
      </c>
      <c r="E2273" t="inlineStr">
        <is>
          <t>EDA</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56045-2020</t>
        </is>
      </c>
      <c r="B2274" s="1" t="n">
        <v>44133</v>
      </c>
      <c r="C2274" s="1" t="n">
        <v>45932</v>
      </c>
      <c r="D2274" t="inlineStr">
        <is>
          <t>VÄRMLANDS LÄN</t>
        </is>
      </c>
      <c r="E2274" t="inlineStr">
        <is>
          <t>KRISTINEHAMN</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5287-2024</t>
        </is>
      </c>
      <c r="B2275" s="1" t="n">
        <v>45331.32953703704</v>
      </c>
      <c r="C2275" s="1" t="n">
        <v>45932</v>
      </c>
      <c r="D2275" t="inlineStr">
        <is>
          <t>VÄRMLANDS LÄN</t>
        </is>
      </c>
      <c r="E2275" t="inlineStr">
        <is>
          <t>SÄFFLE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22149-2021</t>
        </is>
      </c>
      <c r="B2276" s="1" t="n">
        <v>44324</v>
      </c>
      <c r="C2276" s="1" t="n">
        <v>45932</v>
      </c>
      <c r="D2276" t="inlineStr">
        <is>
          <t>VÄRMLANDS LÄN</t>
        </is>
      </c>
      <c r="E2276" t="inlineStr">
        <is>
          <t>KARLSTAD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6721-2025</t>
        </is>
      </c>
      <c r="B2277" s="1" t="n">
        <v>45700</v>
      </c>
      <c r="C2277" s="1" t="n">
        <v>45932</v>
      </c>
      <c r="D2277" t="inlineStr">
        <is>
          <t>VÄRMLANDS LÄN</t>
        </is>
      </c>
      <c r="E2277" t="inlineStr">
        <is>
          <t>GRUMS</t>
        </is>
      </c>
      <c r="F2277" t="inlineStr">
        <is>
          <t>Bergvik skog väst AB</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42792-2024</t>
        </is>
      </c>
      <c r="B2278" s="1" t="n">
        <v>45566.54875</v>
      </c>
      <c r="C2278" s="1" t="n">
        <v>45932</v>
      </c>
      <c r="D2278" t="inlineStr">
        <is>
          <t>VÄRMLANDS LÄN</t>
        </is>
      </c>
      <c r="E2278" t="inlineStr">
        <is>
          <t>SUNNE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57153-2024</t>
        </is>
      </c>
      <c r="B2279" s="1" t="n">
        <v>45629</v>
      </c>
      <c r="C2279" s="1" t="n">
        <v>45932</v>
      </c>
      <c r="D2279" t="inlineStr">
        <is>
          <t>VÄRMLANDS LÄN</t>
        </is>
      </c>
      <c r="E2279" t="inlineStr">
        <is>
          <t>KARLSTAD</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25217-2023</t>
        </is>
      </c>
      <c r="B2280" s="1" t="n">
        <v>45086.60429398148</v>
      </c>
      <c r="C2280" s="1" t="n">
        <v>45932</v>
      </c>
      <c r="D2280" t="inlineStr">
        <is>
          <t>VÄRMLANDS LÄN</t>
        </is>
      </c>
      <c r="E2280" t="inlineStr">
        <is>
          <t>SUNNE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51700-2023</t>
        </is>
      </c>
      <c r="B2281" s="1" t="n">
        <v>45222.6190625</v>
      </c>
      <c r="C2281" s="1" t="n">
        <v>45932</v>
      </c>
      <c r="D2281" t="inlineStr">
        <is>
          <t>VÄRMLANDS LÄN</t>
        </is>
      </c>
      <c r="E2281" t="inlineStr">
        <is>
          <t>KRISTINEHAMN</t>
        </is>
      </c>
      <c r="F2281" t="inlineStr">
        <is>
          <t>Bergvik skog väst AB</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36016-2022</t>
        </is>
      </c>
      <c r="B2282" s="1" t="n">
        <v>44802.64721064815</v>
      </c>
      <c r="C2282" s="1" t="n">
        <v>45932</v>
      </c>
      <c r="D2282" t="inlineStr">
        <is>
          <t>VÄRMLANDS LÄN</t>
        </is>
      </c>
      <c r="E2282" t="inlineStr">
        <is>
          <t>ÅRJÄNG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55475-2022</t>
        </is>
      </c>
      <c r="B2283" s="1" t="n">
        <v>44887.66210648148</v>
      </c>
      <c r="C2283" s="1" t="n">
        <v>45932</v>
      </c>
      <c r="D2283" t="inlineStr">
        <is>
          <t>VÄRMLANDS LÄN</t>
        </is>
      </c>
      <c r="E2283" t="inlineStr">
        <is>
          <t>TORSBY</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40754-2024</t>
        </is>
      </c>
      <c r="B2284" s="1" t="n">
        <v>45558.45792824074</v>
      </c>
      <c r="C2284" s="1" t="n">
        <v>45932</v>
      </c>
      <c r="D2284" t="inlineStr">
        <is>
          <t>VÄRMLANDS LÄN</t>
        </is>
      </c>
      <c r="E2284" t="inlineStr">
        <is>
          <t>SÄFFLE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12998-2022</t>
        </is>
      </c>
      <c r="B2285" s="1" t="n">
        <v>44643.43587962963</v>
      </c>
      <c r="C2285" s="1" t="n">
        <v>45932</v>
      </c>
      <c r="D2285" t="inlineStr">
        <is>
          <t>VÄRMLANDS LÄN</t>
        </is>
      </c>
      <c r="E2285" t="inlineStr">
        <is>
          <t>EDA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65565-2021</t>
        </is>
      </c>
      <c r="B2286" s="1" t="n">
        <v>44516</v>
      </c>
      <c r="C2286" s="1" t="n">
        <v>45932</v>
      </c>
      <c r="D2286" t="inlineStr">
        <is>
          <t>VÄRMLANDS LÄN</t>
        </is>
      </c>
      <c r="E2286" t="inlineStr">
        <is>
          <t>HAGFORS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54999-2021</t>
        </is>
      </c>
      <c r="B2287" s="1" t="n">
        <v>44473</v>
      </c>
      <c r="C2287" s="1" t="n">
        <v>45932</v>
      </c>
      <c r="D2287" t="inlineStr">
        <is>
          <t>VÄRMLANDS LÄN</t>
        </is>
      </c>
      <c r="E2287" t="inlineStr">
        <is>
          <t>SUNNE</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40278-2021</t>
        </is>
      </c>
      <c r="B2288" s="1" t="n">
        <v>44419</v>
      </c>
      <c r="C2288" s="1" t="n">
        <v>45932</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43538-2024</t>
        </is>
      </c>
      <c r="B2289" s="1" t="n">
        <v>45569.36136574074</v>
      </c>
      <c r="C2289" s="1" t="n">
        <v>45932</v>
      </c>
      <c r="D2289" t="inlineStr">
        <is>
          <t>VÄRMLANDS LÄN</t>
        </is>
      </c>
      <c r="E2289" t="inlineStr">
        <is>
          <t>TORSBY</t>
        </is>
      </c>
      <c r="F2289" t="inlineStr">
        <is>
          <t>Bergvik skog väst AB</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8586-2024</t>
        </is>
      </c>
      <c r="B2290" s="1" t="n">
        <v>45355</v>
      </c>
      <c r="C2290" s="1" t="n">
        <v>45932</v>
      </c>
      <c r="D2290" t="inlineStr">
        <is>
          <t>VÄRMLANDS LÄN</t>
        </is>
      </c>
      <c r="E2290" t="inlineStr">
        <is>
          <t>EDA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1528-2025</t>
        </is>
      </c>
      <c r="B2291" s="1" t="n">
        <v>45670</v>
      </c>
      <c r="C2291" s="1" t="n">
        <v>45932</v>
      </c>
      <c r="D2291" t="inlineStr">
        <is>
          <t>VÄRMLANDS LÄN</t>
        </is>
      </c>
      <c r="E2291" t="inlineStr">
        <is>
          <t>TORSBY</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2061-2025</t>
        </is>
      </c>
      <c r="B2292" s="1" t="n">
        <v>45672</v>
      </c>
      <c r="C2292" s="1" t="n">
        <v>45932</v>
      </c>
      <c r="D2292" t="inlineStr">
        <is>
          <t>VÄRMLANDS LÄN</t>
        </is>
      </c>
      <c r="E2292" t="inlineStr">
        <is>
          <t>KARLSTAD</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18439-2025</t>
        </is>
      </c>
      <c r="B2293" s="1" t="n">
        <v>45762</v>
      </c>
      <c r="C2293" s="1" t="n">
        <v>45932</v>
      </c>
      <c r="D2293" t="inlineStr">
        <is>
          <t>VÄRMLANDS LÄN</t>
        </is>
      </c>
      <c r="E2293" t="inlineStr">
        <is>
          <t>FORSHAGA</t>
        </is>
      </c>
      <c r="F2293" t="inlineStr">
        <is>
          <t>Bergvik skog väst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38423-2021</t>
        </is>
      </c>
      <c r="B2294" s="1" t="n">
        <v>44406</v>
      </c>
      <c r="C2294" s="1" t="n">
        <v>45932</v>
      </c>
      <c r="D2294" t="inlineStr">
        <is>
          <t>VÄRMLANDS LÄN</t>
        </is>
      </c>
      <c r="E2294" t="inlineStr">
        <is>
          <t>SUNNE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19870-2021</t>
        </is>
      </c>
      <c r="B2295" s="1" t="n">
        <v>44313</v>
      </c>
      <c r="C2295" s="1" t="n">
        <v>45932</v>
      </c>
      <c r="D2295" t="inlineStr">
        <is>
          <t>VÄRMLANDS LÄN</t>
        </is>
      </c>
      <c r="E2295" t="inlineStr">
        <is>
          <t>SUNNE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51962-2022</t>
        </is>
      </c>
      <c r="B2296" s="1" t="n">
        <v>44872.68225694444</v>
      </c>
      <c r="C2296" s="1" t="n">
        <v>45932</v>
      </c>
      <c r="D2296" t="inlineStr">
        <is>
          <t>VÄRMLANDS LÄN</t>
        </is>
      </c>
      <c r="E2296" t="inlineStr">
        <is>
          <t>ÅRJÄNG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18444-2025</t>
        </is>
      </c>
      <c r="B2297" s="1" t="n">
        <v>45762.65708333333</v>
      </c>
      <c r="C2297" s="1" t="n">
        <v>45932</v>
      </c>
      <c r="D2297" t="inlineStr">
        <is>
          <t>VÄRMLANDS LÄN</t>
        </is>
      </c>
      <c r="E2297" t="inlineStr">
        <is>
          <t>SUNNE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14917-2025</t>
        </is>
      </c>
      <c r="B2298" s="1" t="n">
        <v>45743.53748842593</v>
      </c>
      <c r="C2298" s="1" t="n">
        <v>45932</v>
      </c>
      <c r="D2298" t="inlineStr">
        <is>
          <t>VÄRMLANDS LÄN</t>
        </is>
      </c>
      <c r="E2298" t="inlineStr">
        <is>
          <t>ÅRJÄNG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14921-2025</t>
        </is>
      </c>
      <c r="B2299" s="1" t="n">
        <v>45743</v>
      </c>
      <c r="C2299" s="1" t="n">
        <v>45932</v>
      </c>
      <c r="D2299" t="inlineStr">
        <is>
          <t>VÄRMLANDS LÄN</t>
        </is>
      </c>
      <c r="E2299" t="inlineStr">
        <is>
          <t>KIL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5634-2021</t>
        </is>
      </c>
      <c r="B2300" s="1" t="n">
        <v>44230</v>
      </c>
      <c r="C2300" s="1" t="n">
        <v>45932</v>
      </c>
      <c r="D2300" t="inlineStr">
        <is>
          <t>VÄRMLANDS LÄN</t>
        </is>
      </c>
      <c r="E2300" t="inlineStr">
        <is>
          <t>SUNNE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5682-2021</t>
        </is>
      </c>
      <c r="B2301" s="1" t="n">
        <v>44225</v>
      </c>
      <c r="C2301" s="1" t="n">
        <v>45932</v>
      </c>
      <c r="D2301" t="inlineStr">
        <is>
          <t>VÄRMLANDS LÄN</t>
        </is>
      </c>
      <c r="E2301" t="inlineStr">
        <is>
          <t>KARLSTAD</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40432-2021</t>
        </is>
      </c>
      <c r="B2302" s="1" t="n">
        <v>44419</v>
      </c>
      <c r="C2302" s="1" t="n">
        <v>45932</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15095-2022</t>
        </is>
      </c>
      <c r="B2303" s="1" t="n">
        <v>44657</v>
      </c>
      <c r="C2303" s="1" t="n">
        <v>45932</v>
      </c>
      <c r="D2303" t="inlineStr">
        <is>
          <t>VÄRMLANDS LÄN</t>
        </is>
      </c>
      <c r="E2303" t="inlineStr">
        <is>
          <t>KRISTINEHAMN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37325-2024</t>
        </is>
      </c>
      <c r="B2304" s="1" t="n">
        <v>45540</v>
      </c>
      <c r="C2304" s="1" t="n">
        <v>45932</v>
      </c>
      <c r="D2304" t="inlineStr">
        <is>
          <t>VÄRMLANDS LÄN</t>
        </is>
      </c>
      <c r="E2304" t="inlineStr">
        <is>
          <t>ÅRJÄNG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37353-2024</t>
        </is>
      </c>
      <c r="B2305" s="1" t="n">
        <v>45540</v>
      </c>
      <c r="C2305" s="1" t="n">
        <v>45932</v>
      </c>
      <c r="D2305" t="inlineStr">
        <is>
          <t>VÄRMLANDS LÄN</t>
        </is>
      </c>
      <c r="E2305" t="inlineStr">
        <is>
          <t>ÅRJÄNG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2155-2024</t>
        </is>
      </c>
      <c r="B2306" s="1" t="n">
        <v>45309</v>
      </c>
      <c r="C2306" s="1" t="n">
        <v>45932</v>
      </c>
      <c r="D2306" t="inlineStr">
        <is>
          <t>VÄRMLANDS LÄN</t>
        </is>
      </c>
      <c r="E2306" t="inlineStr">
        <is>
          <t>TORSBY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6868-2024</t>
        </is>
      </c>
      <c r="B2307" s="1" t="n">
        <v>45342</v>
      </c>
      <c r="C2307" s="1" t="n">
        <v>45932</v>
      </c>
      <c r="D2307" t="inlineStr">
        <is>
          <t>VÄRMLANDS LÄN</t>
        </is>
      </c>
      <c r="E2307" t="inlineStr">
        <is>
          <t>ARVIKA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6910-2024</t>
        </is>
      </c>
      <c r="B2308" s="1" t="n">
        <v>45343.26494212963</v>
      </c>
      <c r="C2308" s="1" t="n">
        <v>45932</v>
      </c>
      <c r="D2308" t="inlineStr">
        <is>
          <t>VÄRMLANDS LÄN</t>
        </is>
      </c>
      <c r="E2308" t="inlineStr">
        <is>
          <t>HAGFORS</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24342-2024</t>
        </is>
      </c>
      <c r="B2309" s="1" t="n">
        <v>45457</v>
      </c>
      <c r="C2309" s="1" t="n">
        <v>45932</v>
      </c>
      <c r="D2309" t="inlineStr">
        <is>
          <t>VÄRMLANDS LÄN</t>
        </is>
      </c>
      <c r="E2309" t="inlineStr">
        <is>
          <t>ÅRJÄNG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46829-2022</t>
        </is>
      </c>
      <c r="B2310" s="1" t="n">
        <v>44851</v>
      </c>
      <c r="C2310" s="1" t="n">
        <v>45932</v>
      </c>
      <c r="D2310" t="inlineStr">
        <is>
          <t>VÄRMLANDS LÄN</t>
        </is>
      </c>
      <c r="E2310" t="inlineStr">
        <is>
          <t>ARVIKA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48179-2021</t>
        </is>
      </c>
      <c r="B2311" s="1" t="n">
        <v>44449</v>
      </c>
      <c r="C2311" s="1" t="n">
        <v>45932</v>
      </c>
      <c r="D2311" t="inlineStr">
        <is>
          <t>VÄRMLANDS LÄN</t>
        </is>
      </c>
      <c r="E2311" t="inlineStr">
        <is>
          <t>SÄFFLE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37331-2022</t>
        </is>
      </c>
      <c r="B2312" s="1" t="n">
        <v>44809.34422453704</v>
      </c>
      <c r="C2312" s="1" t="n">
        <v>45932</v>
      </c>
      <c r="D2312" t="inlineStr">
        <is>
          <t>VÄRMLANDS LÄN</t>
        </is>
      </c>
      <c r="E2312" t="inlineStr">
        <is>
          <t>SUNNE</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32773-2024</t>
        </is>
      </c>
      <c r="B2313" s="1" t="n">
        <v>45516.49834490741</v>
      </c>
      <c r="C2313" s="1" t="n">
        <v>45932</v>
      </c>
      <c r="D2313" t="inlineStr">
        <is>
          <t>VÄRMLANDS LÄN</t>
        </is>
      </c>
      <c r="E2313" t="inlineStr">
        <is>
          <t>ÅRJÄNG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32774-2024</t>
        </is>
      </c>
      <c r="B2314" s="1" t="n">
        <v>45516.49930555555</v>
      </c>
      <c r="C2314" s="1" t="n">
        <v>45932</v>
      </c>
      <c r="D2314" t="inlineStr">
        <is>
          <t>VÄRMLANDS LÄN</t>
        </is>
      </c>
      <c r="E2314" t="inlineStr">
        <is>
          <t>SUNNE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32776-2024</t>
        </is>
      </c>
      <c r="B2315" s="1" t="n">
        <v>45516</v>
      </c>
      <c r="C2315" s="1" t="n">
        <v>45932</v>
      </c>
      <c r="D2315" t="inlineStr">
        <is>
          <t>VÄRMLANDS LÄN</t>
        </is>
      </c>
      <c r="E2315" t="inlineStr">
        <is>
          <t>ÅRJÄNG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53044-2022</t>
        </is>
      </c>
      <c r="B2316" s="1" t="n">
        <v>44876</v>
      </c>
      <c r="C2316" s="1" t="n">
        <v>45932</v>
      </c>
      <c r="D2316" t="inlineStr">
        <is>
          <t>VÄRMLANDS LÄN</t>
        </is>
      </c>
      <c r="E2316" t="inlineStr">
        <is>
          <t>TORSBY</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23624-2024</t>
        </is>
      </c>
      <c r="B2317" s="1" t="n">
        <v>45454</v>
      </c>
      <c r="C2317" s="1" t="n">
        <v>45932</v>
      </c>
      <c r="D2317" t="inlineStr">
        <is>
          <t>VÄRMLANDS LÄN</t>
        </is>
      </c>
      <c r="E2317" t="inlineStr">
        <is>
          <t>SÄFFLE</t>
        </is>
      </c>
      <c r="F2317" t="inlineStr">
        <is>
          <t>Kommuner</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2834-2022</t>
        </is>
      </c>
      <c r="B2318" s="1" t="n">
        <v>44581.43703703704</v>
      </c>
      <c r="C2318" s="1" t="n">
        <v>45932</v>
      </c>
      <c r="D2318" t="inlineStr">
        <is>
          <t>VÄRMLANDS LÄN</t>
        </is>
      </c>
      <c r="E2318" t="inlineStr">
        <is>
          <t>FORSHAGA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53076-2022</t>
        </is>
      </c>
      <c r="B2319" s="1" t="n">
        <v>44876.38284722222</v>
      </c>
      <c r="C2319" s="1" t="n">
        <v>45932</v>
      </c>
      <c r="D2319" t="inlineStr">
        <is>
          <t>VÄRMLANDS LÄN</t>
        </is>
      </c>
      <c r="E2319" t="inlineStr">
        <is>
          <t>TORSBY</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46795-2021</t>
        </is>
      </c>
      <c r="B2320" s="1" t="n">
        <v>44446</v>
      </c>
      <c r="C2320" s="1" t="n">
        <v>45932</v>
      </c>
      <c r="D2320" t="inlineStr">
        <is>
          <t>VÄRMLANDS LÄN</t>
        </is>
      </c>
      <c r="E2320" t="inlineStr">
        <is>
          <t>TORSBY</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41317-2021</t>
        </is>
      </c>
      <c r="B2321" s="1" t="n">
        <v>44424</v>
      </c>
      <c r="C2321" s="1" t="n">
        <v>45932</v>
      </c>
      <c r="D2321" t="inlineStr">
        <is>
          <t>VÄRMLANDS LÄN</t>
        </is>
      </c>
      <c r="E2321" t="inlineStr">
        <is>
          <t>ARVIKA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41320-2021</t>
        </is>
      </c>
      <c r="B2322" s="1" t="n">
        <v>44424</v>
      </c>
      <c r="C2322" s="1" t="n">
        <v>45932</v>
      </c>
      <c r="D2322" t="inlineStr">
        <is>
          <t>VÄRMLANDS LÄN</t>
        </is>
      </c>
      <c r="E2322" t="inlineStr">
        <is>
          <t>ARVIKA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41325-2021</t>
        </is>
      </c>
      <c r="B2323" s="1" t="n">
        <v>44424</v>
      </c>
      <c r="C2323" s="1" t="n">
        <v>45932</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23412-2021</t>
        </is>
      </c>
      <c r="B2324" s="1" t="n">
        <v>44333</v>
      </c>
      <c r="C2324" s="1" t="n">
        <v>45932</v>
      </c>
      <c r="D2324" t="inlineStr">
        <is>
          <t>VÄRMLANDS LÄN</t>
        </is>
      </c>
      <c r="E2324" t="inlineStr">
        <is>
          <t>SÄFFLE</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51867-2020</t>
        </is>
      </c>
      <c r="B2325" s="1" t="n">
        <v>44109</v>
      </c>
      <c r="C2325" s="1" t="n">
        <v>45932</v>
      </c>
      <c r="D2325" t="inlineStr">
        <is>
          <t>VÄRMLANDS LÄN</t>
        </is>
      </c>
      <c r="E2325" t="inlineStr">
        <is>
          <t>KIL</t>
        </is>
      </c>
      <c r="F2325" t="inlineStr">
        <is>
          <t>Kommuner</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51942-2020</t>
        </is>
      </c>
      <c r="B2326" s="1" t="n">
        <v>44109</v>
      </c>
      <c r="C2326" s="1" t="n">
        <v>45932</v>
      </c>
      <c r="D2326" t="inlineStr">
        <is>
          <t>VÄRMLANDS LÄN</t>
        </is>
      </c>
      <c r="E2326" t="inlineStr">
        <is>
          <t>STORFORS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49343-2021</t>
        </is>
      </c>
      <c r="B2327" s="1" t="n">
        <v>44454</v>
      </c>
      <c r="C2327" s="1" t="n">
        <v>45932</v>
      </c>
      <c r="D2327" t="inlineStr">
        <is>
          <t>VÄRMLANDS LÄN</t>
        </is>
      </c>
      <c r="E2327" t="inlineStr">
        <is>
          <t>KARLSTAD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58070-2021</t>
        </is>
      </c>
      <c r="B2328" s="1" t="n">
        <v>44487</v>
      </c>
      <c r="C2328" s="1" t="n">
        <v>45932</v>
      </c>
      <c r="D2328" t="inlineStr">
        <is>
          <t>VÄRMLANDS LÄN</t>
        </is>
      </c>
      <c r="E2328" t="inlineStr">
        <is>
          <t>SÄFFLE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58623-2022</t>
        </is>
      </c>
      <c r="B2329" s="1" t="n">
        <v>44902.60162037037</v>
      </c>
      <c r="C2329" s="1" t="n">
        <v>45932</v>
      </c>
      <c r="D2329" t="inlineStr">
        <is>
          <t>VÄRMLANDS LÄN</t>
        </is>
      </c>
      <c r="E2329" t="inlineStr">
        <is>
          <t>SUNNE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9427-2025</t>
        </is>
      </c>
      <c r="B2330" s="1" t="n">
        <v>45715</v>
      </c>
      <c r="C2330" s="1" t="n">
        <v>45932</v>
      </c>
      <c r="D2330" t="inlineStr">
        <is>
          <t>VÄRMLANDS LÄN</t>
        </is>
      </c>
      <c r="E2330" t="inlineStr">
        <is>
          <t>ÅRJÄNG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33717-2021</t>
        </is>
      </c>
      <c r="B2331" s="1" t="n">
        <v>44378.46869212963</v>
      </c>
      <c r="C2331" s="1" t="n">
        <v>45932</v>
      </c>
      <c r="D2331" t="inlineStr">
        <is>
          <t>VÄRMLANDS LÄN</t>
        </is>
      </c>
      <c r="E2331" t="inlineStr">
        <is>
          <t>SUNNE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40107-2022</t>
        </is>
      </c>
      <c r="B2332" s="1" t="n">
        <v>44820.49023148148</v>
      </c>
      <c r="C2332" s="1" t="n">
        <v>45932</v>
      </c>
      <c r="D2332" t="inlineStr">
        <is>
          <t>VÄRMLANDS LÄN</t>
        </is>
      </c>
      <c r="E2332" t="inlineStr">
        <is>
          <t>KIL</t>
        </is>
      </c>
      <c r="F2332" t="inlineStr">
        <is>
          <t>Kommuner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9474-2025</t>
        </is>
      </c>
      <c r="B2333" s="1" t="n">
        <v>45715.47229166667</v>
      </c>
      <c r="C2333" s="1" t="n">
        <v>45932</v>
      </c>
      <c r="D2333" t="inlineStr">
        <is>
          <t>VÄRMLANDS LÄN</t>
        </is>
      </c>
      <c r="E2333" t="inlineStr">
        <is>
          <t>HAGFORS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49300-2022</t>
        </is>
      </c>
      <c r="B2334" s="1" t="n">
        <v>44861.47716435185</v>
      </c>
      <c r="C2334" s="1" t="n">
        <v>45932</v>
      </c>
      <c r="D2334" t="inlineStr">
        <is>
          <t>VÄRMLANDS LÄN</t>
        </is>
      </c>
      <c r="E2334" t="inlineStr">
        <is>
          <t>GRUMS</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59128-2023</t>
        </is>
      </c>
      <c r="B2335" s="1" t="n">
        <v>45251</v>
      </c>
      <c r="C2335" s="1" t="n">
        <v>45932</v>
      </c>
      <c r="D2335" t="inlineStr">
        <is>
          <t>VÄRMLANDS LÄN</t>
        </is>
      </c>
      <c r="E2335" t="inlineStr">
        <is>
          <t>MUNKFORS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35315-2022</t>
        </is>
      </c>
      <c r="B2336" s="1" t="n">
        <v>44798.44829861111</v>
      </c>
      <c r="C2336" s="1" t="n">
        <v>45932</v>
      </c>
      <c r="D2336" t="inlineStr">
        <is>
          <t>VÄRMLANDS LÄN</t>
        </is>
      </c>
      <c r="E2336" t="inlineStr">
        <is>
          <t>EDA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59137-2023</t>
        </is>
      </c>
      <c r="B2337" s="1" t="n">
        <v>45251</v>
      </c>
      <c r="C2337" s="1" t="n">
        <v>45932</v>
      </c>
      <c r="D2337" t="inlineStr">
        <is>
          <t>VÄRMLANDS LÄN</t>
        </is>
      </c>
      <c r="E2337" t="inlineStr">
        <is>
          <t>MUNKFORS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39025-2024</t>
        </is>
      </c>
      <c r="B2338" s="1" t="n">
        <v>45548.45241898148</v>
      </c>
      <c r="C2338" s="1" t="n">
        <v>45932</v>
      </c>
      <c r="D2338" t="inlineStr">
        <is>
          <t>VÄRMLANDS LÄN</t>
        </is>
      </c>
      <c r="E2338" t="inlineStr">
        <is>
          <t>ARVIKA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5197-2021</t>
        </is>
      </c>
      <c r="B2339" s="1" t="n">
        <v>44228</v>
      </c>
      <c r="C2339" s="1" t="n">
        <v>45932</v>
      </c>
      <c r="D2339" t="inlineStr">
        <is>
          <t>VÄRMLANDS LÄN</t>
        </is>
      </c>
      <c r="E2339" t="inlineStr">
        <is>
          <t>KARLSTAD</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38107-2023</t>
        </is>
      </c>
      <c r="B2340" s="1" t="n">
        <v>45161</v>
      </c>
      <c r="C2340" s="1" t="n">
        <v>45932</v>
      </c>
      <c r="D2340" t="inlineStr">
        <is>
          <t>VÄRMLANDS LÄN</t>
        </is>
      </c>
      <c r="E2340" t="inlineStr">
        <is>
          <t>ARVIKA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38108-2023</t>
        </is>
      </c>
      <c r="B2341" s="1" t="n">
        <v>45161.3203125</v>
      </c>
      <c r="C2341" s="1" t="n">
        <v>45932</v>
      </c>
      <c r="D2341" t="inlineStr">
        <is>
          <t>VÄRMLANDS LÄN</t>
        </is>
      </c>
      <c r="E2341" t="inlineStr">
        <is>
          <t>EDA</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1567-2022</t>
        </is>
      </c>
      <c r="B2342" s="1" t="n">
        <v>44573</v>
      </c>
      <c r="C2342" s="1" t="n">
        <v>45932</v>
      </c>
      <c r="D2342" t="inlineStr">
        <is>
          <t>VÄRMLANDS LÄN</t>
        </is>
      </c>
      <c r="E2342" t="inlineStr">
        <is>
          <t>ÅRJÄNG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1605-2022</t>
        </is>
      </c>
      <c r="B2343" s="1" t="n">
        <v>44573</v>
      </c>
      <c r="C2343" s="1" t="n">
        <v>45932</v>
      </c>
      <c r="D2343" t="inlineStr">
        <is>
          <t>VÄRMLANDS LÄN</t>
        </is>
      </c>
      <c r="E2343" t="inlineStr">
        <is>
          <t>SUNNE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21679-2022</t>
        </is>
      </c>
      <c r="B2344" s="1" t="n">
        <v>44707</v>
      </c>
      <c r="C2344" s="1" t="n">
        <v>45932</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53235-2020</t>
        </is>
      </c>
      <c r="B2345" s="1" t="n">
        <v>44123</v>
      </c>
      <c r="C2345" s="1" t="n">
        <v>45932</v>
      </c>
      <c r="D2345" t="inlineStr">
        <is>
          <t>VÄRMLANDS LÄN</t>
        </is>
      </c>
      <c r="E2345" t="inlineStr">
        <is>
          <t>ÅRJÄNG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23735-2022</t>
        </is>
      </c>
      <c r="B2346" s="1" t="n">
        <v>44722.35103009259</v>
      </c>
      <c r="C2346" s="1" t="n">
        <v>45932</v>
      </c>
      <c r="D2346" t="inlineStr">
        <is>
          <t>VÄRMLANDS LÄN</t>
        </is>
      </c>
      <c r="E2346" t="inlineStr">
        <is>
          <t>TORSBY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16256-2022</t>
        </is>
      </c>
      <c r="B2347" s="1" t="n">
        <v>44669</v>
      </c>
      <c r="C2347" s="1" t="n">
        <v>45932</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62603-2022</t>
        </is>
      </c>
      <c r="B2348" s="1" t="n">
        <v>44917</v>
      </c>
      <c r="C2348" s="1" t="n">
        <v>45932</v>
      </c>
      <c r="D2348" t="inlineStr">
        <is>
          <t>VÄRMLANDS LÄN</t>
        </is>
      </c>
      <c r="E2348" t="inlineStr">
        <is>
          <t>ARVIKA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62614-2022</t>
        </is>
      </c>
      <c r="B2349" s="1" t="n">
        <v>44917</v>
      </c>
      <c r="C2349" s="1" t="n">
        <v>45932</v>
      </c>
      <c r="D2349" t="inlineStr">
        <is>
          <t>VÄRMLANDS LÄN</t>
        </is>
      </c>
      <c r="E2349" t="inlineStr">
        <is>
          <t>ARVIKA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62624-2022</t>
        </is>
      </c>
      <c r="B2350" s="1" t="n">
        <v>44917</v>
      </c>
      <c r="C2350" s="1" t="n">
        <v>45932</v>
      </c>
      <c r="D2350" t="inlineStr">
        <is>
          <t>VÄRMLANDS LÄN</t>
        </is>
      </c>
      <c r="E2350" t="inlineStr">
        <is>
          <t>ARVIKA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74424-2021</t>
        </is>
      </c>
      <c r="B2351" s="1" t="n">
        <v>44560</v>
      </c>
      <c r="C2351" s="1" t="n">
        <v>45932</v>
      </c>
      <c r="D2351" t="inlineStr">
        <is>
          <t>VÄRMLANDS LÄN</t>
        </is>
      </c>
      <c r="E2351" t="inlineStr">
        <is>
          <t>EDA</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48727-2021</t>
        </is>
      </c>
      <c r="B2352" s="1" t="n">
        <v>44452.59486111111</v>
      </c>
      <c r="C2352" s="1" t="n">
        <v>45932</v>
      </c>
      <c r="D2352" t="inlineStr">
        <is>
          <t>VÄRMLANDS LÄN</t>
        </is>
      </c>
      <c r="E2352" t="inlineStr">
        <is>
          <t>ARVIKA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20085-2025</t>
        </is>
      </c>
      <c r="B2353" s="1" t="n">
        <v>45772</v>
      </c>
      <c r="C2353" s="1" t="n">
        <v>45932</v>
      </c>
      <c r="D2353" t="inlineStr">
        <is>
          <t>VÄRMLANDS LÄN</t>
        </is>
      </c>
      <c r="E2353" t="inlineStr">
        <is>
          <t>STORFORS</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33937-2021</t>
        </is>
      </c>
      <c r="B2354" s="1" t="n">
        <v>44378.79297453703</v>
      </c>
      <c r="C2354" s="1" t="n">
        <v>45932</v>
      </c>
      <c r="D2354" t="inlineStr">
        <is>
          <t>VÄRMLANDS LÄN</t>
        </is>
      </c>
      <c r="E2354" t="inlineStr">
        <is>
          <t>TORSBY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9374-2022</t>
        </is>
      </c>
      <c r="B2355" s="1" t="n">
        <v>44616</v>
      </c>
      <c r="C2355" s="1" t="n">
        <v>45932</v>
      </c>
      <c r="D2355" t="inlineStr">
        <is>
          <t>VÄRMLANDS LÄN</t>
        </is>
      </c>
      <c r="E2355" t="inlineStr">
        <is>
          <t>ARVIKA</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17402-2022</t>
        </is>
      </c>
      <c r="B2356" s="1" t="n">
        <v>44678</v>
      </c>
      <c r="C2356" s="1" t="n">
        <v>45932</v>
      </c>
      <c r="D2356" t="inlineStr">
        <is>
          <t>VÄRMLANDS LÄN</t>
        </is>
      </c>
      <c r="E2356" t="inlineStr">
        <is>
          <t>HAGFORS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17496-2022</t>
        </is>
      </c>
      <c r="B2357" s="1" t="n">
        <v>44679</v>
      </c>
      <c r="C2357" s="1" t="n">
        <v>45932</v>
      </c>
      <c r="D2357" t="inlineStr">
        <is>
          <t>VÄRMLANDS LÄN</t>
        </is>
      </c>
      <c r="E2357" t="inlineStr">
        <is>
          <t>SÄFFLE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73209-2021</t>
        </is>
      </c>
      <c r="B2358" s="1" t="n">
        <v>44550</v>
      </c>
      <c r="C2358" s="1" t="n">
        <v>45932</v>
      </c>
      <c r="D2358" t="inlineStr">
        <is>
          <t>VÄRMLANDS LÄN</t>
        </is>
      </c>
      <c r="E2358" t="inlineStr">
        <is>
          <t>SUNNE</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55217-2020</t>
        </is>
      </c>
      <c r="B2359" s="1" t="n">
        <v>44130</v>
      </c>
      <c r="C2359" s="1" t="n">
        <v>45932</v>
      </c>
      <c r="D2359" t="inlineStr">
        <is>
          <t>VÄRMLANDS LÄN</t>
        </is>
      </c>
      <c r="E2359" t="inlineStr">
        <is>
          <t>TORSBY</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18131-2024</t>
        </is>
      </c>
      <c r="B2360" s="1" t="n">
        <v>45420.56835648148</v>
      </c>
      <c r="C2360" s="1" t="n">
        <v>45932</v>
      </c>
      <c r="D2360" t="inlineStr">
        <is>
          <t>VÄRMLANDS LÄN</t>
        </is>
      </c>
      <c r="E2360" t="inlineStr">
        <is>
          <t>HAGFORS</t>
        </is>
      </c>
      <c r="F2360" t="inlineStr">
        <is>
          <t>Bergvik skog väst AB</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32947-2022</t>
        </is>
      </c>
      <c r="B2361" s="1" t="n">
        <v>44784</v>
      </c>
      <c r="C2361" s="1" t="n">
        <v>45932</v>
      </c>
      <c r="D2361" t="inlineStr">
        <is>
          <t>VÄRMLANDS LÄN</t>
        </is>
      </c>
      <c r="E2361" t="inlineStr">
        <is>
          <t>ARVIKA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45445-2021</t>
        </is>
      </c>
      <c r="B2362" s="1" t="n">
        <v>44440</v>
      </c>
      <c r="C2362" s="1" t="n">
        <v>45932</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43923-2022</t>
        </is>
      </c>
      <c r="B2363" s="1" t="n">
        <v>44838</v>
      </c>
      <c r="C2363" s="1" t="n">
        <v>45932</v>
      </c>
      <c r="D2363" t="inlineStr">
        <is>
          <t>VÄRMLANDS LÄN</t>
        </is>
      </c>
      <c r="E2363" t="inlineStr">
        <is>
          <t>SUNNE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57219-2020</t>
        </is>
      </c>
      <c r="B2364" s="1" t="n">
        <v>44138</v>
      </c>
      <c r="C2364" s="1" t="n">
        <v>45932</v>
      </c>
      <c r="D2364" t="inlineStr">
        <is>
          <t>VÄRMLANDS LÄN</t>
        </is>
      </c>
      <c r="E2364" t="inlineStr">
        <is>
          <t>ARVIKA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45481-2021</t>
        </is>
      </c>
      <c r="B2365" s="1" t="n">
        <v>44440</v>
      </c>
      <c r="C2365" s="1" t="n">
        <v>45932</v>
      </c>
      <c r="D2365" t="inlineStr">
        <is>
          <t>VÄRMLANDS LÄN</t>
        </is>
      </c>
      <c r="E2365" t="inlineStr">
        <is>
          <t>KRISTINEHAMN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10894-2022</t>
        </is>
      </c>
      <c r="B2366" s="1" t="n">
        <v>44627</v>
      </c>
      <c r="C2366" s="1" t="n">
        <v>45932</v>
      </c>
      <c r="D2366" t="inlineStr">
        <is>
          <t>VÄRMLANDS LÄN</t>
        </is>
      </c>
      <c r="E2366" t="inlineStr">
        <is>
          <t>GRUMS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10898-2022</t>
        </is>
      </c>
      <c r="B2367" s="1" t="n">
        <v>44627</v>
      </c>
      <c r="C2367" s="1" t="n">
        <v>45932</v>
      </c>
      <c r="D2367" t="inlineStr">
        <is>
          <t>VÄRMLANDS LÄN</t>
        </is>
      </c>
      <c r="E2367" t="inlineStr">
        <is>
          <t>ÅRJÄNG</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7114-2023</t>
        </is>
      </c>
      <c r="B2368" s="1" t="n">
        <v>44970.39068287037</v>
      </c>
      <c r="C2368" s="1" t="n">
        <v>45932</v>
      </c>
      <c r="D2368" t="inlineStr">
        <is>
          <t>VÄRMLANDS LÄN</t>
        </is>
      </c>
      <c r="E2368" t="inlineStr">
        <is>
          <t>ÅRJÄNG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8284-2023</t>
        </is>
      </c>
      <c r="B2369" s="1" t="n">
        <v>44974.64714120371</v>
      </c>
      <c r="C2369" s="1" t="n">
        <v>45932</v>
      </c>
      <c r="D2369" t="inlineStr">
        <is>
          <t>VÄRMLANDS LÄN</t>
        </is>
      </c>
      <c r="E2369" t="inlineStr">
        <is>
          <t>TORSBY</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8285-2023</t>
        </is>
      </c>
      <c r="B2370" s="1" t="n">
        <v>44974.64738425926</v>
      </c>
      <c r="C2370" s="1" t="n">
        <v>45932</v>
      </c>
      <c r="D2370" t="inlineStr">
        <is>
          <t>VÄRMLANDS LÄN</t>
        </is>
      </c>
      <c r="E2370" t="inlineStr">
        <is>
          <t>SUNNE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58201-2020</t>
        </is>
      </c>
      <c r="B2371" s="1" t="n">
        <v>44144</v>
      </c>
      <c r="C2371" s="1" t="n">
        <v>45932</v>
      </c>
      <c r="D2371" t="inlineStr">
        <is>
          <t>VÄRMLANDS LÄN</t>
        </is>
      </c>
      <c r="E2371" t="inlineStr">
        <is>
          <t>KRISTINEHAMN</t>
        </is>
      </c>
      <c r="F2371" t="inlineStr">
        <is>
          <t>Naturvårdsverket</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48239-2022</t>
        </is>
      </c>
      <c r="B2372" s="1" t="n">
        <v>44858.45881944444</v>
      </c>
      <c r="C2372" s="1" t="n">
        <v>45932</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26223-2021</t>
        </is>
      </c>
      <c r="B2373" s="1" t="n">
        <v>44347</v>
      </c>
      <c r="C2373" s="1" t="n">
        <v>45932</v>
      </c>
      <c r="D2373" t="inlineStr">
        <is>
          <t>VÄRMLANDS LÄN</t>
        </is>
      </c>
      <c r="E2373" t="inlineStr">
        <is>
          <t>TORSBY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57748-2020</t>
        </is>
      </c>
      <c r="B2374" s="1" t="n">
        <v>44140</v>
      </c>
      <c r="C2374" s="1" t="n">
        <v>45932</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43052-2021</t>
        </is>
      </c>
      <c r="B2375" s="1" t="n">
        <v>44431</v>
      </c>
      <c r="C2375" s="1" t="n">
        <v>45932</v>
      </c>
      <c r="D2375" t="inlineStr">
        <is>
          <t>VÄRMLANDS LÄN</t>
        </is>
      </c>
      <c r="E2375" t="inlineStr">
        <is>
          <t>TORSBY</t>
        </is>
      </c>
      <c r="G2375" t="n">
        <v>25.1</v>
      </c>
      <c r="H2375" t="n">
        <v>0</v>
      </c>
      <c r="I2375" t="n">
        <v>0</v>
      </c>
      <c r="J2375" t="n">
        <v>0</v>
      </c>
      <c r="K2375" t="n">
        <v>0</v>
      </c>
      <c r="L2375" t="n">
        <v>0</v>
      </c>
      <c r="M2375" t="n">
        <v>0</v>
      </c>
      <c r="N2375" t="n">
        <v>0</v>
      </c>
      <c r="O2375" t="n">
        <v>0</v>
      </c>
      <c r="P2375" t="n">
        <v>0</v>
      </c>
      <c r="Q2375" t="n">
        <v>0</v>
      </c>
      <c r="R2375" s="2" t="inlineStr"/>
    </row>
    <row r="2376" ht="15" customHeight="1">
      <c r="A2376" t="inlineStr">
        <is>
          <t>A 39849-2021</t>
        </is>
      </c>
      <c r="B2376" s="1" t="n">
        <v>44417</v>
      </c>
      <c r="C2376" s="1" t="n">
        <v>45932</v>
      </c>
      <c r="D2376" t="inlineStr">
        <is>
          <t>VÄRMLANDS LÄN</t>
        </is>
      </c>
      <c r="E2376" t="inlineStr">
        <is>
          <t>SUNNE</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55011-2021</t>
        </is>
      </c>
      <c r="B2377" s="1" t="n">
        <v>44474.57980324074</v>
      </c>
      <c r="C2377" s="1" t="n">
        <v>45932</v>
      </c>
      <c r="D2377" t="inlineStr">
        <is>
          <t>VÄRMLANDS LÄN</t>
        </is>
      </c>
      <c r="E2377" t="inlineStr">
        <is>
          <t>EDA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36305-2022</t>
        </is>
      </c>
      <c r="B2378" s="1" t="n">
        <v>44803.65809027778</v>
      </c>
      <c r="C2378" s="1" t="n">
        <v>45932</v>
      </c>
      <c r="D2378" t="inlineStr">
        <is>
          <t>VÄRMLANDS LÄN</t>
        </is>
      </c>
      <c r="E2378" t="inlineStr">
        <is>
          <t>KIL</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36310-2022</t>
        </is>
      </c>
      <c r="B2379" s="1" t="n">
        <v>44803</v>
      </c>
      <c r="C2379" s="1" t="n">
        <v>45932</v>
      </c>
      <c r="D2379" t="inlineStr">
        <is>
          <t>VÄRMLANDS LÄN</t>
        </is>
      </c>
      <c r="E2379" t="inlineStr">
        <is>
          <t>SUNNE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59854-2020</t>
        </is>
      </c>
      <c r="B2380" s="1" t="n">
        <v>44151</v>
      </c>
      <c r="C2380" s="1" t="n">
        <v>45932</v>
      </c>
      <c r="D2380" t="inlineStr">
        <is>
          <t>VÄRMLANDS LÄN</t>
        </is>
      </c>
      <c r="E2380" t="inlineStr">
        <is>
          <t>FILIPSTAD</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4448-2022</t>
        </is>
      </c>
      <c r="B2381" s="1" t="n">
        <v>44589</v>
      </c>
      <c r="C2381" s="1" t="n">
        <v>45932</v>
      </c>
      <c r="D2381" t="inlineStr">
        <is>
          <t>VÄRMLANDS LÄN</t>
        </is>
      </c>
      <c r="E2381" t="inlineStr">
        <is>
          <t>KIL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57437-2020</t>
        </is>
      </c>
      <c r="B2382" s="1" t="n">
        <v>44140</v>
      </c>
      <c r="C2382" s="1" t="n">
        <v>45932</v>
      </c>
      <c r="D2382" t="inlineStr">
        <is>
          <t>VÄRMLANDS LÄN</t>
        </is>
      </c>
      <c r="E2382" t="inlineStr">
        <is>
          <t>ÅRJÄNG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57444-2020</t>
        </is>
      </c>
      <c r="B2383" s="1" t="n">
        <v>44140</v>
      </c>
      <c r="C2383" s="1" t="n">
        <v>45932</v>
      </c>
      <c r="D2383" t="inlineStr">
        <is>
          <t>VÄRMLANDS LÄN</t>
        </is>
      </c>
      <c r="E2383" t="inlineStr">
        <is>
          <t>ÅRJÄNG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60475-2020</t>
        </is>
      </c>
      <c r="B2384" s="1" t="n">
        <v>44153</v>
      </c>
      <c r="C2384" s="1" t="n">
        <v>45932</v>
      </c>
      <c r="D2384" t="inlineStr">
        <is>
          <t>VÄRMLANDS LÄN</t>
        </is>
      </c>
      <c r="E2384" t="inlineStr">
        <is>
          <t>SUNNE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906-2025</t>
        </is>
      </c>
      <c r="B2385" s="1" t="n">
        <v>45664</v>
      </c>
      <c r="C2385" s="1" t="n">
        <v>45932</v>
      </c>
      <c r="D2385" t="inlineStr">
        <is>
          <t>VÄRMLANDS LÄN</t>
        </is>
      </c>
      <c r="E2385" t="inlineStr">
        <is>
          <t>TORSBY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56886-2021</t>
        </is>
      </c>
      <c r="B2386" s="1" t="n">
        <v>44481</v>
      </c>
      <c r="C2386" s="1" t="n">
        <v>45932</v>
      </c>
      <c r="D2386" t="inlineStr">
        <is>
          <t>VÄRMLANDS LÄN</t>
        </is>
      </c>
      <c r="E2386" t="inlineStr">
        <is>
          <t>SUNNE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60011-2020</t>
        </is>
      </c>
      <c r="B2387" s="1" t="n">
        <v>44151</v>
      </c>
      <c r="C2387" s="1" t="n">
        <v>45932</v>
      </c>
      <c r="D2387" t="inlineStr">
        <is>
          <t>VÄRMLANDS LÄN</t>
        </is>
      </c>
      <c r="E2387" t="inlineStr">
        <is>
          <t>ÅRJÄNG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48159-2021</t>
        </is>
      </c>
      <c r="B2388" s="1" t="n">
        <v>44449.51302083334</v>
      </c>
      <c r="C2388" s="1" t="n">
        <v>45932</v>
      </c>
      <c r="D2388" t="inlineStr">
        <is>
          <t>VÄRMLANDS LÄN</t>
        </is>
      </c>
      <c r="E2388" t="inlineStr">
        <is>
          <t>TORSBY</t>
        </is>
      </c>
      <c r="F2388" t="inlineStr">
        <is>
          <t>Bergvik skog väst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10729-2021</t>
        </is>
      </c>
      <c r="B2389" s="1" t="n">
        <v>44258</v>
      </c>
      <c r="C2389" s="1" t="n">
        <v>45932</v>
      </c>
      <c r="D2389" t="inlineStr">
        <is>
          <t>VÄRMLANDS LÄN</t>
        </is>
      </c>
      <c r="E2389" t="inlineStr">
        <is>
          <t>EDA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22637-2024</t>
        </is>
      </c>
      <c r="B2390" s="1" t="n">
        <v>45447.67954861111</v>
      </c>
      <c r="C2390" s="1" t="n">
        <v>45932</v>
      </c>
      <c r="D2390" t="inlineStr">
        <is>
          <t>VÄRMLANDS LÄN</t>
        </is>
      </c>
      <c r="E2390" t="inlineStr">
        <is>
          <t>KRISTINEHAMN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55654-2022</t>
        </is>
      </c>
      <c r="B2391" s="1" t="n">
        <v>44888</v>
      </c>
      <c r="C2391" s="1" t="n">
        <v>45932</v>
      </c>
      <c r="D2391" t="inlineStr">
        <is>
          <t>VÄRMLANDS LÄN</t>
        </is>
      </c>
      <c r="E2391" t="inlineStr">
        <is>
          <t>ÅRJÄNG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72365-2021</t>
        </is>
      </c>
      <c r="B2392" s="1" t="n">
        <v>44545</v>
      </c>
      <c r="C2392" s="1" t="n">
        <v>45932</v>
      </c>
      <c r="D2392" t="inlineStr">
        <is>
          <t>VÄRMLANDS LÄN</t>
        </is>
      </c>
      <c r="E2392" t="inlineStr">
        <is>
          <t>HAGFORS</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1449-2022</t>
        </is>
      </c>
      <c r="B2393" s="1" t="n">
        <v>44573</v>
      </c>
      <c r="C2393" s="1" t="n">
        <v>45932</v>
      </c>
      <c r="D2393" t="inlineStr">
        <is>
          <t>VÄRMLANDS LÄN</t>
        </is>
      </c>
      <c r="E2393" t="inlineStr">
        <is>
          <t>EDA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1450-2022</t>
        </is>
      </c>
      <c r="B2394" s="1" t="n">
        <v>44573.4724074074</v>
      </c>
      <c r="C2394" s="1" t="n">
        <v>45932</v>
      </c>
      <c r="D2394" t="inlineStr">
        <is>
          <t>VÄRMLANDS LÄN</t>
        </is>
      </c>
      <c r="E2394" t="inlineStr">
        <is>
          <t>KRISTINEHAMN</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57287-2021</t>
        </is>
      </c>
      <c r="B2395" s="1" t="n">
        <v>44482</v>
      </c>
      <c r="C2395" s="1" t="n">
        <v>45932</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60221-2023</t>
        </is>
      </c>
      <c r="B2396" s="1" t="n">
        <v>45258</v>
      </c>
      <c r="C2396" s="1" t="n">
        <v>45932</v>
      </c>
      <c r="D2396" t="inlineStr">
        <is>
          <t>VÄRMLANDS LÄN</t>
        </is>
      </c>
      <c r="E2396" t="inlineStr">
        <is>
          <t>HAGFORS</t>
        </is>
      </c>
      <c r="F2396" t="inlineStr">
        <is>
          <t>Bergvik skog väst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54617-2022</t>
        </is>
      </c>
      <c r="B2397" s="1" t="n">
        <v>44883</v>
      </c>
      <c r="C2397" s="1" t="n">
        <v>45932</v>
      </c>
      <c r="D2397" t="inlineStr">
        <is>
          <t>VÄRMLANDS LÄN</t>
        </is>
      </c>
      <c r="E2397" t="inlineStr">
        <is>
          <t>EDA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56871-2020</t>
        </is>
      </c>
      <c r="B2398" s="1" t="n">
        <v>44138</v>
      </c>
      <c r="C2398" s="1" t="n">
        <v>45932</v>
      </c>
      <c r="D2398" t="inlineStr">
        <is>
          <t>VÄRMLANDS LÄN</t>
        </is>
      </c>
      <c r="E2398" t="inlineStr">
        <is>
          <t>FORSHAGA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51742-2020</t>
        </is>
      </c>
      <c r="B2399" s="1" t="n">
        <v>44114</v>
      </c>
      <c r="C2399" s="1" t="n">
        <v>45932</v>
      </c>
      <c r="D2399" t="inlineStr">
        <is>
          <t>VÄRMLANDS LÄN</t>
        </is>
      </c>
      <c r="E2399" t="inlineStr">
        <is>
          <t>FILIPSTAD</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8920-2022</t>
        </is>
      </c>
      <c r="B2400" s="1" t="n">
        <v>44614</v>
      </c>
      <c r="C2400" s="1" t="n">
        <v>45932</v>
      </c>
      <c r="D2400" t="inlineStr">
        <is>
          <t>VÄRMLANDS LÄN</t>
        </is>
      </c>
      <c r="E2400" t="inlineStr">
        <is>
          <t>KRISTINEHAMN</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7948-2024</t>
        </is>
      </c>
      <c r="B2401" s="1" t="n">
        <v>45350</v>
      </c>
      <c r="C2401" s="1" t="n">
        <v>45932</v>
      </c>
      <c r="D2401" t="inlineStr">
        <is>
          <t>VÄRMLANDS LÄN</t>
        </is>
      </c>
      <c r="E2401" t="inlineStr">
        <is>
          <t>STORFORS</t>
        </is>
      </c>
      <c r="F2401" t="inlineStr">
        <is>
          <t>Naturvårdsverket</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56902-2023</t>
        </is>
      </c>
      <c r="B2402" s="1" t="n">
        <v>45244</v>
      </c>
      <c r="C2402" s="1" t="n">
        <v>45932</v>
      </c>
      <c r="D2402" t="inlineStr">
        <is>
          <t>VÄRMLANDS LÄN</t>
        </is>
      </c>
      <c r="E2402" t="inlineStr">
        <is>
          <t>TORSBY</t>
        </is>
      </c>
      <c r="G2402" t="n">
        <v>17.4</v>
      </c>
      <c r="H2402" t="n">
        <v>0</v>
      </c>
      <c r="I2402" t="n">
        <v>0</v>
      </c>
      <c r="J2402" t="n">
        <v>0</v>
      </c>
      <c r="K2402" t="n">
        <v>0</v>
      </c>
      <c r="L2402" t="n">
        <v>0</v>
      </c>
      <c r="M2402" t="n">
        <v>0</v>
      </c>
      <c r="N2402" t="n">
        <v>0</v>
      </c>
      <c r="O2402" t="n">
        <v>0</v>
      </c>
      <c r="P2402" t="n">
        <v>0</v>
      </c>
      <c r="Q2402" t="n">
        <v>0</v>
      </c>
      <c r="R2402" s="2" t="inlineStr"/>
    </row>
    <row r="2403" ht="15" customHeight="1">
      <c r="A2403" t="inlineStr">
        <is>
          <t>A 5953-2024</t>
        </is>
      </c>
      <c r="B2403" s="1" t="n">
        <v>45336</v>
      </c>
      <c r="C2403" s="1" t="n">
        <v>45932</v>
      </c>
      <c r="D2403" t="inlineStr">
        <is>
          <t>VÄRMLANDS LÄN</t>
        </is>
      </c>
      <c r="E2403" t="inlineStr">
        <is>
          <t>EDA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5957-2024</t>
        </is>
      </c>
      <c r="B2404" s="1" t="n">
        <v>45336</v>
      </c>
      <c r="C2404" s="1" t="n">
        <v>45932</v>
      </c>
      <c r="D2404" t="inlineStr">
        <is>
          <t>VÄRMLANDS LÄN</t>
        </is>
      </c>
      <c r="E2404" t="inlineStr">
        <is>
          <t>GRUMS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6447-2025</t>
        </is>
      </c>
      <c r="B2405" s="1" t="n">
        <v>45699</v>
      </c>
      <c r="C2405" s="1" t="n">
        <v>45932</v>
      </c>
      <c r="D2405" t="inlineStr">
        <is>
          <t>VÄRMLANDS LÄN</t>
        </is>
      </c>
      <c r="E2405" t="inlineStr">
        <is>
          <t>SÄFFLE</t>
        </is>
      </c>
      <c r="F2405" t="inlineStr">
        <is>
          <t>Bergvik skog väst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7653-2022</t>
        </is>
      </c>
      <c r="B2406" s="1" t="n">
        <v>44607</v>
      </c>
      <c r="C2406" s="1" t="n">
        <v>45932</v>
      </c>
      <c r="D2406" t="inlineStr">
        <is>
          <t>VÄRMLANDS LÄN</t>
        </is>
      </c>
      <c r="E2406" t="inlineStr">
        <is>
          <t>KIL</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57761-2020</t>
        </is>
      </c>
      <c r="B2407" s="1" t="n">
        <v>44140</v>
      </c>
      <c r="C2407" s="1" t="n">
        <v>45932</v>
      </c>
      <c r="D2407" t="inlineStr">
        <is>
          <t>VÄRMLANDS LÄN</t>
        </is>
      </c>
      <c r="E2407" t="inlineStr">
        <is>
          <t>ÅRJÄNG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49030-2022</t>
        </is>
      </c>
      <c r="B2408" s="1" t="n">
        <v>44860</v>
      </c>
      <c r="C2408" s="1" t="n">
        <v>45932</v>
      </c>
      <c r="D2408" t="inlineStr">
        <is>
          <t>VÄRMLANDS LÄN</t>
        </is>
      </c>
      <c r="E2408" t="inlineStr">
        <is>
          <t>SUNNE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67654-2021</t>
        </is>
      </c>
      <c r="B2409" s="1" t="n">
        <v>44524</v>
      </c>
      <c r="C2409" s="1" t="n">
        <v>45932</v>
      </c>
      <c r="D2409" t="inlineStr">
        <is>
          <t>VÄRMLANDS LÄN</t>
        </is>
      </c>
      <c r="E2409" t="inlineStr">
        <is>
          <t>ARVIKA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52391-2022</t>
        </is>
      </c>
      <c r="B2410" s="1" t="n">
        <v>44874.38748842593</v>
      </c>
      <c r="C2410" s="1" t="n">
        <v>45932</v>
      </c>
      <c r="D2410" t="inlineStr">
        <is>
          <t>VÄRMLANDS LÄN</t>
        </is>
      </c>
      <c r="E2410" t="inlineStr">
        <is>
          <t>EDA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30249-2023</t>
        </is>
      </c>
      <c r="B2411" s="1" t="n">
        <v>45110.68565972222</v>
      </c>
      <c r="C2411" s="1" t="n">
        <v>45932</v>
      </c>
      <c r="D2411" t="inlineStr">
        <is>
          <t>VÄRMLANDS LÄN</t>
        </is>
      </c>
      <c r="E2411" t="inlineStr">
        <is>
          <t>EDA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52410-2022</t>
        </is>
      </c>
      <c r="B2412" s="1" t="n">
        <v>44874.42180555555</v>
      </c>
      <c r="C2412" s="1" t="n">
        <v>45932</v>
      </c>
      <c r="D2412" t="inlineStr">
        <is>
          <t>VÄRMLANDS LÄN</t>
        </is>
      </c>
      <c r="E2412" t="inlineStr">
        <is>
          <t>EDA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10541-2022</t>
        </is>
      </c>
      <c r="B2413" s="1" t="n">
        <v>44623</v>
      </c>
      <c r="C2413" s="1" t="n">
        <v>45932</v>
      </c>
      <c r="D2413" t="inlineStr">
        <is>
          <t>VÄRMLANDS LÄN</t>
        </is>
      </c>
      <c r="E2413" t="inlineStr">
        <is>
          <t>SUNNE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30598-2022</t>
        </is>
      </c>
      <c r="B2414" s="1" t="n">
        <v>44762</v>
      </c>
      <c r="C2414" s="1" t="n">
        <v>45932</v>
      </c>
      <c r="D2414" t="inlineStr">
        <is>
          <t>VÄRMLANDS LÄN</t>
        </is>
      </c>
      <c r="E2414" t="inlineStr">
        <is>
          <t>SÄFFLE</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52761-2022</t>
        </is>
      </c>
      <c r="B2415" s="1" t="n">
        <v>44875.3165162037</v>
      </c>
      <c r="C2415" s="1" t="n">
        <v>45932</v>
      </c>
      <c r="D2415" t="inlineStr">
        <is>
          <t>VÄRMLANDS LÄN</t>
        </is>
      </c>
      <c r="E2415" t="inlineStr">
        <is>
          <t>ÅRJÄNG</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4400-2022</t>
        </is>
      </c>
      <c r="B2416" s="1" t="n">
        <v>44588</v>
      </c>
      <c r="C2416" s="1" t="n">
        <v>45932</v>
      </c>
      <c r="D2416" t="inlineStr">
        <is>
          <t>VÄRMLANDS LÄN</t>
        </is>
      </c>
      <c r="E2416" t="inlineStr">
        <is>
          <t>ÅRJÄNG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53034-2022</t>
        </is>
      </c>
      <c r="B2417" s="1" t="n">
        <v>44876.30590277778</v>
      </c>
      <c r="C2417" s="1" t="n">
        <v>45932</v>
      </c>
      <c r="D2417" t="inlineStr">
        <is>
          <t>VÄRMLANDS LÄN</t>
        </is>
      </c>
      <c r="E2417" t="inlineStr">
        <is>
          <t>FILIPSTAD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55978-2022</t>
        </is>
      </c>
      <c r="B2418" s="1" t="n">
        <v>44889</v>
      </c>
      <c r="C2418" s="1" t="n">
        <v>45932</v>
      </c>
      <c r="D2418" t="inlineStr">
        <is>
          <t>VÄRMLANDS LÄN</t>
        </is>
      </c>
      <c r="E2418" t="inlineStr">
        <is>
          <t>FILIPSTAD</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36282-2024</t>
        </is>
      </c>
      <c r="B2419" s="1" t="n">
        <v>45534.5887962963</v>
      </c>
      <c r="C2419" s="1" t="n">
        <v>45932</v>
      </c>
      <c r="D2419" t="inlineStr">
        <is>
          <t>VÄRMLANDS LÄN</t>
        </is>
      </c>
      <c r="E2419" t="inlineStr">
        <is>
          <t>ÅRJÄNG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60537-2024</t>
        </is>
      </c>
      <c r="B2420" s="1" t="n">
        <v>45643.77138888889</v>
      </c>
      <c r="C2420" s="1" t="n">
        <v>45932</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8394-2023</t>
        </is>
      </c>
      <c r="B2421" s="1" t="n">
        <v>44977.42313657407</v>
      </c>
      <c r="C2421" s="1" t="n">
        <v>45932</v>
      </c>
      <c r="D2421" t="inlineStr">
        <is>
          <t>VÄRMLANDS LÄN</t>
        </is>
      </c>
      <c r="E2421" t="inlineStr">
        <is>
          <t>EDA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13060-2022</t>
        </is>
      </c>
      <c r="B2422" s="1" t="n">
        <v>44643</v>
      </c>
      <c r="C2422" s="1" t="n">
        <v>45932</v>
      </c>
      <c r="D2422" t="inlineStr">
        <is>
          <t>VÄRMLANDS LÄN</t>
        </is>
      </c>
      <c r="E2422" t="inlineStr">
        <is>
          <t>ÅRJÄNG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18019-2025</t>
        </is>
      </c>
      <c r="B2423" s="1" t="n">
        <v>45761.44282407407</v>
      </c>
      <c r="C2423" s="1" t="n">
        <v>45932</v>
      </c>
      <c r="D2423" t="inlineStr">
        <is>
          <t>VÄRMLANDS LÄN</t>
        </is>
      </c>
      <c r="E2423" t="inlineStr">
        <is>
          <t>SUNNE</t>
        </is>
      </c>
      <c r="F2423" t="inlineStr">
        <is>
          <t>Övriga Aktiebolag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60633-2024</t>
        </is>
      </c>
      <c r="B2424" s="1" t="n">
        <v>45644</v>
      </c>
      <c r="C2424" s="1" t="n">
        <v>45932</v>
      </c>
      <c r="D2424" t="inlineStr">
        <is>
          <t>VÄRMLANDS LÄN</t>
        </is>
      </c>
      <c r="E2424" t="inlineStr">
        <is>
          <t>SUNNE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47890-2024</t>
        </is>
      </c>
      <c r="B2425" s="1" t="n">
        <v>45588</v>
      </c>
      <c r="C2425" s="1" t="n">
        <v>45932</v>
      </c>
      <c r="D2425" t="inlineStr">
        <is>
          <t>VÄRMLANDS LÄN</t>
        </is>
      </c>
      <c r="E2425" t="inlineStr">
        <is>
          <t>FILIPSTAD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44342-2024</t>
        </is>
      </c>
      <c r="B2426" s="1" t="n">
        <v>45573.61793981482</v>
      </c>
      <c r="C2426" s="1" t="n">
        <v>45932</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64332-2020</t>
        </is>
      </c>
      <c r="B2427" s="1" t="n">
        <v>44168</v>
      </c>
      <c r="C2427" s="1" t="n">
        <v>45932</v>
      </c>
      <c r="D2427" t="inlineStr">
        <is>
          <t>VÄRMLANDS LÄN</t>
        </is>
      </c>
      <c r="E2427" t="inlineStr">
        <is>
          <t>SÄFFLE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22006-2022</t>
        </is>
      </c>
      <c r="B2428" s="1" t="n">
        <v>44711</v>
      </c>
      <c r="C2428" s="1" t="n">
        <v>45932</v>
      </c>
      <c r="D2428" t="inlineStr">
        <is>
          <t>VÄRMLANDS LÄN</t>
        </is>
      </c>
      <c r="E2428" t="inlineStr">
        <is>
          <t>KARLSTAD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22057-2022</t>
        </is>
      </c>
      <c r="B2429" s="1" t="n">
        <v>44711.68866898148</v>
      </c>
      <c r="C2429" s="1" t="n">
        <v>45932</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68261-2020</t>
        </is>
      </c>
      <c r="B2430" s="1" t="n">
        <v>44182</v>
      </c>
      <c r="C2430" s="1" t="n">
        <v>45932</v>
      </c>
      <c r="D2430" t="inlineStr">
        <is>
          <t>VÄRMLANDS LÄN</t>
        </is>
      </c>
      <c r="E2430" t="inlineStr">
        <is>
          <t>SUNNE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57211-2024</t>
        </is>
      </c>
      <c r="B2431" s="1" t="n">
        <v>45629</v>
      </c>
      <c r="C2431" s="1" t="n">
        <v>45932</v>
      </c>
      <c r="D2431" t="inlineStr">
        <is>
          <t>VÄRMLANDS LÄN</t>
        </is>
      </c>
      <c r="E2431" t="inlineStr">
        <is>
          <t>KIL</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58179-2023</t>
        </is>
      </c>
      <c r="B2432" s="1" t="n">
        <v>45250</v>
      </c>
      <c r="C2432" s="1" t="n">
        <v>45932</v>
      </c>
      <c r="D2432" t="inlineStr">
        <is>
          <t>VÄRMLANDS LÄN</t>
        </is>
      </c>
      <c r="E2432" t="inlineStr">
        <is>
          <t>EDA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19022-2025</t>
        </is>
      </c>
      <c r="B2433" s="1" t="n">
        <v>45764.61819444445</v>
      </c>
      <c r="C2433" s="1" t="n">
        <v>45932</v>
      </c>
      <c r="D2433" t="inlineStr">
        <is>
          <t>VÄRMLANDS LÄN</t>
        </is>
      </c>
      <c r="E2433" t="inlineStr">
        <is>
          <t>SUNNE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19049-2025</t>
        </is>
      </c>
      <c r="B2434" s="1" t="n">
        <v>45764.8356712963</v>
      </c>
      <c r="C2434" s="1" t="n">
        <v>45932</v>
      </c>
      <c r="D2434" t="inlineStr">
        <is>
          <t>VÄRMLANDS LÄN</t>
        </is>
      </c>
      <c r="E2434" t="inlineStr">
        <is>
          <t>EDA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19072-2025</t>
        </is>
      </c>
      <c r="B2435" s="1" t="n">
        <v>45765.83021990741</v>
      </c>
      <c r="C2435" s="1" t="n">
        <v>45932</v>
      </c>
      <c r="D2435" t="inlineStr">
        <is>
          <t>VÄRMLANDS LÄN</t>
        </is>
      </c>
      <c r="E2435" t="inlineStr">
        <is>
          <t>HAGFORS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58492-2024</t>
        </is>
      </c>
      <c r="B2436" s="1" t="n">
        <v>45635</v>
      </c>
      <c r="C2436" s="1" t="n">
        <v>45932</v>
      </c>
      <c r="D2436" t="inlineStr">
        <is>
          <t>VÄRMLANDS LÄN</t>
        </is>
      </c>
      <c r="E2436" t="inlineStr">
        <is>
          <t>FORSHAGA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62382-2020</t>
        </is>
      </c>
      <c r="B2437" s="1" t="n">
        <v>44160</v>
      </c>
      <c r="C2437" s="1" t="n">
        <v>45932</v>
      </c>
      <c r="D2437" t="inlineStr">
        <is>
          <t>VÄRMLANDS LÄN</t>
        </is>
      </c>
      <c r="E2437" t="inlineStr">
        <is>
          <t>KIL</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48134-2022</t>
        </is>
      </c>
      <c r="B2438" s="1" t="n">
        <v>44857.91674768519</v>
      </c>
      <c r="C2438" s="1" t="n">
        <v>45932</v>
      </c>
      <c r="D2438" t="inlineStr">
        <is>
          <t>VÄRMLANDS LÄN</t>
        </is>
      </c>
      <c r="E2438" t="inlineStr">
        <is>
          <t>SUNNE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62510-2020</t>
        </is>
      </c>
      <c r="B2439" s="1" t="n">
        <v>44160.68030092592</v>
      </c>
      <c r="C2439" s="1" t="n">
        <v>45932</v>
      </c>
      <c r="D2439" t="inlineStr">
        <is>
          <t>VÄRMLANDS LÄN</t>
        </is>
      </c>
      <c r="E2439" t="inlineStr">
        <is>
          <t>SUNNE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12228-2025</t>
        </is>
      </c>
      <c r="B2440" s="1" t="n">
        <v>45729</v>
      </c>
      <c r="C2440" s="1" t="n">
        <v>45932</v>
      </c>
      <c r="D2440" t="inlineStr">
        <is>
          <t>VÄRMLANDS LÄN</t>
        </is>
      </c>
      <c r="E2440" t="inlineStr">
        <is>
          <t>SÄFFLE</t>
        </is>
      </c>
      <c r="F2440" t="inlineStr">
        <is>
          <t>Bergvik skog väst AB</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12670-2023</t>
        </is>
      </c>
      <c r="B2441" s="1" t="n">
        <v>45000.58043981482</v>
      </c>
      <c r="C2441" s="1" t="n">
        <v>45932</v>
      </c>
      <c r="D2441" t="inlineStr">
        <is>
          <t>VÄRMLANDS LÄN</t>
        </is>
      </c>
      <c r="E2441" t="inlineStr">
        <is>
          <t>TORSBY</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52741-2024</t>
        </is>
      </c>
      <c r="B2442" s="1" t="n">
        <v>45610</v>
      </c>
      <c r="C2442" s="1" t="n">
        <v>45932</v>
      </c>
      <c r="D2442" t="inlineStr">
        <is>
          <t>VÄRMLANDS LÄN</t>
        </is>
      </c>
      <c r="E2442" t="inlineStr">
        <is>
          <t>ÅRJÄNG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4522-2021</t>
        </is>
      </c>
      <c r="B2443" s="1" t="n">
        <v>44224</v>
      </c>
      <c r="C2443" s="1" t="n">
        <v>45932</v>
      </c>
      <c r="D2443" t="inlineStr">
        <is>
          <t>VÄRMLANDS LÄN</t>
        </is>
      </c>
      <c r="E2443" t="inlineStr">
        <is>
          <t>TORSBY</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52809-2024</t>
        </is>
      </c>
      <c r="B2444" s="1" t="n">
        <v>45610</v>
      </c>
      <c r="C2444" s="1" t="n">
        <v>45932</v>
      </c>
      <c r="D2444" t="inlineStr">
        <is>
          <t>VÄRMLANDS LÄN</t>
        </is>
      </c>
      <c r="E2444" t="inlineStr">
        <is>
          <t>TORSBY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46924-2022</t>
        </is>
      </c>
      <c r="B2445" s="1" t="n">
        <v>44851.6909375</v>
      </c>
      <c r="C2445" s="1" t="n">
        <v>45932</v>
      </c>
      <c r="D2445" t="inlineStr">
        <is>
          <t>VÄRMLANDS LÄN</t>
        </is>
      </c>
      <c r="E2445" t="inlineStr">
        <is>
          <t>ARVIKA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42163-2021</t>
        </is>
      </c>
      <c r="B2446" s="1" t="n">
        <v>44426</v>
      </c>
      <c r="C2446" s="1" t="n">
        <v>45932</v>
      </c>
      <c r="D2446" t="inlineStr">
        <is>
          <t>VÄRMLANDS LÄN</t>
        </is>
      </c>
      <c r="E2446" t="inlineStr">
        <is>
          <t>ARVIKA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42220-2021</t>
        </is>
      </c>
      <c r="B2447" s="1" t="n">
        <v>44426</v>
      </c>
      <c r="C2447" s="1" t="n">
        <v>45932</v>
      </c>
      <c r="D2447" t="inlineStr">
        <is>
          <t>VÄRMLANDS LÄN</t>
        </is>
      </c>
      <c r="E2447" t="inlineStr">
        <is>
          <t>KRISTINEHAMN</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42637-2023</t>
        </is>
      </c>
      <c r="B2448" s="1" t="n">
        <v>45181.49590277778</v>
      </c>
      <c r="C2448" s="1" t="n">
        <v>45932</v>
      </c>
      <c r="D2448" t="inlineStr">
        <is>
          <t>VÄRMLANDS LÄN</t>
        </is>
      </c>
      <c r="E2448" t="inlineStr">
        <is>
          <t>MUNKFORS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2963-2024</t>
        </is>
      </c>
      <c r="B2449" s="1" t="n">
        <v>45315.65621527778</v>
      </c>
      <c r="C2449" s="1" t="n">
        <v>45932</v>
      </c>
      <c r="D2449" t="inlineStr">
        <is>
          <t>VÄRMLANDS LÄN</t>
        </is>
      </c>
      <c r="E2449" t="inlineStr">
        <is>
          <t>KRISTINEHAMN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1571-2025</t>
        </is>
      </c>
      <c r="B2450" s="1" t="n">
        <v>45670.55496527778</v>
      </c>
      <c r="C2450" s="1" t="n">
        <v>45932</v>
      </c>
      <c r="D2450" t="inlineStr">
        <is>
          <t>VÄRMLANDS LÄN</t>
        </is>
      </c>
      <c r="E2450" t="inlineStr">
        <is>
          <t>ÅRJÄNG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17238-2025</t>
        </is>
      </c>
      <c r="B2451" s="1" t="n">
        <v>45756</v>
      </c>
      <c r="C2451" s="1" t="n">
        <v>45932</v>
      </c>
      <c r="D2451" t="inlineStr">
        <is>
          <t>VÄRMLANDS LÄN</t>
        </is>
      </c>
      <c r="E2451" t="inlineStr">
        <is>
          <t>SÄFFLE</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17245-2025</t>
        </is>
      </c>
      <c r="B2452" s="1" t="n">
        <v>45756.49243055555</v>
      </c>
      <c r="C2452" s="1" t="n">
        <v>45932</v>
      </c>
      <c r="D2452" t="inlineStr">
        <is>
          <t>VÄRMLANDS LÄN</t>
        </is>
      </c>
      <c r="E2452" t="inlineStr">
        <is>
          <t>KRISTINEHAMN</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43529-2023</t>
        </is>
      </c>
      <c r="B2453" s="1" t="n">
        <v>45181</v>
      </c>
      <c r="C2453" s="1" t="n">
        <v>45932</v>
      </c>
      <c r="D2453" t="inlineStr">
        <is>
          <t>VÄRMLANDS LÄN</t>
        </is>
      </c>
      <c r="E2453" t="inlineStr">
        <is>
          <t>TORSBY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59814-2020</t>
        </is>
      </c>
      <c r="B2454" s="1" t="n">
        <v>44151</v>
      </c>
      <c r="C2454" s="1" t="n">
        <v>45932</v>
      </c>
      <c r="D2454" t="inlineStr">
        <is>
          <t>VÄRMLANDS LÄN</t>
        </is>
      </c>
      <c r="E2454" t="inlineStr">
        <is>
          <t>ARVIKA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42955-2023</t>
        </is>
      </c>
      <c r="B2455" s="1" t="n">
        <v>45182</v>
      </c>
      <c r="C2455" s="1" t="n">
        <v>45932</v>
      </c>
      <c r="D2455" t="inlineStr">
        <is>
          <t>VÄRMLANDS LÄN</t>
        </is>
      </c>
      <c r="E2455" t="inlineStr">
        <is>
          <t>HAMMARÖ</t>
        </is>
      </c>
      <c r="F2455" t="inlineStr">
        <is>
          <t>Övriga Aktiebolag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42960-2023</t>
        </is>
      </c>
      <c r="B2456" s="1" t="n">
        <v>45182</v>
      </c>
      <c r="C2456" s="1" t="n">
        <v>45932</v>
      </c>
      <c r="D2456" t="inlineStr">
        <is>
          <t>VÄRMLANDS LÄN</t>
        </is>
      </c>
      <c r="E2456" t="inlineStr">
        <is>
          <t>HAMMARÖ</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21549-2022</t>
        </is>
      </c>
      <c r="B2457" s="1" t="n">
        <v>44706</v>
      </c>
      <c r="C2457" s="1" t="n">
        <v>45932</v>
      </c>
      <c r="D2457" t="inlineStr">
        <is>
          <t>VÄRMLANDS LÄN</t>
        </is>
      </c>
      <c r="E2457" t="inlineStr">
        <is>
          <t>KRISTINEHAMN</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47092-2024</t>
        </is>
      </c>
      <c r="B2458" s="1" t="n">
        <v>45586.51635416667</v>
      </c>
      <c r="C2458" s="1" t="n">
        <v>45932</v>
      </c>
      <c r="D2458" t="inlineStr">
        <is>
          <t>VÄRMLANDS LÄN</t>
        </is>
      </c>
      <c r="E2458" t="inlineStr">
        <is>
          <t>SUNNE</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23065-2025</t>
        </is>
      </c>
      <c r="B2459" s="1" t="n">
        <v>45790.82726851852</v>
      </c>
      <c r="C2459" s="1" t="n">
        <v>45932</v>
      </c>
      <c r="D2459" t="inlineStr">
        <is>
          <t>VÄRMLANDS LÄN</t>
        </is>
      </c>
      <c r="E2459" t="inlineStr">
        <is>
          <t>HAGFORS</t>
        </is>
      </c>
      <c r="F2459" t="inlineStr">
        <is>
          <t>Bergvik skog väst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14481-2022</t>
        </is>
      </c>
      <c r="B2460" s="1" t="n">
        <v>44655</v>
      </c>
      <c r="C2460" s="1" t="n">
        <v>45932</v>
      </c>
      <c r="D2460" t="inlineStr">
        <is>
          <t>VÄRMLANDS LÄN</t>
        </is>
      </c>
      <c r="E2460" t="inlineStr">
        <is>
          <t>SUNNE</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14507-2022</t>
        </is>
      </c>
      <c r="B2461" s="1" t="n">
        <v>44655</v>
      </c>
      <c r="C2461" s="1" t="n">
        <v>45932</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19626-2022</t>
        </is>
      </c>
      <c r="B2462" s="1" t="n">
        <v>44694</v>
      </c>
      <c r="C2462" s="1" t="n">
        <v>45932</v>
      </c>
      <c r="D2462" t="inlineStr">
        <is>
          <t>VÄRMLANDS LÄN</t>
        </is>
      </c>
      <c r="E2462" t="inlineStr">
        <is>
          <t>FILIPSTAD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58143-2022</t>
        </is>
      </c>
      <c r="B2463" s="1" t="n">
        <v>44900</v>
      </c>
      <c r="C2463" s="1" t="n">
        <v>45932</v>
      </c>
      <c r="D2463" t="inlineStr">
        <is>
          <t>VÄRMLANDS LÄN</t>
        </is>
      </c>
      <c r="E2463" t="inlineStr">
        <is>
          <t>ARVIKA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57323-2024</t>
        </is>
      </c>
      <c r="B2464" s="1" t="n">
        <v>45629</v>
      </c>
      <c r="C2464" s="1" t="n">
        <v>45932</v>
      </c>
      <c r="D2464" t="inlineStr">
        <is>
          <t>VÄRMLANDS LÄN</t>
        </is>
      </c>
      <c r="E2464" t="inlineStr">
        <is>
          <t>EDA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23051-2024</t>
        </is>
      </c>
      <c r="B2465" s="1" t="n">
        <v>45450.42902777778</v>
      </c>
      <c r="C2465" s="1" t="n">
        <v>45932</v>
      </c>
      <c r="D2465" t="inlineStr">
        <is>
          <t>VÄRMLANDS LÄN</t>
        </is>
      </c>
      <c r="E2465" t="inlineStr">
        <is>
          <t>ÅRJÄNG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23061-2024</t>
        </is>
      </c>
      <c r="B2466" s="1" t="n">
        <v>45449</v>
      </c>
      <c r="C2466" s="1" t="n">
        <v>45932</v>
      </c>
      <c r="D2466" t="inlineStr">
        <is>
          <t>VÄRMLANDS LÄN</t>
        </is>
      </c>
      <c r="E2466" t="inlineStr">
        <is>
          <t>SUNNE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23089-2024</t>
        </is>
      </c>
      <c r="B2467" s="1" t="n">
        <v>45450</v>
      </c>
      <c r="C2467" s="1" t="n">
        <v>45932</v>
      </c>
      <c r="D2467" t="inlineStr">
        <is>
          <t>VÄRMLANDS LÄN</t>
        </is>
      </c>
      <c r="E2467" t="inlineStr">
        <is>
          <t>ARVIKA</t>
        </is>
      </c>
      <c r="F2467" t="inlineStr">
        <is>
          <t>Bergvik skog väst AB</t>
        </is>
      </c>
      <c r="G2467" t="n">
        <v>0.7</v>
      </c>
      <c r="H2467" t="n">
        <v>0</v>
      </c>
      <c r="I2467" t="n">
        <v>0</v>
      </c>
      <c r="J2467" t="n">
        <v>0</v>
      </c>
      <c r="K2467" t="n">
        <v>0</v>
      </c>
      <c r="L2467" t="n">
        <v>0</v>
      </c>
      <c r="M2467" t="n">
        <v>0</v>
      </c>
      <c r="N2467" t="n">
        <v>0</v>
      </c>
      <c r="O2467" t="n">
        <v>0</v>
      </c>
      <c r="P2467" t="n">
        <v>0</v>
      </c>
      <c r="Q2467" t="n">
        <v>0</v>
      </c>
      <c r="R2467" s="2" t="inlineStr"/>
      <c r="U2467">
        <f>HYPERLINK("https://klasma.github.io/Logging_1784/knärot/A 23089-2024 karta knärot.png", "A 23089-2024")</f>
        <v/>
      </c>
      <c r="V2467">
        <f>HYPERLINK("https://klasma.github.io/Logging_1784/klagomål/A 23089-2024 FSC-klagomål.docx", "A 23089-2024")</f>
        <v/>
      </c>
      <c r="W2467">
        <f>HYPERLINK("https://klasma.github.io/Logging_1784/klagomålsmail/A 23089-2024 FSC-klagomål mail.docx", "A 23089-2024")</f>
        <v/>
      </c>
      <c r="X2467">
        <f>HYPERLINK("https://klasma.github.io/Logging_1784/tillsyn/A 23089-2024 tillsynsbegäran.docx", "A 23089-2024")</f>
        <v/>
      </c>
      <c r="Y2467">
        <f>HYPERLINK("https://klasma.github.io/Logging_1784/tillsynsmail/A 23089-2024 tillsynsbegäran mail.docx", "A 23089-2024")</f>
        <v/>
      </c>
    </row>
    <row r="2468" ht="15" customHeight="1">
      <c r="A2468" t="inlineStr">
        <is>
          <t>A 22491-2022</t>
        </is>
      </c>
      <c r="B2468" s="1" t="n">
        <v>44713</v>
      </c>
      <c r="C2468" s="1" t="n">
        <v>45932</v>
      </c>
      <c r="D2468" t="inlineStr">
        <is>
          <t>VÄRMLANDS LÄN</t>
        </is>
      </c>
      <c r="E2468" t="inlineStr">
        <is>
          <t>SUNNE</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10006-2022</t>
        </is>
      </c>
      <c r="B2469" s="1" t="n">
        <v>44621</v>
      </c>
      <c r="C2469" s="1" t="n">
        <v>45932</v>
      </c>
      <c r="D2469" t="inlineStr">
        <is>
          <t>VÄRMLANDS LÄN</t>
        </is>
      </c>
      <c r="E2469" t="inlineStr">
        <is>
          <t>ÅRJÄNG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15317-2025</t>
        </is>
      </c>
      <c r="B2470" s="1" t="n">
        <v>45747.30980324074</v>
      </c>
      <c r="C2470" s="1" t="n">
        <v>45932</v>
      </c>
      <c r="D2470" t="inlineStr">
        <is>
          <t>VÄRMLANDS LÄN</t>
        </is>
      </c>
      <c r="E2470" t="inlineStr">
        <is>
          <t>SÄFFLE</t>
        </is>
      </c>
      <c r="F2470" t="inlineStr">
        <is>
          <t>Bergvik skog väst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42213-2021</t>
        </is>
      </c>
      <c r="B2471" s="1" t="n">
        <v>44426</v>
      </c>
      <c r="C2471" s="1" t="n">
        <v>45932</v>
      </c>
      <c r="D2471" t="inlineStr">
        <is>
          <t>VÄRMLANDS LÄN</t>
        </is>
      </c>
      <c r="E2471" t="inlineStr">
        <is>
          <t>SUNNE</t>
        </is>
      </c>
      <c r="F2471" t="inlineStr">
        <is>
          <t>Övriga Aktiebolag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50291-2024</t>
        </is>
      </c>
      <c r="B2472" s="1" t="n">
        <v>45600.62076388889</v>
      </c>
      <c r="C2472" s="1" t="n">
        <v>45932</v>
      </c>
      <c r="D2472" t="inlineStr">
        <is>
          <t>VÄRMLANDS LÄN</t>
        </is>
      </c>
      <c r="E2472" t="inlineStr">
        <is>
          <t>ARVIKA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50301-2024</t>
        </is>
      </c>
      <c r="B2473" s="1" t="n">
        <v>45600</v>
      </c>
      <c r="C2473" s="1" t="n">
        <v>45932</v>
      </c>
      <c r="D2473" t="inlineStr">
        <is>
          <t>VÄRMLANDS LÄN</t>
        </is>
      </c>
      <c r="E2473" t="inlineStr">
        <is>
          <t>ÅRJÄNG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55137-2023</t>
        </is>
      </c>
      <c r="B2474" s="1" t="n">
        <v>45237</v>
      </c>
      <c r="C2474" s="1" t="n">
        <v>45932</v>
      </c>
      <c r="D2474" t="inlineStr">
        <is>
          <t>VÄRMLANDS LÄN</t>
        </is>
      </c>
      <c r="E2474" t="inlineStr">
        <is>
          <t>FORSHAGA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16192-2025</t>
        </is>
      </c>
      <c r="B2475" s="1" t="n">
        <v>45750.59760416667</v>
      </c>
      <c r="C2475" s="1" t="n">
        <v>45932</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74230-2021</t>
        </is>
      </c>
      <c r="B2476" s="1" t="n">
        <v>44558</v>
      </c>
      <c r="C2476" s="1" t="n">
        <v>45932</v>
      </c>
      <c r="D2476" t="inlineStr">
        <is>
          <t>VÄRMLANDS LÄN</t>
        </is>
      </c>
      <c r="E2476" t="inlineStr">
        <is>
          <t>SUNNE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59342-2020</t>
        </is>
      </c>
      <c r="B2477" s="1" t="n">
        <v>44148</v>
      </c>
      <c r="C2477" s="1" t="n">
        <v>45932</v>
      </c>
      <c r="D2477" t="inlineStr">
        <is>
          <t>VÄRMLANDS LÄN</t>
        </is>
      </c>
      <c r="E2477" t="inlineStr">
        <is>
          <t>EDA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56918-2024</t>
        </is>
      </c>
      <c r="B2478" s="1" t="n">
        <v>45628</v>
      </c>
      <c r="C2478" s="1" t="n">
        <v>45932</v>
      </c>
      <c r="D2478" t="inlineStr">
        <is>
          <t>VÄRMLANDS LÄN</t>
        </is>
      </c>
      <c r="E2478" t="inlineStr">
        <is>
          <t>FILIPSTAD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61981-2024</t>
        </is>
      </c>
      <c r="B2479" s="1" t="n">
        <v>45653.66377314815</v>
      </c>
      <c r="C2479" s="1" t="n">
        <v>45932</v>
      </c>
      <c r="D2479" t="inlineStr">
        <is>
          <t>VÄRMLANDS LÄN</t>
        </is>
      </c>
      <c r="E2479" t="inlineStr">
        <is>
          <t>HAGFORS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420-2025</t>
        </is>
      </c>
      <c r="B2480" s="1" t="n">
        <v>45663.89625</v>
      </c>
      <c r="C2480" s="1" t="n">
        <v>45932</v>
      </c>
      <c r="D2480" t="inlineStr">
        <is>
          <t>VÄRMLANDS LÄN</t>
        </is>
      </c>
      <c r="E2480" t="inlineStr">
        <is>
          <t>ARVIKA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13918-2024</t>
        </is>
      </c>
      <c r="B2481" s="1" t="n">
        <v>45391.88422453704</v>
      </c>
      <c r="C2481" s="1" t="n">
        <v>45932</v>
      </c>
      <c r="D2481" t="inlineStr">
        <is>
          <t>VÄRMLANDS LÄN</t>
        </is>
      </c>
      <c r="E2481" t="inlineStr">
        <is>
          <t>FILIPSTAD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70405-2021</t>
        </is>
      </c>
      <c r="B2482" s="1" t="n">
        <v>44536.57564814815</v>
      </c>
      <c r="C2482" s="1" t="n">
        <v>45932</v>
      </c>
      <c r="D2482" t="inlineStr">
        <is>
          <t>VÄRMLANDS LÄN</t>
        </is>
      </c>
      <c r="E2482" t="inlineStr">
        <is>
          <t>FILIPSTAD</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45876-2024</t>
        </is>
      </c>
      <c r="B2483" s="1" t="n">
        <v>45580</v>
      </c>
      <c r="C2483" s="1" t="n">
        <v>45932</v>
      </c>
      <c r="D2483" t="inlineStr">
        <is>
          <t>VÄRMLANDS LÄN</t>
        </is>
      </c>
      <c r="E2483" t="inlineStr">
        <is>
          <t>ÅRJÄNG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54204-2023</t>
        </is>
      </c>
      <c r="B2484" s="1" t="n">
        <v>45232.56141203704</v>
      </c>
      <c r="C2484" s="1" t="n">
        <v>45932</v>
      </c>
      <c r="D2484" t="inlineStr">
        <is>
          <t>VÄRMLANDS LÄN</t>
        </is>
      </c>
      <c r="E2484" t="inlineStr">
        <is>
          <t>TORSBY</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64434-2020</t>
        </is>
      </c>
      <c r="B2485" s="1" t="n">
        <v>44168</v>
      </c>
      <c r="C2485" s="1" t="n">
        <v>45932</v>
      </c>
      <c r="D2485" t="inlineStr">
        <is>
          <t>VÄRMLANDS LÄN</t>
        </is>
      </c>
      <c r="E2485" t="inlineStr">
        <is>
          <t>TORSBY</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2443-2022</t>
        </is>
      </c>
      <c r="B2486" s="1" t="n">
        <v>44579.56311342592</v>
      </c>
      <c r="C2486" s="1" t="n">
        <v>45932</v>
      </c>
      <c r="D2486" t="inlineStr">
        <is>
          <t>VÄRMLANDS LÄN</t>
        </is>
      </c>
      <c r="E2486" t="inlineStr">
        <is>
          <t>FILIPSTAD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16335-2024</t>
        </is>
      </c>
      <c r="B2487" s="1" t="n">
        <v>45407</v>
      </c>
      <c r="C2487" s="1" t="n">
        <v>45932</v>
      </c>
      <c r="D2487" t="inlineStr">
        <is>
          <t>VÄRMLANDS LÄN</t>
        </is>
      </c>
      <c r="E2487" t="inlineStr">
        <is>
          <t>EDA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16492-2023</t>
        </is>
      </c>
      <c r="B2488" s="1" t="n">
        <v>45029</v>
      </c>
      <c r="C2488" s="1" t="n">
        <v>45932</v>
      </c>
      <c r="D2488" t="inlineStr">
        <is>
          <t>VÄRMLANDS LÄN</t>
        </is>
      </c>
      <c r="E2488" t="inlineStr">
        <is>
          <t>SUNNE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10473-2023</t>
        </is>
      </c>
      <c r="B2489" s="1" t="n">
        <v>44981</v>
      </c>
      <c r="C2489" s="1" t="n">
        <v>45932</v>
      </c>
      <c r="D2489" t="inlineStr">
        <is>
          <t>VÄRMLANDS LÄN</t>
        </is>
      </c>
      <c r="E2489" t="inlineStr">
        <is>
          <t>TORSBY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35668-2023</t>
        </is>
      </c>
      <c r="B2490" s="1" t="n">
        <v>45147.61315972222</v>
      </c>
      <c r="C2490" s="1" t="n">
        <v>45932</v>
      </c>
      <c r="D2490" t="inlineStr">
        <is>
          <t>VÄRMLANDS LÄN</t>
        </is>
      </c>
      <c r="E2490" t="inlineStr">
        <is>
          <t>HAGFORS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73251-2021</t>
        </is>
      </c>
      <c r="B2491" s="1" t="n">
        <v>44550</v>
      </c>
      <c r="C2491" s="1" t="n">
        <v>45932</v>
      </c>
      <c r="D2491" t="inlineStr">
        <is>
          <t>VÄRMLANDS LÄN</t>
        </is>
      </c>
      <c r="E2491" t="inlineStr">
        <is>
          <t>KIL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73264-2021</t>
        </is>
      </c>
      <c r="B2492" s="1" t="n">
        <v>44550</v>
      </c>
      <c r="C2492" s="1" t="n">
        <v>45932</v>
      </c>
      <c r="D2492" t="inlineStr">
        <is>
          <t>VÄRMLANDS LÄN</t>
        </is>
      </c>
      <c r="E2492" t="inlineStr">
        <is>
          <t>FORSHAGA</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73266-2021</t>
        </is>
      </c>
      <c r="B2493" s="1" t="n">
        <v>44550.84164351852</v>
      </c>
      <c r="C2493" s="1" t="n">
        <v>45932</v>
      </c>
      <c r="D2493" t="inlineStr">
        <is>
          <t>VÄRMLANDS LÄN</t>
        </is>
      </c>
      <c r="E2493" t="inlineStr">
        <is>
          <t>FORSHAGA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10979-2025</t>
        </is>
      </c>
      <c r="B2494" s="1" t="n">
        <v>45723.39988425926</v>
      </c>
      <c r="C2494" s="1" t="n">
        <v>45932</v>
      </c>
      <c r="D2494" t="inlineStr">
        <is>
          <t>VÄRMLANDS LÄN</t>
        </is>
      </c>
      <c r="E2494" t="inlineStr">
        <is>
          <t>TORSBY</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49983-2022</t>
        </is>
      </c>
      <c r="B2495" s="1" t="n">
        <v>44865</v>
      </c>
      <c r="C2495" s="1" t="n">
        <v>45932</v>
      </c>
      <c r="D2495" t="inlineStr">
        <is>
          <t>VÄRMLANDS LÄN</t>
        </is>
      </c>
      <c r="E2495" t="inlineStr">
        <is>
          <t>TORSBY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57253-2021</t>
        </is>
      </c>
      <c r="B2496" s="1" t="n">
        <v>44482</v>
      </c>
      <c r="C2496" s="1" t="n">
        <v>45932</v>
      </c>
      <c r="D2496" t="inlineStr">
        <is>
          <t>VÄRMLANDS LÄN</t>
        </is>
      </c>
      <c r="E2496" t="inlineStr">
        <is>
          <t>EDA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62790-2020</t>
        </is>
      </c>
      <c r="B2497" s="1" t="n">
        <v>44161</v>
      </c>
      <c r="C2497" s="1" t="n">
        <v>45932</v>
      </c>
      <c r="D2497" t="inlineStr">
        <is>
          <t>VÄRMLANDS LÄN</t>
        </is>
      </c>
      <c r="E2497" t="inlineStr">
        <is>
          <t>SÄFFLE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18358-2025</t>
        </is>
      </c>
      <c r="B2498" s="1" t="n">
        <v>45762</v>
      </c>
      <c r="C2498" s="1" t="n">
        <v>45932</v>
      </c>
      <c r="D2498" t="inlineStr">
        <is>
          <t>VÄRMLANDS LÄN</t>
        </is>
      </c>
      <c r="E2498" t="inlineStr">
        <is>
          <t>SUNNE</t>
        </is>
      </c>
      <c r="F2498" t="inlineStr">
        <is>
          <t>Bergvik skog väst AB</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18365-2025</t>
        </is>
      </c>
      <c r="B2499" s="1" t="n">
        <v>45762</v>
      </c>
      <c r="C2499" s="1" t="n">
        <v>45932</v>
      </c>
      <c r="D2499" t="inlineStr">
        <is>
          <t>VÄRMLANDS LÄN</t>
        </is>
      </c>
      <c r="E2499" t="inlineStr">
        <is>
          <t>TORSBY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62445-2023</t>
        </is>
      </c>
      <c r="B2500" s="1" t="n">
        <v>45268.47487268518</v>
      </c>
      <c r="C2500" s="1" t="n">
        <v>45932</v>
      </c>
      <c r="D2500" t="inlineStr">
        <is>
          <t>VÄRMLANDS LÄN</t>
        </is>
      </c>
      <c r="E2500" t="inlineStr">
        <is>
          <t>TORSBY</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21442-2022</t>
        </is>
      </c>
      <c r="B2501" s="1" t="n">
        <v>44706</v>
      </c>
      <c r="C2501" s="1" t="n">
        <v>45932</v>
      </c>
      <c r="D2501" t="inlineStr">
        <is>
          <t>VÄRMLANDS LÄN</t>
        </is>
      </c>
      <c r="E2501" t="inlineStr">
        <is>
          <t>HAGFORS</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12006-2023</t>
        </is>
      </c>
      <c r="B2502" s="1" t="n">
        <v>44995.61495370371</v>
      </c>
      <c r="C2502" s="1" t="n">
        <v>45932</v>
      </c>
      <c r="D2502" t="inlineStr">
        <is>
          <t>VÄRMLANDS LÄN</t>
        </is>
      </c>
      <c r="E2502" t="inlineStr">
        <is>
          <t>ÅRJÄNG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23259-2022</t>
        </is>
      </c>
      <c r="B2503" s="1" t="n">
        <v>44720.395625</v>
      </c>
      <c r="C2503" s="1" t="n">
        <v>45932</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378-2025</t>
        </is>
      </c>
      <c r="B2504" s="1" t="n">
        <v>45662</v>
      </c>
      <c r="C2504" s="1" t="n">
        <v>45932</v>
      </c>
      <c r="D2504" t="inlineStr">
        <is>
          <t>VÄRMLANDS LÄN</t>
        </is>
      </c>
      <c r="E2504" t="inlineStr">
        <is>
          <t>FILIPSTAD</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386-2025</t>
        </is>
      </c>
      <c r="B2505" s="1" t="n">
        <v>45662.66461805555</v>
      </c>
      <c r="C2505" s="1" t="n">
        <v>45932</v>
      </c>
      <c r="D2505" t="inlineStr">
        <is>
          <t>VÄRMLANDS LÄN</t>
        </is>
      </c>
      <c r="E2505" t="inlineStr">
        <is>
          <t>KRISTINEHAMN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480-2025</t>
        </is>
      </c>
      <c r="B2506" s="1" t="n">
        <v>45664</v>
      </c>
      <c r="C2506" s="1" t="n">
        <v>45932</v>
      </c>
      <c r="D2506" t="inlineStr">
        <is>
          <t>VÄRMLANDS LÄN</t>
        </is>
      </c>
      <c r="E2506" t="inlineStr">
        <is>
          <t>ÅRJÄNG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485-2025</t>
        </is>
      </c>
      <c r="B2507" s="1" t="n">
        <v>45664</v>
      </c>
      <c r="C2507" s="1" t="n">
        <v>45932</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31430-2022</t>
        </is>
      </c>
      <c r="B2508" s="1" t="n">
        <v>44774</v>
      </c>
      <c r="C2508" s="1" t="n">
        <v>45932</v>
      </c>
      <c r="D2508" t="inlineStr">
        <is>
          <t>VÄRMLANDS LÄN</t>
        </is>
      </c>
      <c r="E2508" t="inlineStr">
        <is>
          <t>SUNNE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29699-2022</t>
        </is>
      </c>
      <c r="B2509" s="1" t="n">
        <v>44755</v>
      </c>
      <c r="C2509" s="1" t="n">
        <v>45932</v>
      </c>
      <c r="D2509" t="inlineStr">
        <is>
          <t>VÄRMLANDS LÄN</t>
        </is>
      </c>
      <c r="E2509" t="inlineStr">
        <is>
          <t>GRUMS</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2803-2025</t>
        </is>
      </c>
      <c r="B2510" s="1" t="n">
        <v>45677</v>
      </c>
      <c r="C2510" s="1" t="n">
        <v>45932</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2807-2025</t>
        </is>
      </c>
      <c r="B2511" s="1" t="n">
        <v>45677</v>
      </c>
      <c r="C2511" s="1" t="n">
        <v>45932</v>
      </c>
      <c r="D2511" t="inlineStr">
        <is>
          <t>VÄRMLANDS LÄN</t>
        </is>
      </c>
      <c r="E2511" t="inlineStr">
        <is>
          <t>TORSBY</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3442-2025</t>
        </is>
      </c>
      <c r="B2512" s="1" t="n">
        <v>45680.45114583334</v>
      </c>
      <c r="C2512" s="1" t="n">
        <v>45932</v>
      </c>
      <c r="D2512" t="inlineStr">
        <is>
          <t>VÄRMLANDS LÄN</t>
        </is>
      </c>
      <c r="E2512" t="inlineStr">
        <is>
          <t>TORSBY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30686-2022</t>
        </is>
      </c>
      <c r="B2513" s="1" t="n">
        <v>44763.62467592592</v>
      </c>
      <c r="C2513" s="1" t="n">
        <v>45932</v>
      </c>
      <c r="D2513" t="inlineStr">
        <is>
          <t>VÄRMLANDS LÄN</t>
        </is>
      </c>
      <c r="E2513" t="inlineStr">
        <is>
          <t>SÄFFLE</t>
        </is>
      </c>
      <c r="F2513" t="inlineStr">
        <is>
          <t>Kyrkan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57293-2024</t>
        </is>
      </c>
      <c r="B2514" s="1" t="n">
        <v>45629.59203703704</v>
      </c>
      <c r="C2514" s="1" t="n">
        <v>45932</v>
      </c>
      <c r="D2514" t="inlineStr">
        <is>
          <t>VÄRMLANDS LÄN</t>
        </is>
      </c>
      <c r="E2514" t="inlineStr">
        <is>
          <t>EDA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7995-2025</t>
        </is>
      </c>
      <c r="B2515" s="1" t="n">
        <v>45707.515625</v>
      </c>
      <c r="C2515" s="1" t="n">
        <v>45932</v>
      </c>
      <c r="D2515" t="inlineStr">
        <is>
          <t>VÄRMLANDS LÄN</t>
        </is>
      </c>
      <c r="E2515" t="inlineStr">
        <is>
          <t>ÅRJÄNG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14984-2024</t>
        </is>
      </c>
      <c r="B2516" s="1" t="n">
        <v>45399.34143518518</v>
      </c>
      <c r="C2516" s="1" t="n">
        <v>45932</v>
      </c>
      <c r="D2516" t="inlineStr">
        <is>
          <t>VÄRMLANDS LÄN</t>
        </is>
      </c>
      <c r="E2516" t="inlineStr">
        <is>
          <t>KIL</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14987-2024</t>
        </is>
      </c>
      <c r="B2517" s="1" t="n">
        <v>45399</v>
      </c>
      <c r="C2517" s="1" t="n">
        <v>45932</v>
      </c>
      <c r="D2517" t="inlineStr">
        <is>
          <t>VÄRMLANDS LÄN</t>
        </is>
      </c>
      <c r="E2517" t="inlineStr">
        <is>
          <t>KIL</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36418-2024</t>
        </is>
      </c>
      <c r="B2518" s="1" t="n">
        <v>45536.55913194444</v>
      </c>
      <c r="C2518" s="1" t="n">
        <v>45932</v>
      </c>
      <c r="D2518" t="inlineStr">
        <is>
          <t>VÄRMLANDS LÄN</t>
        </is>
      </c>
      <c r="E2518" t="inlineStr">
        <is>
          <t>ARVIKA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36971-2024</t>
        </is>
      </c>
      <c r="B2519" s="1" t="n">
        <v>45538.83505787037</v>
      </c>
      <c r="C2519" s="1" t="n">
        <v>45932</v>
      </c>
      <c r="D2519" t="inlineStr">
        <is>
          <t>VÄRMLANDS LÄN</t>
        </is>
      </c>
      <c r="E2519" t="inlineStr">
        <is>
          <t>KIL</t>
        </is>
      </c>
      <c r="G2519" t="n">
        <v>17.9</v>
      </c>
      <c r="H2519" t="n">
        <v>0</v>
      </c>
      <c r="I2519" t="n">
        <v>0</v>
      </c>
      <c r="J2519" t="n">
        <v>0</v>
      </c>
      <c r="K2519" t="n">
        <v>0</v>
      </c>
      <c r="L2519" t="n">
        <v>0</v>
      </c>
      <c r="M2519" t="n">
        <v>0</v>
      </c>
      <c r="N2519" t="n">
        <v>0</v>
      </c>
      <c r="O2519" t="n">
        <v>0</v>
      </c>
      <c r="P2519" t="n">
        <v>0</v>
      </c>
      <c r="Q2519" t="n">
        <v>0</v>
      </c>
      <c r="R2519" s="2" t="inlineStr"/>
    </row>
    <row r="2520" ht="15" customHeight="1">
      <c r="A2520" t="inlineStr">
        <is>
          <t>A 32405-2022</t>
        </is>
      </c>
      <c r="B2520" s="1" t="n">
        <v>44782</v>
      </c>
      <c r="C2520" s="1" t="n">
        <v>45932</v>
      </c>
      <c r="D2520" t="inlineStr">
        <is>
          <t>VÄRMLANDS LÄN</t>
        </is>
      </c>
      <c r="E2520" t="inlineStr">
        <is>
          <t>SUNNE</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41047-2023</t>
        </is>
      </c>
      <c r="B2521" s="1" t="n">
        <v>45173.61924768519</v>
      </c>
      <c r="C2521" s="1" t="n">
        <v>45932</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5072-2021</t>
        </is>
      </c>
      <c r="B2522" s="1" t="n">
        <v>44228</v>
      </c>
      <c r="C2522" s="1" t="n">
        <v>45932</v>
      </c>
      <c r="D2522" t="inlineStr">
        <is>
          <t>VÄRMLANDS LÄN</t>
        </is>
      </c>
      <c r="E2522" t="inlineStr">
        <is>
          <t>HAMMARÖ</t>
        </is>
      </c>
      <c r="G2522" t="n">
        <v>0.5</v>
      </c>
      <c r="H2522" t="n">
        <v>0</v>
      </c>
      <c r="I2522" t="n">
        <v>0</v>
      </c>
      <c r="J2522" t="n">
        <v>0</v>
      </c>
      <c r="K2522" t="n">
        <v>0</v>
      </c>
      <c r="L2522" t="n">
        <v>0</v>
      </c>
      <c r="M2522" t="n">
        <v>0</v>
      </c>
      <c r="N2522" t="n">
        <v>0</v>
      </c>
      <c r="O2522" t="n">
        <v>0</v>
      </c>
      <c r="P2522" t="n">
        <v>0</v>
      </c>
      <c r="Q2522" t="n">
        <v>0</v>
      </c>
      <c r="R2522" s="2" t="inlineStr"/>
      <c r="U2522">
        <f>HYPERLINK("https://klasma.github.io/Logging_1761/knärot/A 5072-2021 karta knärot.png", "A 5072-2021")</f>
        <v/>
      </c>
      <c r="V2522">
        <f>HYPERLINK("https://klasma.github.io/Logging_1761/klagomål/A 5072-2021 FSC-klagomål.docx", "A 5072-2021")</f>
        <v/>
      </c>
      <c r="W2522">
        <f>HYPERLINK("https://klasma.github.io/Logging_1761/klagomålsmail/A 5072-2021 FSC-klagomål mail.docx", "A 5072-2021")</f>
        <v/>
      </c>
      <c r="X2522">
        <f>HYPERLINK("https://klasma.github.io/Logging_1761/tillsyn/A 5072-2021 tillsynsbegäran.docx", "A 5072-2021")</f>
        <v/>
      </c>
      <c r="Y2522">
        <f>HYPERLINK("https://klasma.github.io/Logging_1761/tillsynsmail/A 5072-2021 tillsynsbegäran mail.docx", "A 5072-2021")</f>
        <v/>
      </c>
    </row>
    <row r="2523" ht="15" customHeight="1">
      <c r="A2523" t="inlineStr">
        <is>
          <t>A 41051-2023</t>
        </is>
      </c>
      <c r="B2523" s="1" t="n">
        <v>45173.62416666667</v>
      </c>
      <c r="C2523" s="1" t="n">
        <v>45932</v>
      </c>
      <c r="D2523" t="inlineStr">
        <is>
          <t>VÄRMLANDS LÄN</t>
        </is>
      </c>
      <c r="E2523" t="inlineStr">
        <is>
          <t>EDA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27292-2024</t>
        </is>
      </c>
      <c r="B2524" s="1" t="n">
        <v>45471.93378472222</v>
      </c>
      <c r="C2524" s="1" t="n">
        <v>45932</v>
      </c>
      <c r="D2524" t="inlineStr">
        <is>
          <t>VÄRMLANDS LÄN</t>
        </is>
      </c>
      <c r="E2524" t="inlineStr">
        <is>
          <t>TORSBY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45587-2023</t>
        </is>
      </c>
      <c r="B2525" s="1" t="n">
        <v>45194.62877314815</v>
      </c>
      <c r="C2525" s="1" t="n">
        <v>45932</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60533-2020</t>
        </is>
      </c>
      <c r="B2526" s="1" t="n">
        <v>44153</v>
      </c>
      <c r="C2526" s="1" t="n">
        <v>45932</v>
      </c>
      <c r="D2526" t="inlineStr">
        <is>
          <t>VÄRMLANDS LÄN</t>
        </is>
      </c>
      <c r="E2526" t="inlineStr">
        <is>
          <t>TORSBY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51985-2023</t>
        </is>
      </c>
      <c r="B2527" s="1" t="n">
        <v>45223.57947916666</v>
      </c>
      <c r="C2527" s="1" t="n">
        <v>45932</v>
      </c>
      <c r="D2527" t="inlineStr">
        <is>
          <t>VÄRMLANDS LÄN</t>
        </is>
      </c>
      <c r="E2527" t="inlineStr">
        <is>
          <t>FILIPSTAD</t>
        </is>
      </c>
      <c r="F2527" t="inlineStr">
        <is>
          <t>Bergvik skog väst AB</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45647-2023</t>
        </is>
      </c>
      <c r="B2528" s="1" t="n">
        <v>45194.70186342593</v>
      </c>
      <c r="C2528" s="1" t="n">
        <v>45932</v>
      </c>
      <c r="D2528" t="inlineStr">
        <is>
          <t>VÄRMLANDS LÄN</t>
        </is>
      </c>
      <c r="E2528" t="inlineStr">
        <is>
          <t>SÄFFLE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53570-2024</t>
        </is>
      </c>
      <c r="B2529" s="1" t="n">
        <v>45614.65956018519</v>
      </c>
      <c r="C2529" s="1" t="n">
        <v>45932</v>
      </c>
      <c r="D2529" t="inlineStr">
        <is>
          <t>VÄRMLANDS LÄN</t>
        </is>
      </c>
      <c r="E2529" t="inlineStr">
        <is>
          <t>TORSBY</t>
        </is>
      </c>
      <c r="G2529" t="n">
        <v>15.5</v>
      </c>
      <c r="H2529" t="n">
        <v>0</v>
      </c>
      <c r="I2529" t="n">
        <v>0</v>
      </c>
      <c r="J2529" t="n">
        <v>0</v>
      </c>
      <c r="K2529" t="n">
        <v>0</v>
      </c>
      <c r="L2529" t="n">
        <v>0</v>
      </c>
      <c r="M2529" t="n">
        <v>0</v>
      </c>
      <c r="N2529" t="n">
        <v>0</v>
      </c>
      <c r="O2529" t="n">
        <v>0</v>
      </c>
      <c r="P2529" t="n">
        <v>0</v>
      </c>
      <c r="Q2529" t="n">
        <v>0</v>
      </c>
      <c r="R2529" s="2" t="inlineStr"/>
    </row>
    <row r="2530" ht="15" customHeight="1">
      <c r="A2530" t="inlineStr">
        <is>
          <t>A 39145-2021</t>
        </is>
      </c>
      <c r="B2530" s="1" t="n">
        <v>44412</v>
      </c>
      <c r="C2530" s="1" t="n">
        <v>45932</v>
      </c>
      <c r="D2530" t="inlineStr">
        <is>
          <t>VÄRMLANDS LÄN</t>
        </is>
      </c>
      <c r="E2530" t="inlineStr">
        <is>
          <t>GRUMS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20337-2023</t>
        </is>
      </c>
      <c r="B2531" s="1" t="n">
        <v>45056.48157407407</v>
      </c>
      <c r="C2531" s="1" t="n">
        <v>45932</v>
      </c>
      <c r="D2531" t="inlineStr">
        <is>
          <t>VÄRMLANDS LÄN</t>
        </is>
      </c>
      <c r="E2531" t="inlineStr">
        <is>
          <t>ÅRJÄNG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60423-2022</t>
        </is>
      </c>
      <c r="B2532" s="1" t="n">
        <v>44911</v>
      </c>
      <c r="C2532" s="1" t="n">
        <v>45932</v>
      </c>
      <c r="D2532" t="inlineStr">
        <is>
          <t>VÄRMLANDS LÄN</t>
        </is>
      </c>
      <c r="E2532" t="inlineStr">
        <is>
          <t>SÄFFLE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35549-2022</t>
        </is>
      </c>
      <c r="B2533" s="1" t="n">
        <v>44799</v>
      </c>
      <c r="C2533" s="1" t="n">
        <v>45932</v>
      </c>
      <c r="D2533" t="inlineStr">
        <is>
          <t>VÄRMLANDS LÄN</t>
        </is>
      </c>
      <c r="E2533" t="inlineStr">
        <is>
          <t>EDA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2191-2025</t>
        </is>
      </c>
      <c r="B2534" s="1" t="n">
        <v>45672</v>
      </c>
      <c r="C2534" s="1" t="n">
        <v>45932</v>
      </c>
      <c r="D2534" t="inlineStr">
        <is>
          <t>VÄRMLANDS LÄN</t>
        </is>
      </c>
      <c r="E2534" t="inlineStr">
        <is>
          <t>SÄFFLE</t>
        </is>
      </c>
      <c r="G2534" t="n">
        <v>46.5</v>
      </c>
      <c r="H2534" t="n">
        <v>0</v>
      </c>
      <c r="I2534" t="n">
        <v>0</v>
      </c>
      <c r="J2534" t="n">
        <v>0</v>
      </c>
      <c r="K2534" t="n">
        <v>0</v>
      </c>
      <c r="L2534" t="n">
        <v>0</v>
      </c>
      <c r="M2534" t="n">
        <v>0</v>
      </c>
      <c r="N2534" t="n">
        <v>0</v>
      </c>
      <c r="O2534" t="n">
        <v>0</v>
      </c>
      <c r="P2534" t="n">
        <v>0</v>
      </c>
      <c r="Q2534" t="n">
        <v>0</v>
      </c>
      <c r="R2534" s="2" t="inlineStr"/>
    </row>
    <row r="2535" ht="15" customHeight="1">
      <c r="A2535" t="inlineStr">
        <is>
          <t>A 20393-2023</t>
        </is>
      </c>
      <c r="B2535" s="1" t="n">
        <v>45056</v>
      </c>
      <c r="C2535" s="1" t="n">
        <v>45932</v>
      </c>
      <c r="D2535" t="inlineStr">
        <is>
          <t>VÄRMLANDS LÄN</t>
        </is>
      </c>
      <c r="E2535" t="inlineStr">
        <is>
          <t>TORSBY</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14917-2023</t>
        </is>
      </c>
      <c r="B2536" s="1" t="n">
        <v>45015.39938657408</v>
      </c>
      <c r="C2536" s="1" t="n">
        <v>45932</v>
      </c>
      <c r="D2536" t="inlineStr">
        <is>
          <t>VÄRMLANDS LÄN</t>
        </is>
      </c>
      <c r="E2536" t="inlineStr">
        <is>
          <t>TORSBY</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14923-2023</t>
        </is>
      </c>
      <c r="B2537" s="1" t="n">
        <v>45015.42163194445</v>
      </c>
      <c r="C2537" s="1" t="n">
        <v>45932</v>
      </c>
      <c r="D2537" t="inlineStr">
        <is>
          <t>VÄRMLANDS LÄN</t>
        </is>
      </c>
      <c r="E2537" t="inlineStr">
        <is>
          <t>EDA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1014-2023</t>
        </is>
      </c>
      <c r="B2538" s="1" t="n">
        <v>44935.45408564815</v>
      </c>
      <c r="C2538" s="1" t="n">
        <v>45932</v>
      </c>
      <c r="D2538" t="inlineStr">
        <is>
          <t>VÄRMLANDS LÄN</t>
        </is>
      </c>
      <c r="E2538" t="inlineStr">
        <is>
          <t>SUNNE</t>
        </is>
      </c>
      <c r="F2538" t="inlineStr">
        <is>
          <t>Bergvik skog väst AB</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38486-2022</t>
        </is>
      </c>
      <c r="B2539" s="1" t="n">
        <v>44813</v>
      </c>
      <c r="C2539" s="1" t="n">
        <v>45932</v>
      </c>
      <c r="D2539" t="inlineStr">
        <is>
          <t>VÄRMLANDS LÄN</t>
        </is>
      </c>
      <c r="E2539" t="inlineStr">
        <is>
          <t>TORSBY</t>
        </is>
      </c>
      <c r="F2539" t="inlineStr">
        <is>
          <t>Bergvik skog väst AB</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18105-2022</t>
        </is>
      </c>
      <c r="B2540" s="1" t="n">
        <v>44684</v>
      </c>
      <c r="C2540" s="1" t="n">
        <v>45932</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18115-2022</t>
        </is>
      </c>
      <c r="B2541" s="1" t="n">
        <v>44684.5047337963</v>
      </c>
      <c r="C2541" s="1" t="n">
        <v>45932</v>
      </c>
      <c r="D2541" t="inlineStr">
        <is>
          <t>VÄRMLANDS LÄN</t>
        </is>
      </c>
      <c r="E2541" t="inlineStr">
        <is>
          <t>SUNNE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18138-2022</t>
        </is>
      </c>
      <c r="B2542" s="1" t="n">
        <v>44684.58184027778</v>
      </c>
      <c r="C2542" s="1" t="n">
        <v>45932</v>
      </c>
      <c r="D2542" t="inlineStr">
        <is>
          <t>VÄRMLANDS LÄN</t>
        </is>
      </c>
      <c r="E2542" t="inlineStr">
        <is>
          <t>FILIPSTAD</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17011-2024</t>
        </is>
      </c>
      <c r="B2543" s="1" t="n">
        <v>45412</v>
      </c>
      <c r="C2543" s="1" t="n">
        <v>45932</v>
      </c>
      <c r="D2543" t="inlineStr">
        <is>
          <t>VÄRMLANDS LÄN</t>
        </is>
      </c>
      <c r="E2543" t="inlineStr">
        <is>
          <t>ARVIKA</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33334-2022</t>
        </is>
      </c>
      <c r="B2544" s="1" t="n">
        <v>44788</v>
      </c>
      <c r="C2544" s="1" t="n">
        <v>45932</v>
      </c>
      <c r="D2544" t="inlineStr">
        <is>
          <t>VÄRMLANDS LÄN</t>
        </is>
      </c>
      <c r="E2544" t="inlineStr">
        <is>
          <t>KARLSTAD</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16519-2025</t>
        </is>
      </c>
      <c r="B2545" s="1" t="n">
        <v>45751</v>
      </c>
      <c r="C2545" s="1" t="n">
        <v>45932</v>
      </c>
      <c r="D2545" t="inlineStr">
        <is>
          <t>VÄRMLANDS LÄN</t>
        </is>
      </c>
      <c r="E2545" t="inlineStr">
        <is>
          <t>ÅRJÄNG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16558-2025</t>
        </is>
      </c>
      <c r="B2546" s="1" t="n">
        <v>45751</v>
      </c>
      <c r="C2546" s="1" t="n">
        <v>45932</v>
      </c>
      <c r="D2546" t="inlineStr">
        <is>
          <t>VÄRMLANDS LÄN</t>
        </is>
      </c>
      <c r="E2546" t="inlineStr">
        <is>
          <t>ARVIKA</t>
        </is>
      </c>
      <c r="F2546" t="inlineStr">
        <is>
          <t>Kommuner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7244-2023</t>
        </is>
      </c>
      <c r="B2547" s="1" t="n">
        <v>44970.61927083333</v>
      </c>
      <c r="C2547" s="1" t="n">
        <v>45932</v>
      </c>
      <c r="D2547" t="inlineStr">
        <is>
          <t>VÄRMLANDS LÄN</t>
        </is>
      </c>
      <c r="E2547" t="inlineStr">
        <is>
          <t>EDA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16645-2025</t>
        </is>
      </c>
      <c r="B2548" s="1" t="n">
        <v>45754</v>
      </c>
      <c r="C2548" s="1" t="n">
        <v>45932</v>
      </c>
      <c r="D2548" t="inlineStr">
        <is>
          <t>VÄRMLANDS LÄN</t>
        </is>
      </c>
      <c r="E2548" t="inlineStr">
        <is>
          <t>STORFORS</t>
        </is>
      </c>
      <c r="F2548" t="inlineStr">
        <is>
          <t>Bergvik skog väst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67084-2020</t>
        </is>
      </c>
      <c r="B2549" s="1" t="n">
        <v>44179</v>
      </c>
      <c r="C2549" s="1" t="n">
        <v>45932</v>
      </c>
      <c r="D2549" t="inlineStr">
        <is>
          <t>VÄRMLANDS LÄN</t>
        </is>
      </c>
      <c r="E2549" t="inlineStr">
        <is>
          <t>TORSBY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10892-2022</t>
        </is>
      </c>
      <c r="B2550" s="1" t="n">
        <v>44627.77988425926</v>
      </c>
      <c r="C2550" s="1" t="n">
        <v>45932</v>
      </c>
      <c r="D2550" t="inlineStr">
        <is>
          <t>VÄRMLANDS LÄN</t>
        </is>
      </c>
      <c r="E2550" t="inlineStr">
        <is>
          <t>GRUMS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54141-2024</t>
        </is>
      </c>
      <c r="B2551" s="1" t="n">
        <v>45616</v>
      </c>
      <c r="C2551" s="1" t="n">
        <v>45932</v>
      </c>
      <c r="D2551" t="inlineStr">
        <is>
          <t>VÄRMLANDS LÄN</t>
        </is>
      </c>
      <c r="E2551" t="inlineStr">
        <is>
          <t>KARLSTAD</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17704-2023</t>
        </is>
      </c>
      <c r="B2552" s="1" t="n">
        <v>45035</v>
      </c>
      <c r="C2552" s="1" t="n">
        <v>45932</v>
      </c>
      <c r="D2552" t="inlineStr">
        <is>
          <t>VÄRMLANDS LÄN</t>
        </is>
      </c>
      <c r="E2552" t="inlineStr">
        <is>
          <t>ARVIKA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55719-2024</t>
        </is>
      </c>
      <c r="B2553" s="1" t="n">
        <v>45622.72836805556</v>
      </c>
      <c r="C2553" s="1" t="n">
        <v>45932</v>
      </c>
      <c r="D2553" t="inlineStr">
        <is>
          <t>VÄRMLANDS LÄN</t>
        </is>
      </c>
      <c r="E2553" t="inlineStr">
        <is>
          <t>KRISTINEHAMN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54173-2024</t>
        </is>
      </c>
      <c r="B2554" s="1" t="n">
        <v>45616</v>
      </c>
      <c r="C2554" s="1" t="n">
        <v>45932</v>
      </c>
      <c r="D2554" t="inlineStr">
        <is>
          <t>VÄRMLANDS LÄN</t>
        </is>
      </c>
      <c r="E2554" t="inlineStr">
        <is>
          <t>EDA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10565-2021</t>
        </is>
      </c>
      <c r="B2555" s="1" t="n">
        <v>44258</v>
      </c>
      <c r="C2555" s="1" t="n">
        <v>45932</v>
      </c>
      <c r="D2555" t="inlineStr">
        <is>
          <t>VÄRMLANDS LÄN</t>
        </is>
      </c>
      <c r="E2555" t="inlineStr">
        <is>
          <t>SÄFFLE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15171-2021</t>
        </is>
      </c>
      <c r="B2556" s="1" t="n">
        <v>44284.38730324074</v>
      </c>
      <c r="C2556" s="1" t="n">
        <v>45932</v>
      </c>
      <c r="D2556" t="inlineStr">
        <is>
          <t>VÄRMLANDS LÄN</t>
        </is>
      </c>
      <c r="E2556" t="inlineStr">
        <is>
          <t>SUNNE</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17460-2023</t>
        </is>
      </c>
      <c r="B2557" s="1" t="n">
        <v>45036</v>
      </c>
      <c r="C2557" s="1" t="n">
        <v>45932</v>
      </c>
      <c r="D2557" t="inlineStr">
        <is>
          <t>VÄRMLANDS LÄN</t>
        </is>
      </c>
      <c r="E2557" t="inlineStr">
        <is>
          <t>ARVIKA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7299-2023</t>
        </is>
      </c>
      <c r="B2558" s="1" t="n">
        <v>44970</v>
      </c>
      <c r="C2558" s="1" t="n">
        <v>45932</v>
      </c>
      <c r="D2558" t="inlineStr">
        <is>
          <t>VÄRMLANDS LÄN</t>
        </is>
      </c>
      <c r="E2558" t="inlineStr">
        <is>
          <t>FORSHAGA</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16104-2022</t>
        </is>
      </c>
      <c r="B2559" s="1" t="n">
        <v>44665.60780092593</v>
      </c>
      <c r="C2559" s="1" t="n">
        <v>45932</v>
      </c>
      <c r="D2559" t="inlineStr">
        <is>
          <t>VÄRMLANDS LÄN</t>
        </is>
      </c>
      <c r="E2559" t="inlineStr">
        <is>
          <t>ARVIKA</t>
        </is>
      </c>
      <c r="F2559" t="inlineStr">
        <is>
          <t>Bergvik skog väst AB</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27442-2022</t>
        </is>
      </c>
      <c r="B2560" s="1" t="n">
        <v>44742</v>
      </c>
      <c r="C2560" s="1" t="n">
        <v>45932</v>
      </c>
      <c r="D2560" t="inlineStr">
        <is>
          <t>VÄRMLANDS LÄN</t>
        </is>
      </c>
      <c r="E2560" t="inlineStr">
        <is>
          <t>SUNNE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51940-2020</t>
        </is>
      </c>
      <c r="B2561" s="1" t="n">
        <v>44109</v>
      </c>
      <c r="C2561" s="1" t="n">
        <v>45932</v>
      </c>
      <c r="D2561" t="inlineStr">
        <is>
          <t>VÄRMLANDS LÄN</t>
        </is>
      </c>
      <c r="E2561" t="inlineStr">
        <is>
          <t>STORFORS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10501-2021</t>
        </is>
      </c>
      <c r="B2562" s="1" t="n">
        <v>44258</v>
      </c>
      <c r="C2562" s="1" t="n">
        <v>45932</v>
      </c>
      <c r="D2562" t="inlineStr">
        <is>
          <t>VÄRMLANDS LÄN</t>
        </is>
      </c>
      <c r="E2562" t="inlineStr">
        <is>
          <t>FILIPSTAD</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249-2022</t>
        </is>
      </c>
      <c r="B2563" s="1" t="n">
        <v>44565</v>
      </c>
      <c r="C2563" s="1" t="n">
        <v>45932</v>
      </c>
      <c r="D2563" t="inlineStr">
        <is>
          <t>VÄRMLANDS LÄN</t>
        </is>
      </c>
      <c r="E2563" t="inlineStr">
        <is>
          <t>KIL</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29426-2022</t>
        </is>
      </c>
      <c r="B2564" s="1" t="n">
        <v>44753</v>
      </c>
      <c r="C2564" s="1" t="n">
        <v>45932</v>
      </c>
      <c r="D2564" t="inlineStr">
        <is>
          <t>VÄRMLANDS LÄN</t>
        </is>
      </c>
      <c r="E2564" t="inlineStr">
        <is>
          <t>GRUMS</t>
        </is>
      </c>
      <c r="F2564" t="inlineStr">
        <is>
          <t>Bergvik skog väst AB</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58935-2024</t>
        </is>
      </c>
      <c r="B2565" s="1" t="n">
        <v>45636</v>
      </c>
      <c r="C2565" s="1" t="n">
        <v>45932</v>
      </c>
      <c r="D2565" t="inlineStr">
        <is>
          <t>VÄRMLANDS LÄN</t>
        </is>
      </c>
      <c r="E2565" t="inlineStr">
        <is>
          <t>KIL</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25580-2021</t>
        </is>
      </c>
      <c r="B2566" s="1" t="n">
        <v>44343</v>
      </c>
      <c r="C2566" s="1" t="n">
        <v>45932</v>
      </c>
      <c r="D2566" t="inlineStr">
        <is>
          <t>VÄRMLANDS LÄN</t>
        </is>
      </c>
      <c r="E2566" t="inlineStr">
        <is>
          <t>SÄFFLE</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14893-2024</t>
        </is>
      </c>
      <c r="B2567" s="1" t="n">
        <v>45398</v>
      </c>
      <c r="C2567" s="1" t="n">
        <v>45932</v>
      </c>
      <c r="D2567" t="inlineStr">
        <is>
          <t>VÄRMLANDS LÄN</t>
        </is>
      </c>
      <c r="E2567" t="inlineStr">
        <is>
          <t>SÄFFLE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3374-2025</t>
        </is>
      </c>
      <c r="B2568" s="1" t="n">
        <v>45680</v>
      </c>
      <c r="C2568" s="1" t="n">
        <v>45932</v>
      </c>
      <c r="D2568" t="inlineStr">
        <is>
          <t>VÄRMLANDS LÄN</t>
        </is>
      </c>
      <c r="E2568" t="inlineStr">
        <is>
          <t>EDA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46473-2024</t>
        </is>
      </c>
      <c r="B2569" s="1" t="n">
        <v>45582</v>
      </c>
      <c r="C2569" s="1" t="n">
        <v>45932</v>
      </c>
      <c r="D2569" t="inlineStr">
        <is>
          <t>VÄRMLANDS LÄN</t>
        </is>
      </c>
      <c r="E2569" t="inlineStr">
        <is>
          <t>ÅRJÄNG</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1125-2025</t>
        </is>
      </c>
      <c r="B2570" s="1" t="n">
        <v>45666.67696759259</v>
      </c>
      <c r="C2570" s="1" t="n">
        <v>45932</v>
      </c>
      <c r="D2570" t="inlineStr">
        <is>
          <t>VÄRMLANDS LÄN</t>
        </is>
      </c>
      <c r="E2570" t="inlineStr">
        <is>
          <t>SUNNE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16065-2022</t>
        </is>
      </c>
      <c r="B2571" s="1" t="n">
        <v>44665.50206018519</v>
      </c>
      <c r="C2571" s="1" t="n">
        <v>45932</v>
      </c>
      <c r="D2571" t="inlineStr">
        <is>
          <t>VÄRMLANDS LÄN</t>
        </is>
      </c>
      <c r="E2571" t="inlineStr">
        <is>
          <t>EDA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62428-2022</t>
        </is>
      </c>
      <c r="B2572" s="1" t="n">
        <v>44924</v>
      </c>
      <c r="C2572" s="1" t="n">
        <v>45932</v>
      </c>
      <c r="D2572" t="inlineStr">
        <is>
          <t>VÄRMLANDS LÄN</t>
        </is>
      </c>
      <c r="E2572" t="inlineStr">
        <is>
          <t>ARVIKA</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46792-2024</t>
        </is>
      </c>
      <c r="B2573" s="1" t="n">
        <v>45583</v>
      </c>
      <c r="C2573" s="1" t="n">
        <v>45932</v>
      </c>
      <c r="D2573" t="inlineStr">
        <is>
          <t>VÄRMLANDS LÄN</t>
        </is>
      </c>
      <c r="E2573" t="inlineStr">
        <is>
          <t>SUNNE</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53044-2024</t>
        </is>
      </c>
      <c r="B2574" s="1" t="n">
        <v>45611.44701388889</v>
      </c>
      <c r="C2574" s="1" t="n">
        <v>45932</v>
      </c>
      <c r="D2574" t="inlineStr">
        <is>
          <t>VÄRMLANDS LÄN</t>
        </is>
      </c>
      <c r="E2574" t="inlineStr">
        <is>
          <t>TORSBY</t>
        </is>
      </c>
      <c r="F2574" t="inlineStr">
        <is>
          <t>Kyrkan</t>
        </is>
      </c>
      <c r="G2574" t="n">
        <v>25.8</v>
      </c>
      <c r="H2574" t="n">
        <v>0</v>
      </c>
      <c r="I2574" t="n">
        <v>0</v>
      </c>
      <c r="J2574" t="n">
        <v>0</v>
      </c>
      <c r="K2574" t="n">
        <v>0</v>
      </c>
      <c r="L2574" t="n">
        <v>0</v>
      </c>
      <c r="M2574" t="n">
        <v>0</v>
      </c>
      <c r="N2574" t="n">
        <v>0</v>
      </c>
      <c r="O2574" t="n">
        <v>0</v>
      </c>
      <c r="P2574" t="n">
        <v>0</v>
      </c>
      <c r="Q2574" t="n">
        <v>0</v>
      </c>
      <c r="R2574" s="2" t="inlineStr"/>
    </row>
    <row r="2575" ht="15" customHeight="1">
      <c r="A2575" t="inlineStr">
        <is>
          <t>A 7574-2024</t>
        </is>
      </c>
      <c r="B2575" s="1" t="n">
        <v>45348</v>
      </c>
      <c r="C2575" s="1" t="n">
        <v>45932</v>
      </c>
      <c r="D2575" t="inlineStr">
        <is>
          <t>VÄRMLANDS LÄN</t>
        </is>
      </c>
      <c r="E2575" t="inlineStr">
        <is>
          <t>ÅRJÄNG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7583-2024</t>
        </is>
      </c>
      <c r="B2576" s="1" t="n">
        <v>45348.49320601852</v>
      </c>
      <c r="C2576" s="1" t="n">
        <v>45932</v>
      </c>
      <c r="D2576" t="inlineStr">
        <is>
          <t>VÄRMLANDS LÄN</t>
        </is>
      </c>
      <c r="E2576" t="inlineStr">
        <is>
          <t>ARVIKA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16151-2025</t>
        </is>
      </c>
      <c r="B2577" s="1" t="n">
        <v>45750</v>
      </c>
      <c r="C2577" s="1" t="n">
        <v>45932</v>
      </c>
      <c r="D2577" t="inlineStr">
        <is>
          <t>VÄRMLANDS LÄN</t>
        </is>
      </c>
      <c r="E2577" t="inlineStr">
        <is>
          <t>ARVIKA</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15470-2025</t>
        </is>
      </c>
      <c r="B2578" s="1" t="n">
        <v>45747</v>
      </c>
      <c r="C2578" s="1" t="n">
        <v>45932</v>
      </c>
      <c r="D2578" t="inlineStr">
        <is>
          <t>VÄRMLANDS LÄN</t>
        </is>
      </c>
      <c r="E2578" t="inlineStr">
        <is>
          <t>KIL</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13650-2023</t>
        </is>
      </c>
      <c r="B2579" s="1" t="n">
        <v>45006.67759259259</v>
      </c>
      <c r="C2579" s="1" t="n">
        <v>45932</v>
      </c>
      <c r="D2579" t="inlineStr">
        <is>
          <t>VÄRMLANDS LÄN</t>
        </is>
      </c>
      <c r="E2579" t="inlineStr">
        <is>
          <t>SÄFFLE</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53084-2024</t>
        </is>
      </c>
      <c r="B2580" s="1" t="n">
        <v>45611.50719907408</v>
      </c>
      <c r="C2580" s="1" t="n">
        <v>45932</v>
      </c>
      <c r="D2580" t="inlineStr">
        <is>
          <t>VÄRMLANDS LÄN</t>
        </is>
      </c>
      <c r="E2580" t="inlineStr">
        <is>
          <t>ARVIKA</t>
        </is>
      </c>
      <c r="F2580" t="inlineStr">
        <is>
          <t>Bergvik skog väst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17039-2025</t>
        </is>
      </c>
      <c r="B2581" s="1" t="n">
        <v>45754</v>
      </c>
      <c r="C2581" s="1" t="n">
        <v>45932</v>
      </c>
      <c r="D2581" t="inlineStr">
        <is>
          <t>VÄRMLANDS LÄN</t>
        </is>
      </c>
      <c r="E2581" t="inlineStr">
        <is>
          <t>TORSBY</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17043-2025</t>
        </is>
      </c>
      <c r="B2582" s="1" t="n">
        <v>45755.58814814815</v>
      </c>
      <c r="C2582" s="1" t="n">
        <v>45932</v>
      </c>
      <c r="D2582" t="inlineStr">
        <is>
          <t>VÄRMLANDS LÄN</t>
        </is>
      </c>
      <c r="E2582" t="inlineStr">
        <is>
          <t>SUNNE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17062-2025</t>
        </is>
      </c>
      <c r="B2583" s="1" t="n">
        <v>45754</v>
      </c>
      <c r="C2583" s="1" t="n">
        <v>45932</v>
      </c>
      <c r="D2583" t="inlineStr">
        <is>
          <t>VÄRMLANDS LÄN</t>
        </is>
      </c>
      <c r="E2583" t="inlineStr">
        <is>
          <t>TORSBY</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23567-2021</t>
        </is>
      </c>
      <c r="B2584" s="1" t="n">
        <v>44333</v>
      </c>
      <c r="C2584" s="1" t="n">
        <v>45932</v>
      </c>
      <c r="D2584" t="inlineStr">
        <is>
          <t>VÄRMLANDS LÄN</t>
        </is>
      </c>
      <c r="E2584" t="inlineStr">
        <is>
          <t>KRISTINEHAMN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16466-2021</t>
        </is>
      </c>
      <c r="B2585" s="1" t="n">
        <v>44292</v>
      </c>
      <c r="C2585" s="1" t="n">
        <v>45932</v>
      </c>
      <c r="D2585" t="inlineStr">
        <is>
          <t>VÄRMLANDS LÄN</t>
        </is>
      </c>
      <c r="E2585" t="inlineStr">
        <is>
          <t>GRUMS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47949-2021</t>
        </is>
      </c>
      <c r="B2586" s="1" t="n">
        <v>44448</v>
      </c>
      <c r="C2586" s="1" t="n">
        <v>45932</v>
      </c>
      <c r="D2586" t="inlineStr">
        <is>
          <t>VÄRMLANDS LÄN</t>
        </is>
      </c>
      <c r="E2586" t="inlineStr">
        <is>
          <t>KRISTINEHAMN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26823-2022</t>
        </is>
      </c>
      <c r="B2587" s="1" t="n">
        <v>44740</v>
      </c>
      <c r="C2587" s="1" t="n">
        <v>45932</v>
      </c>
      <c r="D2587" t="inlineStr">
        <is>
          <t>VÄRMLANDS LÄN</t>
        </is>
      </c>
      <c r="E2587" t="inlineStr">
        <is>
          <t>EDA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33254-2021</t>
        </is>
      </c>
      <c r="B2588" s="1" t="n">
        <v>44377</v>
      </c>
      <c r="C2588" s="1" t="n">
        <v>45932</v>
      </c>
      <c r="D2588" t="inlineStr">
        <is>
          <t>VÄRMLANDS LÄN</t>
        </is>
      </c>
      <c r="E2588" t="inlineStr">
        <is>
          <t>EDA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51915-2023</t>
        </is>
      </c>
      <c r="B2589" s="1" t="n">
        <v>45223.46148148148</v>
      </c>
      <c r="C2589" s="1" t="n">
        <v>45932</v>
      </c>
      <c r="D2589" t="inlineStr">
        <is>
          <t>VÄRMLANDS LÄN</t>
        </is>
      </c>
      <c r="E2589" t="inlineStr">
        <is>
          <t>HAGFORS</t>
        </is>
      </c>
      <c r="F2589" t="inlineStr">
        <is>
          <t>Bergvik skog väst AB</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10572-2025</t>
        </is>
      </c>
      <c r="B2590" s="1" t="n">
        <v>45721</v>
      </c>
      <c r="C2590" s="1" t="n">
        <v>45932</v>
      </c>
      <c r="D2590" t="inlineStr">
        <is>
          <t>VÄRMLANDS LÄN</t>
        </is>
      </c>
      <c r="E2590" t="inlineStr">
        <is>
          <t>ARVIKA</t>
        </is>
      </c>
      <c r="F2590" t="inlineStr">
        <is>
          <t>Bergvik skog väst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10648-2023</t>
        </is>
      </c>
      <c r="B2591" s="1" t="n">
        <v>44984</v>
      </c>
      <c r="C2591" s="1" t="n">
        <v>45932</v>
      </c>
      <c r="D2591" t="inlineStr">
        <is>
          <t>VÄRMLANDS LÄN</t>
        </is>
      </c>
      <c r="E2591" t="inlineStr">
        <is>
          <t>ÅRJÄNG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10574-2025</t>
        </is>
      </c>
      <c r="B2592" s="1" t="n">
        <v>45721.54355324074</v>
      </c>
      <c r="C2592" s="1" t="n">
        <v>45932</v>
      </c>
      <c r="D2592" t="inlineStr">
        <is>
          <t>VÄRMLANDS LÄN</t>
        </is>
      </c>
      <c r="E2592" t="inlineStr">
        <is>
          <t>ARVIKA</t>
        </is>
      </c>
      <c r="F2592" t="inlineStr">
        <is>
          <t>Bergvik skog väst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38753-2022</t>
        </is>
      </c>
      <c r="B2593" s="1" t="n">
        <v>44816.36002314815</v>
      </c>
      <c r="C2593" s="1" t="n">
        <v>45932</v>
      </c>
      <c r="D2593" t="inlineStr">
        <is>
          <t>VÄRMLANDS LÄN</t>
        </is>
      </c>
      <c r="E2593" t="inlineStr">
        <is>
          <t>SUNNE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28437-2021</t>
        </is>
      </c>
      <c r="B2594" s="1" t="n">
        <v>44356.53327546296</v>
      </c>
      <c r="C2594" s="1" t="n">
        <v>45932</v>
      </c>
      <c r="D2594" t="inlineStr">
        <is>
          <t>VÄRMLANDS LÄN</t>
        </is>
      </c>
      <c r="E2594" t="inlineStr">
        <is>
          <t>ÅRJÄNG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35571-2023</t>
        </is>
      </c>
      <c r="B2595" s="1" t="n">
        <v>45147.46740740741</v>
      </c>
      <c r="C2595" s="1" t="n">
        <v>45932</v>
      </c>
      <c r="D2595" t="inlineStr">
        <is>
          <t>VÄRMLANDS LÄN</t>
        </is>
      </c>
      <c r="E2595" t="inlineStr">
        <is>
          <t>ARVIKA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7456-2023</t>
        </is>
      </c>
      <c r="B2596" s="1" t="n">
        <v>44971.6133912037</v>
      </c>
      <c r="C2596" s="1" t="n">
        <v>45932</v>
      </c>
      <c r="D2596" t="inlineStr">
        <is>
          <t>VÄRMLANDS LÄN</t>
        </is>
      </c>
      <c r="E2596" t="inlineStr">
        <is>
          <t>ARVIKA</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38531-2023</t>
        </is>
      </c>
      <c r="B2597" s="1" t="n">
        <v>45162.57219907407</v>
      </c>
      <c r="C2597" s="1" t="n">
        <v>45932</v>
      </c>
      <c r="D2597" t="inlineStr">
        <is>
          <t>VÄRMLANDS LÄN</t>
        </is>
      </c>
      <c r="E2597" t="inlineStr">
        <is>
          <t>ARVIKA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7056-2023</t>
        </is>
      </c>
      <c r="B2598" s="1" t="n">
        <v>44969</v>
      </c>
      <c r="C2598" s="1" t="n">
        <v>45932</v>
      </c>
      <c r="D2598" t="inlineStr">
        <is>
          <t>VÄRMLANDS LÄN</t>
        </is>
      </c>
      <c r="E2598" t="inlineStr">
        <is>
          <t>SUNNE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38699-2022</t>
        </is>
      </c>
      <c r="B2599" s="1" t="n">
        <v>44814.53259259259</v>
      </c>
      <c r="C2599" s="1" t="n">
        <v>45932</v>
      </c>
      <c r="D2599" t="inlineStr">
        <is>
          <t>VÄRMLANDS LÄN</t>
        </is>
      </c>
      <c r="E2599" t="inlineStr">
        <is>
          <t>TORSBY</t>
        </is>
      </c>
      <c r="F2599" t="inlineStr">
        <is>
          <t>Bergvik skog väst AB</t>
        </is>
      </c>
      <c r="G2599" t="n">
        <v>22.6</v>
      </c>
      <c r="H2599" t="n">
        <v>0</v>
      </c>
      <c r="I2599" t="n">
        <v>0</v>
      </c>
      <c r="J2599" t="n">
        <v>0</v>
      </c>
      <c r="K2599" t="n">
        <v>0</v>
      </c>
      <c r="L2599" t="n">
        <v>0</v>
      </c>
      <c r="M2599" t="n">
        <v>0</v>
      </c>
      <c r="N2599" t="n">
        <v>0</v>
      </c>
      <c r="O2599" t="n">
        <v>0</v>
      </c>
      <c r="P2599" t="n">
        <v>0</v>
      </c>
      <c r="Q2599" t="n">
        <v>0</v>
      </c>
      <c r="R2599" s="2" t="inlineStr"/>
    </row>
    <row r="2600" ht="15" customHeight="1">
      <c r="A2600" t="inlineStr">
        <is>
          <t>A 38621-2023</t>
        </is>
      </c>
      <c r="B2600" s="1" t="n">
        <v>45162</v>
      </c>
      <c r="C2600" s="1" t="n">
        <v>45932</v>
      </c>
      <c r="D2600" t="inlineStr">
        <is>
          <t>VÄRMLANDS LÄN</t>
        </is>
      </c>
      <c r="E2600" t="inlineStr">
        <is>
          <t>SÄFFLE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18479-2022</t>
        </is>
      </c>
      <c r="B2601" s="1" t="n">
        <v>44686</v>
      </c>
      <c r="C2601" s="1" t="n">
        <v>45932</v>
      </c>
      <c r="D2601" t="inlineStr">
        <is>
          <t>VÄRMLANDS LÄN</t>
        </is>
      </c>
      <c r="E2601" t="inlineStr">
        <is>
          <t>SÄFFLE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43088-2023</t>
        </is>
      </c>
      <c r="B2602" s="1" t="n">
        <v>45182</v>
      </c>
      <c r="C2602" s="1" t="n">
        <v>45932</v>
      </c>
      <c r="D2602" t="inlineStr">
        <is>
          <t>VÄRMLANDS LÄN</t>
        </is>
      </c>
      <c r="E2602" t="inlineStr">
        <is>
          <t>SUNNE</t>
        </is>
      </c>
      <c r="G2602" t="n">
        <v>12.9</v>
      </c>
      <c r="H2602" t="n">
        <v>0</v>
      </c>
      <c r="I2602" t="n">
        <v>0</v>
      </c>
      <c r="J2602" t="n">
        <v>0</v>
      </c>
      <c r="K2602" t="n">
        <v>0</v>
      </c>
      <c r="L2602" t="n">
        <v>0</v>
      </c>
      <c r="M2602" t="n">
        <v>0</v>
      </c>
      <c r="N2602" t="n">
        <v>0</v>
      </c>
      <c r="O2602" t="n">
        <v>0</v>
      </c>
      <c r="P2602" t="n">
        <v>0</v>
      </c>
      <c r="Q2602" t="n">
        <v>0</v>
      </c>
      <c r="R2602" s="2" t="inlineStr"/>
    </row>
    <row r="2603" ht="15" customHeight="1">
      <c r="A2603" t="inlineStr">
        <is>
          <t>A 53382-2020</t>
        </is>
      </c>
      <c r="B2603" s="1" t="n">
        <v>44123</v>
      </c>
      <c r="C2603" s="1" t="n">
        <v>45932</v>
      </c>
      <c r="D2603" t="inlineStr">
        <is>
          <t>VÄRMLANDS LÄN</t>
        </is>
      </c>
      <c r="E2603" t="inlineStr">
        <is>
          <t>ARVIKA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19614-2022</t>
        </is>
      </c>
      <c r="B2604" s="1" t="n">
        <v>44694</v>
      </c>
      <c r="C2604" s="1" t="n">
        <v>45932</v>
      </c>
      <c r="D2604" t="inlineStr">
        <is>
          <t>VÄRMLANDS LÄN</t>
        </is>
      </c>
      <c r="E2604" t="inlineStr">
        <is>
          <t>TORSBY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31351-2024</t>
        </is>
      </c>
      <c r="B2605" s="1" t="n">
        <v>45505</v>
      </c>
      <c r="C2605" s="1" t="n">
        <v>45932</v>
      </c>
      <c r="D2605" t="inlineStr">
        <is>
          <t>VÄRMLANDS LÄN</t>
        </is>
      </c>
      <c r="E2605" t="inlineStr">
        <is>
          <t>TORSBY</t>
        </is>
      </c>
      <c r="F2605" t="inlineStr">
        <is>
          <t>Kyrkan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1547-2024</t>
        </is>
      </c>
      <c r="B2606" s="1" t="n">
        <v>45306.48456018518</v>
      </c>
      <c r="C2606" s="1" t="n">
        <v>45932</v>
      </c>
      <c r="D2606" t="inlineStr">
        <is>
          <t>VÄRMLANDS LÄN</t>
        </is>
      </c>
      <c r="E2606" t="inlineStr">
        <is>
          <t>TORSBY</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69384-2020</t>
        </is>
      </c>
      <c r="B2607" s="1" t="n">
        <v>44193</v>
      </c>
      <c r="C2607" s="1" t="n">
        <v>45932</v>
      </c>
      <c r="D2607" t="inlineStr">
        <is>
          <t>VÄRMLANDS LÄN</t>
        </is>
      </c>
      <c r="E2607" t="inlineStr">
        <is>
          <t>KRISTINEHAMN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32332-2023</t>
        </is>
      </c>
      <c r="B2608" s="1" t="n">
        <v>45110</v>
      </c>
      <c r="C2608" s="1" t="n">
        <v>45932</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32367-2023</t>
        </is>
      </c>
      <c r="B2609" s="1" t="n">
        <v>45120.57167824074</v>
      </c>
      <c r="C2609" s="1" t="n">
        <v>45932</v>
      </c>
      <c r="D2609" t="inlineStr">
        <is>
          <t>VÄRMLANDS LÄN</t>
        </is>
      </c>
      <c r="E2609" t="inlineStr">
        <is>
          <t>ÅRJÄNG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32373-2023</t>
        </is>
      </c>
      <c r="B2610" s="1" t="n">
        <v>45120.58025462963</v>
      </c>
      <c r="C2610" s="1" t="n">
        <v>45932</v>
      </c>
      <c r="D2610" t="inlineStr">
        <is>
          <t>VÄRMLANDS LÄN</t>
        </is>
      </c>
      <c r="E2610" t="inlineStr">
        <is>
          <t>ÅRJÄNG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32404-2023</t>
        </is>
      </c>
      <c r="B2611" s="1" t="n">
        <v>45110</v>
      </c>
      <c r="C2611" s="1" t="n">
        <v>45932</v>
      </c>
      <c r="D2611" t="inlineStr">
        <is>
          <t>VÄRMLANDS LÄN</t>
        </is>
      </c>
      <c r="E2611" t="inlineStr">
        <is>
          <t>KRISTINEHAMN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17305-2023</t>
        </is>
      </c>
      <c r="B2612" s="1" t="n">
        <v>45035</v>
      </c>
      <c r="C2612" s="1" t="n">
        <v>45932</v>
      </c>
      <c r="D2612" t="inlineStr">
        <is>
          <t>VÄRMLANDS LÄN</t>
        </is>
      </c>
      <c r="E2612" t="inlineStr">
        <is>
          <t>HAGFORS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17358-2023</t>
        </is>
      </c>
      <c r="B2613" s="1" t="n">
        <v>45035.59483796296</v>
      </c>
      <c r="C2613" s="1" t="n">
        <v>45932</v>
      </c>
      <c r="D2613" t="inlineStr">
        <is>
          <t>VÄRMLANDS LÄN</t>
        </is>
      </c>
      <c r="E2613" t="inlineStr">
        <is>
          <t>SUNNE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47119-2021</t>
        </is>
      </c>
      <c r="B2614" s="1" t="n">
        <v>44446</v>
      </c>
      <c r="C2614" s="1" t="n">
        <v>45932</v>
      </c>
      <c r="D2614" t="inlineStr">
        <is>
          <t>VÄRMLANDS LÄN</t>
        </is>
      </c>
      <c r="E2614" t="inlineStr">
        <is>
          <t>ARVIKA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62165-2020</t>
        </is>
      </c>
      <c r="B2615" s="1" t="n">
        <v>44159</v>
      </c>
      <c r="C2615" s="1" t="n">
        <v>45932</v>
      </c>
      <c r="D2615" t="inlineStr">
        <is>
          <t>VÄRMLANDS LÄN</t>
        </is>
      </c>
      <c r="E2615" t="inlineStr">
        <is>
          <t>KRISTINEHAMN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17816-2023</t>
        </is>
      </c>
      <c r="B2616" s="1" t="n">
        <v>45037.58394675926</v>
      </c>
      <c r="C2616" s="1" t="n">
        <v>45932</v>
      </c>
      <c r="D2616" t="inlineStr">
        <is>
          <t>VÄRMLANDS LÄN</t>
        </is>
      </c>
      <c r="E2616" t="inlineStr">
        <is>
          <t>KIL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12137-2021</t>
        </is>
      </c>
      <c r="B2617" s="1" t="n">
        <v>44266</v>
      </c>
      <c r="C2617" s="1" t="n">
        <v>45932</v>
      </c>
      <c r="D2617" t="inlineStr">
        <is>
          <t>VÄRMLANDS LÄN</t>
        </is>
      </c>
      <c r="E2617" t="inlineStr">
        <is>
          <t>ÅRJÄNG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12097-2023</t>
        </is>
      </c>
      <c r="B2618" s="1" t="n">
        <v>44995</v>
      </c>
      <c r="C2618" s="1" t="n">
        <v>45932</v>
      </c>
      <c r="D2618" t="inlineStr">
        <is>
          <t>VÄRMLANDS LÄN</t>
        </is>
      </c>
      <c r="E2618" t="inlineStr">
        <is>
          <t>SUNNE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53417-2020</t>
        </is>
      </c>
      <c r="B2619" s="1" t="n">
        <v>44123</v>
      </c>
      <c r="C2619" s="1" t="n">
        <v>45932</v>
      </c>
      <c r="D2619" t="inlineStr">
        <is>
          <t>VÄRMLANDS LÄN</t>
        </is>
      </c>
      <c r="E2619" t="inlineStr">
        <is>
          <t>FILIPSTAD</t>
        </is>
      </c>
      <c r="F2619" t="inlineStr">
        <is>
          <t>Bergvik skog väst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11793-2023</t>
        </is>
      </c>
      <c r="B2620" s="1" t="n">
        <v>44993</v>
      </c>
      <c r="C2620" s="1" t="n">
        <v>45932</v>
      </c>
      <c r="D2620" t="inlineStr">
        <is>
          <t>VÄRMLANDS LÄN</t>
        </is>
      </c>
      <c r="E2620" t="inlineStr">
        <is>
          <t>ÅRJÄNG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61409-2020</t>
        </is>
      </c>
      <c r="B2621" s="1" t="n">
        <v>44156</v>
      </c>
      <c r="C2621" s="1" t="n">
        <v>45932</v>
      </c>
      <c r="D2621" t="inlineStr">
        <is>
          <t>VÄRMLANDS LÄN</t>
        </is>
      </c>
      <c r="E2621" t="inlineStr">
        <is>
          <t>KRISTINEHAMN</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28492-2021</t>
        </is>
      </c>
      <c r="B2622" s="1" t="n">
        <v>44356</v>
      </c>
      <c r="C2622" s="1" t="n">
        <v>45932</v>
      </c>
      <c r="D2622" t="inlineStr">
        <is>
          <t>VÄRMLANDS LÄN</t>
        </is>
      </c>
      <c r="E2622" t="inlineStr">
        <is>
          <t>SUNNE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53486-2020</t>
        </is>
      </c>
      <c r="B2623" s="1" t="n">
        <v>44123</v>
      </c>
      <c r="C2623" s="1" t="n">
        <v>45932</v>
      </c>
      <c r="D2623" t="inlineStr">
        <is>
          <t>VÄRMLANDS LÄN</t>
        </is>
      </c>
      <c r="E2623" t="inlineStr">
        <is>
          <t>SUNNE</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15249-2021</t>
        </is>
      </c>
      <c r="B2624" s="1" t="n">
        <v>44282</v>
      </c>
      <c r="C2624" s="1" t="n">
        <v>45932</v>
      </c>
      <c r="D2624" t="inlineStr">
        <is>
          <t>VÄRMLANDS LÄN</t>
        </is>
      </c>
      <c r="E2624" t="inlineStr">
        <is>
          <t>ÅRJÄNG</t>
        </is>
      </c>
      <c r="F2624" t="inlineStr">
        <is>
          <t>Övriga Aktiebolag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61510-2022</t>
        </is>
      </c>
      <c r="B2625" s="1" t="n">
        <v>44916.49820601852</v>
      </c>
      <c r="C2625" s="1" t="n">
        <v>45932</v>
      </c>
      <c r="D2625" t="inlineStr">
        <is>
          <t>VÄRMLANDS LÄN</t>
        </is>
      </c>
      <c r="E2625" t="inlineStr">
        <is>
          <t>TORSBY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14360-2025</t>
        </is>
      </c>
      <c r="B2626" s="1" t="n">
        <v>45741</v>
      </c>
      <c r="C2626" s="1" t="n">
        <v>45932</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50789-2024</t>
        </is>
      </c>
      <c r="B2627" s="1" t="n">
        <v>45602</v>
      </c>
      <c r="C2627" s="1" t="n">
        <v>45932</v>
      </c>
      <c r="D2627" t="inlineStr">
        <is>
          <t>VÄRMLANDS LÄN</t>
        </is>
      </c>
      <c r="E2627" t="inlineStr">
        <is>
          <t>ARVIKA</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56165-2024</t>
        </is>
      </c>
      <c r="B2628" s="1" t="n">
        <v>45624.54982638889</v>
      </c>
      <c r="C2628" s="1" t="n">
        <v>45932</v>
      </c>
      <c r="D2628" t="inlineStr">
        <is>
          <t>VÄRMLANDS LÄN</t>
        </is>
      </c>
      <c r="E2628" t="inlineStr">
        <is>
          <t>HAGFORS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50847-2024</t>
        </is>
      </c>
      <c r="B2629" s="1" t="n">
        <v>45602</v>
      </c>
      <c r="C2629" s="1" t="n">
        <v>45932</v>
      </c>
      <c r="D2629" t="inlineStr">
        <is>
          <t>VÄRMLANDS LÄN</t>
        </is>
      </c>
      <c r="E2629" t="inlineStr">
        <is>
          <t>ARVIKA</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43309-2022</t>
        </is>
      </c>
      <c r="B2630" s="1" t="n">
        <v>44834</v>
      </c>
      <c r="C2630" s="1" t="n">
        <v>45932</v>
      </c>
      <c r="D2630" t="inlineStr">
        <is>
          <t>VÄRMLANDS LÄN</t>
        </is>
      </c>
      <c r="E2630" t="inlineStr">
        <is>
          <t>HAGFORS</t>
        </is>
      </c>
      <c r="F2630" t="inlineStr">
        <is>
          <t>Kyrkan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1120-2023</t>
        </is>
      </c>
      <c r="B2631" s="1" t="n">
        <v>44935</v>
      </c>
      <c r="C2631" s="1" t="n">
        <v>45932</v>
      </c>
      <c r="D2631" t="inlineStr">
        <is>
          <t>VÄRMLANDS LÄN</t>
        </is>
      </c>
      <c r="E2631" t="inlineStr">
        <is>
          <t>TORSBY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29457-2021</t>
        </is>
      </c>
      <c r="B2632" s="1" t="n">
        <v>44361</v>
      </c>
      <c r="C2632" s="1" t="n">
        <v>45932</v>
      </c>
      <c r="D2632" t="inlineStr">
        <is>
          <t>VÄRMLANDS LÄN</t>
        </is>
      </c>
      <c r="E2632" t="inlineStr">
        <is>
          <t>TORSBY</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30524-2021</t>
        </is>
      </c>
      <c r="B2633" s="1" t="n">
        <v>44364</v>
      </c>
      <c r="C2633" s="1" t="n">
        <v>45932</v>
      </c>
      <c r="D2633" t="inlineStr">
        <is>
          <t>VÄRMLANDS LÄN</t>
        </is>
      </c>
      <c r="E2633" t="inlineStr">
        <is>
          <t>FILIPSTAD</t>
        </is>
      </c>
      <c r="F2633" t="inlineStr">
        <is>
          <t>Bergvik skog väst AB</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28267-2024</t>
        </is>
      </c>
      <c r="B2634" s="1" t="n">
        <v>45477</v>
      </c>
      <c r="C2634" s="1" t="n">
        <v>45932</v>
      </c>
      <c r="D2634" t="inlineStr">
        <is>
          <t>VÄRMLANDS LÄN</t>
        </is>
      </c>
      <c r="E2634" t="inlineStr">
        <is>
          <t>SÄFFLE</t>
        </is>
      </c>
      <c r="G2634" t="n">
        <v>9.4</v>
      </c>
      <c r="H2634" t="n">
        <v>0</v>
      </c>
      <c r="I2634" t="n">
        <v>0</v>
      </c>
      <c r="J2634" t="n">
        <v>0</v>
      </c>
      <c r="K2634" t="n">
        <v>0</v>
      </c>
      <c r="L2634" t="n">
        <v>0</v>
      </c>
      <c r="M2634" t="n">
        <v>0</v>
      </c>
      <c r="N2634" t="n">
        <v>0</v>
      </c>
      <c r="O2634" t="n">
        <v>0</v>
      </c>
      <c r="P2634" t="n">
        <v>0</v>
      </c>
      <c r="Q2634" t="n">
        <v>0</v>
      </c>
      <c r="R2634" s="2" t="inlineStr"/>
    </row>
    <row r="2635" ht="15" customHeight="1">
      <c r="A2635" t="inlineStr">
        <is>
          <t>A 14446-2025</t>
        </is>
      </c>
      <c r="B2635" s="1" t="n">
        <v>45741.53552083333</v>
      </c>
      <c r="C2635" s="1" t="n">
        <v>45932</v>
      </c>
      <c r="D2635" t="inlineStr">
        <is>
          <t>VÄRMLANDS LÄN</t>
        </is>
      </c>
      <c r="E2635" t="inlineStr">
        <is>
          <t>ÅRJÄNG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2564-2025</t>
        </is>
      </c>
      <c r="B2636" s="1" t="n">
        <v>45674.65866898148</v>
      </c>
      <c r="C2636" s="1" t="n">
        <v>45932</v>
      </c>
      <c r="D2636" t="inlineStr">
        <is>
          <t>VÄRMLANDS LÄN</t>
        </is>
      </c>
      <c r="E2636" t="inlineStr">
        <is>
          <t>ARVIKA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55096-2024</t>
        </is>
      </c>
      <c r="B2637" s="1" t="n">
        <v>45621</v>
      </c>
      <c r="C2637" s="1" t="n">
        <v>45932</v>
      </c>
      <c r="D2637" t="inlineStr">
        <is>
          <t>VÄRMLANDS LÄN</t>
        </is>
      </c>
      <c r="E2637" t="inlineStr">
        <is>
          <t>EDA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30701-2021</t>
        </is>
      </c>
      <c r="B2638" s="1" t="n">
        <v>44365</v>
      </c>
      <c r="C2638" s="1" t="n">
        <v>45932</v>
      </c>
      <c r="D2638" t="inlineStr">
        <is>
          <t>VÄRMLANDS LÄN</t>
        </is>
      </c>
      <c r="E2638" t="inlineStr">
        <is>
          <t>KRISTINEHAMN</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11842-2025</t>
        </is>
      </c>
      <c r="B2639" s="1" t="n">
        <v>45728.36950231482</v>
      </c>
      <c r="C2639" s="1" t="n">
        <v>45932</v>
      </c>
      <c r="D2639" t="inlineStr">
        <is>
          <t>VÄRMLANDS LÄN</t>
        </is>
      </c>
      <c r="E2639" t="inlineStr">
        <is>
          <t>TORSBY</t>
        </is>
      </c>
      <c r="F2639" t="inlineStr">
        <is>
          <t>Bergvik skog väst AB</t>
        </is>
      </c>
      <c r="G2639" t="n">
        <v>32.1</v>
      </c>
      <c r="H2639" t="n">
        <v>0</v>
      </c>
      <c r="I2639" t="n">
        <v>0</v>
      </c>
      <c r="J2639" t="n">
        <v>0</v>
      </c>
      <c r="K2639" t="n">
        <v>0</v>
      </c>
      <c r="L2639" t="n">
        <v>0</v>
      </c>
      <c r="M2639" t="n">
        <v>0</v>
      </c>
      <c r="N2639" t="n">
        <v>0</v>
      </c>
      <c r="O2639" t="n">
        <v>0</v>
      </c>
      <c r="P2639" t="n">
        <v>0</v>
      </c>
      <c r="Q2639" t="n">
        <v>0</v>
      </c>
      <c r="R2639" s="2" t="inlineStr"/>
    </row>
    <row r="2640" ht="15" customHeight="1">
      <c r="A2640" t="inlineStr">
        <is>
          <t>A 3613-2025</t>
        </is>
      </c>
      <c r="B2640" s="1" t="n">
        <v>45681.36193287037</v>
      </c>
      <c r="C2640" s="1" t="n">
        <v>45932</v>
      </c>
      <c r="D2640" t="inlineStr">
        <is>
          <t>VÄRMLANDS LÄN</t>
        </is>
      </c>
      <c r="E2640" t="inlineStr">
        <is>
          <t>ARVIKA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16103-2025</t>
        </is>
      </c>
      <c r="B2641" s="1" t="n">
        <v>45750</v>
      </c>
      <c r="C2641" s="1" t="n">
        <v>45932</v>
      </c>
      <c r="D2641" t="inlineStr">
        <is>
          <t>VÄRMLANDS LÄN</t>
        </is>
      </c>
      <c r="E2641" t="inlineStr">
        <is>
          <t>FILIPSTAD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12209-2023</t>
        </is>
      </c>
      <c r="B2642" s="1" t="n">
        <v>44998</v>
      </c>
      <c r="C2642" s="1" t="n">
        <v>45932</v>
      </c>
      <c r="D2642" t="inlineStr">
        <is>
          <t>VÄRMLANDS LÄN</t>
        </is>
      </c>
      <c r="E2642" t="inlineStr">
        <is>
          <t>ÅRJÄNG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12237-2023</t>
        </is>
      </c>
      <c r="B2643" s="1" t="n">
        <v>44998</v>
      </c>
      <c r="C2643" s="1" t="n">
        <v>45932</v>
      </c>
      <c r="D2643" t="inlineStr">
        <is>
          <t>VÄRMLANDS LÄN</t>
        </is>
      </c>
      <c r="E2643" t="inlineStr">
        <is>
          <t>SUNNE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12271-2023</t>
        </is>
      </c>
      <c r="B2644" s="1" t="n">
        <v>44998</v>
      </c>
      <c r="C2644" s="1" t="n">
        <v>45932</v>
      </c>
      <c r="D2644" t="inlineStr">
        <is>
          <t>VÄRMLANDS LÄN</t>
        </is>
      </c>
      <c r="E2644" t="inlineStr">
        <is>
          <t>ARVIKA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41808-2021</t>
        </is>
      </c>
      <c r="B2645" s="1" t="n">
        <v>44425</v>
      </c>
      <c r="C2645" s="1" t="n">
        <v>45932</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41810-2021</t>
        </is>
      </c>
      <c r="B2646" s="1" t="n">
        <v>44425</v>
      </c>
      <c r="C2646" s="1" t="n">
        <v>45932</v>
      </c>
      <c r="D2646" t="inlineStr">
        <is>
          <t>VÄRMLANDS LÄN</t>
        </is>
      </c>
      <c r="E2646" t="inlineStr">
        <is>
          <t>GRUMS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41867-2021</t>
        </is>
      </c>
      <c r="B2647" s="1" t="n">
        <v>44426.31266203704</v>
      </c>
      <c r="C2647" s="1" t="n">
        <v>45932</v>
      </c>
      <c r="D2647" t="inlineStr">
        <is>
          <t>VÄRMLANDS LÄN</t>
        </is>
      </c>
      <c r="E2647" t="inlineStr">
        <is>
          <t>STORFORS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20504-2025</t>
        </is>
      </c>
      <c r="B2648" s="1" t="n">
        <v>45775.58866898148</v>
      </c>
      <c r="C2648" s="1" t="n">
        <v>45932</v>
      </c>
      <c r="D2648" t="inlineStr">
        <is>
          <t>VÄRMLANDS LÄN</t>
        </is>
      </c>
      <c r="E2648" t="inlineStr">
        <is>
          <t>SUNNE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24456-2022</t>
        </is>
      </c>
      <c r="B2649" s="1" t="n">
        <v>44726.62425925926</v>
      </c>
      <c r="C2649" s="1" t="n">
        <v>45932</v>
      </c>
      <c r="D2649" t="inlineStr">
        <is>
          <t>VÄRMLANDS LÄN</t>
        </is>
      </c>
      <c r="E2649" t="inlineStr">
        <is>
          <t>EDA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42050-2024</t>
        </is>
      </c>
      <c r="B2650" s="1" t="n">
        <v>45561</v>
      </c>
      <c r="C2650" s="1" t="n">
        <v>45932</v>
      </c>
      <c r="D2650" t="inlineStr">
        <is>
          <t>VÄRMLANDS LÄN</t>
        </is>
      </c>
      <c r="E2650" t="inlineStr">
        <is>
          <t>ARVIKA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68480-2020</t>
        </is>
      </c>
      <c r="B2651" s="1" t="n">
        <v>44186.52924768518</v>
      </c>
      <c r="C2651" s="1" t="n">
        <v>45932</v>
      </c>
      <c r="D2651" t="inlineStr">
        <is>
          <t>VÄRMLANDS LÄN</t>
        </is>
      </c>
      <c r="E2651" t="inlineStr">
        <is>
          <t>SUNNE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19508-2021</t>
        </is>
      </c>
      <c r="B2652" s="1" t="n">
        <v>44312.36194444444</v>
      </c>
      <c r="C2652" s="1" t="n">
        <v>45932</v>
      </c>
      <c r="D2652" t="inlineStr">
        <is>
          <t>VÄRMLANDS LÄN</t>
        </is>
      </c>
      <c r="E2652" t="inlineStr">
        <is>
          <t>GRUMS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34968-2024</t>
        </is>
      </c>
      <c r="B2653" s="1" t="n">
        <v>45527.49986111111</v>
      </c>
      <c r="C2653" s="1" t="n">
        <v>45932</v>
      </c>
      <c r="D2653" t="inlineStr">
        <is>
          <t>VÄRMLANDS LÄN</t>
        </is>
      </c>
      <c r="E2653" t="inlineStr">
        <is>
          <t>TORSBY</t>
        </is>
      </c>
      <c r="F2653" t="inlineStr">
        <is>
          <t>Bergvik skog väst AB</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69031-2020</t>
        </is>
      </c>
      <c r="B2654" s="1" t="n">
        <v>44188</v>
      </c>
      <c r="C2654" s="1" t="n">
        <v>45932</v>
      </c>
      <c r="D2654" t="inlineStr">
        <is>
          <t>VÄRMLANDS LÄN</t>
        </is>
      </c>
      <c r="E2654" t="inlineStr">
        <is>
          <t>FORSHAGA</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7370-2025</t>
        </is>
      </c>
      <c r="B2655" s="1" t="n">
        <v>45704</v>
      </c>
      <c r="C2655" s="1" t="n">
        <v>45932</v>
      </c>
      <c r="D2655" t="inlineStr">
        <is>
          <t>VÄRMLANDS LÄN</t>
        </is>
      </c>
      <c r="E2655" t="inlineStr">
        <is>
          <t>KARLSTAD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9775-2021</t>
        </is>
      </c>
      <c r="B2656" s="1" t="n">
        <v>44252</v>
      </c>
      <c r="C2656" s="1" t="n">
        <v>45932</v>
      </c>
      <c r="D2656" t="inlineStr">
        <is>
          <t>VÄRMLANDS LÄN</t>
        </is>
      </c>
      <c r="E2656" t="inlineStr">
        <is>
          <t>TORSBY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60191-2023</t>
        </is>
      </c>
      <c r="B2657" s="1" t="n">
        <v>45257</v>
      </c>
      <c r="C2657" s="1" t="n">
        <v>45932</v>
      </c>
      <c r="D2657" t="inlineStr">
        <is>
          <t>VÄRMLANDS LÄN</t>
        </is>
      </c>
      <c r="E2657" t="inlineStr">
        <is>
          <t>ÅRJÄNG</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29908-2022</t>
        </is>
      </c>
      <c r="B2658" s="1" t="n">
        <v>44756</v>
      </c>
      <c r="C2658" s="1" t="n">
        <v>45932</v>
      </c>
      <c r="D2658" t="inlineStr">
        <is>
          <t>VÄRMLANDS LÄN</t>
        </is>
      </c>
      <c r="E2658" t="inlineStr">
        <is>
          <t>TORSBY</t>
        </is>
      </c>
      <c r="F2658" t="inlineStr">
        <is>
          <t>Kommuner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49255-2024</t>
        </is>
      </c>
      <c r="B2659" s="1" t="n">
        <v>45595</v>
      </c>
      <c r="C2659" s="1" t="n">
        <v>45932</v>
      </c>
      <c r="D2659" t="inlineStr">
        <is>
          <t>VÄRMLANDS LÄN</t>
        </is>
      </c>
      <c r="E2659" t="inlineStr">
        <is>
          <t>SÄFFLE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30334-2022</t>
        </is>
      </c>
      <c r="B2660" s="1" t="n">
        <v>44760.46356481482</v>
      </c>
      <c r="C2660" s="1" t="n">
        <v>45932</v>
      </c>
      <c r="D2660" t="inlineStr">
        <is>
          <t>VÄRMLANDS LÄN</t>
        </is>
      </c>
      <c r="E2660" t="inlineStr">
        <is>
          <t>GRUMS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12792-2021</t>
        </is>
      </c>
      <c r="B2661" s="1" t="n">
        <v>44270</v>
      </c>
      <c r="C2661" s="1" t="n">
        <v>45932</v>
      </c>
      <c r="D2661" t="inlineStr">
        <is>
          <t>VÄRMLANDS LÄN</t>
        </is>
      </c>
      <c r="E2661" t="inlineStr">
        <is>
          <t>SUNNE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30595-2022</t>
        </is>
      </c>
      <c r="B2662" s="1" t="n">
        <v>44762.81606481481</v>
      </c>
      <c r="C2662" s="1" t="n">
        <v>45932</v>
      </c>
      <c r="D2662" t="inlineStr">
        <is>
          <t>VÄRMLANDS LÄN</t>
        </is>
      </c>
      <c r="E2662" t="inlineStr">
        <is>
          <t>SÄFFLE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11575-2024</t>
        </is>
      </c>
      <c r="B2663" s="1" t="n">
        <v>45373</v>
      </c>
      <c r="C2663" s="1" t="n">
        <v>45932</v>
      </c>
      <c r="D2663" t="inlineStr">
        <is>
          <t>VÄRMLANDS LÄN</t>
        </is>
      </c>
      <c r="E2663" t="inlineStr">
        <is>
          <t>TORSBY</t>
        </is>
      </c>
      <c r="G2663" t="n">
        <v>14.2</v>
      </c>
      <c r="H2663" t="n">
        <v>0</v>
      </c>
      <c r="I2663" t="n">
        <v>0</v>
      </c>
      <c r="J2663" t="n">
        <v>0</v>
      </c>
      <c r="K2663" t="n">
        <v>0</v>
      </c>
      <c r="L2663" t="n">
        <v>0</v>
      </c>
      <c r="M2663" t="n">
        <v>0</v>
      </c>
      <c r="N2663" t="n">
        <v>0</v>
      </c>
      <c r="O2663" t="n">
        <v>0</v>
      </c>
      <c r="P2663" t="n">
        <v>0</v>
      </c>
      <c r="Q2663" t="n">
        <v>0</v>
      </c>
      <c r="R2663" s="2" t="inlineStr"/>
    </row>
    <row r="2664" ht="15" customHeight="1">
      <c r="A2664" t="inlineStr">
        <is>
          <t>A 1602-2025</t>
        </is>
      </c>
      <c r="B2664" s="1" t="n">
        <v>45670.59069444444</v>
      </c>
      <c r="C2664" s="1" t="n">
        <v>45932</v>
      </c>
      <c r="D2664" t="inlineStr">
        <is>
          <t>VÄRMLANDS LÄN</t>
        </is>
      </c>
      <c r="E2664" t="inlineStr">
        <is>
          <t>ÅRJÄNG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19681-2024</t>
        </is>
      </c>
      <c r="B2665" s="1" t="n">
        <v>45432</v>
      </c>
      <c r="C2665" s="1" t="n">
        <v>45932</v>
      </c>
      <c r="D2665" t="inlineStr">
        <is>
          <t>VÄRMLANDS LÄN</t>
        </is>
      </c>
      <c r="E2665" t="inlineStr">
        <is>
          <t>EDA</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46476-2021</t>
        </is>
      </c>
      <c r="B2666" s="1" t="n">
        <v>44445.37730324074</v>
      </c>
      <c r="C2666" s="1" t="n">
        <v>45932</v>
      </c>
      <c r="D2666" t="inlineStr">
        <is>
          <t>VÄRMLANDS LÄN</t>
        </is>
      </c>
      <c r="E2666" t="inlineStr">
        <is>
          <t>EDA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19783-2023</t>
        </is>
      </c>
      <c r="B2667" s="1" t="n">
        <v>45051</v>
      </c>
      <c r="C2667" s="1" t="n">
        <v>45932</v>
      </c>
      <c r="D2667" t="inlineStr">
        <is>
          <t>VÄRMLANDS LÄN</t>
        </is>
      </c>
      <c r="E2667" t="inlineStr">
        <is>
          <t>HAGFORS</t>
        </is>
      </c>
      <c r="F2667" t="inlineStr">
        <is>
          <t>Kommuner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34105-2023</t>
        </is>
      </c>
      <c r="B2668" s="1" t="n">
        <v>45126</v>
      </c>
      <c r="C2668" s="1" t="n">
        <v>45932</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11229-2024</t>
        </is>
      </c>
      <c r="B2669" s="1" t="n">
        <v>45371.60325231482</v>
      </c>
      <c r="C2669" s="1" t="n">
        <v>45932</v>
      </c>
      <c r="D2669" t="inlineStr">
        <is>
          <t>VÄRMLANDS LÄN</t>
        </is>
      </c>
      <c r="E2669" t="inlineStr">
        <is>
          <t>SUNNE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54292-2024</t>
        </is>
      </c>
      <c r="B2670" s="1" t="n">
        <v>45617.3077662037</v>
      </c>
      <c r="C2670" s="1" t="n">
        <v>45932</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18389-2022</t>
        </is>
      </c>
      <c r="B2671" s="1" t="n">
        <v>44685</v>
      </c>
      <c r="C2671" s="1" t="n">
        <v>45932</v>
      </c>
      <c r="D2671" t="inlineStr">
        <is>
          <t>VÄRMLANDS LÄN</t>
        </is>
      </c>
      <c r="E2671" t="inlineStr">
        <is>
          <t>ÅRJÄNG</t>
        </is>
      </c>
      <c r="G2671" t="n">
        <v>11.1</v>
      </c>
      <c r="H2671" t="n">
        <v>0</v>
      </c>
      <c r="I2671" t="n">
        <v>0</v>
      </c>
      <c r="J2671" t="n">
        <v>0</v>
      </c>
      <c r="K2671" t="n">
        <v>0</v>
      </c>
      <c r="L2671" t="n">
        <v>0</v>
      </c>
      <c r="M2671" t="n">
        <v>0</v>
      </c>
      <c r="N2671" t="n">
        <v>0</v>
      </c>
      <c r="O2671" t="n">
        <v>0</v>
      </c>
      <c r="P2671" t="n">
        <v>0</v>
      </c>
      <c r="Q2671" t="n">
        <v>0</v>
      </c>
      <c r="R2671" s="2" t="inlineStr"/>
    </row>
    <row r="2672" ht="15" customHeight="1">
      <c r="A2672" t="inlineStr">
        <is>
          <t>A 47819-2021</t>
        </is>
      </c>
      <c r="B2672" s="1" t="n">
        <v>44448</v>
      </c>
      <c r="C2672" s="1" t="n">
        <v>45932</v>
      </c>
      <c r="D2672" t="inlineStr">
        <is>
          <t>VÄRMLANDS LÄN</t>
        </is>
      </c>
      <c r="E2672" t="inlineStr">
        <is>
          <t>SÄFFLE</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28598-2023</t>
        </is>
      </c>
      <c r="B2673" s="1" t="n">
        <v>45103.57421296297</v>
      </c>
      <c r="C2673" s="1" t="n">
        <v>45932</v>
      </c>
      <c r="D2673" t="inlineStr">
        <is>
          <t>VÄRMLANDS LÄN</t>
        </is>
      </c>
      <c r="E2673" t="inlineStr">
        <is>
          <t>TORSBY</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30457-2023</t>
        </is>
      </c>
      <c r="B2674" s="1" t="n">
        <v>45111</v>
      </c>
      <c r="C2674" s="1" t="n">
        <v>45932</v>
      </c>
      <c r="D2674" t="inlineStr">
        <is>
          <t>VÄRMLANDS LÄN</t>
        </is>
      </c>
      <c r="E2674" t="inlineStr">
        <is>
          <t>ARVIKA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45736-2021</t>
        </is>
      </c>
      <c r="B2675" s="1" t="n">
        <v>44441.41650462963</v>
      </c>
      <c r="C2675" s="1" t="n">
        <v>45932</v>
      </c>
      <c r="D2675" t="inlineStr">
        <is>
          <t>VÄRMLANDS LÄN</t>
        </is>
      </c>
      <c r="E2675" t="inlineStr">
        <is>
          <t>FORSHAGA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45738-2021</t>
        </is>
      </c>
      <c r="B2676" s="1" t="n">
        <v>44441</v>
      </c>
      <c r="C2676" s="1" t="n">
        <v>45932</v>
      </c>
      <c r="D2676" t="inlineStr">
        <is>
          <t>VÄRMLANDS LÄN</t>
        </is>
      </c>
      <c r="E2676" t="inlineStr">
        <is>
          <t>FORSHAGA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31937-2021</t>
        </is>
      </c>
      <c r="B2677" s="1" t="n">
        <v>44370</v>
      </c>
      <c r="C2677" s="1" t="n">
        <v>45932</v>
      </c>
      <c r="D2677" t="inlineStr">
        <is>
          <t>VÄRMLANDS LÄN</t>
        </is>
      </c>
      <c r="E2677" t="inlineStr">
        <is>
          <t>HAGFORS</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59807-2024</t>
        </is>
      </c>
      <c r="B2678" s="1" t="n">
        <v>45639</v>
      </c>
      <c r="C2678" s="1" t="n">
        <v>45932</v>
      </c>
      <c r="D2678" t="inlineStr">
        <is>
          <t>VÄRMLANDS LÄN</t>
        </is>
      </c>
      <c r="E2678" t="inlineStr">
        <is>
          <t>SÄFFLE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59812-2024</t>
        </is>
      </c>
      <c r="B2679" s="1" t="n">
        <v>45639.60733796296</v>
      </c>
      <c r="C2679" s="1" t="n">
        <v>45932</v>
      </c>
      <c r="D2679" t="inlineStr">
        <is>
          <t>VÄRMLANDS LÄN</t>
        </is>
      </c>
      <c r="E2679" t="inlineStr">
        <is>
          <t>SÄFFLE</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61628-2022</t>
        </is>
      </c>
      <c r="B2680" s="1" t="n">
        <v>44911</v>
      </c>
      <c r="C2680" s="1" t="n">
        <v>45932</v>
      </c>
      <c r="D2680" t="inlineStr">
        <is>
          <t>VÄRMLANDS LÄN</t>
        </is>
      </c>
      <c r="E2680" t="inlineStr">
        <is>
          <t>FILIPSTAD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27755-2023</t>
        </is>
      </c>
      <c r="B2681" s="1" t="n">
        <v>45098.38828703704</v>
      </c>
      <c r="C2681" s="1" t="n">
        <v>45932</v>
      </c>
      <c r="D2681" t="inlineStr">
        <is>
          <t>VÄRMLANDS LÄN</t>
        </is>
      </c>
      <c r="E2681" t="inlineStr">
        <is>
          <t>ARVIKA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36042-2021</t>
        </is>
      </c>
      <c r="B2682" s="1" t="n">
        <v>44386</v>
      </c>
      <c r="C2682" s="1" t="n">
        <v>45932</v>
      </c>
      <c r="D2682" t="inlineStr">
        <is>
          <t>VÄRMLANDS LÄN</t>
        </is>
      </c>
      <c r="E2682" t="inlineStr">
        <is>
          <t>FILIPSTAD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23188-2024</t>
        </is>
      </c>
      <c r="B2683" s="1" t="n">
        <v>45450</v>
      </c>
      <c r="C2683" s="1" t="n">
        <v>45932</v>
      </c>
      <c r="D2683" t="inlineStr">
        <is>
          <t>VÄRMLANDS LÄN</t>
        </is>
      </c>
      <c r="E2683" t="inlineStr">
        <is>
          <t>SÄFFLE</t>
        </is>
      </c>
      <c r="F2683" t="inlineStr">
        <is>
          <t>Bergvik skog väst AB</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41569-2022</t>
        </is>
      </c>
      <c r="B2684" s="1" t="n">
        <v>44827.41791666667</v>
      </c>
      <c r="C2684" s="1" t="n">
        <v>45932</v>
      </c>
      <c r="D2684" t="inlineStr">
        <is>
          <t>VÄRMLANDS LÄN</t>
        </is>
      </c>
      <c r="E2684" t="inlineStr">
        <is>
          <t>SUNNE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57651-2024</t>
        </is>
      </c>
      <c r="B2685" s="1" t="n">
        <v>45630</v>
      </c>
      <c r="C2685" s="1" t="n">
        <v>45932</v>
      </c>
      <c r="D2685" t="inlineStr">
        <is>
          <t>VÄRMLANDS LÄN</t>
        </is>
      </c>
      <c r="E2685" t="inlineStr">
        <is>
          <t>ÅRJÄNG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60049-2024</t>
        </is>
      </c>
      <c r="B2686" s="1" t="n">
        <v>45642.47990740741</v>
      </c>
      <c r="C2686" s="1" t="n">
        <v>45932</v>
      </c>
      <c r="D2686" t="inlineStr">
        <is>
          <t>VÄRMLANDS LÄN</t>
        </is>
      </c>
      <c r="E2686" t="inlineStr">
        <is>
          <t>EDA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31152-2022</t>
        </is>
      </c>
      <c r="B2687" s="1" t="n">
        <v>44770</v>
      </c>
      <c r="C2687" s="1" t="n">
        <v>45932</v>
      </c>
      <c r="D2687" t="inlineStr">
        <is>
          <t>VÄRMLANDS LÄN</t>
        </is>
      </c>
      <c r="E2687" t="inlineStr">
        <is>
          <t>KRISTINEHAMN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31178-2022</t>
        </is>
      </c>
      <c r="B2688" s="1" t="n">
        <v>44770</v>
      </c>
      <c r="C2688" s="1" t="n">
        <v>45932</v>
      </c>
      <c r="D2688" t="inlineStr">
        <is>
          <t>VÄRMLANDS LÄN</t>
        </is>
      </c>
      <c r="E2688" t="inlineStr">
        <is>
          <t>HAGFORS</t>
        </is>
      </c>
      <c r="F2688" t="inlineStr">
        <is>
          <t>Bergvik skog väst AB</t>
        </is>
      </c>
      <c r="G2688" t="n">
        <v>10.1</v>
      </c>
      <c r="H2688" t="n">
        <v>0</v>
      </c>
      <c r="I2688" t="n">
        <v>0</v>
      </c>
      <c r="J2688" t="n">
        <v>0</v>
      </c>
      <c r="K2688" t="n">
        <v>0</v>
      </c>
      <c r="L2688" t="n">
        <v>0</v>
      </c>
      <c r="M2688" t="n">
        <v>0</v>
      </c>
      <c r="N2688" t="n">
        <v>0</v>
      </c>
      <c r="O2688" t="n">
        <v>0</v>
      </c>
      <c r="P2688" t="n">
        <v>0</v>
      </c>
      <c r="Q2688" t="n">
        <v>0</v>
      </c>
      <c r="R2688" s="2" t="inlineStr"/>
    </row>
    <row r="2689" ht="15" customHeight="1">
      <c r="A2689" t="inlineStr">
        <is>
          <t>A 10374-2022</t>
        </is>
      </c>
      <c r="B2689" s="1" t="n">
        <v>44623</v>
      </c>
      <c r="C2689" s="1" t="n">
        <v>45932</v>
      </c>
      <c r="D2689" t="inlineStr">
        <is>
          <t>VÄRMLANDS LÄN</t>
        </is>
      </c>
      <c r="E2689" t="inlineStr">
        <is>
          <t>KIL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31591-2024</t>
        </is>
      </c>
      <c r="B2690" s="1" t="n">
        <v>45506</v>
      </c>
      <c r="C2690" s="1" t="n">
        <v>45932</v>
      </c>
      <c r="D2690" t="inlineStr">
        <is>
          <t>VÄRMLANDS LÄN</t>
        </is>
      </c>
      <c r="E2690" t="inlineStr">
        <is>
          <t>SÄFFLE</t>
        </is>
      </c>
      <c r="F2690" t="inlineStr">
        <is>
          <t>Kyrkan</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45932</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58878-2021</t>
        </is>
      </c>
      <c r="B2692" s="1" t="n">
        <v>44489</v>
      </c>
      <c r="C2692" s="1" t="n">
        <v>45932</v>
      </c>
      <c r="D2692" t="inlineStr">
        <is>
          <t>VÄRMLANDS LÄN</t>
        </is>
      </c>
      <c r="E2692" t="inlineStr">
        <is>
          <t>SÄFFLE</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73265-2021</t>
        </is>
      </c>
      <c r="B2693" s="1" t="n">
        <v>44550.83846064815</v>
      </c>
      <c r="C2693" s="1" t="n">
        <v>45932</v>
      </c>
      <c r="D2693" t="inlineStr">
        <is>
          <t>VÄRMLANDS LÄN</t>
        </is>
      </c>
      <c r="E2693" t="inlineStr">
        <is>
          <t>FORSHAGA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8520-2021</t>
        </is>
      </c>
      <c r="B2694" s="1" t="n">
        <v>44245</v>
      </c>
      <c r="C2694" s="1" t="n">
        <v>45932</v>
      </c>
      <c r="D2694" t="inlineStr">
        <is>
          <t>VÄRMLANDS LÄN</t>
        </is>
      </c>
      <c r="E2694" t="inlineStr">
        <is>
          <t>SUNNE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42149-2024</t>
        </is>
      </c>
      <c r="B2695" s="1" t="n">
        <v>45562.44591435185</v>
      </c>
      <c r="C2695" s="1" t="n">
        <v>45932</v>
      </c>
      <c r="D2695" t="inlineStr">
        <is>
          <t>VÄRMLANDS LÄN</t>
        </is>
      </c>
      <c r="E2695" t="inlineStr">
        <is>
          <t>ÅRJÄNG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22705-2023</t>
        </is>
      </c>
      <c r="B2696" s="1" t="n">
        <v>45071</v>
      </c>
      <c r="C2696" s="1" t="n">
        <v>45932</v>
      </c>
      <c r="D2696" t="inlineStr">
        <is>
          <t>VÄRMLANDS LÄN</t>
        </is>
      </c>
      <c r="E2696" t="inlineStr">
        <is>
          <t>TORSBY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14743-2025</t>
        </is>
      </c>
      <c r="B2697" s="1" t="n">
        <v>45742</v>
      </c>
      <c r="C2697" s="1" t="n">
        <v>45932</v>
      </c>
      <c r="D2697" t="inlineStr">
        <is>
          <t>VÄRMLANDS LÄN</t>
        </is>
      </c>
      <c r="E2697" t="inlineStr">
        <is>
          <t>SUNNE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28384-2022</t>
        </is>
      </c>
      <c r="B2698" s="1" t="n">
        <v>44747</v>
      </c>
      <c r="C2698" s="1" t="n">
        <v>45932</v>
      </c>
      <c r="D2698" t="inlineStr">
        <is>
          <t>VÄRMLANDS LÄN</t>
        </is>
      </c>
      <c r="E2698" t="inlineStr">
        <is>
          <t>ÅRJÄNG</t>
        </is>
      </c>
      <c r="F2698" t="inlineStr">
        <is>
          <t>Naturvårdsverket</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14809-2025</t>
        </is>
      </c>
      <c r="B2699" s="1" t="n">
        <v>45743.32460648148</v>
      </c>
      <c r="C2699" s="1" t="n">
        <v>45932</v>
      </c>
      <c r="D2699" t="inlineStr">
        <is>
          <t>VÄRMLANDS LÄN</t>
        </is>
      </c>
      <c r="E2699" t="inlineStr">
        <is>
          <t>KARLSTAD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8944-2022</t>
        </is>
      </c>
      <c r="B2700" s="1" t="n">
        <v>44614</v>
      </c>
      <c r="C2700" s="1" t="n">
        <v>45932</v>
      </c>
      <c r="D2700" t="inlineStr">
        <is>
          <t>VÄRMLANDS LÄN</t>
        </is>
      </c>
      <c r="E2700" t="inlineStr">
        <is>
          <t>EDA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61206-2024</t>
        </is>
      </c>
      <c r="B2701" s="1" t="n">
        <v>45645.64626157407</v>
      </c>
      <c r="C2701" s="1" t="n">
        <v>45932</v>
      </c>
      <c r="D2701" t="inlineStr">
        <is>
          <t>VÄRMLANDS LÄN</t>
        </is>
      </c>
      <c r="E2701" t="inlineStr">
        <is>
          <t>TORSBY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29577-2024</t>
        </is>
      </c>
      <c r="B2702" s="1" t="n">
        <v>45484</v>
      </c>
      <c r="C2702" s="1" t="n">
        <v>45932</v>
      </c>
      <c r="D2702" t="inlineStr">
        <is>
          <t>VÄRMLANDS LÄN</t>
        </is>
      </c>
      <c r="E2702" t="inlineStr">
        <is>
          <t>GRUMS</t>
        </is>
      </c>
      <c r="F2702" t="inlineStr">
        <is>
          <t>Bergvik skog väst AB</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14413-2025</t>
        </is>
      </c>
      <c r="B2703" s="1" t="n">
        <v>45741</v>
      </c>
      <c r="C2703" s="1" t="n">
        <v>45932</v>
      </c>
      <c r="D2703" t="inlineStr">
        <is>
          <t>VÄRMLANDS LÄN</t>
        </is>
      </c>
      <c r="E2703" t="inlineStr">
        <is>
          <t>TORSBY</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14435-2025</t>
        </is>
      </c>
      <c r="B2704" s="1" t="n">
        <v>45741.50890046296</v>
      </c>
      <c r="C2704" s="1" t="n">
        <v>45932</v>
      </c>
      <c r="D2704" t="inlineStr">
        <is>
          <t>VÄRMLANDS LÄN</t>
        </is>
      </c>
      <c r="E2704" t="inlineStr">
        <is>
          <t>HAGFORS</t>
        </is>
      </c>
      <c r="F2704" t="inlineStr">
        <is>
          <t>Bergvik skog väst AB</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10481-2025</t>
        </is>
      </c>
      <c r="B2705" s="1" t="n">
        <v>45721.32848379629</v>
      </c>
      <c r="C2705" s="1" t="n">
        <v>45932</v>
      </c>
      <c r="D2705" t="inlineStr">
        <is>
          <t>VÄRMLANDS LÄN</t>
        </is>
      </c>
      <c r="E2705" t="inlineStr">
        <is>
          <t>SUNNE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15883-2025</t>
        </is>
      </c>
      <c r="B2706" s="1" t="n">
        <v>45749</v>
      </c>
      <c r="C2706" s="1" t="n">
        <v>45932</v>
      </c>
      <c r="D2706" t="inlineStr">
        <is>
          <t>VÄRMLANDS LÄN</t>
        </is>
      </c>
      <c r="E2706" t="inlineStr">
        <is>
          <t>EDA</t>
        </is>
      </c>
      <c r="F2706" t="inlineStr">
        <is>
          <t>Bergvik skog väst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55447-2022</t>
        </is>
      </c>
      <c r="B2707" s="1" t="n">
        <v>44887.63310185185</v>
      </c>
      <c r="C2707" s="1" t="n">
        <v>45932</v>
      </c>
      <c r="D2707" t="inlineStr">
        <is>
          <t>VÄRMLANDS LÄN</t>
        </is>
      </c>
      <c r="E2707" t="inlineStr">
        <is>
          <t>HAGFORS</t>
        </is>
      </c>
      <c r="F2707" t="inlineStr">
        <is>
          <t>Bergvik skog väst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55465-2022</t>
        </is>
      </c>
      <c r="B2708" s="1" t="n">
        <v>44887</v>
      </c>
      <c r="C2708" s="1" t="n">
        <v>45932</v>
      </c>
      <c r="D2708" t="inlineStr">
        <is>
          <t>VÄRMLANDS LÄN</t>
        </is>
      </c>
      <c r="E2708" t="inlineStr">
        <is>
          <t>EDA</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16562-2024</t>
        </is>
      </c>
      <c r="B2709" s="1" t="n">
        <v>45408.45829861111</v>
      </c>
      <c r="C2709" s="1" t="n">
        <v>45932</v>
      </c>
      <c r="D2709" t="inlineStr">
        <is>
          <t>VÄRMLANDS LÄN</t>
        </is>
      </c>
      <c r="E2709" t="inlineStr">
        <is>
          <t>ÅRJÄNG</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6936-2025</t>
        </is>
      </c>
      <c r="B2710" s="1" t="n">
        <v>45701.45849537037</v>
      </c>
      <c r="C2710" s="1" t="n">
        <v>45932</v>
      </c>
      <c r="D2710" t="inlineStr">
        <is>
          <t>VÄRMLANDS LÄN</t>
        </is>
      </c>
      <c r="E2710" t="inlineStr">
        <is>
          <t>KRISTINEHAMN</t>
        </is>
      </c>
      <c r="F2710" t="inlineStr">
        <is>
          <t>Naturvårdsverket</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46090-2021</t>
        </is>
      </c>
      <c r="B2711" s="1" t="n">
        <v>44442.34702546296</v>
      </c>
      <c r="C2711" s="1" t="n">
        <v>45932</v>
      </c>
      <c r="D2711" t="inlineStr">
        <is>
          <t>VÄRMLANDS LÄN</t>
        </is>
      </c>
      <c r="E2711" t="inlineStr">
        <is>
          <t>EDA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46096-2021</t>
        </is>
      </c>
      <c r="B2712" s="1" t="n">
        <v>44442</v>
      </c>
      <c r="C2712" s="1" t="n">
        <v>45932</v>
      </c>
      <c r="D2712" t="inlineStr">
        <is>
          <t>VÄRMLANDS LÄN</t>
        </is>
      </c>
      <c r="E2712" t="inlineStr">
        <is>
          <t>ÅRJÄNG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245-2023</t>
        </is>
      </c>
      <c r="B2713" s="1" t="n">
        <v>44922</v>
      </c>
      <c r="C2713" s="1" t="n">
        <v>45932</v>
      </c>
      <c r="D2713" t="inlineStr">
        <is>
          <t>VÄRMLANDS LÄN</t>
        </is>
      </c>
      <c r="E2713" t="inlineStr">
        <is>
          <t>ARVIKA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12281-2024</t>
        </is>
      </c>
      <c r="B2714" s="1" t="n">
        <v>45378</v>
      </c>
      <c r="C2714" s="1" t="n">
        <v>45932</v>
      </c>
      <c r="D2714" t="inlineStr">
        <is>
          <t>VÄRMLANDS LÄN</t>
        </is>
      </c>
      <c r="E2714" t="inlineStr">
        <is>
          <t>KIL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65891-2021</t>
        </is>
      </c>
      <c r="B2715" s="1" t="n">
        <v>44517.43024305555</v>
      </c>
      <c r="C2715" s="1" t="n">
        <v>45932</v>
      </c>
      <c r="D2715" t="inlineStr">
        <is>
          <t>VÄRMLANDS LÄN</t>
        </is>
      </c>
      <c r="E2715" t="inlineStr">
        <is>
          <t>KIL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45473-2023</t>
        </is>
      </c>
      <c r="B2716" s="1" t="n">
        <v>45188</v>
      </c>
      <c r="C2716" s="1" t="n">
        <v>45932</v>
      </c>
      <c r="D2716" t="inlineStr">
        <is>
          <t>VÄRMLANDS LÄN</t>
        </is>
      </c>
      <c r="E2716" t="inlineStr">
        <is>
          <t>SUNNE</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38176-2024</t>
        </is>
      </c>
      <c r="B2717" s="1" t="n">
        <v>45545</v>
      </c>
      <c r="C2717" s="1" t="n">
        <v>45932</v>
      </c>
      <c r="D2717" t="inlineStr">
        <is>
          <t>VÄRMLANDS LÄN</t>
        </is>
      </c>
      <c r="E2717" t="inlineStr">
        <is>
          <t>STORFORS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27826-2024</t>
        </is>
      </c>
      <c r="B2718" s="1" t="n">
        <v>45475.61498842593</v>
      </c>
      <c r="C2718" s="1" t="n">
        <v>45932</v>
      </c>
      <c r="D2718" t="inlineStr">
        <is>
          <t>VÄRMLANDS LÄN</t>
        </is>
      </c>
      <c r="E2718" t="inlineStr">
        <is>
          <t>HAGFORS</t>
        </is>
      </c>
      <c r="F2718" t="inlineStr">
        <is>
          <t>Bergvik skog väst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27827-2024</t>
        </is>
      </c>
      <c r="B2719" s="1" t="n">
        <v>45475.61484953704</v>
      </c>
      <c r="C2719" s="1" t="n">
        <v>45932</v>
      </c>
      <c r="D2719" t="inlineStr">
        <is>
          <t>VÄRMLANDS LÄN</t>
        </is>
      </c>
      <c r="E2719" t="inlineStr">
        <is>
          <t>HAGFORS</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38534-2022</t>
        </is>
      </c>
      <c r="B2720" s="1" t="n">
        <v>44813</v>
      </c>
      <c r="C2720" s="1" t="n">
        <v>45932</v>
      </c>
      <c r="D2720" t="inlineStr">
        <is>
          <t>VÄRMLANDS LÄN</t>
        </is>
      </c>
      <c r="E2720" t="inlineStr">
        <is>
          <t>SÄFFLE</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23279-2024</t>
        </is>
      </c>
      <c r="B2721" s="1" t="n">
        <v>45453</v>
      </c>
      <c r="C2721" s="1" t="n">
        <v>45932</v>
      </c>
      <c r="D2721" t="inlineStr">
        <is>
          <t>VÄRMLANDS LÄN</t>
        </is>
      </c>
      <c r="E2721" t="inlineStr">
        <is>
          <t>STORFORS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21303-2022</t>
        </is>
      </c>
      <c r="B2722" s="1" t="n">
        <v>44705.53600694444</v>
      </c>
      <c r="C2722" s="1" t="n">
        <v>45932</v>
      </c>
      <c r="D2722" t="inlineStr">
        <is>
          <t>VÄRMLANDS LÄN</t>
        </is>
      </c>
      <c r="E2722" t="inlineStr">
        <is>
          <t>ARVIKA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21052-2022</t>
        </is>
      </c>
      <c r="B2723" s="1" t="n">
        <v>44704</v>
      </c>
      <c r="C2723" s="1" t="n">
        <v>45932</v>
      </c>
      <c r="D2723" t="inlineStr">
        <is>
          <t>VÄRMLANDS LÄN</t>
        </is>
      </c>
      <c r="E2723" t="inlineStr">
        <is>
          <t>ARVIKA</t>
        </is>
      </c>
      <c r="F2723" t="inlineStr">
        <is>
          <t>Kyrkan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39642-2021</t>
        </is>
      </c>
      <c r="B2724" s="1" t="n">
        <v>44417</v>
      </c>
      <c r="C2724" s="1" t="n">
        <v>45932</v>
      </c>
      <c r="D2724" t="inlineStr">
        <is>
          <t>VÄRMLANDS LÄN</t>
        </is>
      </c>
      <c r="E2724" t="inlineStr">
        <is>
          <t>TORSBY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14945-2023</t>
        </is>
      </c>
      <c r="B2725" s="1" t="n">
        <v>45014</v>
      </c>
      <c r="C2725" s="1" t="n">
        <v>45932</v>
      </c>
      <c r="D2725" t="inlineStr">
        <is>
          <t>VÄRMLANDS LÄN</t>
        </is>
      </c>
      <c r="E2725" t="inlineStr">
        <is>
          <t>TORSBY</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18330-2024</t>
        </is>
      </c>
      <c r="B2726" s="1" t="n">
        <v>45422</v>
      </c>
      <c r="C2726" s="1" t="n">
        <v>45932</v>
      </c>
      <c r="D2726" t="inlineStr">
        <is>
          <t>VÄRMLANDS LÄN</t>
        </is>
      </c>
      <c r="E2726" t="inlineStr">
        <is>
          <t>TORSBY</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18349-2024</t>
        </is>
      </c>
      <c r="B2727" s="1" t="n">
        <v>45422</v>
      </c>
      <c r="C2727" s="1" t="n">
        <v>45932</v>
      </c>
      <c r="D2727" t="inlineStr">
        <is>
          <t>VÄRMLANDS LÄN</t>
        </is>
      </c>
      <c r="E2727" t="inlineStr">
        <is>
          <t>ARVIKA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59552-2024</t>
        </is>
      </c>
      <c r="B2728" s="1" t="n">
        <v>45638.63417824074</v>
      </c>
      <c r="C2728" s="1" t="n">
        <v>45932</v>
      </c>
      <c r="D2728" t="inlineStr">
        <is>
          <t>VÄRMLANDS LÄN</t>
        </is>
      </c>
      <c r="E2728" t="inlineStr">
        <is>
          <t>HAGFORS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60198-2022</t>
        </is>
      </c>
      <c r="B2729" s="1" t="n">
        <v>44910.37921296297</v>
      </c>
      <c r="C2729" s="1" t="n">
        <v>45932</v>
      </c>
      <c r="D2729" t="inlineStr">
        <is>
          <t>VÄRMLANDS LÄN</t>
        </is>
      </c>
      <c r="E2729" t="inlineStr">
        <is>
          <t>SÄFFLE</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52368-2022</t>
        </is>
      </c>
      <c r="B2730" s="1" t="n">
        <v>44874</v>
      </c>
      <c r="C2730" s="1" t="n">
        <v>45932</v>
      </c>
      <c r="D2730" t="inlineStr">
        <is>
          <t>VÄRMLANDS LÄN</t>
        </is>
      </c>
      <c r="E2730" t="inlineStr">
        <is>
          <t>EDA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50393-2023</t>
        </is>
      </c>
      <c r="B2731" s="1" t="n">
        <v>45216</v>
      </c>
      <c r="C2731" s="1" t="n">
        <v>45932</v>
      </c>
      <c r="D2731" t="inlineStr">
        <is>
          <t>VÄRMLANDS LÄN</t>
        </is>
      </c>
      <c r="E2731" t="inlineStr">
        <is>
          <t>ARVIKA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50396-2023</t>
        </is>
      </c>
      <c r="B2732" s="1" t="n">
        <v>45216</v>
      </c>
      <c r="C2732" s="1" t="n">
        <v>45932</v>
      </c>
      <c r="D2732" t="inlineStr">
        <is>
          <t>VÄRMLANDS LÄN</t>
        </is>
      </c>
      <c r="E2732" t="inlineStr">
        <is>
          <t>ARVIKA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59781-2023</t>
        </is>
      </c>
      <c r="B2733" s="1" t="n">
        <v>45257.44043981482</v>
      </c>
      <c r="C2733" s="1" t="n">
        <v>45932</v>
      </c>
      <c r="D2733" t="inlineStr">
        <is>
          <t>VÄRMLANDS LÄN</t>
        </is>
      </c>
      <c r="E2733" t="inlineStr">
        <is>
          <t>TORSBY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59787-2023</t>
        </is>
      </c>
      <c r="B2734" s="1" t="n">
        <v>45257</v>
      </c>
      <c r="C2734" s="1" t="n">
        <v>45932</v>
      </c>
      <c r="D2734" t="inlineStr">
        <is>
          <t>VÄRMLANDS LÄN</t>
        </is>
      </c>
      <c r="E2734" t="inlineStr">
        <is>
          <t>ARVIKA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28195-2022</t>
        </is>
      </c>
      <c r="B2735" s="1" t="n">
        <v>44746</v>
      </c>
      <c r="C2735" s="1" t="n">
        <v>45932</v>
      </c>
      <c r="D2735" t="inlineStr">
        <is>
          <t>VÄRMLANDS LÄN</t>
        </is>
      </c>
      <c r="E2735" t="inlineStr">
        <is>
          <t>KIL</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60217-2022</t>
        </is>
      </c>
      <c r="B2736" s="1" t="n">
        <v>44903</v>
      </c>
      <c r="C2736" s="1" t="n">
        <v>45932</v>
      </c>
      <c r="D2736" t="inlineStr">
        <is>
          <t>VÄRMLANDS LÄN</t>
        </is>
      </c>
      <c r="E2736" t="inlineStr">
        <is>
          <t>SUNNE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39434-2023</t>
        </is>
      </c>
      <c r="B2737" s="1" t="n">
        <v>45166.69690972222</v>
      </c>
      <c r="C2737" s="1" t="n">
        <v>45932</v>
      </c>
      <c r="D2737" t="inlineStr">
        <is>
          <t>VÄRMLANDS LÄN</t>
        </is>
      </c>
      <c r="E2737" t="inlineStr">
        <is>
          <t>ÅRJÄNG</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2157-2023</t>
        </is>
      </c>
      <c r="B2738" s="1" t="n">
        <v>44941.60394675926</v>
      </c>
      <c r="C2738" s="1" t="n">
        <v>45932</v>
      </c>
      <c r="D2738" t="inlineStr">
        <is>
          <t>VÄRMLANDS LÄN</t>
        </is>
      </c>
      <c r="E2738" t="inlineStr">
        <is>
          <t>ARVIKA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14094-2021</t>
        </is>
      </c>
      <c r="B2739" s="1" t="n">
        <v>44278.29547453704</v>
      </c>
      <c r="C2739" s="1" t="n">
        <v>45932</v>
      </c>
      <c r="D2739" t="inlineStr">
        <is>
          <t>VÄRMLANDS LÄN</t>
        </is>
      </c>
      <c r="E2739" t="inlineStr">
        <is>
          <t>ÅRJÄNG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37913-2022</t>
        </is>
      </c>
      <c r="B2740" s="1" t="n">
        <v>44811</v>
      </c>
      <c r="C2740" s="1" t="n">
        <v>45932</v>
      </c>
      <c r="D2740" t="inlineStr">
        <is>
          <t>VÄRMLANDS LÄN</t>
        </is>
      </c>
      <c r="E2740" t="inlineStr">
        <is>
          <t>TORSBY</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64331-2021</t>
        </is>
      </c>
      <c r="B2741" s="1" t="n">
        <v>44510</v>
      </c>
      <c r="C2741" s="1" t="n">
        <v>45932</v>
      </c>
      <c r="D2741" t="inlineStr">
        <is>
          <t>VÄRMLANDS LÄN</t>
        </is>
      </c>
      <c r="E2741" t="inlineStr">
        <is>
          <t>ARVIKA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32390-2024</t>
        </is>
      </c>
      <c r="B2742" s="1" t="n">
        <v>45512</v>
      </c>
      <c r="C2742" s="1" t="n">
        <v>45932</v>
      </c>
      <c r="D2742" t="inlineStr">
        <is>
          <t>VÄRMLANDS LÄN</t>
        </is>
      </c>
      <c r="E2742" t="inlineStr">
        <is>
          <t>SUNNE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36206-2024</t>
        </is>
      </c>
      <c r="B2743" s="1" t="n">
        <v>45534</v>
      </c>
      <c r="C2743" s="1" t="n">
        <v>45932</v>
      </c>
      <c r="D2743" t="inlineStr">
        <is>
          <t>VÄRMLANDS LÄN</t>
        </is>
      </c>
      <c r="E2743" t="inlineStr">
        <is>
          <t>HAGFORS</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36228-2024</t>
        </is>
      </c>
      <c r="B2744" s="1" t="n">
        <v>45534.48609953704</v>
      </c>
      <c r="C2744" s="1" t="n">
        <v>45932</v>
      </c>
      <c r="D2744" t="inlineStr">
        <is>
          <t>VÄRMLANDS LÄN</t>
        </is>
      </c>
      <c r="E2744" t="inlineStr">
        <is>
          <t>HAGFORS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20837-2025</t>
        </is>
      </c>
      <c r="B2745" s="1" t="n">
        <v>45776.82643518518</v>
      </c>
      <c r="C2745" s="1" t="n">
        <v>45932</v>
      </c>
      <c r="D2745" t="inlineStr">
        <is>
          <t>VÄRMLANDS LÄN</t>
        </is>
      </c>
      <c r="E2745" t="inlineStr">
        <is>
          <t>KRISTINEHAMN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19425-2024</t>
        </is>
      </c>
      <c r="B2746" s="1" t="n">
        <v>45429.43708333333</v>
      </c>
      <c r="C2746" s="1" t="n">
        <v>45932</v>
      </c>
      <c r="D2746" t="inlineStr">
        <is>
          <t>VÄRMLANDS LÄN</t>
        </is>
      </c>
      <c r="E2746" t="inlineStr">
        <is>
          <t>ARVIKA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36233-2024</t>
        </is>
      </c>
      <c r="B2747" s="1" t="n">
        <v>45534</v>
      </c>
      <c r="C2747" s="1" t="n">
        <v>45932</v>
      </c>
      <c r="D2747" t="inlineStr">
        <is>
          <t>VÄRMLANDS LÄN</t>
        </is>
      </c>
      <c r="E2747" t="inlineStr">
        <is>
          <t>SUNNE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8435-2021</t>
        </is>
      </c>
      <c r="B2748" s="1" t="n">
        <v>44245</v>
      </c>
      <c r="C2748" s="1" t="n">
        <v>45932</v>
      </c>
      <c r="D2748" t="inlineStr">
        <is>
          <t>VÄRMLANDS LÄN</t>
        </is>
      </c>
      <c r="E2748" t="inlineStr">
        <is>
          <t>KARLSTAD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55129-2020</t>
        </is>
      </c>
      <c r="B2749" s="1" t="n">
        <v>44130</v>
      </c>
      <c r="C2749" s="1" t="n">
        <v>45932</v>
      </c>
      <c r="D2749" t="inlineStr">
        <is>
          <t>VÄRMLANDS LÄN</t>
        </is>
      </c>
      <c r="E2749" t="inlineStr">
        <is>
          <t>HAGFORS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55069-2023</t>
        </is>
      </c>
      <c r="B2750" s="1" t="n">
        <v>45237</v>
      </c>
      <c r="C2750" s="1" t="n">
        <v>45932</v>
      </c>
      <c r="D2750" t="inlineStr">
        <is>
          <t>VÄRMLANDS LÄN</t>
        </is>
      </c>
      <c r="E2750" t="inlineStr">
        <is>
          <t>HAMMARÖ</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55091-2023</t>
        </is>
      </c>
      <c r="B2751" s="1" t="n">
        <v>45237</v>
      </c>
      <c r="C2751" s="1" t="n">
        <v>45932</v>
      </c>
      <c r="D2751" t="inlineStr">
        <is>
          <t>VÄRMLANDS LÄN</t>
        </is>
      </c>
      <c r="E2751" t="inlineStr">
        <is>
          <t>ÅRJÄNG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55100-2023</t>
        </is>
      </c>
      <c r="B2752" s="1" t="n">
        <v>45237.45715277778</v>
      </c>
      <c r="C2752" s="1" t="n">
        <v>45932</v>
      </c>
      <c r="D2752" t="inlineStr">
        <is>
          <t>VÄRMLANDS LÄN</t>
        </is>
      </c>
      <c r="E2752" t="inlineStr">
        <is>
          <t>TORSBY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36959-2022</t>
        </is>
      </c>
      <c r="B2753" s="1" t="n">
        <v>44806</v>
      </c>
      <c r="C2753" s="1" t="n">
        <v>45932</v>
      </c>
      <c r="D2753" t="inlineStr">
        <is>
          <t>VÄRMLANDS LÄN</t>
        </is>
      </c>
      <c r="E2753" t="inlineStr">
        <is>
          <t>ARVIKA</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36589-2021</t>
        </is>
      </c>
      <c r="B2754" s="1" t="n">
        <v>44391</v>
      </c>
      <c r="C2754" s="1" t="n">
        <v>45932</v>
      </c>
      <c r="D2754" t="inlineStr">
        <is>
          <t>VÄRMLANDS LÄN</t>
        </is>
      </c>
      <c r="E2754" t="inlineStr">
        <is>
          <t>TORSBY</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67913-2021</t>
        </is>
      </c>
      <c r="B2755" s="1" t="n">
        <v>44525.60017361111</v>
      </c>
      <c r="C2755" s="1" t="n">
        <v>45932</v>
      </c>
      <c r="D2755" t="inlineStr">
        <is>
          <t>VÄRMLANDS LÄN</t>
        </is>
      </c>
      <c r="E2755" t="inlineStr">
        <is>
          <t>TORSBY</t>
        </is>
      </c>
      <c r="F2755" t="inlineStr">
        <is>
          <t>Bergvik skog väst AB</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20622-2025</t>
        </is>
      </c>
      <c r="B2756" s="1" t="n">
        <v>45776.32325231482</v>
      </c>
      <c r="C2756" s="1" t="n">
        <v>45932</v>
      </c>
      <c r="D2756" t="inlineStr">
        <is>
          <t>VÄRMLANDS LÄN</t>
        </is>
      </c>
      <c r="E2756" t="inlineStr">
        <is>
          <t>SUNNE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63393-2020</t>
        </is>
      </c>
      <c r="B2757" s="1" t="n">
        <v>44165.51438657408</v>
      </c>
      <c r="C2757" s="1" t="n">
        <v>45932</v>
      </c>
      <c r="D2757" t="inlineStr">
        <is>
          <t>VÄRMLANDS LÄN</t>
        </is>
      </c>
      <c r="E2757" t="inlineStr">
        <is>
          <t>ÅRJÄNG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28152-2022</t>
        </is>
      </c>
      <c r="B2758" s="1" t="n">
        <v>44746</v>
      </c>
      <c r="C2758" s="1" t="n">
        <v>45932</v>
      </c>
      <c r="D2758" t="inlineStr">
        <is>
          <t>VÄRMLANDS LÄN</t>
        </is>
      </c>
      <c r="E2758" t="inlineStr">
        <is>
          <t>KRISTINEHAMN</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11898-2025</t>
        </is>
      </c>
      <c r="B2759" s="1" t="n">
        <v>45728.47060185186</v>
      </c>
      <c r="C2759" s="1" t="n">
        <v>45932</v>
      </c>
      <c r="D2759" t="inlineStr">
        <is>
          <t>VÄRMLANDS LÄN</t>
        </is>
      </c>
      <c r="E2759" t="inlineStr">
        <is>
          <t>ARVIKA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11904-2025</t>
        </is>
      </c>
      <c r="B2760" s="1" t="n">
        <v>45728.48168981481</v>
      </c>
      <c r="C2760" s="1" t="n">
        <v>45932</v>
      </c>
      <c r="D2760" t="inlineStr">
        <is>
          <t>VÄRMLANDS LÄN</t>
        </is>
      </c>
      <c r="E2760" t="inlineStr">
        <is>
          <t>SÄFFLE</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20975-2025</t>
        </is>
      </c>
      <c r="B2761" s="1" t="n">
        <v>45777.45922453704</v>
      </c>
      <c r="C2761" s="1" t="n">
        <v>45932</v>
      </c>
      <c r="D2761" t="inlineStr">
        <is>
          <t>VÄRMLANDS LÄN</t>
        </is>
      </c>
      <c r="E2761" t="inlineStr">
        <is>
          <t>ÅRJÄNG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17813-2021</t>
        </is>
      </c>
      <c r="B2762" s="1" t="n">
        <v>44300</v>
      </c>
      <c r="C2762" s="1" t="n">
        <v>45932</v>
      </c>
      <c r="D2762" t="inlineStr">
        <is>
          <t>VÄRMLANDS LÄN</t>
        </is>
      </c>
      <c r="E2762" t="inlineStr">
        <is>
          <t>FILIPSTAD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53739-2021</t>
        </is>
      </c>
      <c r="B2763" s="1" t="n">
        <v>44469</v>
      </c>
      <c r="C2763" s="1" t="n">
        <v>45932</v>
      </c>
      <c r="D2763" t="inlineStr">
        <is>
          <t>VÄRMLANDS LÄN</t>
        </is>
      </c>
      <c r="E2763" t="inlineStr">
        <is>
          <t>ÅRJÄNG</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53757-2021</t>
        </is>
      </c>
      <c r="B2764" s="1" t="n">
        <v>44469</v>
      </c>
      <c r="C2764" s="1" t="n">
        <v>45932</v>
      </c>
      <c r="D2764" t="inlineStr">
        <is>
          <t>VÄRMLANDS LÄN</t>
        </is>
      </c>
      <c r="E2764" t="inlineStr">
        <is>
          <t>HAGFORS</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20601-2025</t>
        </is>
      </c>
      <c r="B2765" s="1" t="n">
        <v>45775.79428240741</v>
      </c>
      <c r="C2765" s="1" t="n">
        <v>45932</v>
      </c>
      <c r="D2765" t="inlineStr">
        <is>
          <t>VÄRMLANDS LÄN</t>
        </is>
      </c>
      <c r="E2765" t="inlineStr">
        <is>
          <t>EDA</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20447-2024</t>
        </is>
      </c>
      <c r="B2766" s="1" t="n">
        <v>45435.62854166667</v>
      </c>
      <c r="C2766" s="1" t="n">
        <v>45932</v>
      </c>
      <c r="D2766" t="inlineStr">
        <is>
          <t>VÄRMLANDS LÄN</t>
        </is>
      </c>
      <c r="E2766" t="inlineStr">
        <is>
          <t>HAGFORS</t>
        </is>
      </c>
      <c r="F2766" t="inlineStr">
        <is>
          <t>Bergvik skog väst AB</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21059-2025</t>
        </is>
      </c>
      <c r="B2767" s="1" t="n">
        <v>45777.57553240741</v>
      </c>
      <c r="C2767" s="1" t="n">
        <v>45932</v>
      </c>
      <c r="D2767" t="inlineStr">
        <is>
          <t>VÄRMLANDS LÄN</t>
        </is>
      </c>
      <c r="E2767" t="inlineStr">
        <is>
          <t>KRISTINEHAMN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20495-2024</t>
        </is>
      </c>
      <c r="B2768" s="1" t="n">
        <v>45435</v>
      </c>
      <c r="C2768" s="1" t="n">
        <v>45932</v>
      </c>
      <c r="D2768" t="inlineStr">
        <is>
          <t>VÄRMLANDS LÄN</t>
        </is>
      </c>
      <c r="E2768" t="inlineStr">
        <is>
          <t>EDA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21065-2025</t>
        </is>
      </c>
      <c r="B2769" s="1" t="n">
        <v>45777.58569444445</v>
      </c>
      <c r="C2769" s="1" t="n">
        <v>45932</v>
      </c>
      <c r="D2769" t="inlineStr">
        <is>
          <t>VÄRMLANDS LÄN</t>
        </is>
      </c>
      <c r="E2769" t="inlineStr">
        <is>
          <t>KRISTINEHAMN</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21067-2025</t>
        </is>
      </c>
      <c r="B2770" s="1" t="n">
        <v>45777.59119212963</v>
      </c>
      <c r="C2770" s="1" t="n">
        <v>45932</v>
      </c>
      <c r="D2770" t="inlineStr">
        <is>
          <t>VÄRMLANDS LÄN</t>
        </is>
      </c>
      <c r="E2770" t="inlineStr">
        <is>
          <t>HAGFORS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31985-2023</t>
        </is>
      </c>
      <c r="B2771" s="1" t="n">
        <v>45107</v>
      </c>
      <c r="C2771" s="1" t="n">
        <v>45932</v>
      </c>
      <c r="D2771" t="inlineStr">
        <is>
          <t>VÄRMLANDS LÄN</t>
        </is>
      </c>
      <c r="E2771" t="inlineStr">
        <is>
          <t>SÄFFLE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38612-2023</t>
        </is>
      </c>
      <c r="B2772" s="1" t="n">
        <v>45162.65785879629</v>
      </c>
      <c r="C2772" s="1" t="n">
        <v>45932</v>
      </c>
      <c r="D2772" t="inlineStr">
        <is>
          <t>VÄRMLANDS LÄN</t>
        </is>
      </c>
      <c r="E2772" t="inlineStr">
        <is>
          <t>HAGFORS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23020-2022</t>
        </is>
      </c>
      <c r="B2773" s="1" t="n">
        <v>44719.37579861111</v>
      </c>
      <c r="C2773" s="1" t="n">
        <v>45932</v>
      </c>
      <c r="D2773" t="inlineStr">
        <is>
          <t>VÄRMLANDS LÄN</t>
        </is>
      </c>
      <c r="E2773" t="inlineStr">
        <is>
          <t>FORSHAGA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47035-2021</t>
        </is>
      </c>
      <c r="B2774" s="1" t="n">
        <v>44446</v>
      </c>
      <c r="C2774" s="1" t="n">
        <v>45932</v>
      </c>
      <c r="D2774" t="inlineStr">
        <is>
          <t>VÄRMLANDS LÄN</t>
        </is>
      </c>
      <c r="E2774" t="inlineStr">
        <is>
          <t>ÅRJÄNG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39217-2022</t>
        </is>
      </c>
      <c r="B2775" s="1" t="n">
        <v>44817.57174768519</v>
      </c>
      <c r="C2775" s="1" t="n">
        <v>45932</v>
      </c>
      <c r="D2775" t="inlineStr">
        <is>
          <t>VÄRMLANDS LÄN</t>
        </is>
      </c>
      <c r="E2775" t="inlineStr">
        <is>
          <t>TORSBY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39221-2022</t>
        </is>
      </c>
      <c r="B2776" s="1" t="n">
        <v>44817.57484953704</v>
      </c>
      <c r="C2776" s="1" t="n">
        <v>45932</v>
      </c>
      <c r="D2776" t="inlineStr">
        <is>
          <t>VÄRMLANDS LÄN</t>
        </is>
      </c>
      <c r="E2776" t="inlineStr">
        <is>
          <t>TORSBY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47623-2024</t>
        </is>
      </c>
      <c r="B2777" s="1" t="n">
        <v>45588.33216435185</v>
      </c>
      <c r="C2777" s="1" t="n">
        <v>45932</v>
      </c>
      <c r="D2777" t="inlineStr">
        <is>
          <t>VÄRMLANDS LÄN</t>
        </is>
      </c>
      <c r="E2777" t="inlineStr">
        <is>
          <t>ÅRJÄNG</t>
        </is>
      </c>
      <c r="F2777" t="inlineStr">
        <is>
          <t>Kommuner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44006-2023</t>
        </is>
      </c>
      <c r="B2778" s="1" t="n">
        <v>45188</v>
      </c>
      <c r="C2778" s="1" t="n">
        <v>45932</v>
      </c>
      <c r="D2778" t="inlineStr">
        <is>
          <t>VÄRMLANDS LÄN</t>
        </is>
      </c>
      <c r="E2778" t="inlineStr">
        <is>
          <t>EDA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47625-2024</t>
        </is>
      </c>
      <c r="B2779" s="1" t="n">
        <v>45588.3347337963</v>
      </c>
      <c r="C2779" s="1" t="n">
        <v>45932</v>
      </c>
      <c r="D2779" t="inlineStr">
        <is>
          <t>VÄRMLANDS LÄN</t>
        </is>
      </c>
      <c r="E2779" t="inlineStr">
        <is>
          <t>MUNKFORS</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4075-2022</t>
        </is>
      </c>
      <c r="B2780" s="1" t="n">
        <v>44588.37962962963</v>
      </c>
      <c r="C2780" s="1" t="n">
        <v>45932</v>
      </c>
      <c r="D2780" t="inlineStr">
        <is>
          <t>VÄRMLANDS LÄN</t>
        </is>
      </c>
      <c r="E2780" t="inlineStr">
        <is>
          <t>ARVIKA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26580-2021</t>
        </is>
      </c>
      <c r="B2781" s="1" t="n">
        <v>44348</v>
      </c>
      <c r="C2781" s="1" t="n">
        <v>45932</v>
      </c>
      <c r="D2781" t="inlineStr">
        <is>
          <t>VÄRMLANDS LÄN</t>
        </is>
      </c>
      <c r="E2781" t="inlineStr">
        <is>
          <t>SUNNE</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5286-2023</t>
        </is>
      </c>
      <c r="B2782" s="1" t="n">
        <v>44959</v>
      </c>
      <c r="C2782" s="1" t="n">
        <v>45932</v>
      </c>
      <c r="D2782" t="inlineStr">
        <is>
          <t>VÄRMLANDS LÄN</t>
        </is>
      </c>
      <c r="E2782" t="inlineStr">
        <is>
          <t>KIL</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15169-2025</t>
        </is>
      </c>
      <c r="B2783" s="1" t="n">
        <v>45744</v>
      </c>
      <c r="C2783" s="1" t="n">
        <v>45932</v>
      </c>
      <c r="D2783" t="inlineStr">
        <is>
          <t>VÄRMLANDS LÄN</t>
        </is>
      </c>
      <c r="E2783" t="inlineStr">
        <is>
          <t>TORSBY</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56713-2022</t>
        </is>
      </c>
      <c r="B2784" s="1" t="n">
        <v>44893.85011574074</v>
      </c>
      <c r="C2784" s="1" t="n">
        <v>45932</v>
      </c>
      <c r="D2784" t="inlineStr">
        <is>
          <t>VÄRMLANDS LÄN</t>
        </is>
      </c>
      <c r="E2784" t="inlineStr">
        <is>
          <t>ARVIKA</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21066-2025</t>
        </is>
      </c>
      <c r="B2785" s="1" t="n">
        <v>45777.58931712963</v>
      </c>
      <c r="C2785" s="1" t="n">
        <v>45932</v>
      </c>
      <c r="D2785" t="inlineStr">
        <is>
          <t>VÄRMLANDS LÄN</t>
        </is>
      </c>
      <c r="E2785" t="inlineStr">
        <is>
          <t>EDA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15640-2025</t>
        </is>
      </c>
      <c r="B2786" s="1" t="n">
        <v>45748</v>
      </c>
      <c r="C2786" s="1" t="n">
        <v>45932</v>
      </c>
      <c r="D2786" t="inlineStr">
        <is>
          <t>VÄRMLANDS LÄN</t>
        </is>
      </c>
      <c r="E2786" t="inlineStr">
        <is>
          <t>ARVIKA</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4421-2023</t>
        </is>
      </c>
      <c r="B2787" s="1" t="n">
        <v>44956</v>
      </c>
      <c r="C2787" s="1" t="n">
        <v>45932</v>
      </c>
      <c r="D2787" t="inlineStr">
        <is>
          <t>VÄRMLANDS LÄN</t>
        </is>
      </c>
      <c r="E2787" t="inlineStr">
        <is>
          <t>EDA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4492-2023</t>
        </is>
      </c>
      <c r="B2788" s="1" t="n">
        <v>44956</v>
      </c>
      <c r="C2788" s="1" t="n">
        <v>45932</v>
      </c>
      <c r="D2788" t="inlineStr">
        <is>
          <t>VÄRMLANDS LÄN</t>
        </is>
      </c>
      <c r="E2788" t="inlineStr">
        <is>
          <t>SUNNE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26645-2021</t>
        </is>
      </c>
      <c r="B2789" s="1" t="n">
        <v>44348</v>
      </c>
      <c r="C2789" s="1" t="n">
        <v>45932</v>
      </c>
      <c r="D2789" t="inlineStr">
        <is>
          <t>VÄRMLANDS LÄN</t>
        </is>
      </c>
      <c r="E2789" t="inlineStr">
        <is>
          <t>KIL</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45287-2023</t>
        </is>
      </c>
      <c r="B2790" s="1" t="n">
        <v>45187</v>
      </c>
      <c r="C2790" s="1" t="n">
        <v>45932</v>
      </c>
      <c r="D2790" t="inlineStr">
        <is>
          <t>VÄRMLANDS LÄN</t>
        </is>
      </c>
      <c r="E2790" t="inlineStr">
        <is>
          <t>KARLSTAD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50174-2024</t>
        </is>
      </c>
      <c r="B2791" s="1" t="n">
        <v>45600.46815972222</v>
      </c>
      <c r="C2791" s="1" t="n">
        <v>45932</v>
      </c>
      <c r="D2791" t="inlineStr">
        <is>
          <t>VÄRMLANDS LÄN</t>
        </is>
      </c>
      <c r="E2791" t="inlineStr">
        <is>
          <t>KRISTINEHAMN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60582-2024</t>
        </is>
      </c>
      <c r="B2792" s="1" t="n">
        <v>45644.34481481482</v>
      </c>
      <c r="C2792" s="1" t="n">
        <v>45932</v>
      </c>
      <c r="D2792" t="inlineStr">
        <is>
          <t>VÄRMLANDS LÄN</t>
        </is>
      </c>
      <c r="E2792" t="inlineStr">
        <is>
          <t>HAGFORS</t>
        </is>
      </c>
      <c r="F2792" t="inlineStr">
        <is>
          <t>Kyrkan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66385-2021</t>
        </is>
      </c>
      <c r="B2793" s="1" t="n">
        <v>44518</v>
      </c>
      <c r="C2793" s="1" t="n">
        <v>45932</v>
      </c>
      <c r="D2793" t="inlineStr">
        <is>
          <t>VÄRMLANDS LÄN</t>
        </is>
      </c>
      <c r="E2793" t="inlineStr">
        <is>
          <t>SÄFFLE</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20878-2025</t>
        </is>
      </c>
      <c r="B2794" s="1" t="n">
        <v>45777</v>
      </c>
      <c r="C2794" s="1" t="n">
        <v>45932</v>
      </c>
      <c r="D2794" t="inlineStr">
        <is>
          <t>VÄRMLANDS LÄN</t>
        </is>
      </c>
      <c r="E2794" t="inlineStr">
        <is>
          <t>FILIPSTAD</t>
        </is>
      </c>
      <c r="F2794" t="inlineStr">
        <is>
          <t>Bergvik skog väst AB</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46761-2024</t>
        </is>
      </c>
      <c r="B2795" s="1" t="n">
        <v>45583.49190972222</v>
      </c>
      <c r="C2795" s="1" t="n">
        <v>45932</v>
      </c>
      <c r="D2795" t="inlineStr">
        <is>
          <t>VÄRMLANDS LÄN</t>
        </is>
      </c>
      <c r="E2795" t="inlineStr">
        <is>
          <t>EDA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59423-2024</t>
        </is>
      </c>
      <c r="B2796" s="1" t="n">
        <v>45638</v>
      </c>
      <c r="C2796" s="1" t="n">
        <v>45932</v>
      </c>
      <c r="D2796" t="inlineStr">
        <is>
          <t>VÄRMLANDS LÄN</t>
        </is>
      </c>
      <c r="E2796" t="inlineStr">
        <is>
          <t>TORSBY</t>
        </is>
      </c>
      <c r="G2796" t="n">
        <v>23.7</v>
      </c>
      <c r="H2796" t="n">
        <v>0</v>
      </c>
      <c r="I2796" t="n">
        <v>0</v>
      </c>
      <c r="J2796" t="n">
        <v>0</v>
      </c>
      <c r="K2796" t="n">
        <v>0</v>
      </c>
      <c r="L2796" t="n">
        <v>0</v>
      </c>
      <c r="M2796" t="n">
        <v>0</v>
      </c>
      <c r="N2796" t="n">
        <v>0</v>
      </c>
      <c r="O2796" t="n">
        <v>0</v>
      </c>
      <c r="P2796" t="n">
        <v>0</v>
      </c>
      <c r="Q2796" t="n">
        <v>0</v>
      </c>
      <c r="R2796" s="2" t="inlineStr"/>
    </row>
    <row r="2797" ht="15" customHeight="1">
      <c r="A2797" t="inlineStr">
        <is>
          <t>A 21701-2021</t>
        </is>
      </c>
      <c r="B2797" s="1" t="n">
        <v>44322</v>
      </c>
      <c r="C2797" s="1" t="n">
        <v>45932</v>
      </c>
      <c r="D2797" t="inlineStr">
        <is>
          <t>VÄRMLANDS LÄN</t>
        </is>
      </c>
      <c r="E2797" t="inlineStr">
        <is>
          <t>ÅRJÄNG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36094-2021</t>
        </is>
      </c>
      <c r="B2798" s="1" t="n">
        <v>44389</v>
      </c>
      <c r="C2798" s="1" t="n">
        <v>45932</v>
      </c>
      <c r="D2798" t="inlineStr">
        <is>
          <t>VÄRMLANDS LÄN</t>
        </is>
      </c>
      <c r="E2798" t="inlineStr">
        <is>
          <t>SÄFFLE</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36095-2021</t>
        </is>
      </c>
      <c r="B2799" s="1" t="n">
        <v>44389</v>
      </c>
      <c r="C2799" s="1" t="n">
        <v>45932</v>
      </c>
      <c r="D2799" t="inlineStr">
        <is>
          <t>VÄRMLANDS LÄN</t>
        </is>
      </c>
      <c r="E2799" t="inlineStr">
        <is>
          <t>SÄFFLE</t>
        </is>
      </c>
      <c r="G2799" t="n">
        <v>13.5</v>
      </c>
      <c r="H2799" t="n">
        <v>0</v>
      </c>
      <c r="I2799" t="n">
        <v>0</v>
      </c>
      <c r="J2799" t="n">
        <v>0</v>
      </c>
      <c r="K2799" t="n">
        <v>0</v>
      </c>
      <c r="L2799" t="n">
        <v>0</v>
      </c>
      <c r="M2799" t="n">
        <v>0</v>
      </c>
      <c r="N2799" t="n">
        <v>0</v>
      </c>
      <c r="O2799" t="n">
        <v>0</v>
      </c>
      <c r="P2799" t="n">
        <v>0</v>
      </c>
      <c r="Q2799" t="n">
        <v>0</v>
      </c>
      <c r="R2799" s="2" t="inlineStr"/>
    </row>
    <row r="2800" ht="15" customHeight="1">
      <c r="A2800" t="inlineStr">
        <is>
          <t>A 20843-2025</t>
        </is>
      </c>
      <c r="B2800" s="1" t="n">
        <v>45776.9233912037</v>
      </c>
      <c r="C2800" s="1" t="n">
        <v>45932</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20816-2025</t>
        </is>
      </c>
      <c r="B2801" s="1" t="n">
        <v>45776</v>
      </c>
      <c r="C2801" s="1" t="n">
        <v>45932</v>
      </c>
      <c r="D2801" t="inlineStr">
        <is>
          <t>VÄRMLANDS LÄN</t>
        </is>
      </c>
      <c r="E2801" t="inlineStr">
        <is>
          <t>TORSBY</t>
        </is>
      </c>
      <c r="F2801" t="inlineStr">
        <is>
          <t>Bergvik skog väst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33025-2021</t>
        </is>
      </c>
      <c r="B2802" s="1" t="n">
        <v>44376</v>
      </c>
      <c r="C2802" s="1" t="n">
        <v>45932</v>
      </c>
      <c r="D2802" t="inlineStr">
        <is>
          <t>VÄRMLANDS LÄN</t>
        </is>
      </c>
      <c r="E2802" t="inlineStr">
        <is>
          <t>ÅRJÄNG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73306-2021</t>
        </is>
      </c>
      <c r="B2803" s="1" t="n">
        <v>44547</v>
      </c>
      <c r="C2803" s="1" t="n">
        <v>45932</v>
      </c>
      <c r="D2803" t="inlineStr">
        <is>
          <t>VÄRMLANDS LÄN</t>
        </is>
      </c>
      <c r="E2803" t="inlineStr">
        <is>
          <t>GRUMS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3149-2022</t>
        </is>
      </c>
      <c r="B2804" s="1" t="n">
        <v>44582.56030092593</v>
      </c>
      <c r="C2804" s="1" t="n">
        <v>45932</v>
      </c>
      <c r="D2804" t="inlineStr">
        <is>
          <t>VÄRMLANDS LÄN</t>
        </is>
      </c>
      <c r="E2804" t="inlineStr">
        <is>
          <t>HAGFORS</t>
        </is>
      </c>
      <c r="F2804" t="inlineStr">
        <is>
          <t>Bergvik skog väst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65950-2021</t>
        </is>
      </c>
      <c r="B2805" s="1" t="n">
        <v>44517</v>
      </c>
      <c r="C2805" s="1" t="n">
        <v>45932</v>
      </c>
      <c r="D2805" t="inlineStr">
        <is>
          <t>VÄRMLANDS LÄN</t>
        </is>
      </c>
      <c r="E2805" t="inlineStr">
        <is>
          <t>ARVIKA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12819-2025</t>
        </is>
      </c>
      <c r="B2806" s="1" t="n">
        <v>45733</v>
      </c>
      <c r="C2806" s="1" t="n">
        <v>45932</v>
      </c>
      <c r="D2806" t="inlineStr">
        <is>
          <t>VÄRMLANDS LÄN</t>
        </is>
      </c>
      <c r="E2806" t="inlineStr">
        <is>
          <t>STORFORS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52994-2023</t>
        </is>
      </c>
      <c r="B2807" s="1" t="n">
        <v>45226</v>
      </c>
      <c r="C2807" s="1" t="n">
        <v>45932</v>
      </c>
      <c r="D2807" t="inlineStr">
        <is>
          <t>VÄRMLANDS LÄN</t>
        </is>
      </c>
      <c r="E2807" t="inlineStr">
        <is>
          <t>FILIPSTAD</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52677-2021</t>
        </is>
      </c>
      <c r="B2808" s="1" t="n">
        <v>44466.72121527778</v>
      </c>
      <c r="C2808" s="1" t="n">
        <v>45932</v>
      </c>
      <c r="D2808" t="inlineStr">
        <is>
          <t>VÄRMLANDS LÄN</t>
        </is>
      </c>
      <c r="E2808" t="inlineStr">
        <is>
          <t>SUNNE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20052-2024</t>
        </is>
      </c>
      <c r="B2809" s="1" t="n">
        <v>45434.38707175926</v>
      </c>
      <c r="C2809" s="1" t="n">
        <v>45932</v>
      </c>
      <c r="D2809" t="inlineStr">
        <is>
          <t>VÄRMLANDS LÄN</t>
        </is>
      </c>
      <c r="E2809" t="inlineStr">
        <is>
          <t>EDA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28925-2022</t>
        </is>
      </c>
      <c r="B2810" s="1" t="n">
        <v>44749.57684027778</v>
      </c>
      <c r="C2810" s="1" t="n">
        <v>45932</v>
      </c>
      <c r="D2810" t="inlineStr">
        <is>
          <t>VÄRMLANDS LÄN</t>
        </is>
      </c>
      <c r="E2810" t="inlineStr">
        <is>
          <t>ÅRJÄNG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10182-2021</t>
        </is>
      </c>
      <c r="B2811" s="1" t="n">
        <v>44256</v>
      </c>
      <c r="C2811" s="1" t="n">
        <v>45932</v>
      </c>
      <c r="D2811" t="inlineStr">
        <is>
          <t>VÄRMLANDS LÄN</t>
        </is>
      </c>
      <c r="E2811" t="inlineStr">
        <is>
          <t>KRISTINEHAMN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32176-2022</t>
        </is>
      </c>
      <c r="B2812" s="1" t="n">
        <v>44780</v>
      </c>
      <c r="C2812" s="1" t="n">
        <v>45932</v>
      </c>
      <c r="D2812" t="inlineStr">
        <is>
          <t>VÄRMLANDS LÄN</t>
        </is>
      </c>
      <c r="E2812" t="inlineStr">
        <is>
          <t>ARVIKA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5846-2023</t>
        </is>
      </c>
      <c r="B2813" s="1" t="n">
        <v>44963</v>
      </c>
      <c r="C2813" s="1" t="n">
        <v>45932</v>
      </c>
      <c r="D2813" t="inlineStr">
        <is>
          <t>VÄRMLANDS LÄN</t>
        </is>
      </c>
      <c r="E2813" t="inlineStr">
        <is>
          <t>FILIPSTAD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54060-2020</t>
        </is>
      </c>
      <c r="B2814" s="1" t="n">
        <v>44125</v>
      </c>
      <c r="C2814" s="1" t="n">
        <v>45932</v>
      </c>
      <c r="D2814" t="inlineStr">
        <is>
          <t>VÄRMLANDS LÄN</t>
        </is>
      </c>
      <c r="E2814" t="inlineStr">
        <is>
          <t>TORSBY</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32389-2022</t>
        </is>
      </c>
      <c r="B2815" s="1" t="n">
        <v>44782</v>
      </c>
      <c r="C2815" s="1" t="n">
        <v>45932</v>
      </c>
      <c r="D2815" t="inlineStr">
        <is>
          <t>VÄRMLANDS LÄN</t>
        </is>
      </c>
      <c r="E2815" t="inlineStr">
        <is>
          <t>MUNKFORS</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8438-2022</t>
        </is>
      </c>
      <c r="B2816" s="1" t="n">
        <v>44612</v>
      </c>
      <c r="C2816" s="1" t="n">
        <v>45932</v>
      </c>
      <c r="D2816" t="inlineStr">
        <is>
          <t>VÄRMLANDS LÄN</t>
        </is>
      </c>
      <c r="E2816" t="inlineStr">
        <is>
          <t>ÅRJÄNG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50079-2020</t>
        </is>
      </c>
      <c r="B2817" s="1" t="n">
        <v>44109</v>
      </c>
      <c r="C2817" s="1" t="n">
        <v>45932</v>
      </c>
      <c r="D2817" t="inlineStr">
        <is>
          <t>VÄRMLANDS LÄN</t>
        </is>
      </c>
      <c r="E2817" t="inlineStr">
        <is>
          <t>STORFORS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10899-2022</t>
        </is>
      </c>
      <c r="B2818" s="1" t="n">
        <v>44627</v>
      </c>
      <c r="C2818" s="1" t="n">
        <v>45932</v>
      </c>
      <c r="D2818" t="inlineStr">
        <is>
          <t>VÄRMLANDS LÄN</t>
        </is>
      </c>
      <c r="E2818" t="inlineStr">
        <is>
          <t>ÅRJÄNG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20598-2025</t>
        </is>
      </c>
      <c r="B2819" s="1" t="n">
        <v>45775.76653935185</v>
      </c>
      <c r="C2819" s="1" t="n">
        <v>45932</v>
      </c>
      <c r="D2819" t="inlineStr">
        <is>
          <t>VÄRMLANDS LÄN</t>
        </is>
      </c>
      <c r="E2819" t="inlineStr">
        <is>
          <t>EDA</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20624-2025</t>
        </is>
      </c>
      <c r="B2820" s="1" t="n">
        <v>45776.32688657408</v>
      </c>
      <c r="C2820" s="1" t="n">
        <v>45932</v>
      </c>
      <c r="D2820" t="inlineStr">
        <is>
          <t>VÄRMLANDS LÄN</t>
        </is>
      </c>
      <c r="E2820" t="inlineStr">
        <is>
          <t>HAGFORS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20957-2025</t>
        </is>
      </c>
      <c r="B2821" s="1" t="n">
        <v>45777.44613425926</v>
      </c>
      <c r="C2821" s="1" t="n">
        <v>45932</v>
      </c>
      <c r="D2821" t="inlineStr">
        <is>
          <t>VÄRMLANDS LÄN</t>
        </is>
      </c>
      <c r="E2821" t="inlineStr">
        <is>
          <t>ÅRJÄNG</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20688-2025</t>
        </is>
      </c>
      <c r="B2822" s="1" t="n">
        <v>45776</v>
      </c>
      <c r="C2822" s="1" t="n">
        <v>45932</v>
      </c>
      <c r="D2822" t="inlineStr">
        <is>
          <t>VÄRMLANDS LÄN</t>
        </is>
      </c>
      <c r="E2822" t="inlineStr">
        <is>
          <t>HAGFORS</t>
        </is>
      </c>
      <c r="F2822" t="inlineStr">
        <is>
          <t>Bergvik skog väst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20605-2025</t>
        </is>
      </c>
      <c r="B2823" s="1" t="n">
        <v>45775.84560185186</v>
      </c>
      <c r="C2823" s="1" t="n">
        <v>45932</v>
      </c>
      <c r="D2823" t="inlineStr">
        <is>
          <t>VÄRMLANDS LÄN</t>
        </is>
      </c>
      <c r="E2823" t="inlineStr">
        <is>
          <t>SUNNE</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20634-2025</t>
        </is>
      </c>
      <c r="B2824" s="1" t="n">
        <v>45776.35204861111</v>
      </c>
      <c r="C2824" s="1" t="n">
        <v>45932</v>
      </c>
      <c r="D2824" t="inlineStr">
        <is>
          <t>VÄRMLANDS LÄN</t>
        </is>
      </c>
      <c r="E2824" t="inlineStr">
        <is>
          <t>ARVIKA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20119-2022</t>
        </is>
      </c>
      <c r="B2825" s="1" t="n">
        <v>44698</v>
      </c>
      <c r="C2825" s="1" t="n">
        <v>45932</v>
      </c>
      <c r="D2825" t="inlineStr">
        <is>
          <t>VÄRMLANDS LÄN</t>
        </is>
      </c>
      <c r="E2825" t="inlineStr">
        <is>
          <t>SÄFFLE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71130-2021</t>
        </is>
      </c>
      <c r="B2826" s="1" t="n">
        <v>44539</v>
      </c>
      <c r="C2826" s="1" t="n">
        <v>45932</v>
      </c>
      <c r="D2826" t="inlineStr">
        <is>
          <t>VÄRMLANDS LÄN</t>
        </is>
      </c>
      <c r="E2826" t="inlineStr">
        <is>
          <t>ARVIKA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50044-2022</t>
        </is>
      </c>
      <c r="B2827" s="1" t="n">
        <v>44865</v>
      </c>
      <c r="C2827" s="1" t="n">
        <v>45932</v>
      </c>
      <c r="D2827" t="inlineStr">
        <is>
          <t>VÄRMLANDS LÄN</t>
        </is>
      </c>
      <c r="E2827" t="inlineStr">
        <is>
          <t>ÅRJÄNG</t>
        </is>
      </c>
      <c r="F2827" t="inlineStr">
        <is>
          <t>Bergvik skog väst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27045-2021</t>
        </is>
      </c>
      <c r="B2828" s="1" t="n">
        <v>44350.43223379629</v>
      </c>
      <c r="C2828" s="1" t="n">
        <v>45932</v>
      </c>
      <c r="D2828" t="inlineStr">
        <is>
          <t>VÄRMLANDS LÄN</t>
        </is>
      </c>
      <c r="E2828" t="inlineStr">
        <is>
          <t>ÅRJÄNG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28876-2022</t>
        </is>
      </c>
      <c r="B2829" s="1" t="n">
        <v>44749</v>
      </c>
      <c r="C2829" s="1" t="n">
        <v>45932</v>
      </c>
      <c r="D2829" t="inlineStr">
        <is>
          <t>VÄRMLANDS LÄN</t>
        </is>
      </c>
      <c r="E2829" t="inlineStr">
        <is>
          <t>SUNNE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20740-2025</t>
        </is>
      </c>
      <c r="B2830" s="1" t="n">
        <v>45776.54284722222</v>
      </c>
      <c r="C2830" s="1" t="n">
        <v>45932</v>
      </c>
      <c r="D2830" t="inlineStr">
        <is>
          <t>VÄRMLANDS LÄN</t>
        </is>
      </c>
      <c r="E2830" t="inlineStr">
        <is>
          <t>TORSBY</t>
        </is>
      </c>
      <c r="F2830" t="inlineStr">
        <is>
          <t>Bergvik skog väst AB</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5468-2023</t>
        </is>
      </c>
      <c r="B2831" s="1" t="n">
        <v>44960.33927083333</v>
      </c>
      <c r="C2831" s="1" t="n">
        <v>45932</v>
      </c>
      <c r="D2831" t="inlineStr">
        <is>
          <t>VÄRMLANDS LÄN</t>
        </is>
      </c>
      <c r="E2831" t="inlineStr">
        <is>
          <t>SÄFFLE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63111-2021</t>
        </is>
      </c>
      <c r="B2832" s="1" t="n">
        <v>44505</v>
      </c>
      <c r="C2832" s="1" t="n">
        <v>45932</v>
      </c>
      <c r="D2832" t="inlineStr">
        <is>
          <t>VÄRMLANDS LÄN</t>
        </is>
      </c>
      <c r="E2832" t="inlineStr">
        <is>
          <t>SÄFFLE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5754-2025</t>
        </is>
      </c>
      <c r="B2833" s="1" t="n">
        <v>45694</v>
      </c>
      <c r="C2833" s="1" t="n">
        <v>45932</v>
      </c>
      <c r="D2833" t="inlineStr">
        <is>
          <t>VÄRMLANDS LÄN</t>
        </is>
      </c>
      <c r="E2833" t="inlineStr">
        <is>
          <t>KIL</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12687-2025</t>
        </is>
      </c>
      <c r="B2834" s="1" t="n">
        <v>45733.44953703704</v>
      </c>
      <c r="C2834" s="1" t="n">
        <v>45932</v>
      </c>
      <c r="D2834" t="inlineStr">
        <is>
          <t>VÄRMLANDS LÄN</t>
        </is>
      </c>
      <c r="E2834" t="inlineStr">
        <is>
          <t>ÅRJÄNG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12689-2025</t>
        </is>
      </c>
      <c r="B2835" s="1" t="n">
        <v>45733.4528587963</v>
      </c>
      <c r="C2835" s="1" t="n">
        <v>45932</v>
      </c>
      <c r="D2835" t="inlineStr">
        <is>
          <t>VÄRMLANDS LÄN</t>
        </is>
      </c>
      <c r="E2835" t="inlineStr">
        <is>
          <t>EDA</t>
        </is>
      </c>
      <c r="F2835" t="inlineStr">
        <is>
          <t>Bergvik skog väst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10874-2022</t>
        </is>
      </c>
      <c r="B2836" s="1" t="n">
        <v>44627.6694212963</v>
      </c>
      <c r="C2836" s="1" t="n">
        <v>45932</v>
      </c>
      <c r="D2836" t="inlineStr">
        <is>
          <t>VÄRMLANDS LÄN</t>
        </is>
      </c>
      <c r="E2836" t="inlineStr">
        <is>
          <t>SÄFFLE</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59869-2024</t>
        </is>
      </c>
      <c r="B2837" s="1" t="n">
        <v>45640.3178125</v>
      </c>
      <c r="C2837" s="1" t="n">
        <v>45932</v>
      </c>
      <c r="D2837" t="inlineStr">
        <is>
          <t>VÄRMLANDS LÄN</t>
        </is>
      </c>
      <c r="E2837" t="inlineStr">
        <is>
          <t>FILIPSTAD</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57743-2021</t>
        </is>
      </c>
      <c r="B2838" s="1" t="n">
        <v>44484.54023148148</v>
      </c>
      <c r="C2838" s="1" t="n">
        <v>45932</v>
      </c>
      <c r="D2838" t="inlineStr">
        <is>
          <t>VÄRMLANDS LÄN</t>
        </is>
      </c>
      <c r="E2838" t="inlineStr">
        <is>
          <t>KIL</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4998-2025</t>
        </is>
      </c>
      <c r="B2839" s="1" t="n">
        <v>45691.36129629629</v>
      </c>
      <c r="C2839" s="1" t="n">
        <v>45932</v>
      </c>
      <c r="D2839" t="inlineStr">
        <is>
          <t>VÄRMLANDS LÄN</t>
        </is>
      </c>
      <c r="E2839" t="inlineStr">
        <is>
          <t>SUNNE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63251-2021</t>
        </is>
      </c>
      <c r="B2840" s="1" t="n">
        <v>44508.37935185185</v>
      </c>
      <c r="C2840" s="1" t="n">
        <v>45932</v>
      </c>
      <c r="D2840" t="inlineStr">
        <is>
          <t>VÄRMLANDS LÄN</t>
        </is>
      </c>
      <c r="E2840" t="inlineStr">
        <is>
          <t>TORSBY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48633-2021</t>
        </is>
      </c>
      <c r="B2841" s="1" t="n">
        <v>44452</v>
      </c>
      <c r="C2841" s="1" t="n">
        <v>45932</v>
      </c>
      <c r="D2841" t="inlineStr">
        <is>
          <t>VÄRMLANDS LÄN</t>
        </is>
      </c>
      <c r="E2841" t="inlineStr">
        <is>
          <t>KARLSTAD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57386-2024</t>
        </is>
      </c>
      <c r="B2842" s="1" t="n">
        <v>45629</v>
      </c>
      <c r="C2842" s="1" t="n">
        <v>45932</v>
      </c>
      <c r="D2842" t="inlineStr">
        <is>
          <t>VÄRMLANDS LÄN</t>
        </is>
      </c>
      <c r="E2842" t="inlineStr">
        <is>
          <t>KIL</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11424-2022</t>
        </is>
      </c>
      <c r="B2843" s="1" t="n">
        <v>44630</v>
      </c>
      <c r="C2843" s="1" t="n">
        <v>45932</v>
      </c>
      <c r="D2843" t="inlineStr">
        <is>
          <t>VÄRMLANDS LÄN</t>
        </is>
      </c>
      <c r="E2843" t="inlineStr">
        <is>
          <t>SUNNE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46701-2021</t>
        </is>
      </c>
      <c r="B2844" s="1" t="n">
        <v>44445</v>
      </c>
      <c r="C2844" s="1" t="n">
        <v>45932</v>
      </c>
      <c r="D2844" t="inlineStr">
        <is>
          <t>VÄRMLANDS LÄN</t>
        </is>
      </c>
      <c r="E2844" t="inlineStr">
        <is>
          <t>FORSHAGA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12611-2024</t>
        </is>
      </c>
      <c r="B2845" s="1" t="n">
        <v>45382</v>
      </c>
      <c r="C2845" s="1" t="n">
        <v>45932</v>
      </c>
      <c r="D2845" t="inlineStr">
        <is>
          <t>VÄRMLANDS LÄN</t>
        </is>
      </c>
      <c r="E2845" t="inlineStr">
        <is>
          <t>KARLSTAD</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20103-2024</t>
        </is>
      </c>
      <c r="B2846" s="1" t="n">
        <v>45434</v>
      </c>
      <c r="C2846" s="1" t="n">
        <v>45932</v>
      </c>
      <c r="D2846" t="inlineStr">
        <is>
          <t>VÄRMLANDS LÄN</t>
        </is>
      </c>
      <c r="E2846" t="inlineStr">
        <is>
          <t>HAGFORS</t>
        </is>
      </c>
      <c r="F2846" t="inlineStr">
        <is>
          <t>Bergvik skog väst AB</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20862-2025</t>
        </is>
      </c>
      <c r="B2847" s="1" t="n">
        <v>45777</v>
      </c>
      <c r="C2847" s="1" t="n">
        <v>45932</v>
      </c>
      <c r="D2847" t="inlineStr">
        <is>
          <t>VÄRMLANDS LÄN</t>
        </is>
      </c>
      <c r="E2847" t="inlineStr">
        <is>
          <t>HAGFORS</t>
        </is>
      </c>
      <c r="F2847" t="inlineStr">
        <is>
          <t>Bergvik skog väst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5012-2025</t>
        </is>
      </c>
      <c r="B2848" s="1" t="n">
        <v>45691.38291666667</v>
      </c>
      <c r="C2848" s="1" t="n">
        <v>45932</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46530-2023</t>
        </is>
      </c>
      <c r="B2849" s="1" t="n">
        <v>45197.84850694444</v>
      </c>
      <c r="C2849" s="1" t="n">
        <v>45932</v>
      </c>
      <c r="D2849" t="inlineStr">
        <is>
          <t>VÄRMLANDS LÄN</t>
        </is>
      </c>
      <c r="E2849" t="inlineStr">
        <is>
          <t>FORSHAGA</t>
        </is>
      </c>
      <c r="F2849" t="inlineStr">
        <is>
          <t>Bergvik skog väst AB</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20914-2025</t>
        </is>
      </c>
      <c r="B2850" s="1" t="n">
        <v>45777</v>
      </c>
      <c r="C2850" s="1" t="n">
        <v>45932</v>
      </c>
      <c r="D2850" t="inlineStr">
        <is>
          <t>VÄRMLANDS LÄN</t>
        </is>
      </c>
      <c r="E2850" t="inlineStr">
        <is>
          <t>TORSBY</t>
        </is>
      </c>
      <c r="F2850" t="inlineStr">
        <is>
          <t>Bergvik skog väst AB</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12416-2023</t>
        </is>
      </c>
      <c r="B2851" s="1" t="n">
        <v>44998</v>
      </c>
      <c r="C2851" s="1" t="n">
        <v>45932</v>
      </c>
      <c r="D2851" t="inlineStr">
        <is>
          <t>VÄRMLANDS LÄN</t>
        </is>
      </c>
      <c r="E2851" t="inlineStr">
        <is>
          <t>GRUMS</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20747-2025</t>
        </is>
      </c>
      <c r="B2852" s="1" t="n">
        <v>45776.56221064815</v>
      </c>
      <c r="C2852" s="1" t="n">
        <v>45932</v>
      </c>
      <c r="D2852" t="inlineStr">
        <is>
          <t>VÄRMLANDS LÄN</t>
        </is>
      </c>
      <c r="E2852" t="inlineStr">
        <is>
          <t>ÅRJÄNG</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35737-2021</t>
        </is>
      </c>
      <c r="B2853" s="1" t="n">
        <v>44386</v>
      </c>
      <c r="C2853" s="1" t="n">
        <v>45932</v>
      </c>
      <c r="D2853" t="inlineStr">
        <is>
          <t>VÄRMLANDS LÄN</t>
        </is>
      </c>
      <c r="E2853" t="inlineStr">
        <is>
          <t>FILIPSTAD</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12272-2024</t>
        </is>
      </c>
      <c r="B2854" s="1" t="n">
        <v>45378</v>
      </c>
      <c r="C2854" s="1" t="n">
        <v>45932</v>
      </c>
      <c r="D2854" t="inlineStr">
        <is>
          <t>VÄRMLANDS LÄN</t>
        </is>
      </c>
      <c r="E2854" t="inlineStr">
        <is>
          <t>KIL</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20773-2025</t>
        </is>
      </c>
      <c r="B2855" s="1" t="n">
        <v>45776.59321759259</v>
      </c>
      <c r="C2855" s="1" t="n">
        <v>45932</v>
      </c>
      <c r="D2855" t="inlineStr">
        <is>
          <t>VÄRMLANDS LÄN</t>
        </is>
      </c>
      <c r="E2855" t="inlineStr">
        <is>
          <t>TORSBY</t>
        </is>
      </c>
      <c r="F2855" t="inlineStr">
        <is>
          <t>Bergvik skog väst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7367-2025</t>
        </is>
      </c>
      <c r="B2856" s="1" t="n">
        <v>45704</v>
      </c>
      <c r="C2856" s="1" t="n">
        <v>45932</v>
      </c>
      <c r="D2856" t="inlineStr">
        <is>
          <t>VÄRMLANDS LÄN</t>
        </is>
      </c>
      <c r="E2856" t="inlineStr">
        <is>
          <t>EDA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55628-2024</t>
        </is>
      </c>
      <c r="B2857" s="1" t="n">
        <v>45622.60204861111</v>
      </c>
      <c r="C2857" s="1" t="n">
        <v>45932</v>
      </c>
      <c r="D2857" t="inlineStr">
        <is>
          <t>VÄRMLANDS LÄN</t>
        </is>
      </c>
      <c r="E2857" t="inlineStr">
        <is>
          <t>SUNNE</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56314-2024</t>
        </is>
      </c>
      <c r="B2858" s="1" t="n">
        <v>45624.72149305556</v>
      </c>
      <c r="C2858" s="1" t="n">
        <v>45932</v>
      </c>
      <c r="D2858" t="inlineStr">
        <is>
          <t>VÄRMLANDS LÄN</t>
        </is>
      </c>
      <c r="E2858" t="inlineStr">
        <is>
          <t>ÅRJÄNG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56333-2024</t>
        </is>
      </c>
      <c r="B2859" s="1" t="n">
        <v>45624.8005324074</v>
      </c>
      <c r="C2859" s="1" t="n">
        <v>45932</v>
      </c>
      <c r="D2859" t="inlineStr">
        <is>
          <t>VÄRMLANDS LÄN</t>
        </is>
      </c>
      <c r="E2859" t="inlineStr">
        <is>
          <t>ÅRJÄNG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58653-2024</t>
        </is>
      </c>
      <c r="B2860" s="1" t="n">
        <v>45635</v>
      </c>
      <c r="C2860" s="1" t="n">
        <v>45932</v>
      </c>
      <c r="D2860" t="inlineStr">
        <is>
          <t>VÄRMLANDS LÄN</t>
        </is>
      </c>
      <c r="E2860" t="inlineStr">
        <is>
          <t>KARLSTAD</t>
        </is>
      </c>
      <c r="G2860" t="n">
        <v>18.5</v>
      </c>
      <c r="H2860" t="n">
        <v>0</v>
      </c>
      <c r="I2860" t="n">
        <v>0</v>
      </c>
      <c r="J2860" t="n">
        <v>0</v>
      </c>
      <c r="K2860" t="n">
        <v>0</v>
      </c>
      <c r="L2860" t="n">
        <v>0</v>
      </c>
      <c r="M2860" t="n">
        <v>0</v>
      </c>
      <c r="N2860" t="n">
        <v>0</v>
      </c>
      <c r="O2860" t="n">
        <v>0</v>
      </c>
      <c r="P2860" t="n">
        <v>0</v>
      </c>
      <c r="Q2860" t="n">
        <v>0</v>
      </c>
      <c r="R2860" s="2" t="inlineStr"/>
    </row>
    <row r="2861" ht="15" customHeight="1">
      <c r="A2861" t="inlineStr">
        <is>
          <t>A 51914-2022</t>
        </is>
      </c>
      <c r="B2861" s="1" t="n">
        <v>44872</v>
      </c>
      <c r="C2861" s="1" t="n">
        <v>45932</v>
      </c>
      <c r="D2861" t="inlineStr">
        <is>
          <t>VÄRMLANDS LÄN</t>
        </is>
      </c>
      <c r="E2861" t="inlineStr">
        <is>
          <t>KARLSTAD</t>
        </is>
      </c>
      <c r="F2861" t="inlineStr">
        <is>
          <t>Bergvik skog väst AB</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39990-2022</t>
        </is>
      </c>
      <c r="B2862" s="1" t="n">
        <v>44820.35306712963</v>
      </c>
      <c r="C2862" s="1" t="n">
        <v>45932</v>
      </c>
      <c r="D2862" t="inlineStr">
        <is>
          <t>VÄRMLANDS LÄN</t>
        </is>
      </c>
      <c r="E2862" t="inlineStr">
        <is>
          <t>SÄFFLE</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15885-2025</t>
        </is>
      </c>
      <c r="B2863" s="1" t="n">
        <v>45749</v>
      </c>
      <c r="C2863" s="1" t="n">
        <v>45932</v>
      </c>
      <c r="D2863" t="inlineStr">
        <is>
          <t>VÄRMLANDS LÄN</t>
        </is>
      </c>
      <c r="E2863" t="inlineStr">
        <is>
          <t>TORSBY</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15891-2025</t>
        </is>
      </c>
      <c r="B2864" s="1" t="n">
        <v>45749.41103009259</v>
      </c>
      <c r="C2864" s="1" t="n">
        <v>45932</v>
      </c>
      <c r="D2864" t="inlineStr">
        <is>
          <t>VÄRMLANDS LÄN</t>
        </is>
      </c>
      <c r="E2864" t="inlineStr">
        <is>
          <t>EDA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57-2025</t>
        </is>
      </c>
      <c r="B2865" s="1" t="n">
        <v>45659.39619212963</v>
      </c>
      <c r="C2865" s="1" t="n">
        <v>45932</v>
      </c>
      <c r="D2865" t="inlineStr">
        <is>
          <t>VÄRMLANDS LÄN</t>
        </is>
      </c>
      <c r="E2865" t="inlineStr">
        <is>
          <t>HAGFORS</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28548-2022</t>
        </is>
      </c>
      <c r="B2866" s="1" t="n">
        <v>44748.4187037037</v>
      </c>
      <c r="C2866" s="1" t="n">
        <v>45932</v>
      </c>
      <c r="D2866" t="inlineStr">
        <is>
          <t>VÄRMLANDS LÄN</t>
        </is>
      </c>
      <c r="E2866" t="inlineStr">
        <is>
          <t>ARVIKA</t>
        </is>
      </c>
      <c r="F2866" t="inlineStr">
        <is>
          <t>Bergvik skog väst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31532-2023</t>
        </is>
      </c>
      <c r="B2867" s="1" t="n">
        <v>45116.81061342593</v>
      </c>
      <c r="C2867" s="1" t="n">
        <v>45932</v>
      </c>
      <c r="D2867" t="inlineStr">
        <is>
          <t>VÄRMLANDS LÄN</t>
        </is>
      </c>
      <c r="E2867" t="inlineStr">
        <is>
          <t>ARVIKA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15908-2025</t>
        </is>
      </c>
      <c r="B2868" s="1" t="n">
        <v>45749.43902777778</v>
      </c>
      <c r="C2868" s="1" t="n">
        <v>45932</v>
      </c>
      <c r="D2868" t="inlineStr">
        <is>
          <t>VÄRMLANDS LÄN</t>
        </is>
      </c>
      <c r="E2868" t="inlineStr">
        <is>
          <t>SUNNE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40422-2024</t>
        </is>
      </c>
      <c r="B2869" s="1" t="n">
        <v>45555</v>
      </c>
      <c r="C2869" s="1" t="n">
        <v>45932</v>
      </c>
      <c r="D2869" t="inlineStr">
        <is>
          <t>VÄRMLANDS LÄN</t>
        </is>
      </c>
      <c r="E2869" t="inlineStr">
        <is>
          <t>ARVIKA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15951-2025</t>
        </is>
      </c>
      <c r="B2870" s="1" t="n">
        <v>45749</v>
      </c>
      <c r="C2870" s="1" t="n">
        <v>45932</v>
      </c>
      <c r="D2870" t="inlineStr">
        <is>
          <t>VÄRMLANDS LÄN</t>
        </is>
      </c>
      <c r="E2870" t="inlineStr">
        <is>
          <t>ÅRJÄNG</t>
        </is>
      </c>
      <c r="F2870" t="inlineStr">
        <is>
          <t>Bergvik skog väst AB</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73-2025</t>
        </is>
      </c>
      <c r="B2871" s="1" t="n">
        <v>45659.43743055555</v>
      </c>
      <c r="C2871" s="1" t="n">
        <v>45932</v>
      </c>
      <c r="D2871" t="inlineStr">
        <is>
          <t>VÄRMLANDS LÄN</t>
        </is>
      </c>
      <c r="E2871" t="inlineStr">
        <is>
          <t>EDA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99-2025</t>
        </is>
      </c>
      <c r="B2872" s="1" t="n">
        <v>45649</v>
      </c>
      <c r="C2872" s="1" t="n">
        <v>45932</v>
      </c>
      <c r="D2872" t="inlineStr">
        <is>
          <t>VÄRMLANDS LÄN</t>
        </is>
      </c>
      <c r="E2872" t="inlineStr">
        <is>
          <t>ÅRJÄNG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11102-2025</t>
        </is>
      </c>
      <c r="B2873" s="1" t="n">
        <v>45723.60413194444</v>
      </c>
      <c r="C2873" s="1" t="n">
        <v>45932</v>
      </c>
      <c r="D2873" t="inlineStr">
        <is>
          <t>VÄRMLANDS LÄN</t>
        </is>
      </c>
      <c r="E2873" t="inlineStr">
        <is>
          <t>EDA</t>
        </is>
      </c>
      <c r="G2873" t="n">
        <v>16.5</v>
      </c>
      <c r="H2873" t="n">
        <v>0</v>
      </c>
      <c r="I2873" t="n">
        <v>0</v>
      </c>
      <c r="J2873" t="n">
        <v>0</v>
      </c>
      <c r="K2873" t="n">
        <v>0</v>
      </c>
      <c r="L2873" t="n">
        <v>0</v>
      </c>
      <c r="M2873" t="n">
        <v>0</v>
      </c>
      <c r="N2873" t="n">
        <v>0</v>
      </c>
      <c r="O2873" t="n">
        <v>0</v>
      </c>
      <c r="P2873" t="n">
        <v>0</v>
      </c>
      <c r="Q2873" t="n">
        <v>0</v>
      </c>
      <c r="R2873" s="2" t="inlineStr"/>
    </row>
    <row r="2874" ht="15" customHeight="1">
      <c r="A2874" t="inlineStr">
        <is>
          <t>A 15962-2025</t>
        </is>
      </c>
      <c r="B2874" s="1" t="n">
        <v>45749</v>
      </c>
      <c r="C2874" s="1" t="n">
        <v>45932</v>
      </c>
      <c r="D2874" t="inlineStr">
        <is>
          <t>VÄRMLANDS LÄN</t>
        </is>
      </c>
      <c r="E2874" t="inlineStr">
        <is>
          <t>KIL</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16017-2025</t>
        </is>
      </c>
      <c r="B2875" s="1" t="n">
        <v>45749</v>
      </c>
      <c r="C2875" s="1" t="n">
        <v>45932</v>
      </c>
      <c r="D2875" t="inlineStr">
        <is>
          <t>VÄRMLANDS LÄN</t>
        </is>
      </c>
      <c r="E2875" t="inlineStr">
        <is>
          <t>TORSBY</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43423-2021</t>
        </is>
      </c>
      <c r="B2876" s="1" t="n">
        <v>44432.64358796296</v>
      </c>
      <c r="C2876" s="1" t="n">
        <v>45932</v>
      </c>
      <c r="D2876" t="inlineStr">
        <is>
          <t>VÄRMLANDS LÄN</t>
        </is>
      </c>
      <c r="E2876" t="inlineStr">
        <is>
          <t>EDA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11180-2025</t>
        </is>
      </c>
      <c r="B2877" s="1" t="n">
        <v>45725.43443287037</v>
      </c>
      <c r="C2877" s="1" t="n">
        <v>45932</v>
      </c>
      <c r="D2877" t="inlineStr">
        <is>
          <t>VÄRMLANDS LÄN</t>
        </is>
      </c>
      <c r="E2877" t="inlineStr">
        <is>
          <t>HAGFORS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22914-2023</t>
        </is>
      </c>
      <c r="B2878" s="1" t="n">
        <v>45072</v>
      </c>
      <c r="C2878" s="1" t="n">
        <v>45932</v>
      </c>
      <c r="D2878" t="inlineStr">
        <is>
          <t>VÄRMLANDS LÄN</t>
        </is>
      </c>
      <c r="E2878" t="inlineStr">
        <is>
          <t>ARVIKA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19388-2025</t>
        </is>
      </c>
      <c r="B2879" s="1" t="n">
        <v>45769.65833333333</v>
      </c>
      <c r="C2879" s="1" t="n">
        <v>45932</v>
      </c>
      <c r="D2879" t="inlineStr">
        <is>
          <t>VÄRMLANDS LÄN</t>
        </is>
      </c>
      <c r="E2879" t="inlineStr">
        <is>
          <t>HAGFORS</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19409-2025</t>
        </is>
      </c>
      <c r="B2880" s="1" t="n">
        <v>45769</v>
      </c>
      <c r="C2880" s="1" t="n">
        <v>45932</v>
      </c>
      <c r="D2880" t="inlineStr">
        <is>
          <t>VÄRMLANDS LÄN</t>
        </is>
      </c>
      <c r="E2880" t="inlineStr">
        <is>
          <t>SUNNE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19410-2025</t>
        </is>
      </c>
      <c r="B2881" s="1" t="n">
        <v>45769.68368055556</v>
      </c>
      <c r="C2881" s="1" t="n">
        <v>45932</v>
      </c>
      <c r="D2881" t="inlineStr">
        <is>
          <t>VÄRMLANDS LÄN</t>
        </is>
      </c>
      <c r="E2881" t="inlineStr">
        <is>
          <t>KARLSTAD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22934-2023</t>
        </is>
      </c>
      <c r="B2882" s="1" t="n">
        <v>45072</v>
      </c>
      <c r="C2882" s="1" t="n">
        <v>45932</v>
      </c>
      <c r="D2882" t="inlineStr">
        <is>
          <t>VÄRMLANDS LÄN</t>
        </is>
      </c>
      <c r="E2882" t="inlineStr">
        <is>
          <t>ARVIKA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27086-2024</t>
        </is>
      </c>
      <c r="B2883" s="1" t="n">
        <v>45471</v>
      </c>
      <c r="C2883" s="1" t="n">
        <v>45932</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39055-2024</t>
        </is>
      </c>
      <c r="B2884" s="1" t="n">
        <v>45548</v>
      </c>
      <c r="C2884" s="1" t="n">
        <v>45932</v>
      </c>
      <c r="D2884" t="inlineStr">
        <is>
          <t>VÄRMLANDS LÄN</t>
        </is>
      </c>
      <c r="E2884" t="inlineStr">
        <is>
          <t>KIL</t>
        </is>
      </c>
      <c r="F2884" t="inlineStr">
        <is>
          <t>Kyrkan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11776-2024</t>
        </is>
      </c>
      <c r="B2885" s="1" t="n">
        <v>45374</v>
      </c>
      <c r="C2885" s="1" t="n">
        <v>45932</v>
      </c>
      <c r="D2885" t="inlineStr">
        <is>
          <t>VÄRMLANDS LÄN</t>
        </is>
      </c>
      <c r="E2885" t="inlineStr">
        <is>
          <t>TORSBY</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6328-2023</t>
        </is>
      </c>
      <c r="B2886" s="1" t="n">
        <v>44965</v>
      </c>
      <c r="C2886" s="1" t="n">
        <v>45932</v>
      </c>
      <c r="D2886" t="inlineStr">
        <is>
          <t>VÄRMLANDS LÄN</t>
        </is>
      </c>
      <c r="E2886" t="inlineStr">
        <is>
          <t>SUNNE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12599-2024</t>
        </is>
      </c>
      <c r="B2887" s="1" t="n">
        <v>45380</v>
      </c>
      <c r="C2887" s="1" t="n">
        <v>45932</v>
      </c>
      <c r="D2887" t="inlineStr">
        <is>
          <t>VÄRMLANDS LÄN</t>
        </is>
      </c>
      <c r="E2887" t="inlineStr">
        <is>
          <t>SÄFFLE</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11782-2024</t>
        </is>
      </c>
      <c r="B2888" s="1" t="n">
        <v>45374</v>
      </c>
      <c r="C2888" s="1" t="n">
        <v>45932</v>
      </c>
      <c r="D2888" t="inlineStr">
        <is>
          <t>VÄRMLANDS LÄN</t>
        </is>
      </c>
      <c r="E2888" t="inlineStr">
        <is>
          <t>SÄFFLE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11783-2024</t>
        </is>
      </c>
      <c r="B2889" s="1" t="n">
        <v>45374</v>
      </c>
      <c r="C2889" s="1" t="n">
        <v>45932</v>
      </c>
      <c r="D2889" t="inlineStr">
        <is>
          <t>VÄRMLANDS LÄN</t>
        </is>
      </c>
      <c r="E2889" t="inlineStr">
        <is>
          <t>SÄFFLE</t>
        </is>
      </c>
      <c r="F2889" t="inlineStr">
        <is>
          <t>Kommuner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11810-2024</t>
        </is>
      </c>
      <c r="B2890" s="1" t="n">
        <v>45375</v>
      </c>
      <c r="C2890" s="1" t="n">
        <v>45932</v>
      </c>
      <c r="D2890" t="inlineStr">
        <is>
          <t>VÄRMLANDS LÄN</t>
        </is>
      </c>
      <c r="E2890" t="inlineStr">
        <is>
          <t>KARLSTAD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20784-2025</t>
        </is>
      </c>
      <c r="B2891" s="1" t="n">
        <v>45776.61640046296</v>
      </c>
      <c r="C2891" s="1" t="n">
        <v>45932</v>
      </c>
      <c r="D2891" t="inlineStr">
        <is>
          <t>VÄRMLANDS LÄN</t>
        </is>
      </c>
      <c r="E2891" t="inlineStr">
        <is>
          <t>GRUMS</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15270-2024</t>
        </is>
      </c>
      <c r="B2892" s="1" t="n">
        <v>45400.57085648148</v>
      </c>
      <c r="C2892" s="1" t="n">
        <v>45932</v>
      </c>
      <c r="D2892" t="inlineStr">
        <is>
          <t>VÄRMLANDS LÄN</t>
        </is>
      </c>
      <c r="E2892" t="inlineStr">
        <is>
          <t>HAGFORS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15274-2024</t>
        </is>
      </c>
      <c r="B2893" s="1" t="n">
        <v>45400.58201388889</v>
      </c>
      <c r="C2893" s="1" t="n">
        <v>45932</v>
      </c>
      <c r="D2893" t="inlineStr">
        <is>
          <t>VÄRMLANDS LÄN</t>
        </is>
      </c>
      <c r="E2893" t="inlineStr">
        <is>
          <t>TORSBY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40009-2022</t>
        </is>
      </c>
      <c r="B2894" s="1" t="n">
        <v>44820</v>
      </c>
      <c r="C2894" s="1" t="n">
        <v>45932</v>
      </c>
      <c r="D2894" t="inlineStr">
        <is>
          <t>VÄRMLANDS LÄN</t>
        </is>
      </c>
      <c r="E2894" t="inlineStr">
        <is>
          <t>TORSBY</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33842-2024</t>
        </is>
      </c>
      <c r="B2895" s="1" t="n">
        <v>45520</v>
      </c>
      <c r="C2895" s="1" t="n">
        <v>45932</v>
      </c>
      <c r="D2895" t="inlineStr">
        <is>
          <t>VÄRMLANDS LÄN</t>
        </is>
      </c>
      <c r="E2895" t="inlineStr">
        <is>
          <t>EDA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34261-2021</t>
        </is>
      </c>
      <c r="B2896" s="1" t="n">
        <v>44379</v>
      </c>
      <c r="C2896" s="1" t="n">
        <v>45932</v>
      </c>
      <c r="D2896" t="inlineStr">
        <is>
          <t>VÄRMLANDS LÄN</t>
        </is>
      </c>
      <c r="E2896" t="inlineStr">
        <is>
          <t>KARLSTAD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13850-2022</t>
        </is>
      </c>
      <c r="B2897" s="1" t="n">
        <v>44649</v>
      </c>
      <c r="C2897" s="1" t="n">
        <v>45932</v>
      </c>
      <c r="D2897" t="inlineStr">
        <is>
          <t>VÄRMLANDS LÄN</t>
        </is>
      </c>
      <c r="E2897" t="inlineStr">
        <is>
          <t>HAGFORS</t>
        </is>
      </c>
      <c r="F2897" t="inlineStr">
        <is>
          <t>Bergvik skog väst AB</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51490-2022</t>
        </is>
      </c>
      <c r="B2898" s="1" t="n">
        <v>44869.59972222222</v>
      </c>
      <c r="C2898" s="1" t="n">
        <v>45932</v>
      </c>
      <c r="D2898" t="inlineStr">
        <is>
          <t>VÄRMLANDS LÄN</t>
        </is>
      </c>
      <c r="E2898" t="inlineStr">
        <is>
          <t>TORSBY</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35292-2021</t>
        </is>
      </c>
      <c r="B2899" s="1" t="n">
        <v>44383</v>
      </c>
      <c r="C2899" s="1" t="n">
        <v>45932</v>
      </c>
      <c r="D2899" t="inlineStr">
        <is>
          <t>VÄRMLANDS LÄN</t>
        </is>
      </c>
      <c r="E2899" t="inlineStr">
        <is>
          <t>ARVIKA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35294-2021</t>
        </is>
      </c>
      <c r="B2900" s="1" t="n">
        <v>44383</v>
      </c>
      <c r="C2900" s="1" t="n">
        <v>45932</v>
      </c>
      <c r="D2900" t="inlineStr">
        <is>
          <t>VÄRMLANDS LÄN</t>
        </is>
      </c>
      <c r="E2900" t="inlineStr">
        <is>
          <t>ARVIKA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43059-2024</t>
        </is>
      </c>
      <c r="B2901" s="1" t="n">
        <v>45567.46071759259</v>
      </c>
      <c r="C2901" s="1" t="n">
        <v>45932</v>
      </c>
      <c r="D2901" t="inlineStr">
        <is>
          <t>VÄRMLANDS LÄN</t>
        </is>
      </c>
      <c r="E2901" t="inlineStr">
        <is>
          <t>FILIPSTAD</t>
        </is>
      </c>
      <c r="F2901" t="inlineStr">
        <is>
          <t>Kyrkan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65754-2021</t>
        </is>
      </c>
      <c r="B2902" s="1" t="n">
        <v>44516.84273148148</v>
      </c>
      <c r="C2902" s="1" t="n">
        <v>45932</v>
      </c>
      <c r="D2902" t="inlineStr">
        <is>
          <t>VÄRMLANDS LÄN</t>
        </is>
      </c>
      <c r="E2902" t="inlineStr">
        <is>
          <t>MUNKFORS</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54442-2022</t>
        </is>
      </c>
      <c r="B2903" s="1" t="n">
        <v>44882.59050925926</v>
      </c>
      <c r="C2903" s="1" t="n">
        <v>45932</v>
      </c>
      <c r="D2903" t="inlineStr">
        <is>
          <t>VÄRMLANDS LÄN</t>
        </is>
      </c>
      <c r="E2903" t="inlineStr">
        <is>
          <t>KARLSTAD</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21138-2025</t>
        </is>
      </c>
      <c r="B2904" s="1" t="n">
        <v>45778.8775</v>
      </c>
      <c r="C2904" s="1" t="n">
        <v>45932</v>
      </c>
      <c r="D2904" t="inlineStr">
        <is>
          <t>VÄRMLANDS LÄN</t>
        </is>
      </c>
      <c r="E2904" t="inlineStr">
        <is>
          <t>EDA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21139-2025</t>
        </is>
      </c>
      <c r="B2905" s="1" t="n">
        <v>45778.88215277778</v>
      </c>
      <c r="C2905" s="1" t="n">
        <v>45932</v>
      </c>
      <c r="D2905" t="inlineStr">
        <is>
          <t>VÄRMLANDS LÄN</t>
        </is>
      </c>
      <c r="E2905" t="inlineStr">
        <is>
          <t>EDA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57007-2024</t>
        </is>
      </c>
      <c r="B2906" s="1" t="n">
        <v>45628</v>
      </c>
      <c r="C2906" s="1" t="n">
        <v>45932</v>
      </c>
      <c r="D2906" t="inlineStr">
        <is>
          <t>VÄRMLANDS LÄN</t>
        </is>
      </c>
      <c r="E2906" t="inlineStr">
        <is>
          <t>SÄFFLE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51144-2023</t>
        </is>
      </c>
      <c r="B2907" s="1" t="n">
        <v>45212</v>
      </c>
      <c r="C2907" s="1" t="n">
        <v>45932</v>
      </c>
      <c r="D2907" t="inlineStr">
        <is>
          <t>VÄRMLANDS LÄN</t>
        </is>
      </c>
      <c r="E2907" t="inlineStr">
        <is>
          <t>TORSBY</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59887-2023</t>
        </is>
      </c>
      <c r="B2908" s="1" t="n">
        <v>45257.59917824074</v>
      </c>
      <c r="C2908" s="1" t="n">
        <v>45932</v>
      </c>
      <c r="D2908" t="inlineStr">
        <is>
          <t>VÄRMLANDS LÄN</t>
        </is>
      </c>
      <c r="E2908" t="inlineStr">
        <is>
          <t>ÅRJÄNG</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21258-2025</t>
        </is>
      </c>
      <c r="B2909" s="1" t="n">
        <v>45779.59001157407</v>
      </c>
      <c r="C2909" s="1" t="n">
        <v>45932</v>
      </c>
      <c r="D2909" t="inlineStr">
        <is>
          <t>VÄRMLANDS LÄN</t>
        </is>
      </c>
      <c r="E2909" t="inlineStr">
        <is>
          <t>ÅRJÄNG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39175-2022</t>
        </is>
      </c>
      <c r="B2910" s="1" t="n">
        <v>44817.50111111111</v>
      </c>
      <c r="C2910" s="1" t="n">
        <v>45932</v>
      </c>
      <c r="D2910" t="inlineStr">
        <is>
          <t>VÄRMLANDS LÄN</t>
        </is>
      </c>
      <c r="E2910" t="inlineStr">
        <is>
          <t>SUNNE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43305-2022</t>
        </is>
      </c>
      <c r="B2911" s="1" t="n">
        <v>44834.54809027778</v>
      </c>
      <c r="C2911" s="1" t="n">
        <v>45932</v>
      </c>
      <c r="D2911" t="inlineStr">
        <is>
          <t>VÄRMLANDS LÄN</t>
        </is>
      </c>
      <c r="E2911" t="inlineStr">
        <is>
          <t>SUNNE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52424-2024</t>
        </is>
      </c>
      <c r="B2912" s="1" t="n">
        <v>45609</v>
      </c>
      <c r="C2912" s="1" t="n">
        <v>45932</v>
      </c>
      <c r="D2912" t="inlineStr">
        <is>
          <t>VÄRMLANDS LÄN</t>
        </is>
      </c>
      <c r="E2912" t="inlineStr">
        <is>
          <t>SÄFFLE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39215-2022</t>
        </is>
      </c>
      <c r="B2913" s="1" t="n">
        <v>44817</v>
      </c>
      <c r="C2913" s="1" t="n">
        <v>45932</v>
      </c>
      <c r="D2913" t="inlineStr">
        <is>
          <t>VÄRMLANDS LÄN</t>
        </is>
      </c>
      <c r="E2913" t="inlineStr">
        <is>
          <t>TORSBY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10650-2025</t>
        </is>
      </c>
      <c r="B2914" s="1" t="n">
        <v>45721.67840277778</v>
      </c>
      <c r="C2914" s="1" t="n">
        <v>45932</v>
      </c>
      <c r="D2914" t="inlineStr">
        <is>
          <t>VÄRMLANDS LÄN</t>
        </is>
      </c>
      <c r="E2914" t="inlineStr">
        <is>
          <t>KARLSTAD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10651-2025</t>
        </is>
      </c>
      <c r="B2915" s="1" t="n">
        <v>45721.68288194444</v>
      </c>
      <c r="C2915" s="1" t="n">
        <v>45932</v>
      </c>
      <c r="D2915" t="inlineStr">
        <is>
          <t>VÄRMLANDS LÄN</t>
        </is>
      </c>
      <c r="E2915" t="inlineStr">
        <is>
          <t>KARLSTAD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39216-2022</t>
        </is>
      </c>
      <c r="B2916" s="1" t="n">
        <v>44817</v>
      </c>
      <c r="C2916" s="1" t="n">
        <v>45932</v>
      </c>
      <c r="D2916" t="inlineStr">
        <is>
          <t>VÄRMLANDS LÄN</t>
        </is>
      </c>
      <c r="E2916" t="inlineStr">
        <is>
          <t>TORSBY</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57126-2024</t>
        </is>
      </c>
      <c r="B2917" s="1" t="n">
        <v>45629.37579861111</v>
      </c>
      <c r="C2917" s="1" t="n">
        <v>45932</v>
      </c>
      <c r="D2917" t="inlineStr">
        <is>
          <t>VÄRMLANDS LÄN</t>
        </is>
      </c>
      <c r="E2917" t="inlineStr">
        <is>
          <t>ÅRJÄNG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51302-2023</t>
        </is>
      </c>
      <c r="B2918" s="1" t="n">
        <v>45219.5571412037</v>
      </c>
      <c r="C2918" s="1" t="n">
        <v>45932</v>
      </c>
      <c r="D2918" t="inlineStr">
        <is>
          <t>VÄRMLANDS LÄN</t>
        </is>
      </c>
      <c r="E2918" t="inlineStr">
        <is>
          <t>HAGFORS</t>
        </is>
      </c>
      <c r="F2918" t="inlineStr">
        <is>
          <t>Bergvik skog väst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34966-2024</t>
        </is>
      </c>
      <c r="B2919" s="1" t="n">
        <v>45527.49600694444</v>
      </c>
      <c r="C2919" s="1" t="n">
        <v>45932</v>
      </c>
      <c r="D2919" t="inlineStr">
        <is>
          <t>VÄRMLANDS LÄN</t>
        </is>
      </c>
      <c r="E2919" t="inlineStr">
        <is>
          <t>TORSBY</t>
        </is>
      </c>
      <c r="F2919" t="inlineStr">
        <is>
          <t>Bergvik skog väst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24305-2024</t>
        </is>
      </c>
      <c r="B2920" s="1" t="n">
        <v>45457.49069444444</v>
      </c>
      <c r="C2920" s="1" t="n">
        <v>45932</v>
      </c>
      <c r="D2920" t="inlineStr">
        <is>
          <t>VÄRMLANDS LÄN</t>
        </is>
      </c>
      <c r="E2920" t="inlineStr">
        <is>
          <t>SÄFFLE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38707-2022</t>
        </is>
      </c>
      <c r="B2921" s="1" t="n">
        <v>44814</v>
      </c>
      <c r="C2921" s="1" t="n">
        <v>45932</v>
      </c>
      <c r="D2921" t="inlineStr">
        <is>
          <t>VÄRMLANDS LÄN</t>
        </is>
      </c>
      <c r="E2921" t="inlineStr">
        <is>
          <t>ARVIKA</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21256-2025</t>
        </is>
      </c>
      <c r="B2922" s="1" t="n">
        <v>45779</v>
      </c>
      <c r="C2922" s="1" t="n">
        <v>45932</v>
      </c>
      <c r="D2922" t="inlineStr">
        <is>
          <t>VÄRMLANDS LÄN</t>
        </is>
      </c>
      <c r="E2922" t="inlineStr">
        <is>
          <t>KRISTINEHAMN</t>
        </is>
      </c>
      <c r="F2922" t="inlineStr">
        <is>
          <t>Sveaskog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6250-2025</t>
        </is>
      </c>
      <c r="B2923" s="1" t="n">
        <v>45698.57707175926</v>
      </c>
      <c r="C2923" s="1" t="n">
        <v>45932</v>
      </c>
      <c r="D2923" t="inlineStr">
        <is>
          <t>VÄRMLANDS LÄN</t>
        </is>
      </c>
      <c r="E2923" t="inlineStr">
        <is>
          <t>ARVIKA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21255-2025</t>
        </is>
      </c>
      <c r="B2924" s="1" t="n">
        <v>45779</v>
      </c>
      <c r="C2924" s="1" t="n">
        <v>45932</v>
      </c>
      <c r="D2924" t="inlineStr">
        <is>
          <t>VÄRMLANDS LÄN</t>
        </is>
      </c>
      <c r="E2924" t="inlineStr">
        <is>
          <t>KRISTINEHAMN</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21273-2025</t>
        </is>
      </c>
      <c r="B2925" s="1" t="n">
        <v>45779.62796296296</v>
      </c>
      <c r="C2925" s="1" t="n">
        <v>45932</v>
      </c>
      <c r="D2925" t="inlineStr">
        <is>
          <t>VÄRMLANDS LÄN</t>
        </is>
      </c>
      <c r="E2925" t="inlineStr">
        <is>
          <t>SÄFFLE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21274-2025</t>
        </is>
      </c>
      <c r="B2926" s="1" t="n">
        <v>45779.62877314815</v>
      </c>
      <c r="C2926" s="1" t="n">
        <v>45932</v>
      </c>
      <c r="D2926" t="inlineStr">
        <is>
          <t>VÄRMLANDS LÄN</t>
        </is>
      </c>
      <c r="E2926" t="inlineStr">
        <is>
          <t>TORSBY</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39664-2022</t>
        </is>
      </c>
      <c r="B2927" s="1" t="n">
        <v>44818.80758101852</v>
      </c>
      <c r="C2927" s="1" t="n">
        <v>45932</v>
      </c>
      <c r="D2927" t="inlineStr">
        <is>
          <t>VÄRMLANDS LÄN</t>
        </is>
      </c>
      <c r="E2927" t="inlineStr">
        <is>
          <t>EDA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72240-2021</t>
        </is>
      </c>
      <c r="B2928" s="1" t="n">
        <v>44544</v>
      </c>
      <c r="C2928" s="1" t="n">
        <v>45932</v>
      </c>
      <c r="D2928" t="inlineStr">
        <is>
          <t>VÄRMLANDS LÄN</t>
        </is>
      </c>
      <c r="E2928" t="inlineStr">
        <is>
          <t>FORSHAGA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46426-2024</t>
        </is>
      </c>
      <c r="B2929" s="1" t="n">
        <v>45582.46710648148</v>
      </c>
      <c r="C2929" s="1" t="n">
        <v>45932</v>
      </c>
      <c r="D2929" t="inlineStr">
        <is>
          <t>VÄRMLANDS LÄN</t>
        </is>
      </c>
      <c r="E2929" t="inlineStr">
        <is>
          <t>HAGFORS</t>
        </is>
      </c>
      <c r="F2929" t="inlineStr">
        <is>
          <t>Bergvik skog väst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46546-2021</t>
        </is>
      </c>
      <c r="B2930" s="1" t="n">
        <v>44445</v>
      </c>
      <c r="C2930" s="1" t="n">
        <v>45932</v>
      </c>
      <c r="D2930" t="inlineStr">
        <is>
          <t>VÄRMLANDS LÄN</t>
        </is>
      </c>
      <c r="E2930" t="inlineStr">
        <is>
          <t>FILIPSTAD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1467-2025</t>
        </is>
      </c>
      <c r="B2931" s="1" t="n">
        <v>45667</v>
      </c>
      <c r="C2931" s="1" t="n">
        <v>45932</v>
      </c>
      <c r="D2931" t="inlineStr">
        <is>
          <t>VÄRMLANDS LÄN</t>
        </is>
      </c>
      <c r="E2931" t="inlineStr">
        <is>
          <t>ÅRJÄNG</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29447-2025</t>
        </is>
      </c>
      <c r="B2932" s="1" t="n">
        <v>45824.66758101852</v>
      </c>
      <c r="C2932" s="1" t="n">
        <v>45932</v>
      </c>
      <c r="D2932" t="inlineStr">
        <is>
          <t>VÄRMLANDS LÄN</t>
        </is>
      </c>
      <c r="E2932" t="inlineStr">
        <is>
          <t>HAGFORS</t>
        </is>
      </c>
      <c r="F2932" t="inlineStr">
        <is>
          <t>Bergvik skog väst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10155-2022</t>
        </is>
      </c>
      <c r="B2933" s="1" t="n">
        <v>44622.34517361111</v>
      </c>
      <c r="C2933" s="1" t="n">
        <v>45932</v>
      </c>
      <c r="D2933" t="inlineStr">
        <is>
          <t>VÄRMLANDS LÄN</t>
        </is>
      </c>
      <c r="E2933" t="inlineStr">
        <is>
          <t>KARLSTAD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37648-2023</t>
        </is>
      </c>
      <c r="B2934" s="1" t="n">
        <v>45159</v>
      </c>
      <c r="C2934" s="1" t="n">
        <v>45932</v>
      </c>
      <c r="D2934" t="inlineStr">
        <is>
          <t>VÄRMLANDS LÄN</t>
        </is>
      </c>
      <c r="E2934" t="inlineStr">
        <is>
          <t>ARVIKA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21462-2025</t>
        </is>
      </c>
      <c r="B2935" s="1" t="n">
        <v>45782.56770833334</v>
      </c>
      <c r="C2935" s="1" t="n">
        <v>45932</v>
      </c>
      <c r="D2935" t="inlineStr">
        <is>
          <t>VÄRMLANDS LÄN</t>
        </is>
      </c>
      <c r="E2935" t="inlineStr">
        <is>
          <t>TORSBY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21497-2025</t>
        </is>
      </c>
      <c r="B2936" s="1" t="n">
        <v>45782</v>
      </c>
      <c r="C2936" s="1" t="n">
        <v>45932</v>
      </c>
      <c r="D2936" t="inlineStr">
        <is>
          <t>VÄRMLANDS LÄN</t>
        </is>
      </c>
      <c r="E2936" t="inlineStr">
        <is>
          <t>SÄFFLE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50841-2024</t>
        </is>
      </c>
      <c r="B2937" s="1" t="n">
        <v>45602</v>
      </c>
      <c r="C2937" s="1" t="n">
        <v>45932</v>
      </c>
      <c r="D2937" t="inlineStr">
        <is>
          <t>VÄRMLANDS LÄN</t>
        </is>
      </c>
      <c r="E2937" t="inlineStr">
        <is>
          <t>SUNNE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21806-2025</t>
        </is>
      </c>
      <c r="B2938" s="1" t="n">
        <v>45783.70770833334</v>
      </c>
      <c r="C2938" s="1" t="n">
        <v>45932</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35609-2024</t>
        </is>
      </c>
      <c r="B2939" s="1" t="n">
        <v>45531.68758101852</v>
      </c>
      <c r="C2939" s="1" t="n">
        <v>45932</v>
      </c>
      <c r="D2939" t="inlineStr">
        <is>
          <t>VÄRMLANDS LÄN</t>
        </is>
      </c>
      <c r="E2939" t="inlineStr">
        <is>
          <t>TORSBY</t>
        </is>
      </c>
      <c r="G2939" t="n">
        <v>38.3</v>
      </c>
      <c r="H2939" t="n">
        <v>0</v>
      </c>
      <c r="I2939" t="n">
        <v>0</v>
      </c>
      <c r="J2939" t="n">
        <v>0</v>
      </c>
      <c r="K2939" t="n">
        <v>0</v>
      </c>
      <c r="L2939" t="n">
        <v>0</v>
      </c>
      <c r="M2939" t="n">
        <v>0</v>
      </c>
      <c r="N2939" t="n">
        <v>0</v>
      </c>
      <c r="O2939" t="n">
        <v>0</v>
      </c>
      <c r="P2939" t="n">
        <v>0</v>
      </c>
      <c r="Q2939" t="n">
        <v>0</v>
      </c>
      <c r="R2939" s="2" t="inlineStr"/>
    </row>
    <row r="2940" ht="15" customHeight="1">
      <c r="A2940" t="inlineStr">
        <is>
          <t>A 70712-2021</t>
        </is>
      </c>
      <c r="B2940" s="1" t="n">
        <v>44537</v>
      </c>
      <c r="C2940" s="1" t="n">
        <v>45932</v>
      </c>
      <c r="D2940" t="inlineStr">
        <is>
          <t>VÄRMLANDS LÄN</t>
        </is>
      </c>
      <c r="E2940" t="inlineStr">
        <is>
          <t>HAGFORS</t>
        </is>
      </c>
      <c r="F2940" t="inlineStr">
        <is>
          <t>Kommuner</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21745-2025</t>
        </is>
      </c>
      <c r="B2941" s="1" t="n">
        <v>45783.60231481482</v>
      </c>
      <c r="C2941" s="1" t="n">
        <v>45932</v>
      </c>
      <c r="D2941" t="inlineStr">
        <is>
          <t>VÄRMLANDS LÄN</t>
        </is>
      </c>
      <c r="E2941" t="inlineStr">
        <is>
          <t>SÄFFLE</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40458-2023</t>
        </is>
      </c>
      <c r="B2942" s="1" t="n">
        <v>45170.32993055556</v>
      </c>
      <c r="C2942" s="1" t="n">
        <v>45932</v>
      </c>
      <c r="D2942" t="inlineStr">
        <is>
          <t>VÄRMLANDS LÄN</t>
        </is>
      </c>
      <c r="E2942" t="inlineStr">
        <is>
          <t>ÅRJÄNG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37658-2023</t>
        </is>
      </c>
      <c r="B2943" s="1" t="n">
        <v>45159.52385416667</v>
      </c>
      <c r="C2943" s="1" t="n">
        <v>45932</v>
      </c>
      <c r="D2943" t="inlineStr">
        <is>
          <t>VÄRMLANDS LÄN</t>
        </is>
      </c>
      <c r="E2943" t="inlineStr">
        <is>
          <t>ARVIKA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15477-2025</t>
        </is>
      </c>
      <c r="B2944" s="1" t="n">
        <v>45747.54640046296</v>
      </c>
      <c r="C2944" s="1" t="n">
        <v>45932</v>
      </c>
      <c r="D2944" t="inlineStr">
        <is>
          <t>VÄRMLANDS LÄN</t>
        </is>
      </c>
      <c r="E2944" t="inlineStr">
        <is>
          <t>KIL</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21614-2025</t>
        </is>
      </c>
      <c r="B2945" s="1" t="n">
        <v>45783.40027777778</v>
      </c>
      <c r="C2945" s="1" t="n">
        <v>45932</v>
      </c>
      <c r="D2945" t="inlineStr">
        <is>
          <t>VÄRMLANDS LÄN</t>
        </is>
      </c>
      <c r="E2945" t="inlineStr">
        <is>
          <t>MUNKFORS</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58014-2022</t>
        </is>
      </c>
      <c r="B2946" s="1" t="n">
        <v>44893</v>
      </c>
      <c r="C2946" s="1" t="n">
        <v>45932</v>
      </c>
      <c r="D2946" t="inlineStr">
        <is>
          <t>VÄRMLANDS LÄN</t>
        </is>
      </c>
      <c r="E2946" t="inlineStr">
        <is>
          <t>ÅRJÄNG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52057-2024</t>
        </is>
      </c>
      <c r="B2947" s="1" t="n">
        <v>45608</v>
      </c>
      <c r="C2947" s="1" t="n">
        <v>45932</v>
      </c>
      <c r="D2947" t="inlineStr">
        <is>
          <t>VÄRMLANDS LÄN</t>
        </is>
      </c>
      <c r="E2947" t="inlineStr">
        <is>
          <t>TORSBY</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58133-2022</t>
        </is>
      </c>
      <c r="B2948" s="1" t="n">
        <v>44900.6913425926</v>
      </c>
      <c r="C2948" s="1" t="n">
        <v>45932</v>
      </c>
      <c r="D2948" t="inlineStr">
        <is>
          <t>VÄRMLANDS LÄN</t>
        </is>
      </c>
      <c r="E2948" t="inlineStr">
        <is>
          <t>ARVIKA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21780-2025</t>
        </is>
      </c>
      <c r="B2949" s="1" t="n">
        <v>45783.66653935185</v>
      </c>
      <c r="C2949" s="1" t="n">
        <v>45932</v>
      </c>
      <c r="D2949" t="inlineStr">
        <is>
          <t>VÄRMLANDS LÄN</t>
        </is>
      </c>
      <c r="E2949" t="inlineStr">
        <is>
          <t>ARVIKA</t>
        </is>
      </c>
      <c r="G2949" t="n">
        <v>11.8</v>
      </c>
      <c r="H2949" t="n">
        <v>0</v>
      </c>
      <c r="I2949" t="n">
        <v>0</v>
      </c>
      <c r="J2949" t="n">
        <v>0</v>
      </c>
      <c r="K2949" t="n">
        <v>0</v>
      </c>
      <c r="L2949" t="n">
        <v>0</v>
      </c>
      <c r="M2949" t="n">
        <v>0</v>
      </c>
      <c r="N2949" t="n">
        <v>0</v>
      </c>
      <c r="O2949" t="n">
        <v>0</v>
      </c>
      <c r="P2949" t="n">
        <v>0</v>
      </c>
      <c r="Q2949" t="n">
        <v>0</v>
      </c>
      <c r="R2949" s="2" t="inlineStr"/>
    </row>
    <row r="2950" ht="15" customHeight="1">
      <c r="A2950" t="inlineStr">
        <is>
          <t>A 21808-2025</t>
        </is>
      </c>
      <c r="B2950" s="1" t="n">
        <v>45783.70846064815</v>
      </c>
      <c r="C2950" s="1" t="n">
        <v>45932</v>
      </c>
      <c r="D2950" t="inlineStr">
        <is>
          <t>VÄRMLANDS LÄN</t>
        </is>
      </c>
      <c r="E2950" t="inlineStr">
        <is>
          <t>TORSBY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44048-2023</t>
        </is>
      </c>
      <c r="B2951" s="1" t="n">
        <v>45188.38348379629</v>
      </c>
      <c r="C2951" s="1" t="n">
        <v>45932</v>
      </c>
      <c r="D2951" t="inlineStr">
        <is>
          <t>VÄRMLANDS LÄN</t>
        </is>
      </c>
      <c r="E2951" t="inlineStr">
        <is>
          <t>GRUMS</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44670-2023</t>
        </is>
      </c>
      <c r="B2952" s="1" t="n">
        <v>45189</v>
      </c>
      <c r="C2952" s="1" t="n">
        <v>45932</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7193-2024</t>
        </is>
      </c>
      <c r="B2953" s="1" t="n">
        <v>45344</v>
      </c>
      <c r="C2953" s="1" t="n">
        <v>45932</v>
      </c>
      <c r="D2953" t="inlineStr">
        <is>
          <t>VÄRMLANDS LÄN</t>
        </is>
      </c>
      <c r="E2953" t="inlineStr">
        <is>
          <t>ÅRJÄNG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21609-2025</t>
        </is>
      </c>
      <c r="B2954" s="1" t="n">
        <v>45783.39092592592</v>
      </c>
      <c r="C2954" s="1" t="n">
        <v>45932</v>
      </c>
      <c r="D2954" t="inlineStr">
        <is>
          <t>VÄRMLANDS LÄN</t>
        </is>
      </c>
      <c r="E2954" t="inlineStr">
        <is>
          <t>MUNKFORS</t>
        </is>
      </c>
      <c r="G2954" t="n">
        <v>12.9</v>
      </c>
      <c r="H2954" t="n">
        <v>0</v>
      </c>
      <c r="I2954" t="n">
        <v>0</v>
      </c>
      <c r="J2954" t="n">
        <v>0</v>
      </c>
      <c r="K2954" t="n">
        <v>0</v>
      </c>
      <c r="L2954" t="n">
        <v>0</v>
      </c>
      <c r="M2954" t="n">
        <v>0</v>
      </c>
      <c r="N2954" t="n">
        <v>0</v>
      </c>
      <c r="O2954" t="n">
        <v>0</v>
      </c>
      <c r="P2954" t="n">
        <v>0</v>
      </c>
      <c r="Q2954" t="n">
        <v>0</v>
      </c>
      <c r="R2954" s="2" t="inlineStr"/>
    </row>
    <row r="2955" ht="15" customHeight="1">
      <c r="A2955" t="inlineStr">
        <is>
          <t>A 44710-2023</t>
        </is>
      </c>
      <c r="B2955" s="1" t="n">
        <v>45190</v>
      </c>
      <c r="C2955" s="1" t="n">
        <v>45932</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35525-2024</t>
        </is>
      </c>
      <c r="B2956" s="1" t="n">
        <v>45531</v>
      </c>
      <c r="C2956" s="1" t="n">
        <v>45932</v>
      </c>
      <c r="D2956" t="inlineStr">
        <is>
          <t>VÄRMLANDS LÄN</t>
        </is>
      </c>
      <c r="E2956" t="inlineStr">
        <is>
          <t>KARLSTAD</t>
        </is>
      </c>
      <c r="F2956" t="inlineStr">
        <is>
          <t>Bergvik skog väst AB</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16488-2024</t>
        </is>
      </c>
      <c r="B2957" s="1" t="n">
        <v>45408.34597222223</v>
      </c>
      <c r="C2957" s="1" t="n">
        <v>45932</v>
      </c>
      <c r="D2957" t="inlineStr">
        <is>
          <t>VÄRMLANDS LÄN</t>
        </is>
      </c>
      <c r="E2957" t="inlineStr">
        <is>
          <t>TORSBY</t>
        </is>
      </c>
      <c r="F2957" t="inlineStr">
        <is>
          <t>Bergvik skog väst AB</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21693-2025</t>
        </is>
      </c>
      <c r="B2958" s="1" t="n">
        <v>45783.49979166667</v>
      </c>
      <c r="C2958" s="1" t="n">
        <v>45932</v>
      </c>
      <c r="D2958" t="inlineStr">
        <is>
          <t>VÄRMLANDS LÄN</t>
        </is>
      </c>
      <c r="E2958" t="inlineStr">
        <is>
          <t>ARVIKA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21718-2025</t>
        </is>
      </c>
      <c r="B2959" s="1" t="n">
        <v>45783.55393518518</v>
      </c>
      <c r="C2959" s="1" t="n">
        <v>45932</v>
      </c>
      <c r="D2959" t="inlineStr">
        <is>
          <t>VÄRMLANDS LÄN</t>
        </is>
      </c>
      <c r="E2959" t="inlineStr">
        <is>
          <t>EDA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27139-2024</t>
        </is>
      </c>
      <c r="B2960" s="1" t="n">
        <v>45471.54475694444</v>
      </c>
      <c r="C2960" s="1" t="n">
        <v>45932</v>
      </c>
      <c r="D2960" t="inlineStr">
        <is>
          <t>VÄRMLANDS LÄN</t>
        </is>
      </c>
      <c r="E2960" t="inlineStr">
        <is>
          <t>FILIPSTAD</t>
        </is>
      </c>
      <c r="F2960" t="inlineStr">
        <is>
          <t>Bergvik skog väst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16592-2024</t>
        </is>
      </c>
      <c r="B2961" s="1" t="n">
        <v>45408.49623842593</v>
      </c>
      <c r="C2961" s="1" t="n">
        <v>45932</v>
      </c>
      <c r="D2961" t="inlineStr">
        <is>
          <t>VÄRMLANDS LÄN</t>
        </is>
      </c>
      <c r="E2961" t="inlineStr">
        <is>
          <t>TORSBY</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2783-2025</t>
        </is>
      </c>
      <c r="B2962" s="1" t="n">
        <v>45676</v>
      </c>
      <c r="C2962" s="1" t="n">
        <v>45932</v>
      </c>
      <c r="D2962" t="inlineStr">
        <is>
          <t>VÄRMLANDS LÄN</t>
        </is>
      </c>
      <c r="E2962" t="inlineStr">
        <is>
          <t>SÄFFLE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32815-2022</t>
        </is>
      </c>
      <c r="B2963" s="1" t="n">
        <v>44784.38228009259</v>
      </c>
      <c r="C2963" s="1" t="n">
        <v>45932</v>
      </c>
      <c r="D2963" t="inlineStr">
        <is>
          <t>VÄRMLANDS LÄN</t>
        </is>
      </c>
      <c r="E2963" t="inlineStr">
        <is>
          <t>SÄFFLE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31924-2024</t>
        </is>
      </c>
      <c r="B2964" s="1" t="n">
        <v>45510</v>
      </c>
      <c r="C2964" s="1" t="n">
        <v>45932</v>
      </c>
      <c r="D2964" t="inlineStr">
        <is>
          <t>VÄRMLANDS LÄN</t>
        </is>
      </c>
      <c r="E2964" t="inlineStr">
        <is>
          <t>EDA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57587-2024</t>
        </is>
      </c>
      <c r="B2965" s="1" t="n">
        <v>45630</v>
      </c>
      <c r="C2965" s="1" t="n">
        <v>45932</v>
      </c>
      <c r="D2965" t="inlineStr">
        <is>
          <t>VÄRMLANDS LÄN</t>
        </is>
      </c>
      <c r="E2965" t="inlineStr">
        <is>
          <t>KARLSTAD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16816-2024</t>
        </is>
      </c>
      <c r="B2966" s="1" t="n">
        <v>45411</v>
      </c>
      <c r="C2966" s="1" t="n">
        <v>45932</v>
      </c>
      <c r="D2966" t="inlineStr">
        <is>
          <t>VÄRMLANDS LÄN</t>
        </is>
      </c>
      <c r="E2966" t="inlineStr">
        <is>
          <t>SUNNE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8370-2023</t>
        </is>
      </c>
      <c r="B2967" s="1" t="n">
        <v>44977.38424768519</v>
      </c>
      <c r="C2967" s="1" t="n">
        <v>45932</v>
      </c>
      <c r="D2967" t="inlineStr">
        <is>
          <t>VÄRMLANDS LÄN</t>
        </is>
      </c>
      <c r="E2967" t="inlineStr">
        <is>
          <t>GRUMS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30692-2022</t>
        </is>
      </c>
      <c r="B2968" s="1" t="n">
        <v>44763</v>
      </c>
      <c r="C2968" s="1" t="n">
        <v>45932</v>
      </c>
      <c r="D2968" t="inlineStr">
        <is>
          <t>VÄRMLANDS LÄN</t>
        </is>
      </c>
      <c r="E2968" t="inlineStr">
        <is>
          <t>KARLSTAD</t>
        </is>
      </c>
      <c r="F2968" t="inlineStr">
        <is>
          <t>Kyrkan</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28517-2024</t>
        </is>
      </c>
      <c r="B2969" s="1" t="n">
        <v>45478.305</v>
      </c>
      <c r="C2969" s="1" t="n">
        <v>45932</v>
      </c>
      <c r="D2969" t="inlineStr">
        <is>
          <t>VÄRMLANDS LÄN</t>
        </is>
      </c>
      <c r="E2969" t="inlineStr">
        <is>
          <t>FORSHAGA</t>
        </is>
      </c>
      <c r="F2969" t="inlineStr">
        <is>
          <t>Bergvik skog väst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21723-2025</t>
        </is>
      </c>
      <c r="B2970" s="1" t="n">
        <v>45783.56596064815</v>
      </c>
      <c r="C2970" s="1" t="n">
        <v>45932</v>
      </c>
      <c r="D2970" t="inlineStr">
        <is>
          <t>VÄRMLANDS LÄN</t>
        </is>
      </c>
      <c r="E2970" t="inlineStr">
        <is>
          <t>HAGFORS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46447-2023</t>
        </is>
      </c>
      <c r="B2971" s="1" t="n">
        <v>45197</v>
      </c>
      <c r="C2971" s="1" t="n">
        <v>45932</v>
      </c>
      <c r="D2971" t="inlineStr">
        <is>
          <t>VÄRMLANDS LÄN</t>
        </is>
      </c>
      <c r="E2971" t="inlineStr">
        <is>
          <t>MUNKFORS</t>
        </is>
      </c>
      <c r="F2971" t="inlineStr">
        <is>
          <t>Bergvik skog väst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73730-2021</t>
        </is>
      </c>
      <c r="B2972" s="1" t="n">
        <v>44552.55450231482</v>
      </c>
      <c r="C2972" s="1" t="n">
        <v>45932</v>
      </c>
      <c r="D2972" t="inlineStr">
        <is>
          <t>VÄRMLANDS LÄN</t>
        </is>
      </c>
      <c r="E2972" t="inlineStr">
        <is>
          <t>SUNNE</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21729-2025</t>
        </is>
      </c>
      <c r="B2973" s="1" t="n">
        <v>45783.57887731482</v>
      </c>
      <c r="C2973" s="1" t="n">
        <v>45932</v>
      </c>
      <c r="D2973" t="inlineStr">
        <is>
          <t>VÄRMLANDS LÄN</t>
        </is>
      </c>
      <c r="E2973" t="inlineStr">
        <is>
          <t>HAGFORS</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53925-2024</t>
        </is>
      </c>
      <c r="B2974" s="1" t="n">
        <v>45615</v>
      </c>
      <c r="C2974" s="1" t="n">
        <v>45932</v>
      </c>
      <c r="D2974" t="inlineStr">
        <is>
          <t>VÄRMLANDS LÄN</t>
        </is>
      </c>
      <c r="E2974" t="inlineStr">
        <is>
          <t>SUNNE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54014-2024</t>
        </is>
      </c>
      <c r="B2975" s="1" t="n">
        <v>45616.38003472222</v>
      </c>
      <c r="C2975" s="1" t="n">
        <v>45932</v>
      </c>
      <c r="D2975" t="inlineStr">
        <is>
          <t>VÄRMLANDS LÄN</t>
        </is>
      </c>
      <c r="E2975" t="inlineStr">
        <is>
          <t>TORSBY</t>
        </is>
      </c>
      <c r="F2975" t="inlineStr">
        <is>
          <t>Kommuner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567-2024</t>
        </is>
      </c>
      <c r="B2976" s="1" t="n">
        <v>45299</v>
      </c>
      <c r="C2976" s="1" t="n">
        <v>45932</v>
      </c>
      <c r="D2976" t="inlineStr">
        <is>
          <t>VÄRMLANDS LÄN</t>
        </is>
      </c>
      <c r="E2976" t="inlineStr">
        <is>
          <t>ARVIKA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3729-2025</t>
        </is>
      </c>
      <c r="B2977" s="1" t="n">
        <v>45681.5497800926</v>
      </c>
      <c r="C2977" s="1" t="n">
        <v>45932</v>
      </c>
      <c r="D2977" t="inlineStr">
        <is>
          <t>VÄRMLANDS LÄN</t>
        </is>
      </c>
      <c r="E2977" t="inlineStr">
        <is>
          <t>ÅRJÄNG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12217-2025</t>
        </is>
      </c>
      <c r="B2978" s="1" t="n">
        <v>45729.5358912037</v>
      </c>
      <c r="C2978" s="1" t="n">
        <v>45932</v>
      </c>
      <c r="D2978" t="inlineStr">
        <is>
          <t>VÄRMLANDS LÄN</t>
        </is>
      </c>
      <c r="E2978" t="inlineStr">
        <is>
          <t>GRUMS</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44448-2024</t>
        </is>
      </c>
      <c r="B2979" s="1" t="n">
        <v>45574</v>
      </c>
      <c r="C2979" s="1" t="n">
        <v>45932</v>
      </c>
      <c r="D2979" t="inlineStr">
        <is>
          <t>VÄRMLANDS LÄN</t>
        </is>
      </c>
      <c r="E2979" t="inlineStr">
        <is>
          <t>TORSBY</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73165-2021</t>
        </is>
      </c>
      <c r="B2980" s="1" t="n">
        <v>44550</v>
      </c>
      <c r="C2980" s="1" t="n">
        <v>45932</v>
      </c>
      <c r="D2980" t="inlineStr">
        <is>
          <t>VÄRMLANDS LÄN</t>
        </is>
      </c>
      <c r="E2980" t="inlineStr">
        <is>
          <t>TORSBY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21312-2025</t>
        </is>
      </c>
      <c r="B2981" s="1" t="n">
        <v>45781.94320601852</v>
      </c>
      <c r="C2981" s="1" t="n">
        <v>45932</v>
      </c>
      <c r="D2981" t="inlineStr">
        <is>
          <t>VÄRMLANDS LÄN</t>
        </is>
      </c>
      <c r="E2981" t="inlineStr">
        <is>
          <t>SUNNE</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16412-2025</t>
        </is>
      </c>
      <c r="B2982" s="1" t="n">
        <v>45751.45800925926</v>
      </c>
      <c r="C2982" s="1" t="n">
        <v>45932</v>
      </c>
      <c r="D2982" t="inlineStr">
        <is>
          <t>VÄRMLANDS LÄN</t>
        </is>
      </c>
      <c r="E2982" t="inlineStr">
        <is>
          <t>KARLSTAD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739-2022</t>
        </is>
      </c>
      <c r="B2983" s="1" t="n">
        <v>44568</v>
      </c>
      <c r="C2983" s="1" t="n">
        <v>45932</v>
      </c>
      <c r="D2983" t="inlineStr">
        <is>
          <t>VÄRMLANDS LÄN</t>
        </is>
      </c>
      <c r="E2983" t="inlineStr">
        <is>
          <t>TORSBY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10697-2024</t>
        </is>
      </c>
      <c r="B2984" s="1" t="n">
        <v>45369.4175</v>
      </c>
      <c r="C2984" s="1" t="n">
        <v>45932</v>
      </c>
      <c r="D2984" t="inlineStr">
        <is>
          <t>VÄRMLANDS LÄN</t>
        </is>
      </c>
      <c r="E2984" t="inlineStr">
        <is>
          <t>SÄFFLE</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58799-2022</t>
        </is>
      </c>
      <c r="B2985" s="1" t="n">
        <v>44903</v>
      </c>
      <c r="C2985" s="1" t="n">
        <v>45932</v>
      </c>
      <c r="D2985" t="inlineStr">
        <is>
          <t>VÄRMLANDS LÄN</t>
        </is>
      </c>
      <c r="E2985" t="inlineStr">
        <is>
          <t>HAGFORS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58307-2023</t>
        </is>
      </c>
      <c r="B2986" s="1" t="n">
        <v>45250.56344907408</v>
      </c>
      <c r="C2986" s="1" t="n">
        <v>45932</v>
      </c>
      <c r="D2986" t="inlineStr">
        <is>
          <t>VÄRMLANDS LÄN</t>
        </is>
      </c>
      <c r="E2986" t="inlineStr">
        <is>
          <t>HAGFORS</t>
        </is>
      </c>
      <c r="F2986" t="inlineStr">
        <is>
          <t>Kommuner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36318-2022</t>
        </is>
      </c>
      <c r="B2987" s="1" t="n">
        <v>44803</v>
      </c>
      <c r="C2987" s="1" t="n">
        <v>45932</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21724-2025</t>
        </is>
      </c>
      <c r="B2988" s="1" t="n">
        <v>45783.56719907407</v>
      </c>
      <c r="C2988" s="1" t="n">
        <v>45932</v>
      </c>
      <c r="D2988" t="inlineStr">
        <is>
          <t>VÄRMLANDS LÄN</t>
        </is>
      </c>
      <c r="E2988" t="inlineStr">
        <is>
          <t>HAGFORS</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21753-2025</t>
        </is>
      </c>
      <c r="B2989" s="1" t="n">
        <v>45783.61751157408</v>
      </c>
      <c r="C2989" s="1" t="n">
        <v>45932</v>
      </c>
      <c r="D2989" t="inlineStr">
        <is>
          <t>VÄRMLANDS LÄN</t>
        </is>
      </c>
      <c r="E2989" t="inlineStr">
        <is>
          <t>MUNKFORS</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21759-2025</t>
        </is>
      </c>
      <c r="B2990" s="1" t="n">
        <v>45783</v>
      </c>
      <c r="C2990" s="1" t="n">
        <v>45932</v>
      </c>
      <c r="D2990" t="inlineStr">
        <is>
          <t>VÄRMLANDS LÄN</t>
        </is>
      </c>
      <c r="E2990" t="inlineStr">
        <is>
          <t>TORSBY</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16646-2021</t>
        </is>
      </c>
      <c r="B2991" s="1" t="n">
        <v>44294</v>
      </c>
      <c r="C2991" s="1" t="n">
        <v>45932</v>
      </c>
      <c r="D2991" t="inlineStr">
        <is>
          <t>VÄRMLANDS LÄN</t>
        </is>
      </c>
      <c r="E2991" t="inlineStr">
        <is>
          <t>SÄFFLE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21032-2023</t>
        </is>
      </c>
      <c r="B2992" s="1" t="n">
        <v>45061.56636574074</v>
      </c>
      <c r="C2992" s="1" t="n">
        <v>45932</v>
      </c>
      <c r="D2992" t="inlineStr">
        <is>
          <t>VÄRMLANDS LÄN</t>
        </is>
      </c>
      <c r="E2992" t="inlineStr">
        <is>
          <t>KIL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51945-2023</t>
        </is>
      </c>
      <c r="B2993" s="1" t="n">
        <v>45223</v>
      </c>
      <c r="C2993" s="1" t="n">
        <v>45932</v>
      </c>
      <c r="D2993" t="inlineStr">
        <is>
          <t>VÄRMLANDS LÄN</t>
        </is>
      </c>
      <c r="E2993" t="inlineStr">
        <is>
          <t>FILIPSTAD</t>
        </is>
      </c>
      <c r="F2993" t="inlineStr">
        <is>
          <t>Bergvik skog väst AB</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21324-2025</t>
        </is>
      </c>
      <c r="B2994" s="1" t="n">
        <v>45782.34947916667</v>
      </c>
      <c r="C2994" s="1" t="n">
        <v>45932</v>
      </c>
      <c r="D2994" t="inlineStr">
        <is>
          <t>VÄRMLANDS LÄN</t>
        </is>
      </c>
      <c r="E2994" t="inlineStr">
        <is>
          <t>TORSBY</t>
        </is>
      </c>
      <c r="F2994" t="inlineStr">
        <is>
          <t>Bergvik skog väst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57483-2022</t>
        </is>
      </c>
      <c r="B2995" s="1" t="n">
        <v>44896</v>
      </c>
      <c r="C2995" s="1" t="n">
        <v>45932</v>
      </c>
      <c r="D2995" t="inlineStr">
        <is>
          <t>VÄRMLANDS LÄN</t>
        </is>
      </c>
      <c r="E2995" t="inlineStr">
        <is>
          <t>KIL</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62171-2020</t>
        </is>
      </c>
      <c r="B2996" s="1" t="n">
        <v>44159</v>
      </c>
      <c r="C2996" s="1" t="n">
        <v>45932</v>
      </c>
      <c r="D2996" t="inlineStr">
        <is>
          <t>VÄRMLANDS LÄN</t>
        </is>
      </c>
      <c r="E2996" t="inlineStr">
        <is>
          <t>KRISTINEHAMN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5304-2024</t>
        </is>
      </c>
      <c r="B2997" s="1" t="n">
        <v>45331</v>
      </c>
      <c r="C2997" s="1" t="n">
        <v>45932</v>
      </c>
      <c r="D2997" t="inlineStr">
        <is>
          <t>VÄRMLANDS LÄN</t>
        </is>
      </c>
      <c r="E2997" t="inlineStr">
        <is>
          <t>ARVIKA</t>
        </is>
      </c>
      <c r="F2997" t="inlineStr">
        <is>
          <t>Bergvik skog väst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59814-2024</t>
        </is>
      </c>
      <c r="B2998" s="1" t="n">
        <v>45639</v>
      </c>
      <c r="C2998" s="1" t="n">
        <v>45932</v>
      </c>
      <c r="D2998" t="inlineStr">
        <is>
          <t>VÄRMLANDS LÄN</t>
        </is>
      </c>
      <c r="E2998" t="inlineStr">
        <is>
          <t>HAGFORS</t>
        </is>
      </c>
      <c r="F2998" t="inlineStr">
        <is>
          <t>Bergvik skog väst AB</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61428-2022</t>
        </is>
      </c>
      <c r="B2999" s="1" t="n">
        <v>44910</v>
      </c>
      <c r="C2999" s="1" t="n">
        <v>45932</v>
      </c>
      <c r="D2999" t="inlineStr">
        <is>
          <t>VÄRMLANDS LÄN</t>
        </is>
      </c>
      <c r="E2999" t="inlineStr">
        <is>
          <t>TORSBY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61432-2022</t>
        </is>
      </c>
      <c r="B3000" s="1" t="n">
        <v>44910</v>
      </c>
      <c r="C3000" s="1" t="n">
        <v>45932</v>
      </c>
      <c r="D3000" t="inlineStr">
        <is>
          <t>VÄRMLANDS LÄN</t>
        </is>
      </c>
      <c r="E3000" t="inlineStr">
        <is>
          <t>TORSBY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21810-2025</t>
        </is>
      </c>
      <c r="B3001" s="1" t="n">
        <v>45783.71237268519</v>
      </c>
      <c r="C3001" s="1" t="n">
        <v>45932</v>
      </c>
      <c r="D3001" t="inlineStr">
        <is>
          <t>VÄRMLANDS LÄN</t>
        </is>
      </c>
      <c r="E3001" t="inlineStr">
        <is>
          <t>SUNNE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21476-2025</t>
        </is>
      </c>
      <c r="B3002" s="1" t="n">
        <v>45782</v>
      </c>
      <c r="C3002" s="1" t="n">
        <v>45932</v>
      </c>
      <c r="D3002" t="inlineStr">
        <is>
          <t>VÄRMLANDS LÄN</t>
        </is>
      </c>
      <c r="E3002" t="inlineStr">
        <is>
          <t>SÄFFLE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50347-2024</t>
        </is>
      </c>
      <c r="B3003" s="1" t="n">
        <v>45600</v>
      </c>
      <c r="C3003" s="1" t="n">
        <v>45932</v>
      </c>
      <c r="D3003" t="inlineStr">
        <is>
          <t>VÄRMLANDS LÄN</t>
        </is>
      </c>
      <c r="E3003" t="inlineStr">
        <is>
          <t>ÅRJÄNG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16864-2025</t>
        </is>
      </c>
      <c r="B3004" s="1" t="n">
        <v>45754.83358796296</v>
      </c>
      <c r="C3004" s="1" t="n">
        <v>45932</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45139-2021</t>
        </is>
      </c>
      <c r="B3005" s="1" t="n">
        <v>44439</v>
      </c>
      <c r="C3005" s="1" t="n">
        <v>45932</v>
      </c>
      <c r="D3005" t="inlineStr">
        <is>
          <t>VÄRMLANDS LÄN</t>
        </is>
      </c>
      <c r="E3005" t="inlineStr">
        <is>
          <t>FILIPSTAD</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34634-2023</t>
        </is>
      </c>
      <c r="B3006" s="1" t="n">
        <v>45140</v>
      </c>
      <c r="C3006" s="1" t="n">
        <v>45932</v>
      </c>
      <c r="D3006" t="inlineStr">
        <is>
          <t>VÄRMLANDS LÄN</t>
        </is>
      </c>
      <c r="E3006" t="inlineStr">
        <is>
          <t>EDA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50371-2023</t>
        </is>
      </c>
      <c r="B3007" s="1" t="n">
        <v>45216</v>
      </c>
      <c r="C3007" s="1" t="n">
        <v>45932</v>
      </c>
      <c r="D3007" t="inlineStr">
        <is>
          <t>VÄRMLANDS LÄN</t>
        </is>
      </c>
      <c r="E3007" t="inlineStr">
        <is>
          <t>ARVIKA</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2156-2023</t>
        </is>
      </c>
      <c r="B3008" s="1" t="n">
        <v>44941.60054398148</v>
      </c>
      <c r="C3008" s="1" t="n">
        <v>45932</v>
      </c>
      <c r="D3008" t="inlineStr">
        <is>
          <t>VÄRMLANDS LÄN</t>
        </is>
      </c>
      <c r="E3008" t="inlineStr">
        <is>
          <t>ARVIKA</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2160-2023</t>
        </is>
      </c>
      <c r="B3009" s="1" t="n">
        <v>44941</v>
      </c>
      <c r="C3009" s="1" t="n">
        <v>45932</v>
      </c>
      <c r="D3009" t="inlineStr">
        <is>
          <t>VÄRMLANDS LÄN</t>
        </is>
      </c>
      <c r="E3009" t="inlineStr">
        <is>
          <t>KRISTINEHAMN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2222-2023</t>
        </is>
      </c>
      <c r="B3010" s="1" t="n">
        <v>44942.4250462963</v>
      </c>
      <c r="C3010" s="1" t="n">
        <v>45932</v>
      </c>
      <c r="D3010" t="inlineStr">
        <is>
          <t>VÄRMLANDS LÄN</t>
        </is>
      </c>
      <c r="E3010" t="inlineStr">
        <is>
          <t>ÅRJÄNG</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3942-2021</t>
        </is>
      </c>
      <c r="B3011" s="1" t="n">
        <v>44222</v>
      </c>
      <c r="C3011" s="1" t="n">
        <v>45932</v>
      </c>
      <c r="D3011" t="inlineStr">
        <is>
          <t>VÄRMLANDS LÄN</t>
        </is>
      </c>
      <c r="E3011" t="inlineStr">
        <is>
          <t>KARLSTAD</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3980-2021</t>
        </is>
      </c>
      <c r="B3012" s="1" t="n">
        <v>44217</v>
      </c>
      <c r="C3012" s="1" t="n">
        <v>45932</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43248-2022</t>
        </is>
      </c>
      <c r="B3013" s="1" t="n">
        <v>44834</v>
      </c>
      <c r="C3013" s="1" t="n">
        <v>45932</v>
      </c>
      <c r="D3013" t="inlineStr">
        <is>
          <t>VÄRMLANDS LÄN</t>
        </is>
      </c>
      <c r="E3013" t="inlineStr">
        <is>
          <t>TORSBY</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40001-2023</t>
        </is>
      </c>
      <c r="B3014" s="1" t="n">
        <v>45168</v>
      </c>
      <c r="C3014" s="1" t="n">
        <v>45932</v>
      </c>
      <c r="D3014" t="inlineStr">
        <is>
          <t>VÄRMLANDS LÄN</t>
        </is>
      </c>
      <c r="E3014" t="inlineStr">
        <is>
          <t>KARLSTAD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62835-2020</t>
        </is>
      </c>
      <c r="B3015" s="1" t="n">
        <v>44161</v>
      </c>
      <c r="C3015" s="1" t="n">
        <v>45932</v>
      </c>
      <c r="D3015" t="inlineStr">
        <is>
          <t>VÄRMLANDS LÄN</t>
        </is>
      </c>
      <c r="E3015" t="inlineStr">
        <is>
          <t>HAGFORS</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59784-2020</t>
        </is>
      </c>
      <c r="B3016" s="1" t="n">
        <v>44151.47210648148</v>
      </c>
      <c r="C3016" s="1" t="n">
        <v>45932</v>
      </c>
      <c r="D3016" t="inlineStr">
        <is>
          <t>VÄRMLANDS LÄN</t>
        </is>
      </c>
      <c r="E3016" t="inlineStr">
        <is>
          <t>ARVIKA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56098-2024</t>
        </is>
      </c>
      <c r="B3017" s="1" t="n">
        <v>45624.42371527778</v>
      </c>
      <c r="C3017" s="1" t="n">
        <v>45932</v>
      </c>
      <c r="D3017" t="inlineStr">
        <is>
          <t>VÄRMLANDS LÄN</t>
        </is>
      </c>
      <c r="E3017" t="inlineStr">
        <is>
          <t>TORSBY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3610-2025</t>
        </is>
      </c>
      <c r="B3018" s="1" t="n">
        <v>45681.35855324074</v>
      </c>
      <c r="C3018" s="1" t="n">
        <v>45932</v>
      </c>
      <c r="D3018" t="inlineStr">
        <is>
          <t>VÄRMLANDS LÄN</t>
        </is>
      </c>
      <c r="E3018" t="inlineStr">
        <is>
          <t>ARVIKA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21400-2025</t>
        </is>
      </c>
      <c r="B3019" s="1" t="n">
        <v>45782.48548611111</v>
      </c>
      <c r="C3019" s="1" t="n">
        <v>45932</v>
      </c>
      <c r="D3019" t="inlineStr">
        <is>
          <t>VÄRMLANDS LÄN</t>
        </is>
      </c>
      <c r="E3019" t="inlineStr">
        <is>
          <t>SUNNE</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21531-2025</t>
        </is>
      </c>
      <c r="B3020" s="1" t="n">
        <v>45782.65295138889</v>
      </c>
      <c r="C3020" s="1" t="n">
        <v>45932</v>
      </c>
      <c r="D3020" t="inlineStr">
        <is>
          <t>VÄRMLANDS LÄN</t>
        </is>
      </c>
      <c r="E3020" t="inlineStr">
        <is>
          <t>KARLSTAD</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21495-2025</t>
        </is>
      </c>
      <c r="B3021" s="1" t="n">
        <v>45782.59835648148</v>
      </c>
      <c r="C3021" s="1" t="n">
        <v>45932</v>
      </c>
      <c r="D3021" t="inlineStr">
        <is>
          <t>VÄRMLANDS LÄN</t>
        </is>
      </c>
      <c r="E3021" t="inlineStr">
        <is>
          <t>SUNNE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20319-2025</t>
        </is>
      </c>
      <c r="B3022" s="1" t="n">
        <v>45775</v>
      </c>
      <c r="C3022" s="1" t="n">
        <v>45932</v>
      </c>
      <c r="D3022" t="inlineStr">
        <is>
          <t>VÄRMLANDS LÄN</t>
        </is>
      </c>
      <c r="E3022" t="inlineStr">
        <is>
          <t>ARVIKA</t>
        </is>
      </c>
      <c r="F3022" t="inlineStr">
        <is>
          <t>Bergvik skog väst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20322-2025</t>
        </is>
      </c>
      <c r="B3023" s="1" t="n">
        <v>45775</v>
      </c>
      <c r="C3023" s="1" t="n">
        <v>45932</v>
      </c>
      <c r="D3023" t="inlineStr">
        <is>
          <t>VÄRMLANDS LÄN</t>
        </is>
      </c>
      <c r="E3023" t="inlineStr">
        <is>
          <t>SÄFFLE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20345-2025</t>
        </is>
      </c>
      <c r="B3024" s="1" t="n">
        <v>45775.37788194444</v>
      </c>
      <c r="C3024" s="1" t="n">
        <v>45932</v>
      </c>
      <c r="D3024" t="inlineStr">
        <is>
          <t>VÄRMLANDS LÄN</t>
        </is>
      </c>
      <c r="E3024" t="inlineStr">
        <is>
          <t>SUNNE</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21576-2025</t>
        </is>
      </c>
      <c r="B3025" s="1" t="n">
        <v>45782.86440972222</v>
      </c>
      <c r="C3025" s="1" t="n">
        <v>45932</v>
      </c>
      <c r="D3025" t="inlineStr">
        <is>
          <t>VÄRMLANDS LÄN</t>
        </is>
      </c>
      <c r="E3025" t="inlineStr">
        <is>
          <t>TORSBY</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41858-2022</t>
        </is>
      </c>
      <c r="B3026" s="1" t="n">
        <v>44829.64430555556</v>
      </c>
      <c r="C3026" s="1" t="n">
        <v>45932</v>
      </c>
      <c r="D3026" t="inlineStr">
        <is>
          <t>VÄRMLANDS LÄN</t>
        </is>
      </c>
      <c r="E3026" t="inlineStr">
        <is>
          <t>SÄFFLE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21251-2024</t>
        </is>
      </c>
      <c r="B3027" s="1" t="n">
        <v>45440</v>
      </c>
      <c r="C3027" s="1" t="n">
        <v>45932</v>
      </c>
      <c r="D3027" t="inlineStr">
        <is>
          <t>VÄRMLANDS LÄN</t>
        </is>
      </c>
      <c r="E3027" t="inlineStr">
        <is>
          <t>SUNNE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5342-2022</t>
        </is>
      </c>
      <c r="B3028" s="1" t="n">
        <v>44594.72582175926</v>
      </c>
      <c r="C3028" s="1" t="n">
        <v>45932</v>
      </c>
      <c r="D3028" t="inlineStr">
        <is>
          <t>VÄRMLANDS LÄN</t>
        </is>
      </c>
      <c r="E3028" t="inlineStr">
        <is>
          <t>ÅRJÄNG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1285-2022</t>
        </is>
      </c>
      <c r="B3029" s="1" t="n">
        <v>44572.6740625</v>
      </c>
      <c r="C3029" s="1" t="n">
        <v>45932</v>
      </c>
      <c r="D3029" t="inlineStr">
        <is>
          <t>VÄRMLANDS LÄN</t>
        </is>
      </c>
      <c r="E3029" t="inlineStr">
        <is>
          <t>SÄFFLE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63090-2023</t>
        </is>
      </c>
      <c r="B3030" s="1" t="n">
        <v>45273</v>
      </c>
      <c r="C3030" s="1" t="n">
        <v>45932</v>
      </c>
      <c r="D3030" t="inlineStr">
        <is>
          <t>VÄRMLANDS LÄN</t>
        </is>
      </c>
      <c r="E3030" t="inlineStr">
        <is>
          <t>SUNNE</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21580-2025</t>
        </is>
      </c>
      <c r="B3031" s="1" t="n">
        <v>45782.94450231481</v>
      </c>
      <c r="C3031" s="1" t="n">
        <v>45932</v>
      </c>
      <c r="D3031" t="inlineStr">
        <is>
          <t>VÄRMLANDS LÄN</t>
        </is>
      </c>
      <c r="E3031" t="inlineStr">
        <is>
          <t>ARVIKA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44509-2023</t>
        </is>
      </c>
      <c r="B3032" s="1" t="n">
        <v>45189.46456018519</v>
      </c>
      <c r="C3032" s="1" t="n">
        <v>45932</v>
      </c>
      <c r="D3032" t="inlineStr">
        <is>
          <t>VÄRMLANDS LÄN</t>
        </is>
      </c>
      <c r="E3032" t="inlineStr">
        <is>
          <t>FILIPSTAD</t>
        </is>
      </c>
      <c r="F3032" t="inlineStr">
        <is>
          <t>Bergvik skog väst AB</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41633-2021</t>
        </is>
      </c>
      <c r="B3033" s="1" t="n">
        <v>44425</v>
      </c>
      <c r="C3033" s="1" t="n">
        <v>45932</v>
      </c>
      <c r="D3033" t="inlineStr">
        <is>
          <t>VÄRMLANDS LÄN</t>
        </is>
      </c>
      <c r="E3033" t="inlineStr">
        <is>
          <t>TORSBY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13481-2025</t>
        </is>
      </c>
      <c r="B3034" s="1" t="n">
        <v>45736</v>
      </c>
      <c r="C3034" s="1" t="n">
        <v>45932</v>
      </c>
      <c r="D3034" t="inlineStr">
        <is>
          <t>VÄRMLANDS LÄN</t>
        </is>
      </c>
      <c r="E3034" t="inlineStr">
        <is>
          <t>ÅRJÄNG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13504-2025</t>
        </is>
      </c>
      <c r="B3035" s="1" t="n">
        <v>45736.46400462963</v>
      </c>
      <c r="C3035" s="1" t="n">
        <v>45932</v>
      </c>
      <c r="D3035" t="inlineStr">
        <is>
          <t>VÄRMLANDS LÄN</t>
        </is>
      </c>
      <c r="E3035" t="inlineStr">
        <is>
          <t>ÅRJÄNG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71292-2021</t>
        </is>
      </c>
      <c r="B3036" s="1" t="n">
        <v>44538</v>
      </c>
      <c r="C3036" s="1" t="n">
        <v>45932</v>
      </c>
      <c r="D3036" t="inlineStr">
        <is>
          <t>VÄRMLANDS LÄN</t>
        </is>
      </c>
      <c r="E3036" t="inlineStr">
        <is>
          <t>SÄFFLE</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64061-2023</t>
        </is>
      </c>
      <c r="B3037" s="1" t="n">
        <v>45279.35721064815</v>
      </c>
      <c r="C3037" s="1" t="n">
        <v>45932</v>
      </c>
      <c r="D3037" t="inlineStr">
        <is>
          <t>VÄRMLANDS LÄN</t>
        </is>
      </c>
      <c r="E3037" t="inlineStr">
        <is>
          <t>KARLSTAD</t>
        </is>
      </c>
      <c r="G3037" t="n">
        <v>9.300000000000001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17244-2024</t>
        </is>
      </c>
      <c r="B3038" s="1" t="n">
        <v>45414.38712962963</v>
      </c>
      <c r="C3038" s="1" t="n">
        <v>45932</v>
      </c>
      <c r="D3038" t="inlineStr">
        <is>
          <t>VÄRMLANDS LÄN</t>
        </is>
      </c>
      <c r="E3038" t="inlineStr">
        <is>
          <t>FILIPSTAD</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9270-2023</t>
        </is>
      </c>
      <c r="B3039" s="1" t="n">
        <v>44980</v>
      </c>
      <c r="C3039" s="1" t="n">
        <v>45932</v>
      </c>
      <c r="D3039" t="inlineStr">
        <is>
          <t>VÄRMLANDS LÄN</t>
        </is>
      </c>
      <c r="E3039" t="inlineStr">
        <is>
          <t>FILIPSTAD</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13482-2025</t>
        </is>
      </c>
      <c r="B3040" s="1" t="n">
        <v>45736.42248842592</v>
      </c>
      <c r="C3040" s="1" t="n">
        <v>45932</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17593-2023</t>
        </is>
      </c>
      <c r="B3041" s="1" t="n">
        <v>45036</v>
      </c>
      <c r="C3041" s="1" t="n">
        <v>45932</v>
      </c>
      <c r="D3041" t="inlineStr">
        <is>
          <t>VÄRMLANDS LÄN</t>
        </is>
      </c>
      <c r="E3041" t="inlineStr">
        <is>
          <t>EDA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46471-2024</t>
        </is>
      </c>
      <c r="B3042" s="1" t="n">
        <v>45582.5517824074</v>
      </c>
      <c r="C3042" s="1" t="n">
        <v>45932</v>
      </c>
      <c r="D3042" t="inlineStr">
        <is>
          <t>VÄRMLANDS LÄN</t>
        </is>
      </c>
      <c r="E3042" t="inlineStr">
        <is>
          <t>TORSBY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38286-2023</t>
        </is>
      </c>
      <c r="B3043" s="1" t="n">
        <v>45161.63807870371</v>
      </c>
      <c r="C3043" s="1" t="n">
        <v>45932</v>
      </c>
      <c r="D3043" t="inlineStr">
        <is>
          <t>VÄRMLANDS LÄN</t>
        </is>
      </c>
      <c r="E3043" t="inlineStr">
        <is>
          <t>TORSBY</t>
        </is>
      </c>
      <c r="F3043" t="inlineStr">
        <is>
          <t>Kyrkan</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17686-2023</t>
        </is>
      </c>
      <c r="B3044" s="1" t="n">
        <v>45037.32414351852</v>
      </c>
      <c r="C3044" s="1" t="n">
        <v>45932</v>
      </c>
      <c r="D3044" t="inlineStr">
        <is>
          <t>VÄRMLANDS LÄN</t>
        </is>
      </c>
      <c r="E3044" t="inlineStr">
        <is>
          <t>FILIPSTAD</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594-2022</t>
        </is>
      </c>
      <c r="B3045" s="1" t="n">
        <v>44567.60921296296</v>
      </c>
      <c r="C3045" s="1" t="n">
        <v>45932</v>
      </c>
      <c r="D3045" t="inlineStr">
        <is>
          <t>VÄRMLANDS LÄN</t>
        </is>
      </c>
      <c r="E3045" t="inlineStr">
        <is>
          <t>HAGFORS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23878-2023</t>
        </is>
      </c>
      <c r="B3046" s="1" t="n">
        <v>45078</v>
      </c>
      <c r="C3046" s="1" t="n">
        <v>45932</v>
      </c>
      <c r="D3046" t="inlineStr">
        <is>
          <t>VÄRMLANDS LÄN</t>
        </is>
      </c>
      <c r="E3046" t="inlineStr">
        <is>
          <t>ÅRJÄNG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23945-2023</t>
        </is>
      </c>
      <c r="B3047" s="1" t="n">
        <v>45075</v>
      </c>
      <c r="C3047" s="1" t="n">
        <v>45932</v>
      </c>
      <c r="D3047" t="inlineStr">
        <is>
          <t>VÄRMLANDS LÄN</t>
        </is>
      </c>
      <c r="E3047" t="inlineStr">
        <is>
          <t>ÅRJÄNG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15120-2022</t>
        </is>
      </c>
      <c r="B3048" s="1" t="n">
        <v>44658</v>
      </c>
      <c r="C3048" s="1" t="n">
        <v>45932</v>
      </c>
      <c r="D3048" t="inlineStr">
        <is>
          <t>VÄRMLANDS LÄN</t>
        </is>
      </c>
      <c r="E3048" t="inlineStr">
        <is>
          <t>SUNNE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33881-2024</t>
        </is>
      </c>
      <c r="B3049" s="1" t="n">
        <v>45522</v>
      </c>
      <c r="C3049" s="1" t="n">
        <v>45932</v>
      </c>
      <c r="D3049" t="inlineStr">
        <is>
          <t>VÄRMLANDS LÄN</t>
        </is>
      </c>
      <c r="E3049" t="inlineStr">
        <is>
          <t>SÄFFLE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54127-2023</t>
        </is>
      </c>
      <c r="B3050" s="1" t="n">
        <v>45232</v>
      </c>
      <c r="C3050" s="1" t="n">
        <v>45932</v>
      </c>
      <c r="D3050" t="inlineStr">
        <is>
          <t>VÄRMLANDS LÄN</t>
        </is>
      </c>
      <c r="E3050" t="inlineStr">
        <is>
          <t>FILIPSTAD</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21602-2025</t>
        </is>
      </c>
      <c r="B3051" s="1" t="n">
        <v>45783</v>
      </c>
      <c r="C3051" s="1" t="n">
        <v>45932</v>
      </c>
      <c r="D3051" t="inlineStr">
        <is>
          <t>VÄRMLANDS LÄN</t>
        </is>
      </c>
      <c r="E3051" t="inlineStr">
        <is>
          <t>KRISTINEHAMN</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6978-2025</t>
        </is>
      </c>
      <c r="B3052" s="1" t="n">
        <v>45701</v>
      </c>
      <c r="C3052" s="1" t="n">
        <v>45932</v>
      </c>
      <c r="D3052" t="inlineStr">
        <is>
          <t>VÄRMLANDS LÄN</t>
        </is>
      </c>
      <c r="E3052" t="inlineStr">
        <is>
          <t>ARVIKA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59820-2020</t>
        </is>
      </c>
      <c r="B3053" s="1" t="n">
        <v>44151</v>
      </c>
      <c r="C3053" s="1" t="n">
        <v>45932</v>
      </c>
      <c r="D3053" t="inlineStr">
        <is>
          <t>VÄRMLANDS LÄN</t>
        </is>
      </c>
      <c r="E3053" t="inlineStr">
        <is>
          <t>ARVIKA</t>
        </is>
      </c>
      <c r="G3053" t="n">
        <v>21.2</v>
      </c>
      <c r="H3053" t="n">
        <v>0</v>
      </c>
      <c r="I3053" t="n">
        <v>0</v>
      </c>
      <c r="J3053" t="n">
        <v>0</v>
      </c>
      <c r="K3053" t="n">
        <v>0</v>
      </c>
      <c r="L3053" t="n">
        <v>0</v>
      </c>
      <c r="M3053" t="n">
        <v>0</v>
      </c>
      <c r="N3053" t="n">
        <v>0</v>
      </c>
      <c r="O3053" t="n">
        <v>0</v>
      </c>
      <c r="P3053" t="n">
        <v>0</v>
      </c>
      <c r="Q3053" t="n">
        <v>0</v>
      </c>
      <c r="R3053" s="2" t="inlineStr"/>
    </row>
    <row r="3054" ht="15" customHeight="1">
      <c r="A3054" t="inlineStr">
        <is>
          <t>A 34265-2023</t>
        </is>
      </c>
      <c r="B3054" s="1" t="n">
        <v>45138.60681712963</v>
      </c>
      <c r="C3054" s="1" t="n">
        <v>45932</v>
      </c>
      <c r="D3054" t="inlineStr">
        <is>
          <t>VÄRMLANDS LÄN</t>
        </is>
      </c>
      <c r="E3054" t="inlineStr">
        <is>
          <t>SUNNE</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21442-2025</t>
        </is>
      </c>
      <c r="B3055" s="1" t="n">
        <v>45782.53261574074</v>
      </c>
      <c r="C3055" s="1" t="n">
        <v>45932</v>
      </c>
      <c r="D3055" t="inlineStr">
        <is>
          <t>VÄRMLANDS LÄN</t>
        </is>
      </c>
      <c r="E3055" t="inlineStr">
        <is>
          <t>KARLSTAD</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21443-2025</t>
        </is>
      </c>
      <c r="B3056" s="1" t="n">
        <v>45782.53278935186</v>
      </c>
      <c r="C3056" s="1" t="n">
        <v>45932</v>
      </c>
      <c r="D3056" t="inlineStr">
        <is>
          <t>VÄRMLANDS LÄN</t>
        </is>
      </c>
      <c r="E3056" t="inlineStr">
        <is>
          <t>KARLSTAD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52809-2021</t>
        </is>
      </c>
      <c r="B3057" s="1" t="n">
        <v>44467</v>
      </c>
      <c r="C3057" s="1" t="n">
        <v>45932</v>
      </c>
      <c r="D3057" t="inlineStr">
        <is>
          <t>VÄRMLANDS LÄN</t>
        </is>
      </c>
      <c r="E3057" t="inlineStr">
        <is>
          <t>EDA</t>
        </is>
      </c>
      <c r="F3057" t="inlineStr">
        <is>
          <t>Övriga Aktiebolag</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5841-2022</t>
        </is>
      </c>
      <c r="B3058" s="1" t="n">
        <v>44596.6127662037</v>
      </c>
      <c r="C3058" s="1" t="n">
        <v>45932</v>
      </c>
      <c r="D3058" t="inlineStr">
        <is>
          <t>VÄRMLANDS LÄN</t>
        </is>
      </c>
      <c r="E3058" t="inlineStr">
        <is>
          <t>GRUMS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23943-2021</t>
        </is>
      </c>
      <c r="B3059" s="1" t="n">
        <v>44335</v>
      </c>
      <c r="C3059" s="1" t="n">
        <v>45932</v>
      </c>
      <c r="D3059" t="inlineStr">
        <is>
          <t>VÄRMLANDS LÄN</t>
        </is>
      </c>
      <c r="E3059" t="inlineStr">
        <is>
          <t>SUNNE</t>
        </is>
      </c>
      <c r="G3059" t="n">
        <v>20</v>
      </c>
      <c r="H3059" t="n">
        <v>0</v>
      </c>
      <c r="I3059" t="n">
        <v>0</v>
      </c>
      <c r="J3059" t="n">
        <v>0</v>
      </c>
      <c r="K3059" t="n">
        <v>0</v>
      </c>
      <c r="L3059" t="n">
        <v>0</v>
      </c>
      <c r="M3059" t="n">
        <v>0</v>
      </c>
      <c r="N3059" t="n">
        <v>0</v>
      </c>
      <c r="O3059" t="n">
        <v>0</v>
      </c>
      <c r="P3059" t="n">
        <v>0</v>
      </c>
      <c r="Q3059" t="n">
        <v>0</v>
      </c>
      <c r="R3059" s="2" t="inlineStr"/>
    </row>
    <row r="3060" ht="15" customHeight="1">
      <c r="A3060" t="inlineStr">
        <is>
          <t>A 48853-2022</t>
        </is>
      </c>
      <c r="B3060" s="1" t="n">
        <v>44859</v>
      </c>
      <c r="C3060" s="1" t="n">
        <v>45932</v>
      </c>
      <c r="D3060" t="inlineStr">
        <is>
          <t>VÄRMLANDS LÄN</t>
        </is>
      </c>
      <c r="E3060" t="inlineStr">
        <is>
          <t>SUNNE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43089-2022</t>
        </is>
      </c>
      <c r="B3061" s="1" t="n">
        <v>44833</v>
      </c>
      <c r="C3061" s="1" t="n">
        <v>45932</v>
      </c>
      <c r="D3061" t="inlineStr">
        <is>
          <t>VÄRMLANDS LÄN</t>
        </is>
      </c>
      <c r="E3061" t="inlineStr">
        <is>
          <t>SUNNE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12162-2025</t>
        </is>
      </c>
      <c r="B3062" s="1" t="n">
        <v>45729.42915509259</v>
      </c>
      <c r="C3062" s="1" t="n">
        <v>45932</v>
      </c>
      <c r="D3062" t="inlineStr">
        <is>
          <t>VÄRMLANDS LÄN</t>
        </is>
      </c>
      <c r="E3062" t="inlineStr">
        <is>
          <t>ARVIKA</t>
        </is>
      </c>
      <c r="F3062" t="inlineStr">
        <is>
          <t>Bergvik skog väst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17982-2024</t>
        </is>
      </c>
      <c r="B3063" s="1" t="n">
        <v>45419.87510416667</v>
      </c>
      <c r="C3063" s="1" t="n">
        <v>45932</v>
      </c>
      <c r="D3063" t="inlineStr">
        <is>
          <t>VÄRMLANDS LÄN</t>
        </is>
      </c>
      <c r="E3063" t="inlineStr">
        <is>
          <t>ARVIKA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34636-2024</t>
        </is>
      </c>
      <c r="B3064" s="1" t="n">
        <v>45526.47052083333</v>
      </c>
      <c r="C3064" s="1" t="n">
        <v>45932</v>
      </c>
      <c r="D3064" t="inlineStr">
        <is>
          <t>VÄRMLANDS LÄN</t>
        </is>
      </c>
      <c r="E3064" t="inlineStr">
        <is>
          <t>HAGFORS</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14917-2024</t>
        </is>
      </c>
      <c r="B3065" s="1" t="n">
        <v>45398</v>
      </c>
      <c r="C3065" s="1" t="n">
        <v>45932</v>
      </c>
      <c r="D3065" t="inlineStr">
        <is>
          <t>VÄRMLANDS LÄN</t>
        </is>
      </c>
      <c r="E3065" t="inlineStr">
        <is>
          <t>ÅRJÄNG</t>
        </is>
      </c>
      <c r="G3065" t="n">
        <v>19.9</v>
      </c>
      <c r="H3065" t="n">
        <v>0</v>
      </c>
      <c r="I3065" t="n">
        <v>0</v>
      </c>
      <c r="J3065" t="n">
        <v>0</v>
      </c>
      <c r="K3065" t="n">
        <v>0</v>
      </c>
      <c r="L3065" t="n">
        <v>0</v>
      </c>
      <c r="M3065" t="n">
        <v>0</v>
      </c>
      <c r="N3065" t="n">
        <v>0</v>
      </c>
      <c r="O3065" t="n">
        <v>0</v>
      </c>
      <c r="P3065" t="n">
        <v>0</v>
      </c>
      <c r="Q3065" t="n">
        <v>0</v>
      </c>
      <c r="R3065" s="2" t="inlineStr"/>
    </row>
    <row r="3066" ht="15" customHeight="1">
      <c r="A3066" t="inlineStr">
        <is>
          <t>A 24680-2024</t>
        </is>
      </c>
      <c r="B3066" s="1" t="n">
        <v>45460.59121527777</v>
      </c>
      <c r="C3066" s="1" t="n">
        <v>45932</v>
      </c>
      <c r="D3066" t="inlineStr">
        <is>
          <t>VÄRMLANDS LÄN</t>
        </is>
      </c>
      <c r="E3066" t="inlineStr">
        <is>
          <t>HAGFORS</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25313-2024</t>
        </is>
      </c>
      <c r="B3067" s="1" t="n">
        <v>45462</v>
      </c>
      <c r="C3067" s="1" t="n">
        <v>45932</v>
      </c>
      <c r="D3067" t="inlineStr">
        <is>
          <t>VÄRMLANDS LÄN</t>
        </is>
      </c>
      <c r="E3067" t="inlineStr">
        <is>
          <t>TORSBY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12195-2025</t>
        </is>
      </c>
      <c r="B3068" s="1" t="n">
        <v>45729</v>
      </c>
      <c r="C3068" s="1" t="n">
        <v>45932</v>
      </c>
      <c r="D3068" t="inlineStr">
        <is>
          <t>VÄRMLANDS LÄN</t>
        </is>
      </c>
      <c r="E3068" t="inlineStr">
        <is>
          <t>KIL</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5416-2025</t>
        </is>
      </c>
      <c r="B3069" s="1" t="n">
        <v>45692.67990740741</v>
      </c>
      <c r="C3069" s="1" t="n">
        <v>45932</v>
      </c>
      <c r="D3069" t="inlineStr">
        <is>
          <t>VÄRMLANDS LÄN</t>
        </is>
      </c>
      <c r="E3069" t="inlineStr">
        <is>
          <t>ÅRJÄNG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33671-2022</t>
        </is>
      </c>
      <c r="B3070" s="1" t="n">
        <v>44789</v>
      </c>
      <c r="C3070" s="1" t="n">
        <v>45932</v>
      </c>
      <c r="D3070" t="inlineStr">
        <is>
          <t>VÄRMLANDS LÄN</t>
        </is>
      </c>
      <c r="E3070" t="inlineStr">
        <is>
          <t>FILIPSTAD</t>
        </is>
      </c>
      <c r="F3070" t="inlineStr">
        <is>
          <t>Bergvik skog väst AB</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14988-2024</t>
        </is>
      </c>
      <c r="B3071" s="1" t="n">
        <v>45399</v>
      </c>
      <c r="C3071" s="1" t="n">
        <v>45932</v>
      </c>
      <c r="D3071" t="inlineStr">
        <is>
          <t>VÄRMLANDS LÄN</t>
        </is>
      </c>
      <c r="E3071" t="inlineStr">
        <is>
          <t>FORSHAGA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43242-2021</t>
        </is>
      </c>
      <c r="B3072" s="1" t="n">
        <v>44432</v>
      </c>
      <c r="C3072" s="1" t="n">
        <v>45932</v>
      </c>
      <c r="D3072" t="inlineStr">
        <is>
          <t>VÄRMLANDS LÄN</t>
        </is>
      </c>
      <c r="E3072" t="inlineStr">
        <is>
          <t>GRUMS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15873-2025</t>
        </is>
      </c>
      <c r="B3073" s="1" t="n">
        <v>45749.3759375</v>
      </c>
      <c r="C3073" s="1" t="n">
        <v>45932</v>
      </c>
      <c r="D3073" t="inlineStr">
        <is>
          <t>VÄRMLANDS LÄN</t>
        </is>
      </c>
      <c r="E3073" t="inlineStr">
        <is>
          <t>TORSBY</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43472-2021</t>
        </is>
      </c>
      <c r="B3074" s="1" t="n">
        <v>44432.76667824074</v>
      </c>
      <c r="C3074" s="1" t="n">
        <v>45932</v>
      </c>
      <c r="D3074" t="inlineStr">
        <is>
          <t>VÄRMLANDS LÄN</t>
        </is>
      </c>
      <c r="E3074" t="inlineStr">
        <is>
          <t>SUNNE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24139-2024</t>
        </is>
      </c>
      <c r="B3075" s="1" t="n">
        <v>45456</v>
      </c>
      <c r="C3075" s="1" t="n">
        <v>45932</v>
      </c>
      <c r="D3075" t="inlineStr">
        <is>
          <t>VÄRMLANDS LÄN</t>
        </is>
      </c>
      <c r="E3075" t="inlineStr">
        <is>
          <t>FILIPSTAD</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24827-2025</t>
        </is>
      </c>
      <c r="B3076" s="1" t="n">
        <v>45799.45724537037</v>
      </c>
      <c r="C3076" s="1" t="n">
        <v>45932</v>
      </c>
      <c r="D3076" t="inlineStr">
        <is>
          <t>VÄRMLANDS LÄN</t>
        </is>
      </c>
      <c r="E3076" t="inlineStr">
        <is>
          <t>TORSBY</t>
        </is>
      </c>
      <c r="G3076" t="n">
        <v>27.5</v>
      </c>
      <c r="H3076" t="n">
        <v>0</v>
      </c>
      <c r="I3076" t="n">
        <v>0</v>
      </c>
      <c r="J3076" t="n">
        <v>0</v>
      </c>
      <c r="K3076" t="n">
        <v>0</v>
      </c>
      <c r="L3076" t="n">
        <v>0</v>
      </c>
      <c r="M3076" t="n">
        <v>0</v>
      </c>
      <c r="N3076" t="n">
        <v>0</v>
      </c>
      <c r="O3076" t="n">
        <v>0</v>
      </c>
      <c r="P3076" t="n">
        <v>0</v>
      </c>
      <c r="Q3076" t="n">
        <v>0</v>
      </c>
      <c r="R3076" s="2" t="inlineStr"/>
    </row>
    <row r="3077" ht="15" customHeight="1">
      <c r="A3077" t="inlineStr">
        <is>
          <t>A 23191-2023</t>
        </is>
      </c>
      <c r="B3077" s="1" t="n">
        <v>45071</v>
      </c>
      <c r="C3077" s="1" t="n">
        <v>45932</v>
      </c>
      <c r="D3077" t="inlineStr">
        <is>
          <t>VÄRMLANDS LÄN</t>
        </is>
      </c>
      <c r="E3077" t="inlineStr">
        <is>
          <t>EDA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50380-2024</t>
        </is>
      </c>
      <c r="B3078" s="1" t="n">
        <v>45601.30582175926</v>
      </c>
      <c r="C3078" s="1" t="n">
        <v>45932</v>
      </c>
      <c r="D3078" t="inlineStr">
        <is>
          <t>VÄRMLANDS LÄN</t>
        </is>
      </c>
      <c r="E3078" t="inlineStr">
        <is>
          <t>TORSBY</t>
        </is>
      </c>
      <c r="F3078" t="inlineStr">
        <is>
          <t>Bergvik skog väst AB</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50388-2024</t>
        </is>
      </c>
      <c r="B3079" s="1" t="n">
        <v>45600</v>
      </c>
      <c r="C3079" s="1" t="n">
        <v>45932</v>
      </c>
      <c r="D3079" t="inlineStr">
        <is>
          <t>VÄRMLANDS LÄN</t>
        </is>
      </c>
      <c r="E3079" t="inlineStr">
        <is>
          <t>ÅRJÄNG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14050-2025</t>
        </is>
      </c>
      <c r="B3080" s="1" t="n">
        <v>45738</v>
      </c>
      <c r="C3080" s="1" t="n">
        <v>45932</v>
      </c>
      <c r="D3080" t="inlineStr">
        <is>
          <t>VÄRMLANDS LÄN</t>
        </is>
      </c>
      <c r="E3080" t="inlineStr">
        <is>
          <t>SUNNE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14954-2024</t>
        </is>
      </c>
      <c r="B3081" s="1" t="n">
        <v>45398.85325231482</v>
      </c>
      <c r="C3081" s="1" t="n">
        <v>45932</v>
      </c>
      <c r="D3081" t="inlineStr">
        <is>
          <t>VÄRMLANDS LÄN</t>
        </is>
      </c>
      <c r="E3081" t="inlineStr">
        <is>
          <t>KIL</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18925-2024</t>
        </is>
      </c>
      <c r="B3082" s="1" t="n">
        <v>45427</v>
      </c>
      <c r="C3082" s="1" t="n">
        <v>45932</v>
      </c>
      <c r="D3082" t="inlineStr">
        <is>
          <t>VÄRMLANDS LÄN</t>
        </is>
      </c>
      <c r="E3082" t="inlineStr">
        <is>
          <t>SÄFFLE</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33495-2024</t>
        </is>
      </c>
      <c r="B3083" s="1" t="n">
        <v>45519</v>
      </c>
      <c r="C3083" s="1" t="n">
        <v>45932</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5126-2023</t>
        </is>
      </c>
      <c r="B3084" s="1" t="n">
        <v>44958</v>
      </c>
      <c r="C3084" s="1" t="n">
        <v>45932</v>
      </c>
      <c r="D3084" t="inlineStr">
        <is>
          <t>VÄRMLANDS LÄN</t>
        </is>
      </c>
      <c r="E3084" t="inlineStr">
        <is>
          <t>GRUMS</t>
        </is>
      </c>
      <c r="G3084" t="n">
        <v>14.3</v>
      </c>
      <c r="H3084" t="n">
        <v>0</v>
      </c>
      <c r="I3084" t="n">
        <v>0</v>
      </c>
      <c r="J3084" t="n">
        <v>0</v>
      </c>
      <c r="K3084" t="n">
        <v>0</v>
      </c>
      <c r="L3084" t="n">
        <v>0</v>
      </c>
      <c r="M3084" t="n">
        <v>0</v>
      </c>
      <c r="N3084" t="n">
        <v>0</v>
      </c>
      <c r="O3084" t="n">
        <v>0</v>
      </c>
      <c r="P3084" t="n">
        <v>0</v>
      </c>
      <c r="Q3084" t="n">
        <v>0</v>
      </c>
      <c r="R3084" s="2" t="inlineStr"/>
    </row>
    <row r="3085" ht="15" customHeight="1">
      <c r="A3085" t="inlineStr">
        <is>
          <t>A 32444-2022</t>
        </is>
      </c>
      <c r="B3085" s="1" t="n">
        <v>44782</v>
      </c>
      <c r="C3085" s="1" t="n">
        <v>45932</v>
      </c>
      <c r="D3085" t="inlineStr">
        <is>
          <t>VÄRMLANDS LÄN</t>
        </is>
      </c>
      <c r="E3085" t="inlineStr">
        <is>
          <t>TORSBY</t>
        </is>
      </c>
      <c r="F3085" t="inlineStr">
        <is>
          <t>Bergvik skog väst AB</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33085-2024</t>
        </is>
      </c>
      <c r="B3086" s="1" t="n">
        <v>45517.67784722222</v>
      </c>
      <c r="C3086" s="1" t="n">
        <v>45932</v>
      </c>
      <c r="D3086" t="inlineStr">
        <is>
          <t>VÄRMLANDS LÄN</t>
        </is>
      </c>
      <c r="E3086" t="inlineStr">
        <is>
          <t>TORSBY</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20410-2025</t>
        </is>
      </c>
      <c r="B3087" s="1" t="n">
        <v>45775</v>
      </c>
      <c r="C3087" s="1" t="n">
        <v>45932</v>
      </c>
      <c r="D3087" t="inlineStr">
        <is>
          <t>VÄRMLANDS LÄN</t>
        </is>
      </c>
      <c r="E3087" t="inlineStr">
        <is>
          <t>SÄFFLE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20422-2025</t>
        </is>
      </c>
      <c r="B3088" s="1" t="n">
        <v>45775.46902777778</v>
      </c>
      <c r="C3088" s="1" t="n">
        <v>45932</v>
      </c>
      <c r="D3088" t="inlineStr">
        <is>
          <t>VÄRMLANDS LÄN</t>
        </is>
      </c>
      <c r="E3088" t="inlineStr">
        <is>
          <t>EDA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73247-2021</t>
        </is>
      </c>
      <c r="B3089" s="1" t="n">
        <v>44550</v>
      </c>
      <c r="C3089" s="1" t="n">
        <v>45932</v>
      </c>
      <c r="D3089" t="inlineStr">
        <is>
          <t>VÄRMLANDS LÄN</t>
        </is>
      </c>
      <c r="E3089" t="inlineStr">
        <is>
          <t>SUNNE</t>
        </is>
      </c>
      <c r="G3089" t="n">
        <v>24.7</v>
      </c>
      <c r="H3089" t="n">
        <v>0</v>
      </c>
      <c r="I3089" t="n">
        <v>0</v>
      </c>
      <c r="J3089" t="n">
        <v>0</v>
      </c>
      <c r="K3089" t="n">
        <v>0</v>
      </c>
      <c r="L3089" t="n">
        <v>0</v>
      </c>
      <c r="M3089" t="n">
        <v>0</v>
      </c>
      <c r="N3089" t="n">
        <v>0</v>
      </c>
      <c r="O3089" t="n">
        <v>0</v>
      </c>
      <c r="P3089" t="n">
        <v>0</v>
      </c>
      <c r="Q3089" t="n">
        <v>0</v>
      </c>
      <c r="R3089" s="2" t="inlineStr"/>
    </row>
    <row r="3090" ht="15" customHeight="1">
      <c r="A3090" t="inlineStr">
        <is>
          <t>A 73267-2021</t>
        </is>
      </c>
      <c r="B3090" s="1" t="n">
        <v>44550.84347222222</v>
      </c>
      <c r="C3090" s="1" t="n">
        <v>45932</v>
      </c>
      <c r="D3090" t="inlineStr">
        <is>
          <t>VÄRMLANDS LÄN</t>
        </is>
      </c>
      <c r="E3090" t="inlineStr">
        <is>
          <t>FORSHAGA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8737-2024</t>
        </is>
      </c>
      <c r="B3091" s="1" t="n">
        <v>45356</v>
      </c>
      <c r="C3091" s="1" t="n">
        <v>45932</v>
      </c>
      <c r="D3091" t="inlineStr">
        <is>
          <t>VÄRMLANDS LÄN</t>
        </is>
      </c>
      <c r="E3091" t="inlineStr">
        <is>
          <t>SÄFFLE</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8766-2024</t>
        </is>
      </c>
      <c r="B3092" s="1" t="n">
        <v>45352</v>
      </c>
      <c r="C3092" s="1" t="n">
        <v>45932</v>
      </c>
      <c r="D3092" t="inlineStr">
        <is>
          <t>VÄRMLANDS LÄN</t>
        </is>
      </c>
      <c r="E3092" t="inlineStr">
        <is>
          <t>SÄFFLE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58319-2024</t>
        </is>
      </c>
      <c r="B3093" s="1" t="n">
        <v>45631</v>
      </c>
      <c r="C3093" s="1" t="n">
        <v>45932</v>
      </c>
      <c r="D3093" t="inlineStr">
        <is>
          <t>VÄRMLANDS LÄN</t>
        </is>
      </c>
      <c r="E3093" t="inlineStr">
        <is>
          <t>KRISTINEHAMN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48630-2024</t>
        </is>
      </c>
      <c r="B3094" s="1" t="n">
        <v>45593.46697916667</v>
      </c>
      <c r="C3094" s="1" t="n">
        <v>45932</v>
      </c>
      <c r="D3094" t="inlineStr">
        <is>
          <t>VÄRMLANDS LÄN</t>
        </is>
      </c>
      <c r="E3094" t="inlineStr">
        <is>
          <t>FORSHAGA</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17892-2023</t>
        </is>
      </c>
      <c r="B3095" s="1" t="n">
        <v>45039.56868055555</v>
      </c>
      <c r="C3095" s="1" t="n">
        <v>45932</v>
      </c>
      <c r="D3095" t="inlineStr">
        <is>
          <t>VÄRMLANDS LÄN</t>
        </is>
      </c>
      <c r="E3095" t="inlineStr">
        <is>
          <t>KARLSTAD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42197-2021</t>
        </is>
      </c>
      <c r="B3096" s="1" t="n">
        <v>44426</v>
      </c>
      <c r="C3096" s="1" t="n">
        <v>45932</v>
      </c>
      <c r="D3096" t="inlineStr">
        <is>
          <t>VÄRMLANDS LÄN</t>
        </is>
      </c>
      <c r="E3096" t="inlineStr">
        <is>
          <t>EDA</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65002-2023</t>
        </is>
      </c>
      <c r="B3097" s="1" t="n">
        <v>45287</v>
      </c>
      <c r="C3097" s="1" t="n">
        <v>45932</v>
      </c>
      <c r="D3097" t="inlineStr">
        <is>
          <t>VÄRMLANDS LÄN</t>
        </is>
      </c>
      <c r="E3097" t="inlineStr">
        <is>
          <t>KIL</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29940-2024</t>
        </is>
      </c>
      <c r="B3098" s="1" t="n">
        <v>45488</v>
      </c>
      <c r="C3098" s="1" t="n">
        <v>45932</v>
      </c>
      <c r="D3098" t="inlineStr">
        <is>
          <t>VÄRMLANDS LÄN</t>
        </is>
      </c>
      <c r="E3098" t="inlineStr">
        <is>
          <t>SUNNE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44189-2022</t>
        </is>
      </c>
      <c r="B3099" s="1" t="n">
        <v>44839</v>
      </c>
      <c r="C3099" s="1" t="n">
        <v>45932</v>
      </c>
      <c r="D3099" t="inlineStr">
        <is>
          <t>VÄRMLANDS LÄN</t>
        </is>
      </c>
      <c r="E3099" t="inlineStr">
        <is>
          <t>EDA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17900-2023</t>
        </is>
      </c>
      <c r="B3100" s="1" t="n">
        <v>45037</v>
      </c>
      <c r="C3100" s="1" t="n">
        <v>45932</v>
      </c>
      <c r="D3100" t="inlineStr">
        <is>
          <t>VÄRMLANDS LÄN</t>
        </is>
      </c>
      <c r="E3100" t="inlineStr">
        <is>
          <t>KARLSTAD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17833-2022</t>
        </is>
      </c>
      <c r="B3101" s="1" t="n">
        <v>44683</v>
      </c>
      <c r="C3101" s="1" t="n">
        <v>45932</v>
      </c>
      <c r="D3101" t="inlineStr">
        <is>
          <t>VÄRMLANDS LÄN</t>
        </is>
      </c>
      <c r="E3101" t="inlineStr">
        <is>
          <t>HAGFORS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5347-2022</t>
        </is>
      </c>
      <c r="B3102" s="1" t="n">
        <v>44594.75155092592</v>
      </c>
      <c r="C3102" s="1" t="n">
        <v>45932</v>
      </c>
      <c r="D3102" t="inlineStr">
        <is>
          <t>VÄRMLANDS LÄN</t>
        </is>
      </c>
      <c r="E3102" t="inlineStr">
        <is>
          <t>SUNNE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4723-2025</t>
        </is>
      </c>
      <c r="B3103" s="1" t="n">
        <v>45688.41748842593</v>
      </c>
      <c r="C3103" s="1" t="n">
        <v>45932</v>
      </c>
      <c r="D3103" t="inlineStr">
        <is>
          <t>VÄRMLANDS LÄN</t>
        </is>
      </c>
      <c r="E3103" t="inlineStr">
        <is>
          <t>KARLSTAD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45932</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37213-2024</t>
        </is>
      </c>
      <c r="B3105" s="1" t="n">
        <v>45539.69202546297</v>
      </c>
      <c r="C3105" s="1" t="n">
        <v>45932</v>
      </c>
      <c r="D3105" t="inlineStr">
        <is>
          <t>VÄRMLANDS LÄN</t>
        </is>
      </c>
      <c r="E3105" t="inlineStr">
        <is>
          <t>ARVIKA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20238-2024</t>
        </is>
      </c>
      <c r="B3106" s="1" t="n">
        <v>45434</v>
      </c>
      <c r="C3106" s="1" t="n">
        <v>45932</v>
      </c>
      <c r="D3106" t="inlineStr">
        <is>
          <t>VÄRMLANDS LÄN</t>
        </is>
      </c>
      <c r="E3106" t="inlineStr">
        <is>
          <t>GRUMS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47002-2024</t>
        </is>
      </c>
      <c r="B3107" s="1" t="n">
        <v>45586.37773148148</v>
      </c>
      <c r="C3107" s="1" t="n">
        <v>45932</v>
      </c>
      <c r="D3107" t="inlineStr">
        <is>
          <t>VÄRMLANDS LÄN</t>
        </is>
      </c>
      <c r="E3107" t="inlineStr">
        <is>
          <t>FILIPSTAD</t>
        </is>
      </c>
      <c r="F3107" t="inlineStr">
        <is>
          <t>Bergvik skog väst AB</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21744-2024</t>
        </is>
      </c>
      <c r="B3108" s="1" t="n">
        <v>45442</v>
      </c>
      <c r="C3108" s="1" t="n">
        <v>45932</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887-2024</t>
        </is>
      </c>
      <c r="B3109" s="1" t="n">
        <v>45301.40287037037</v>
      </c>
      <c r="C3109" s="1" t="n">
        <v>45932</v>
      </c>
      <c r="D3109" t="inlineStr">
        <is>
          <t>VÄRMLANDS LÄN</t>
        </is>
      </c>
      <c r="E3109" t="inlineStr">
        <is>
          <t>EDA</t>
        </is>
      </c>
      <c r="F3109" t="inlineStr">
        <is>
          <t>Kyrkan</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11682-2025</t>
        </is>
      </c>
      <c r="B3110" s="1" t="n">
        <v>45727.54585648148</v>
      </c>
      <c r="C3110" s="1" t="n">
        <v>45932</v>
      </c>
      <c r="D3110" t="inlineStr">
        <is>
          <t>VÄRMLANDS LÄN</t>
        </is>
      </c>
      <c r="E3110" t="inlineStr">
        <is>
          <t>KARLSTAD</t>
        </is>
      </c>
      <c r="F3110" t="inlineStr">
        <is>
          <t>Bergvik skog väst AB</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36827-2022</t>
        </is>
      </c>
      <c r="B3111" s="1" t="n">
        <v>44805.56246527778</v>
      </c>
      <c r="C3111" s="1" t="n">
        <v>45932</v>
      </c>
      <c r="D3111" t="inlineStr">
        <is>
          <t>VÄRMLANDS LÄN</t>
        </is>
      </c>
      <c r="E3111" t="inlineStr">
        <is>
          <t>FILIPSTAD</t>
        </is>
      </c>
      <c r="F3111" t="inlineStr">
        <is>
          <t>Bergvik skog väst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56765-2021</t>
        </is>
      </c>
      <c r="B3112" s="1" t="n">
        <v>44481.49040509259</v>
      </c>
      <c r="C3112" s="1" t="n">
        <v>45932</v>
      </c>
      <c r="D3112" t="inlineStr">
        <is>
          <t>VÄRMLANDS LÄN</t>
        </is>
      </c>
      <c r="E3112" t="inlineStr">
        <is>
          <t>KIL</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61232-2024</t>
        </is>
      </c>
      <c r="B3113" s="1" t="n">
        <v>45645</v>
      </c>
      <c r="C3113" s="1" t="n">
        <v>45932</v>
      </c>
      <c r="D3113" t="inlineStr">
        <is>
          <t>VÄRMLANDS LÄN</t>
        </is>
      </c>
      <c r="E3113" t="inlineStr">
        <is>
          <t>HAGFORS</t>
        </is>
      </c>
      <c r="F3113" t="inlineStr">
        <is>
          <t>Bergvik skog väst AB</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33304-2021</t>
        </is>
      </c>
      <c r="B3114" s="1" t="n">
        <v>44377.43040509259</v>
      </c>
      <c r="C3114" s="1" t="n">
        <v>45932</v>
      </c>
      <c r="D3114" t="inlineStr">
        <is>
          <t>VÄRMLANDS LÄN</t>
        </is>
      </c>
      <c r="E3114" t="inlineStr">
        <is>
          <t>ÅRJÄNG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20170-2021</t>
        </is>
      </c>
      <c r="B3115" s="1" t="n">
        <v>44312</v>
      </c>
      <c r="C3115" s="1" t="n">
        <v>45932</v>
      </c>
      <c r="D3115" t="inlineStr">
        <is>
          <t>VÄRMLANDS LÄN</t>
        </is>
      </c>
      <c r="E3115" t="inlineStr">
        <is>
          <t>TORSBY</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47046-2024</t>
        </is>
      </c>
      <c r="B3116" s="1" t="n">
        <v>45586</v>
      </c>
      <c r="C3116" s="1" t="n">
        <v>45932</v>
      </c>
      <c r="D3116" t="inlineStr">
        <is>
          <t>VÄRMLANDS LÄN</t>
        </is>
      </c>
      <c r="E3116" t="inlineStr">
        <is>
          <t>ARVIKA</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61311-2024</t>
        </is>
      </c>
      <c r="B3117" s="1" t="n">
        <v>45646</v>
      </c>
      <c r="C3117" s="1" t="n">
        <v>45932</v>
      </c>
      <c r="D3117" t="inlineStr">
        <is>
          <t>VÄRMLANDS LÄN</t>
        </is>
      </c>
      <c r="E3117" t="inlineStr">
        <is>
          <t>EDA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22091-2025</t>
        </is>
      </c>
      <c r="B3118" s="1" t="n">
        <v>45785.45800925926</v>
      </c>
      <c r="C3118" s="1" t="n">
        <v>45932</v>
      </c>
      <c r="D3118" t="inlineStr">
        <is>
          <t>VÄRMLANDS LÄN</t>
        </is>
      </c>
      <c r="E3118" t="inlineStr">
        <is>
          <t>HAGFORS</t>
        </is>
      </c>
      <c r="F3118" t="inlineStr">
        <is>
          <t>Kyrkan</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42986-2022</t>
        </is>
      </c>
      <c r="B3119" s="1" t="n">
        <v>44833.47828703704</v>
      </c>
      <c r="C3119" s="1" t="n">
        <v>45932</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43732-2022</t>
        </is>
      </c>
      <c r="B3120" s="1" t="n">
        <v>44837.69357638889</v>
      </c>
      <c r="C3120" s="1" t="n">
        <v>45932</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23996-2024</t>
        </is>
      </c>
      <c r="B3121" s="1" t="n">
        <v>45456</v>
      </c>
      <c r="C3121" s="1" t="n">
        <v>45932</v>
      </c>
      <c r="D3121" t="inlineStr">
        <is>
          <t>VÄRMLANDS LÄN</t>
        </is>
      </c>
      <c r="E3121" t="inlineStr">
        <is>
          <t>TORSBY</t>
        </is>
      </c>
      <c r="F3121" t="inlineStr">
        <is>
          <t>Bergvik skog väst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47145-2024</t>
        </is>
      </c>
      <c r="B3122" s="1" t="n">
        <v>45586</v>
      </c>
      <c r="C3122" s="1" t="n">
        <v>45932</v>
      </c>
      <c r="D3122" t="inlineStr">
        <is>
          <t>VÄRMLANDS LÄN</t>
        </is>
      </c>
      <c r="E3122" t="inlineStr">
        <is>
          <t>EDA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6263-2023</t>
        </is>
      </c>
      <c r="B3123" s="1" t="n">
        <v>44959</v>
      </c>
      <c r="C3123" s="1" t="n">
        <v>45932</v>
      </c>
      <c r="D3123" t="inlineStr">
        <is>
          <t>VÄRMLANDS LÄN</t>
        </is>
      </c>
      <c r="E3123" t="inlineStr">
        <is>
          <t>KARLSTAD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21651-2021</t>
        </is>
      </c>
      <c r="B3124" s="1" t="n">
        <v>44322</v>
      </c>
      <c r="C3124" s="1" t="n">
        <v>45932</v>
      </c>
      <c r="D3124" t="inlineStr">
        <is>
          <t>VÄRMLANDS LÄN</t>
        </is>
      </c>
      <c r="E3124" t="inlineStr">
        <is>
          <t>SÄFFLE</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62905-2023</t>
        </is>
      </c>
      <c r="B3125" s="1" t="n">
        <v>45272</v>
      </c>
      <c r="C3125" s="1" t="n">
        <v>45932</v>
      </c>
      <c r="D3125" t="inlineStr">
        <is>
          <t>VÄRMLANDS LÄN</t>
        </is>
      </c>
      <c r="E3125" t="inlineStr">
        <is>
          <t>GRUMS</t>
        </is>
      </c>
      <c r="G3125" t="n">
        <v>13.8</v>
      </c>
      <c r="H3125" t="n">
        <v>0</v>
      </c>
      <c r="I3125" t="n">
        <v>0</v>
      </c>
      <c r="J3125" t="n">
        <v>0</v>
      </c>
      <c r="K3125" t="n">
        <v>0</v>
      </c>
      <c r="L3125" t="n">
        <v>0</v>
      </c>
      <c r="M3125" t="n">
        <v>0</v>
      </c>
      <c r="N3125" t="n">
        <v>0</v>
      </c>
      <c r="O3125" t="n">
        <v>0</v>
      </c>
      <c r="P3125" t="n">
        <v>0</v>
      </c>
      <c r="Q3125" t="n">
        <v>0</v>
      </c>
      <c r="R3125" s="2" t="inlineStr"/>
    </row>
    <row r="3126" ht="15" customHeight="1">
      <c r="A3126" t="inlineStr">
        <is>
          <t>A 62922-2023</t>
        </is>
      </c>
      <c r="B3126" s="1" t="n">
        <v>45272</v>
      </c>
      <c r="C3126" s="1" t="n">
        <v>45932</v>
      </c>
      <c r="D3126" t="inlineStr">
        <is>
          <t>VÄRMLANDS LÄN</t>
        </is>
      </c>
      <c r="E3126" t="inlineStr">
        <is>
          <t>FORSHAGA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16294-2025</t>
        </is>
      </c>
      <c r="B3127" s="1" t="n">
        <v>45750</v>
      </c>
      <c r="C3127" s="1" t="n">
        <v>45932</v>
      </c>
      <c r="D3127" t="inlineStr">
        <is>
          <t>VÄRMLANDS LÄN</t>
        </is>
      </c>
      <c r="E3127" t="inlineStr">
        <is>
          <t>SUNNE</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60539-2023</t>
        </is>
      </c>
      <c r="B3128" s="1" t="n">
        <v>45259</v>
      </c>
      <c r="C3128" s="1" t="n">
        <v>45932</v>
      </c>
      <c r="D3128" t="inlineStr">
        <is>
          <t>VÄRMLANDS LÄN</t>
        </is>
      </c>
      <c r="E3128" t="inlineStr">
        <is>
          <t>SUNNE</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16329-2025</t>
        </is>
      </c>
      <c r="B3129" s="1" t="n">
        <v>45751</v>
      </c>
      <c r="C3129" s="1" t="n">
        <v>45932</v>
      </c>
      <c r="D3129" t="inlineStr">
        <is>
          <t>VÄRMLANDS LÄN</t>
        </is>
      </c>
      <c r="E3129" t="inlineStr">
        <is>
          <t>TORSBY</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16366-2025</t>
        </is>
      </c>
      <c r="B3130" s="1" t="n">
        <v>45751</v>
      </c>
      <c r="C3130" s="1" t="n">
        <v>45932</v>
      </c>
      <c r="D3130" t="inlineStr">
        <is>
          <t>VÄRMLANDS LÄN</t>
        </is>
      </c>
      <c r="E3130" t="inlineStr">
        <is>
          <t>SUNNE</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50678-2024</t>
        </is>
      </c>
      <c r="B3131" s="1" t="n">
        <v>45601.90618055555</v>
      </c>
      <c r="C3131" s="1" t="n">
        <v>45932</v>
      </c>
      <c r="D3131" t="inlineStr">
        <is>
          <t>VÄRMLANDS LÄN</t>
        </is>
      </c>
      <c r="E3131" t="inlineStr">
        <is>
          <t>ARVIKA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50695-2024</t>
        </is>
      </c>
      <c r="B3132" s="1" t="n">
        <v>45602.34934027777</v>
      </c>
      <c r="C3132" s="1" t="n">
        <v>45932</v>
      </c>
      <c r="D3132" t="inlineStr">
        <is>
          <t>VÄRMLANDS LÄN</t>
        </is>
      </c>
      <c r="E3132" t="inlineStr">
        <is>
          <t>SUNNE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35629-2023</t>
        </is>
      </c>
      <c r="B3133" s="1" t="n">
        <v>45147.55939814815</v>
      </c>
      <c r="C3133" s="1" t="n">
        <v>45932</v>
      </c>
      <c r="D3133" t="inlineStr">
        <is>
          <t>VÄRMLANDS LÄN</t>
        </is>
      </c>
      <c r="E3133" t="inlineStr">
        <is>
          <t>TORSBY</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3825-2021</t>
        </is>
      </c>
      <c r="B3134" s="1" t="n">
        <v>44221</v>
      </c>
      <c r="C3134" s="1" t="n">
        <v>45932</v>
      </c>
      <c r="D3134" t="inlineStr">
        <is>
          <t>VÄRMLANDS LÄN</t>
        </is>
      </c>
      <c r="E3134" t="inlineStr">
        <is>
          <t>SÄFFLE</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23167-2023</t>
        </is>
      </c>
      <c r="B3135" s="1" t="n">
        <v>45075</v>
      </c>
      <c r="C3135" s="1" t="n">
        <v>45932</v>
      </c>
      <c r="D3135" t="inlineStr">
        <is>
          <t>VÄRMLANDS LÄN</t>
        </is>
      </c>
      <c r="E3135" t="inlineStr">
        <is>
          <t>SUNNE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50776-2024</t>
        </is>
      </c>
      <c r="B3136" s="1" t="n">
        <v>45602.45215277778</v>
      </c>
      <c r="C3136" s="1" t="n">
        <v>45932</v>
      </c>
      <c r="D3136" t="inlineStr">
        <is>
          <t>VÄRMLANDS LÄN</t>
        </is>
      </c>
      <c r="E3136" t="inlineStr">
        <is>
          <t>FILIPSTAD</t>
        </is>
      </c>
      <c r="F3136" t="inlineStr">
        <is>
          <t>Bergvik skog väst AB</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15718-2023</t>
        </is>
      </c>
      <c r="B3137" s="1" t="n">
        <v>45021.55432870371</v>
      </c>
      <c r="C3137" s="1" t="n">
        <v>45932</v>
      </c>
      <c r="D3137" t="inlineStr">
        <is>
          <t>VÄRMLANDS LÄN</t>
        </is>
      </c>
      <c r="E3137" t="inlineStr">
        <is>
          <t>ÅRJÄNG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7749-2025</t>
        </is>
      </c>
      <c r="B3138" s="1" t="n">
        <v>45706.49357638889</v>
      </c>
      <c r="C3138" s="1" t="n">
        <v>45932</v>
      </c>
      <c r="D3138" t="inlineStr">
        <is>
          <t>VÄRMLANDS LÄN</t>
        </is>
      </c>
      <c r="E3138" t="inlineStr">
        <is>
          <t>SUNNE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29291-2024</t>
        </is>
      </c>
      <c r="B3139" s="1" t="n">
        <v>45482</v>
      </c>
      <c r="C3139" s="1" t="n">
        <v>45932</v>
      </c>
      <c r="D3139" t="inlineStr">
        <is>
          <t>VÄRMLANDS LÄN</t>
        </is>
      </c>
      <c r="E3139" t="inlineStr">
        <is>
          <t>ARVIKA</t>
        </is>
      </c>
      <c r="G3139" t="n">
        <v>11.8</v>
      </c>
      <c r="H3139" t="n">
        <v>0</v>
      </c>
      <c r="I3139" t="n">
        <v>0</v>
      </c>
      <c r="J3139" t="n">
        <v>0</v>
      </c>
      <c r="K3139" t="n">
        <v>0</v>
      </c>
      <c r="L3139" t="n">
        <v>0</v>
      </c>
      <c r="M3139" t="n">
        <v>0</v>
      </c>
      <c r="N3139" t="n">
        <v>0</v>
      </c>
      <c r="O3139" t="n">
        <v>0</v>
      </c>
      <c r="P3139" t="n">
        <v>0</v>
      </c>
      <c r="Q3139" t="n">
        <v>0</v>
      </c>
      <c r="R3139" s="2" t="inlineStr"/>
    </row>
    <row r="3140" ht="15" customHeight="1">
      <c r="A3140" t="inlineStr">
        <is>
          <t>A 15773-2023</t>
        </is>
      </c>
      <c r="B3140" s="1" t="n">
        <v>45021</v>
      </c>
      <c r="C3140" s="1" t="n">
        <v>45932</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30646-2024</t>
        </is>
      </c>
      <c r="B3141" s="1" t="n">
        <v>45495.58861111111</v>
      </c>
      <c r="C3141" s="1" t="n">
        <v>45932</v>
      </c>
      <c r="D3141" t="inlineStr">
        <is>
          <t>VÄRMLANDS LÄN</t>
        </is>
      </c>
      <c r="E3141" t="inlineStr">
        <is>
          <t>FILIPSTAD</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40518-2024</t>
        </is>
      </c>
      <c r="B3142" s="1" t="n">
        <v>45555</v>
      </c>
      <c r="C3142" s="1" t="n">
        <v>45932</v>
      </c>
      <c r="D3142" t="inlineStr">
        <is>
          <t>VÄRMLANDS LÄN</t>
        </is>
      </c>
      <c r="E3142" t="inlineStr">
        <is>
          <t>SÄFFLE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1346-2025</t>
        </is>
      </c>
      <c r="B3143" s="1" t="n">
        <v>45667</v>
      </c>
      <c r="C3143" s="1" t="n">
        <v>45932</v>
      </c>
      <c r="D3143" t="inlineStr">
        <is>
          <t>VÄRMLANDS LÄN</t>
        </is>
      </c>
      <c r="E3143" t="inlineStr">
        <is>
          <t>FILIPSTAD</t>
        </is>
      </c>
      <c r="F3143" t="inlineStr">
        <is>
          <t>Kommuner</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5025-2023</t>
        </is>
      </c>
      <c r="B3144" s="1" t="n">
        <v>44958.56039351852</v>
      </c>
      <c r="C3144" s="1" t="n">
        <v>45932</v>
      </c>
      <c r="D3144" t="inlineStr">
        <is>
          <t>VÄRMLANDS LÄN</t>
        </is>
      </c>
      <c r="E3144" t="inlineStr">
        <is>
          <t>GRUMS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73901-2021</t>
        </is>
      </c>
      <c r="B3145" s="1" t="n">
        <v>44552</v>
      </c>
      <c r="C3145" s="1" t="n">
        <v>45932</v>
      </c>
      <c r="D3145" t="inlineStr">
        <is>
          <t>VÄRMLANDS LÄN</t>
        </is>
      </c>
      <c r="E3145" t="inlineStr">
        <is>
          <t>GRUMS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22228-2025</t>
        </is>
      </c>
      <c r="B3146" s="1" t="n">
        <v>45785</v>
      </c>
      <c r="C3146" s="1" t="n">
        <v>45932</v>
      </c>
      <c r="D3146" t="inlineStr">
        <is>
          <t>VÄRMLANDS LÄN</t>
        </is>
      </c>
      <c r="E3146" t="inlineStr">
        <is>
          <t>SÄFFLE</t>
        </is>
      </c>
      <c r="G3146" t="n">
        <v>19.5</v>
      </c>
      <c r="H3146" t="n">
        <v>0</v>
      </c>
      <c r="I3146" t="n">
        <v>0</v>
      </c>
      <c r="J3146" t="n">
        <v>0</v>
      </c>
      <c r="K3146" t="n">
        <v>0</v>
      </c>
      <c r="L3146" t="n">
        <v>0</v>
      </c>
      <c r="M3146" t="n">
        <v>0</v>
      </c>
      <c r="N3146" t="n">
        <v>0</v>
      </c>
      <c r="O3146" t="n">
        <v>0</v>
      </c>
      <c r="P3146" t="n">
        <v>0</v>
      </c>
      <c r="Q3146" t="n">
        <v>0</v>
      </c>
      <c r="R3146" s="2" t="inlineStr"/>
    </row>
    <row r="3147" ht="15" customHeight="1">
      <c r="A3147" t="inlineStr">
        <is>
          <t>A 5814-2024</t>
        </is>
      </c>
      <c r="B3147" s="1" t="n">
        <v>45335</v>
      </c>
      <c r="C3147" s="1" t="n">
        <v>45932</v>
      </c>
      <c r="D3147" t="inlineStr">
        <is>
          <t>VÄRMLANDS LÄN</t>
        </is>
      </c>
      <c r="E3147" t="inlineStr">
        <is>
          <t>TORSBY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21866-2025</t>
        </is>
      </c>
      <c r="B3148" s="1" t="n">
        <v>45784.3707175926</v>
      </c>
      <c r="C3148" s="1" t="n">
        <v>45932</v>
      </c>
      <c r="D3148" t="inlineStr">
        <is>
          <t>VÄRMLANDS LÄN</t>
        </is>
      </c>
      <c r="E3148" t="inlineStr">
        <is>
          <t>KARLSTAD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20875-2024</t>
        </is>
      </c>
      <c r="B3149" s="1" t="n">
        <v>45439</v>
      </c>
      <c r="C3149" s="1" t="n">
        <v>45932</v>
      </c>
      <c r="D3149" t="inlineStr">
        <is>
          <t>VÄRMLANDS LÄN</t>
        </is>
      </c>
      <c r="E3149" t="inlineStr">
        <is>
          <t>FILIPSTAD</t>
        </is>
      </c>
      <c r="F3149" t="inlineStr">
        <is>
          <t>Bergvik skog väst AB</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21840-2025</t>
        </is>
      </c>
      <c r="B3150" s="1" t="n">
        <v>45784.32915509259</v>
      </c>
      <c r="C3150" s="1" t="n">
        <v>45932</v>
      </c>
      <c r="D3150" t="inlineStr">
        <is>
          <t>VÄRMLANDS LÄN</t>
        </is>
      </c>
      <c r="E3150" t="inlineStr">
        <is>
          <t>KARLSTAD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41407-2024</t>
        </is>
      </c>
      <c r="B3151" s="1" t="n">
        <v>45560</v>
      </c>
      <c r="C3151" s="1" t="n">
        <v>45932</v>
      </c>
      <c r="D3151" t="inlineStr">
        <is>
          <t>VÄRMLANDS LÄN</t>
        </is>
      </c>
      <c r="E3151" t="inlineStr">
        <is>
          <t>SUNNE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47455-2023</t>
        </is>
      </c>
      <c r="B3152" s="1" t="n">
        <v>45202.79825231482</v>
      </c>
      <c r="C3152" s="1" t="n">
        <v>45932</v>
      </c>
      <c r="D3152" t="inlineStr">
        <is>
          <t>VÄRMLANDS LÄN</t>
        </is>
      </c>
      <c r="E3152" t="inlineStr">
        <is>
          <t>FILIPSTAD</t>
        </is>
      </c>
      <c r="F3152" t="inlineStr">
        <is>
          <t>Bergvik skog väst AB</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21844-2025</t>
        </is>
      </c>
      <c r="B3153" s="1" t="n">
        <v>45784.3387962963</v>
      </c>
      <c r="C3153" s="1" t="n">
        <v>45932</v>
      </c>
      <c r="D3153" t="inlineStr">
        <is>
          <t>VÄRMLANDS LÄN</t>
        </is>
      </c>
      <c r="E3153" t="inlineStr">
        <is>
          <t>KARLSTAD</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22090-2025</t>
        </is>
      </c>
      <c r="B3154" s="1" t="n">
        <v>45785.45212962963</v>
      </c>
      <c r="C3154" s="1" t="n">
        <v>45932</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5787-2025</t>
        </is>
      </c>
      <c r="B3155" s="1" t="n">
        <v>45694</v>
      </c>
      <c r="C3155" s="1" t="n">
        <v>45932</v>
      </c>
      <c r="D3155" t="inlineStr">
        <is>
          <t>VÄRMLANDS LÄN</t>
        </is>
      </c>
      <c r="E3155" t="inlineStr">
        <is>
          <t>SUNNE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20188-2025</t>
        </is>
      </c>
      <c r="B3156" s="1" t="n">
        <v>45772</v>
      </c>
      <c r="C3156" s="1" t="n">
        <v>45932</v>
      </c>
      <c r="D3156" t="inlineStr">
        <is>
          <t>VÄRMLANDS LÄN</t>
        </is>
      </c>
      <c r="E3156" t="inlineStr">
        <is>
          <t>ARVIKA</t>
        </is>
      </c>
      <c r="F3156" t="inlineStr">
        <is>
          <t>Bergvik skog väst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22008-2025</t>
        </is>
      </c>
      <c r="B3157" s="1" t="n">
        <v>45784</v>
      </c>
      <c r="C3157" s="1" t="n">
        <v>45932</v>
      </c>
      <c r="D3157" t="inlineStr">
        <is>
          <t>VÄRMLANDS LÄN</t>
        </is>
      </c>
      <c r="E3157" t="inlineStr">
        <is>
          <t>KIL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20285-2025</t>
        </is>
      </c>
      <c r="B3158" s="1" t="n">
        <v>45774.57085648148</v>
      </c>
      <c r="C3158" s="1" t="n">
        <v>45932</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21860-2025</t>
        </is>
      </c>
      <c r="B3159" s="1" t="n">
        <v>45784.36465277777</v>
      </c>
      <c r="C3159" s="1" t="n">
        <v>45932</v>
      </c>
      <c r="D3159" t="inlineStr">
        <is>
          <t>VÄRMLANDS LÄN</t>
        </is>
      </c>
      <c r="E3159" t="inlineStr">
        <is>
          <t>TORSBY</t>
        </is>
      </c>
      <c r="G3159" t="n">
        <v>13.7</v>
      </c>
      <c r="H3159" t="n">
        <v>0</v>
      </c>
      <c r="I3159" t="n">
        <v>0</v>
      </c>
      <c r="J3159" t="n">
        <v>0</v>
      </c>
      <c r="K3159" t="n">
        <v>0</v>
      </c>
      <c r="L3159" t="n">
        <v>0</v>
      </c>
      <c r="M3159" t="n">
        <v>0</v>
      </c>
      <c r="N3159" t="n">
        <v>0</v>
      </c>
      <c r="O3159" t="n">
        <v>0</v>
      </c>
      <c r="P3159" t="n">
        <v>0</v>
      </c>
      <c r="Q3159" t="n">
        <v>0</v>
      </c>
      <c r="R3159" s="2" t="inlineStr"/>
    </row>
    <row r="3160" ht="15" customHeight="1">
      <c r="A3160" t="inlineStr">
        <is>
          <t>A 20521-2025</t>
        </is>
      </c>
      <c r="B3160" s="1" t="n">
        <v>45775.6015625</v>
      </c>
      <c r="C3160" s="1" t="n">
        <v>45932</v>
      </c>
      <c r="D3160" t="inlineStr">
        <is>
          <t>VÄRMLANDS LÄN</t>
        </is>
      </c>
      <c r="E3160" t="inlineStr">
        <is>
          <t>ARVIKA</t>
        </is>
      </c>
      <c r="F3160" t="inlineStr">
        <is>
          <t>Bergvik skog väst AB</t>
        </is>
      </c>
      <c r="G3160" t="n">
        <v>11.4</v>
      </c>
      <c r="H3160" t="n">
        <v>0</v>
      </c>
      <c r="I3160" t="n">
        <v>0</v>
      </c>
      <c r="J3160" t="n">
        <v>0</v>
      </c>
      <c r="K3160" t="n">
        <v>0</v>
      </c>
      <c r="L3160" t="n">
        <v>0</v>
      </c>
      <c r="M3160" t="n">
        <v>0</v>
      </c>
      <c r="N3160" t="n">
        <v>0</v>
      </c>
      <c r="O3160" t="n">
        <v>0</v>
      </c>
      <c r="P3160" t="n">
        <v>0</v>
      </c>
      <c r="Q3160" t="n">
        <v>0</v>
      </c>
      <c r="R3160" s="2" t="inlineStr"/>
    </row>
    <row r="3161" ht="15" customHeight="1">
      <c r="A3161" t="inlineStr">
        <is>
          <t>A 20313-2025</t>
        </is>
      </c>
      <c r="B3161" s="1" t="n">
        <v>45775.31925925926</v>
      </c>
      <c r="C3161" s="1" t="n">
        <v>45932</v>
      </c>
      <c r="D3161" t="inlineStr">
        <is>
          <t>VÄRMLANDS LÄN</t>
        </is>
      </c>
      <c r="E3161" t="inlineStr">
        <is>
          <t>HAGFORS</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20323-2025</t>
        </is>
      </c>
      <c r="B3162" s="1" t="n">
        <v>45775</v>
      </c>
      <c r="C3162" s="1" t="n">
        <v>45932</v>
      </c>
      <c r="D3162" t="inlineStr">
        <is>
          <t>VÄRMLANDS LÄN</t>
        </is>
      </c>
      <c r="E3162" t="inlineStr">
        <is>
          <t>HAGFORS</t>
        </is>
      </c>
      <c r="F3162" t="inlineStr">
        <is>
          <t>Bergvik skog väst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5428-2021</t>
        </is>
      </c>
      <c r="B3163" s="1" t="n">
        <v>44229</v>
      </c>
      <c r="C3163" s="1" t="n">
        <v>45932</v>
      </c>
      <c r="D3163" t="inlineStr">
        <is>
          <t>VÄRMLANDS LÄN</t>
        </is>
      </c>
      <c r="E3163" t="inlineStr">
        <is>
          <t>MUNKFORS</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28228-2024</t>
        </is>
      </c>
      <c r="B3164" s="1" t="n">
        <v>45477</v>
      </c>
      <c r="C3164" s="1" t="n">
        <v>45932</v>
      </c>
      <c r="D3164" t="inlineStr">
        <is>
          <t>VÄRMLANDS LÄN</t>
        </is>
      </c>
      <c r="E3164" t="inlineStr">
        <is>
          <t>GRUMS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22124-2025</t>
        </is>
      </c>
      <c r="B3165" s="1" t="n">
        <v>45785.52300925926</v>
      </c>
      <c r="C3165" s="1" t="n">
        <v>45932</v>
      </c>
      <c r="D3165" t="inlineStr">
        <is>
          <t>VÄRMLANDS LÄN</t>
        </is>
      </c>
      <c r="E3165" t="inlineStr">
        <is>
          <t>SUNNE</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17135-2024</t>
        </is>
      </c>
      <c r="B3166" s="1" t="n">
        <v>45412</v>
      </c>
      <c r="C3166" s="1" t="n">
        <v>45932</v>
      </c>
      <c r="D3166" t="inlineStr">
        <is>
          <t>VÄRMLANDS LÄN</t>
        </is>
      </c>
      <c r="E3166" t="inlineStr">
        <is>
          <t>EDA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28284-2024</t>
        </is>
      </c>
      <c r="B3167" s="1" t="n">
        <v>45477</v>
      </c>
      <c r="C3167" s="1" t="n">
        <v>45932</v>
      </c>
      <c r="D3167" t="inlineStr">
        <is>
          <t>VÄRMLANDS LÄN</t>
        </is>
      </c>
      <c r="E3167" t="inlineStr">
        <is>
          <t>TORSBY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43200-2024</t>
        </is>
      </c>
      <c r="B3168" s="1" t="n">
        <v>45567.68861111111</v>
      </c>
      <c r="C3168" s="1" t="n">
        <v>45932</v>
      </c>
      <c r="D3168" t="inlineStr">
        <is>
          <t>VÄRMLANDS LÄN</t>
        </is>
      </c>
      <c r="E3168" t="inlineStr">
        <is>
          <t>EDA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47425-2024</t>
        </is>
      </c>
      <c r="B3169" s="1" t="n">
        <v>45587.49407407407</v>
      </c>
      <c r="C3169" s="1" t="n">
        <v>45932</v>
      </c>
      <c r="D3169" t="inlineStr">
        <is>
          <t>VÄRMLANDS LÄN</t>
        </is>
      </c>
      <c r="E3169" t="inlineStr">
        <is>
          <t>HAGFORS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57620-2024</t>
        </is>
      </c>
      <c r="B3170" s="1" t="n">
        <v>45630.55108796297</v>
      </c>
      <c r="C3170" s="1" t="n">
        <v>45932</v>
      </c>
      <c r="D3170" t="inlineStr">
        <is>
          <t>VÄRMLANDS LÄN</t>
        </is>
      </c>
      <c r="E3170" t="inlineStr">
        <is>
          <t>ARVIKA</t>
        </is>
      </c>
      <c r="F3170" t="inlineStr">
        <is>
          <t>Bergvik skog väst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48488-2022</t>
        </is>
      </c>
      <c r="B3171" s="1" t="n">
        <v>44858</v>
      </c>
      <c r="C3171" s="1" t="n">
        <v>45932</v>
      </c>
      <c r="D3171" t="inlineStr">
        <is>
          <t>VÄRMLANDS LÄN</t>
        </is>
      </c>
      <c r="E3171" t="inlineStr">
        <is>
          <t>ARVIKA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2981-2025</t>
        </is>
      </c>
      <c r="B3172" s="1" t="n">
        <v>45678.48844907407</v>
      </c>
      <c r="C3172" s="1" t="n">
        <v>45932</v>
      </c>
      <c r="D3172" t="inlineStr">
        <is>
          <t>VÄRMLANDS LÄN</t>
        </is>
      </c>
      <c r="E3172" t="inlineStr">
        <is>
          <t>TORSBY</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21963-2025</t>
        </is>
      </c>
      <c r="B3173" s="1" t="n">
        <v>45784</v>
      </c>
      <c r="C3173" s="1" t="n">
        <v>45932</v>
      </c>
      <c r="D3173" t="inlineStr">
        <is>
          <t>VÄRMLANDS LÄN</t>
        </is>
      </c>
      <c r="E3173" t="inlineStr">
        <is>
          <t>TORSBY</t>
        </is>
      </c>
      <c r="F3173" t="inlineStr">
        <is>
          <t>Bergvik skog väst AB</t>
        </is>
      </c>
      <c r="G3173" t="n">
        <v>12.3</v>
      </c>
      <c r="H3173" t="n">
        <v>0</v>
      </c>
      <c r="I3173" t="n">
        <v>0</v>
      </c>
      <c r="J3173" t="n">
        <v>0</v>
      </c>
      <c r="K3173" t="n">
        <v>0</v>
      </c>
      <c r="L3173" t="n">
        <v>0</v>
      </c>
      <c r="M3173" t="n">
        <v>0</v>
      </c>
      <c r="N3173" t="n">
        <v>0</v>
      </c>
      <c r="O3173" t="n">
        <v>0</v>
      </c>
      <c r="P3173" t="n">
        <v>0</v>
      </c>
      <c r="Q3173" t="n">
        <v>0</v>
      </c>
      <c r="R3173" s="2" t="inlineStr"/>
    </row>
    <row r="3174" ht="15" customHeight="1">
      <c r="A3174" t="inlineStr">
        <is>
          <t>A 21980-2025</t>
        </is>
      </c>
      <c r="B3174" s="1" t="n">
        <v>45784</v>
      </c>
      <c r="C3174" s="1" t="n">
        <v>45932</v>
      </c>
      <c r="D3174" t="inlineStr">
        <is>
          <t>VÄRMLANDS LÄN</t>
        </is>
      </c>
      <c r="E3174" t="inlineStr">
        <is>
          <t>SÄFFLE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19593-2024</t>
        </is>
      </c>
      <c r="B3175" s="1" t="n">
        <v>45430</v>
      </c>
      <c r="C3175" s="1" t="n">
        <v>45932</v>
      </c>
      <c r="D3175" t="inlineStr">
        <is>
          <t>VÄRMLANDS LÄN</t>
        </is>
      </c>
      <c r="E3175" t="inlineStr">
        <is>
          <t>SÄFFLE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21974-2025</t>
        </is>
      </c>
      <c r="B3176" s="1" t="n">
        <v>45784.63689814815</v>
      </c>
      <c r="C3176" s="1" t="n">
        <v>45932</v>
      </c>
      <c r="D3176" t="inlineStr">
        <is>
          <t>VÄRMLANDS LÄN</t>
        </is>
      </c>
      <c r="E3176" t="inlineStr">
        <is>
          <t>TORSBY</t>
        </is>
      </c>
      <c r="F3176" t="inlineStr">
        <is>
          <t>Bergvik skog väst AB</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61413-2024</t>
        </is>
      </c>
      <c r="B3177" s="1" t="n">
        <v>45646</v>
      </c>
      <c r="C3177" s="1" t="n">
        <v>45932</v>
      </c>
      <c r="D3177" t="inlineStr">
        <is>
          <t>VÄRMLANDS LÄN</t>
        </is>
      </c>
      <c r="E3177" t="inlineStr">
        <is>
          <t>EDA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61441-2024</t>
        </is>
      </c>
      <c r="B3178" s="1" t="n">
        <v>45646.46813657408</v>
      </c>
      <c r="C3178" s="1" t="n">
        <v>45932</v>
      </c>
      <c r="D3178" t="inlineStr">
        <is>
          <t>VÄRMLANDS LÄN</t>
        </is>
      </c>
      <c r="E3178" t="inlineStr">
        <is>
          <t>KARLSTAD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35132-2022</t>
        </is>
      </c>
      <c r="B3179" s="1" t="n">
        <v>44797</v>
      </c>
      <c r="C3179" s="1" t="n">
        <v>45932</v>
      </c>
      <c r="D3179" t="inlineStr">
        <is>
          <t>VÄRMLANDS LÄN</t>
        </is>
      </c>
      <c r="E3179" t="inlineStr">
        <is>
          <t>TORSBY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58951-2022</t>
        </is>
      </c>
      <c r="B3180" s="1" t="n">
        <v>44903.65313657407</v>
      </c>
      <c r="C3180" s="1" t="n">
        <v>45932</v>
      </c>
      <c r="D3180" t="inlineStr">
        <is>
          <t>VÄRMLANDS LÄN</t>
        </is>
      </c>
      <c r="E3180" t="inlineStr">
        <is>
          <t>TORSBY</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35336-2024</t>
        </is>
      </c>
      <c r="B3181" s="1" t="n">
        <v>45530</v>
      </c>
      <c r="C3181" s="1" t="n">
        <v>45932</v>
      </c>
      <c r="D3181" t="inlineStr">
        <is>
          <t>VÄRMLANDS LÄN</t>
        </is>
      </c>
      <c r="E3181" t="inlineStr">
        <is>
          <t>FORSHAGA</t>
        </is>
      </c>
      <c r="F3181" t="inlineStr">
        <is>
          <t>Kommuner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7051-2023</t>
        </is>
      </c>
      <c r="B3182" s="1" t="n">
        <v>44969</v>
      </c>
      <c r="C3182" s="1" t="n">
        <v>45932</v>
      </c>
      <c r="D3182" t="inlineStr">
        <is>
          <t>VÄRMLANDS LÄN</t>
        </is>
      </c>
      <c r="E3182" t="inlineStr">
        <is>
          <t>SUNNE</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7052-2023</t>
        </is>
      </c>
      <c r="B3183" s="1" t="n">
        <v>44969</v>
      </c>
      <c r="C3183" s="1" t="n">
        <v>45932</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24567-2022</t>
        </is>
      </c>
      <c r="B3184" s="1" t="n">
        <v>44727.42390046296</v>
      </c>
      <c r="C3184" s="1" t="n">
        <v>45932</v>
      </c>
      <c r="D3184" t="inlineStr">
        <is>
          <t>VÄRMLANDS LÄN</t>
        </is>
      </c>
      <c r="E3184" t="inlineStr">
        <is>
          <t>MUNKFORS</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37603-2021</t>
        </is>
      </c>
      <c r="B3185" s="1" t="n">
        <v>44399</v>
      </c>
      <c r="C3185" s="1" t="n">
        <v>45932</v>
      </c>
      <c r="D3185" t="inlineStr">
        <is>
          <t>VÄRMLANDS LÄN</t>
        </is>
      </c>
      <c r="E3185" t="inlineStr">
        <is>
          <t>SUNNE</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46683-2022</t>
        </is>
      </c>
      <c r="B3186" s="1" t="n">
        <v>44851.35893518518</v>
      </c>
      <c r="C3186" s="1" t="n">
        <v>45932</v>
      </c>
      <c r="D3186" t="inlineStr">
        <is>
          <t>VÄRMLANDS LÄN</t>
        </is>
      </c>
      <c r="E3186" t="inlineStr">
        <is>
          <t>SUNNE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31793-2023</t>
        </is>
      </c>
      <c r="B3187" s="1" t="n">
        <v>45118.43685185185</v>
      </c>
      <c r="C3187" s="1" t="n">
        <v>45932</v>
      </c>
      <c r="D3187" t="inlineStr">
        <is>
          <t>VÄRMLANDS LÄN</t>
        </is>
      </c>
      <c r="E3187" t="inlineStr">
        <is>
          <t>ÅRJÄNG</t>
        </is>
      </c>
      <c r="G3187" t="n">
        <v>10.9</v>
      </c>
      <c r="H3187" t="n">
        <v>0</v>
      </c>
      <c r="I3187" t="n">
        <v>0</v>
      </c>
      <c r="J3187" t="n">
        <v>0</v>
      </c>
      <c r="K3187" t="n">
        <v>0</v>
      </c>
      <c r="L3187" t="n">
        <v>0</v>
      </c>
      <c r="M3187" t="n">
        <v>0</v>
      </c>
      <c r="N3187" t="n">
        <v>0</v>
      </c>
      <c r="O3187" t="n">
        <v>0</v>
      </c>
      <c r="P3187" t="n">
        <v>0</v>
      </c>
      <c r="Q3187" t="n">
        <v>0</v>
      </c>
      <c r="R3187" s="2" t="inlineStr"/>
    </row>
    <row r="3188" ht="15" customHeight="1">
      <c r="A3188" t="inlineStr">
        <is>
          <t>A 35370-2023</t>
        </is>
      </c>
      <c r="B3188" s="1" t="n">
        <v>45146</v>
      </c>
      <c r="C3188" s="1" t="n">
        <v>45932</v>
      </c>
      <c r="D3188" t="inlineStr">
        <is>
          <t>VÄRMLANDS LÄN</t>
        </is>
      </c>
      <c r="E3188" t="inlineStr">
        <is>
          <t>STORFORS</t>
        </is>
      </c>
      <c r="F3188" t="inlineStr">
        <is>
          <t>Kyrkan</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5361-2022</t>
        </is>
      </c>
      <c r="B3189" s="1" t="n">
        <v>44594</v>
      </c>
      <c r="C3189" s="1" t="n">
        <v>45932</v>
      </c>
      <c r="D3189" t="inlineStr">
        <is>
          <t>VÄRMLANDS LÄN</t>
        </is>
      </c>
      <c r="E3189" t="inlineStr">
        <is>
          <t>SUNNE</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15210-2025</t>
        </is>
      </c>
      <c r="B3190" s="1" t="n">
        <v>45744</v>
      </c>
      <c r="C3190" s="1" t="n">
        <v>45932</v>
      </c>
      <c r="D3190" t="inlineStr">
        <is>
          <t>VÄRMLANDS LÄN</t>
        </is>
      </c>
      <c r="E3190" t="inlineStr">
        <is>
          <t>ÅRJÄNG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11198-2025</t>
        </is>
      </c>
      <c r="B3191" s="1" t="n">
        <v>45725</v>
      </c>
      <c r="C3191" s="1" t="n">
        <v>45932</v>
      </c>
      <c r="D3191" t="inlineStr">
        <is>
          <t>VÄRMLANDS LÄN</t>
        </is>
      </c>
      <c r="E3191" t="inlineStr">
        <is>
          <t>ÅRJÄNG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64792-2020</t>
        </is>
      </c>
      <c r="B3192" s="1" t="n">
        <v>44169</v>
      </c>
      <c r="C3192" s="1" t="n">
        <v>45932</v>
      </c>
      <c r="D3192" t="inlineStr">
        <is>
          <t>VÄRMLANDS LÄN</t>
        </is>
      </c>
      <c r="E3192" t="inlineStr">
        <is>
          <t>EDA</t>
        </is>
      </c>
      <c r="G3192" t="n">
        <v>12.1</v>
      </c>
      <c r="H3192" t="n">
        <v>0</v>
      </c>
      <c r="I3192" t="n">
        <v>0</v>
      </c>
      <c r="J3192" t="n">
        <v>0</v>
      </c>
      <c r="K3192" t="n">
        <v>0</v>
      </c>
      <c r="L3192" t="n">
        <v>0</v>
      </c>
      <c r="M3192" t="n">
        <v>0</v>
      </c>
      <c r="N3192" t="n">
        <v>0</v>
      </c>
      <c r="O3192" t="n">
        <v>0</v>
      </c>
      <c r="P3192" t="n">
        <v>0</v>
      </c>
      <c r="Q3192" t="n">
        <v>0</v>
      </c>
      <c r="R3192" s="2" t="inlineStr"/>
    </row>
    <row r="3193" ht="15" customHeight="1">
      <c r="A3193" t="inlineStr">
        <is>
          <t>A 382-2023</t>
        </is>
      </c>
      <c r="B3193" s="1" t="n">
        <v>44922</v>
      </c>
      <c r="C3193" s="1" t="n">
        <v>45932</v>
      </c>
      <c r="D3193" t="inlineStr">
        <is>
          <t>VÄRMLANDS LÄN</t>
        </is>
      </c>
      <c r="E3193" t="inlineStr">
        <is>
          <t>ARVIKA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40360-2024</t>
        </is>
      </c>
      <c r="B3194" s="1" t="n">
        <v>45555</v>
      </c>
      <c r="C3194" s="1" t="n">
        <v>45932</v>
      </c>
      <c r="D3194" t="inlineStr">
        <is>
          <t>VÄRMLANDS LÄN</t>
        </is>
      </c>
      <c r="E3194" t="inlineStr">
        <is>
          <t>ÅRJÄNG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24648-2022</t>
        </is>
      </c>
      <c r="B3195" s="1" t="n">
        <v>44727.59932870371</v>
      </c>
      <c r="C3195" s="1" t="n">
        <v>45932</v>
      </c>
      <c r="D3195" t="inlineStr">
        <is>
          <t>VÄRMLANDS LÄN</t>
        </is>
      </c>
      <c r="E3195" t="inlineStr">
        <is>
          <t>KARLSTAD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56744-2024</t>
        </is>
      </c>
      <c r="B3196" s="1" t="n">
        <v>45628.37136574074</v>
      </c>
      <c r="C3196" s="1" t="n">
        <v>45932</v>
      </c>
      <c r="D3196" t="inlineStr">
        <is>
          <t>VÄRMLANDS LÄN</t>
        </is>
      </c>
      <c r="E3196" t="inlineStr">
        <is>
          <t>SUNNE</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11815-2025</t>
        </is>
      </c>
      <c r="B3197" s="1" t="n">
        <v>45728.28719907408</v>
      </c>
      <c r="C3197" s="1" t="n">
        <v>45932</v>
      </c>
      <c r="D3197" t="inlineStr">
        <is>
          <t>VÄRMLANDS LÄN</t>
        </is>
      </c>
      <c r="E3197" t="inlineStr">
        <is>
          <t>ÅRJÄNG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58530-2020</t>
        </is>
      </c>
      <c r="B3198" s="1" t="n">
        <v>44145</v>
      </c>
      <c r="C3198" s="1" t="n">
        <v>45932</v>
      </c>
      <c r="D3198" t="inlineStr">
        <is>
          <t>VÄRMLANDS LÄN</t>
        </is>
      </c>
      <c r="E3198" t="inlineStr">
        <is>
          <t>STORFORS</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34047-2024</t>
        </is>
      </c>
      <c r="B3199" s="1" t="n">
        <v>45523.60590277778</v>
      </c>
      <c r="C3199" s="1" t="n">
        <v>45932</v>
      </c>
      <c r="D3199" t="inlineStr">
        <is>
          <t>VÄRMLANDS LÄN</t>
        </is>
      </c>
      <c r="E3199" t="inlineStr">
        <is>
          <t>SUNNE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19739-2022</t>
        </is>
      </c>
      <c r="B3200" s="1" t="n">
        <v>44694</v>
      </c>
      <c r="C3200" s="1" t="n">
        <v>45932</v>
      </c>
      <c r="D3200" t="inlineStr">
        <is>
          <t>VÄRMLANDS LÄN</t>
        </is>
      </c>
      <c r="E3200" t="inlineStr">
        <is>
          <t>SUNNE</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32569-2023</t>
        </is>
      </c>
      <c r="B3201" s="1" t="n">
        <v>45121</v>
      </c>
      <c r="C3201" s="1" t="n">
        <v>45932</v>
      </c>
      <c r="D3201" t="inlineStr">
        <is>
          <t>VÄRMLANDS LÄN</t>
        </is>
      </c>
      <c r="E3201" t="inlineStr">
        <is>
          <t>KRISTINEHAMN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19764-2022</t>
        </is>
      </c>
      <c r="B3202" s="1" t="n">
        <v>44694.64902777778</v>
      </c>
      <c r="C3202" s="1" t="n">
        <v>45932</v>
      </c>
      <c r="D3202" t="inlineStr">
        <is>
          <t>VÄRMLANDS LÄN</t>
        </is>
      </c>
      <c r="E3202" t="inlineStr">
        <is>
          <t>ARVIKA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58532-2020</t>
        </is>
      </c>
      <c r="B3203" s="1" t="n">
        <v>44145</v>
      </c>
      <c r="C3203" s="1" t="n">
        <v>45932</v>
      </c>
      <c r="D3203" t="inlineStr">
        <is>
          <t>VÄRMLANDS LÄN</t>
        </is>
      </c>
      <c r="E3203" t="inlineStr">
        <is>
          <t>FILIPSTAD</t>
        </is>
      </c>
      <c r="F3203" t="inlineStr">
        <is>
          <t>Bergvik skog väst AB</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522-2023</t>
        </is>
      </c>
      <c r="B3204" s="1" t="n">
        <v>44930</v>
      </c>
      <c r="C3204" s="1" t="n">
        <v>45932</v>
      </c>
      <c r="D3204" t="inlineStr">
        <is>
          <t>VÄRMLANDS LÄN</t>
        </is>
      </c>
      <c r="E3204" t="inlineStr">
        <is>
          <t>TORSBY</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68153-2021</t>
        </is>
      </c>
      <c r="B3205" s="1" t="n">
        <v>44526.43881944445</v>
      </c>
      <c r="C3205" s="1" t="n">
        <v>45932</v>
      </c>
      <c r="D3205" t="inlineStr">
        <is>
          <t>VÄRMLANDS LÄN</t>
        </is>
      </c>
      <c r="E3205" t="inlineStr">
        <is>
          <t>TORSBY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15453-2024</t>
        </is>
      </c>
      <c r="B3206" s="1" t="n">
        <v>45401</v>
      </c>
      <c r="C3206" s="1" t="n">
        <v>45932</v>
      </c>
      <c r="D3206" t="inlineStr">
        <is>
          <t>VÄRMLANDS LÄN</t>
        </is>
      </c>
      <c r="E3206" t="inlineStr">
        <is>
          <t>SUNNE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15465-2024</t>
        </is>
      </c>
      <c r="B3207" s="1" t="n">
        <v>45401.47399305556</v>
      </c>
      <c r="C3207" s="1" t="n">
        <v>45932</v>
      </c>
      <c r="D3207" t="inlineStr">
        <is>
          <t>VÄRMLANDS LÄN</t>
        </is>
      </c>
      <c r="E3207" t="inlineStr">
        <is>
          <t>TORSBY</t>
        </is>
      </c>
      <c r="F3207" t="inlineStr">
        <is>
          <t>Bergvik skog väst AB</t>
        </is>
      </c>
      <c r="G3207" t="n">
        <v>24.6</v>
      </c>
      <c r="H3207" t="n">
        <v>0</v>
      </c>
      <c r="I3207" t="n">
        <v>0</v>
      </c>
      <c r="J3207" t="n">
        <v>0</v>
      </c>
      <c r="K3207" t="n">
        <v>0</v>
      </c>
      <c r="L3207" t="n">
        <v>0</v>
      </c>
      <c r="M3207" t="n">
        <v>0</v>
      </c>
      <c r="N3207" t="n">
        <v>0</v>
      </c>
      <c r="O3207" t="n">
        <v>0</v>
      </c>
      <c r="P3207" t="n">
        <v>0</v>
      </c>
      <c r="Q3207" t="n">
        <v>0</v>
      </c>
      <c r="R3207" s="2" t="inlineStr"/>
    </row>
    <row r="3208" ht="15" customHeight="1">
      <c r="A3208" t="inlineStr">
        <is>
          <t>A 24113-2024</t>
        </is>
      </c>
      <c r="B3208" s="1" t="n">
        <v>45456.61590277778</v>
      </c>
      <c r="C3208" s="1" t="n">
        <v>45932</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16540-2021</t>
        </is>
      </c>
      <c r="B3209" s="1" t="n">
        <v>44293.68983796296</v>
      </c>
      <c r="C3209" s="1" t="n">
        <v>45932</v>
      </c>
      <c r="D3209" t="inlineStr">
        <is>
          <t>VÄRMLANDS LÄN</t>
        </is>
      </c>
      <c r="E3209" t="inlineStr">
        <is>
          <t>ARVIKA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310-2025</t>
        </is>
      </c>
      <c r="B3210" s="1" t="n">
        <v>45660</v>
      </c>
      <c r="C3210" s="1" t="n">
        <v>45932</v>
      </c>
      <c r="D3210" t="inlineStr">
        <is>
          <t>VÄRMLANDS LÄN</t>
        </is>
      </c>
      <c r="E3210" t="inlineStr">
        <is>
          <t>ARVIKA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55036-2024</t>
        </is>
      </c>
      <c r="B3211" s="1" t="n">
        <v>45621.38342592592</v>
      </c>
      <c r="C3211" s="1" t="n">
        <v>45932</v>
      </c>
      <c r="D3211" t="inlineStr">
        <is>
          <t>VÄRMLANDS LÄN</t>
        </is>
      </c>
      <c r="E3211" t="inlineStr">
        <is>
          <t>TORSBY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35634-2022</t>
        </is>
      </c>
      <c r="B3212" s="1" t="n">
        <v>44799</v>
      </c>
      <c r="C3212" s="1" t="n">
        <v>45932</v>
      </c>
      <c r="D3212" t="inlineStr">
        <is>
          <t>VÄRMLANDS LÄN</t>
        </is>
      </c>
      <c r="E3212" t="inlineStr">
        <is>
          <t>EDA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34512-2023</t>
        </is>
      </c>
      <c r="B3213" s="1" t="n">
        <v>45133</v>
      </c>
      <c r="C3213" s="1" t="n">
        <v>45932</v>
      </c>
      <c r="D3213" t="inlineStr">
        <is>
          <t>VÄRMLANDS LÄN</t>
        </is>
      </c>
      <c r="E3213" t="inlineStr">
        <is>
          <t>FILIPSTAD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19031-2021</t>
        </is>
      </c>
      <c r="B3214" s="1" t="n">
        <v>44308.51076388889</v>
      </c>
      <c r="C3214" s="1" t="n">
        <v>45932</v>
      </c>
      <c r="D3214" t="inlineStr">
        <is>
          <t>VÄRMLANDS LÄN</t>
        </is>
      </c>
      <c r="E3214" t="inlineStr">
        <is>
          <t>TORSBY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22178-2025</t>
        </is>
      </c>
      <c r="B3215" s="1" t="n">
        <v>45785</v>
      </c>
      <c r="C3215" s="1" t="n">
        <v>45932</v>
      </c>
      <c r="D3215" t="inlineStr">
        <is>
          <t>VÄRMLANDS LÄN</t>
        </is>
      </c>
      <c r="E3215" t="inlineStr">
        <is>
          <t>TORSBY</t>
        </is>
      </c>
      <c r="G3215" t="n">
        <v>25.5</v>
      </c>
      <c r="H3215" t="n">
        <v>0</v>
      </c>
      <c r="I3215" t="n">
        <v>0</v>
      </c>
      <c r="J3215" t="n">
        <v>0</v>
      </c>
      <c r="K3215" t="n">
        <v>0</v>
      </c>
      <c r="L3215" t="n">
        <v>0</v>
      </c>
      <c r="M3215" t="n">
        <v>0</v>
      </c>
      <c r="N3215" t="n">
        <v>0</v>
      </c>
      <c r="O3215" t="n">
        <v>0</v>
      </c>
      <c r="P3215" t="n">
        <v>0</v>
      </c>
      <c r="Q3215" t="n">
        <v>0</v>
      </c>
      <c r="R3215" s="2" t="inlineStr"/>
    </row>
    <row r="3216" ht="15" customHeight="1">
      <c r="A3216" t="inlineStr">
        <is>
          <t>A 15992-2023</t>
        </is>
      </c>
      <c r="B3216" s="1" t="n">
        <v>45023.5066087963</v>
      </c>
      <c r="C3216" s="1" t="n">
        <v>45932</v>
      </c>
      <c r="D3216" t="inlineStr">
        <is>
          <t>VÄRMLANDS LÄN</t>
        </is>
      </c>
      <c r="E3216" t="inlineStr">
        <is>
          <t>TORSBY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16044-2023</t>
        </is>
      </c>
      <c r="B3217" s="1" t="n">
        <v>45027</v>
      </c>
      <c r="C3217" s="1" t="n">
        <v>45932</v>
      </c>
      <c r="D3217" t="inlineStr">
        <is>
          <t>VÄRMLANDS LÄN</t>
        </is>
      </c>
      <c r="E3217" t="inlineStr">
        <is>
          <t>TORSBY</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63518-2023</t>
        </is>
      </c>
      <c r="B3218" s="1" t="n">
        <v>45274</v>
      </c>
      <c r="C3218" s="1" t="n">
        <v>45932</v>
      </c>
      <c r="D3218" t="inlineStr">
        <is>
          <t>VÄRMLANDS LÄN</t>
        </is>
      </c>
      <c r="E3218" t="inlineStr">
        <is>
          <t>SUNNE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34526-2023</t>
        </is>
      </c>
      <c r="B3219" s="1" t="n">
        <v>45140.41518518519</v>
      </c>
      <c r="C3219" s="1" t="n">
        <v>45932</v>
      </c>
      <c r="D3219" t="inlineStr">
        <is>
          <t>VÄRMLANDS LÄN</t>
        </is>
      </c>
      <c r="E3219" t="inlineStr">
        <is>
          <t>ÅRJÄNG</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22926-2023</t>
        </is>
      </c>
      <c r="B3220" s="1" t="n">
        <v>45072</v>
      </c>
      <c r="C3220" s="1" t="n">
        <v>45932</v>
      </c>
      <c r="D3220" t="inlineStr">
        <is>
          <t>VÄRMLANDS LÄN</t>
        </is>
      </c>
      <c r="E3220" t="inlineStr">
        <is>
          <t>ARVIKA</t>
        </is>
      </c>
      <c r="F3220" t="inlineStr">
        <is>
          <t>Bergvik skog väst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34529-2023</t>
        </is>
      </c>
      <c r="B3221" s="1" t="n">
        <v>45140.4346412037</v>
      </c>
      <c r="C3221" s="1" t="n">
        <v>45932</v>
      </c>
      <c r="D3221" t="inlineStr">
        <is>
          <t>VÄRMLANDS LÄN</t>
        </is>
      </c>
      <c r="E3221" t="inlineStr">
        <is>
          <t>HAGFORS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8094-2025</t>
        </is>
      </c>
      <c r="B3222" s="1" t="n">
        <v>45707.68126157407</v>
      </c>
      <c r="C3222" s="1" t="n">
        <v>45932</v>
      </c>
      <c r="D3222" t="inlineStr">
        <is>
          <t>VÄRMLANDS LÄN</t>
        </is>
      </c>
      <c r="E3222" t="inlineStr">
        <is>
          <t>ÅRJÄNG</t>
        </is>
      </c>
      <c r="G3222" t="n">
        <v>12.6</v>
      </c>
      <c r="H3222" t="n">
        <v>0</v>
      </c>
      <c r="I3222" t="n">
        <v>0</v>
      </c>
      <c r="J3222" t="n">
        <v>0</v>
      </c>
      <c r="K3222" t="n">
        <v>0</v>
      </c>
      <c r="L3222" t="n">
        <v>0</v>
      </c>
      <c r="M3222" t="n">
        <v>0</v>
      </c>
      <c r="N3222" t="n">
        <v>0</v>
      </c>
      <c r="O3222" t="n">
        <v>0</v>
      </c>
      <c r="P3222" t="n">
        <v>0</v>
      </c>
      <c r="Q3222" t="n">
        <v>0</v>
      </c>
      <c r="R3222" s="2" t="inlineStr"/>
    </row>
    <row r="3223" ht="15" customHeight="1">
      <c r="A3223" t="inlineStr">
        <is>
          <t>A 22935-2023</t>
        </is>
      </c>
      <c r="B3223" s="1" t="n">
        <v>45072.60810185185</v>
      </c>
      <c r="C3223" s="1" t="n">
        <v>45932</v>
      </c>
      <c r="D3223" t="inlineStr">
        <is>
          <t>VÄRMLANDS LÄN</t>
        </is>
      </c>
      <c r="E3223" t="inlineStr">
        <is>
          <t>STORFORS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18059-2023</t>
        </is>
      </c>
      <c r="B3224" s="1" t="n">
        <v>45040</v>
      </c>
      <c r="C3224" s="1" t="n">
        <v>45932</v>
      </c>
      <c r="D3224" t="inlineStr">
        <is>
          <t>VÄRMLANDS LÄN</t>
        </is>
      </c>
      <c r="E3224" t="inlineStr">
        <is>
          <t>EDA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14304-2024</t>
        </is>
      </c>
      <c r="B3225" s="1" t="n">
        <v>45393.66023148148</v>
      </c>
      <c r="C3225" s="1" t="n">
        <v>45932</v>
      </c>
      <c r="D3225" t="inlineStr">
        <is>
          <t>VÄRMLANDS LÄN</t>
        </is>
      </c>
      <c r="E3225" t="inlineStr">
        <is>
          <t>STORFORS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21907-2025</t>
        </is>
      </c>
      <c r="B3226" s="1" t="n">
        <v>45784</v>
      </c>
      <c r="C3226" s="1" t="n">
        <v>45932</v>
      </c>
      <c r="D3226" t="inlineStr">
        <is>
          <t>VÄRMLANDS LÄN</t>
        </is>
      </c>
      <c r="E3226" t="inlineStr">
        <is>
          <t>ARVIKA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4269-2022</t>
        </is>
      </c>
      <c r="B3227" s="1" t="n">
        <v>44588</v>
      </c>
      <c r="C3227" s="1" t="n">
        <v>45932</v>
      </c>
      <c r="D3227" t="inlineStr">
        <is>
          <t>VÄRMLANDS LÄN</t>
        </is>
      </c>
      <c r="E3227" t="inlineStr">
        <is>
          <t>EDA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4277-2024</t>
        </is>
      </c>
      <c r="B3228" s="1" t="n">
        <v>45324</v>
      </c>
      <c r="C3228" s="1" t="n">
        <v>45932</v>
      </c>
      <c r="D3228" t="inlineStr">
        <is>
          <t>VÄRMLANDS LÄN</t>
        </is>
      </c>
      <c r="E3228" t="inlineStr">
        <is>
          <t>KRISTINEHAMN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17437-2025</t>
        </is>
      </c>
      <c r="B3229" s="1" t="n">
        <v>45757</v>
      </c>
      <c r="C3229" s="1" t="n">
        <v>45932</v>
      </c>
      <c r="D3229" t="inlineStr">
        <is>
          <t>VÄRMLANDS LÄN</t>
        </is>
      </c>
      <c r="E3229" t="inlineStr">
        <is>
          <t>GRUMS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17443-2025</t>
        </is>
      </c>
      <c r="B3230" s="1" t="n">
        <v>45757.43275462963</v>
      </c>
      <c r="C3230" s="1" t="n">
        <v>45932</v>
      </c>
      <c r="D3230" t="inlineStr">
        <is>
          <t>VÄRMLANDS LÄN</t>
        </is>
      </c>
      <c r="E3230" t="inlineStr">
        <is>
          <t>GRUMS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48052-2023</t>
        </is>
      </c>
      <c r="B3231" s="1" t="n">
        <v>45204</v>
      </c>
      <c r="C3231" s="1" t="n">
        <v>45932</v>
      </c>
      <c r="D3231" t="inlineStr">
        <is>
          <t>VÄRMLANDS LÄN</t>
        </is>
      </c>
      <c r="E3231" t="inlineStr">
        <is>
          <t>SUNNE</t>
        </is>
      </c>
      <c r="G3231" t="n">
        <v>11.9</v>
      </c>
      <c r="H3231" t="n">
        <v>0</v>
      </c>
      <c r="I3231" t="n">
        <v>0</v>
      </c>
      <c r="J3231" t="n">
        <v>0</v>
      </c>
      <c r="K3231" t="n">
        <v>0</v>
      </c>
      <c r="L3231" t="n">
        <v>0</v>
      </c>
      <c r="M3231" t="n">
        <v>0</v>
      </c>
      <c r="N3231" t="n">
        <v>0</v>
      </c>
      <c r="O3231" t="n">
        <v>0</v>
      </c>
      <c r="P3231" t="n">
        <v>0</v>
      </c>
      <c r="Q3231" t="n">
        <v>0</v>
      </c>
      <c r="R3231" s="2" t="inlineStr"/>
    </row>
    <row r="3232" ht="15" customHeight="1">
      <c r="A3232" t="inlineStr">
        <is>
          <t>A 48106-2023</t>
        </is>
      </c>
      <c r="B3232" s="1" t="n">
        <v>45205.3434837963</v>
      </c>
      <c r="C3232" s="1" t="n">
        <v>45932</v>
      </c>
      <c r="D3232" t="inlineStr">
        <is>
          <t>VÄRMLANDS LÄN</t>
        </is>
      </c>
      <c r="E3232" t="inlineStr">
        <is>
          <t>TORSBY</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46998-2024</t>
        </is>
      </c>
      <c r="B3233" s="1" t="n">
        <v>45586.37576388889</v>
      </c>
      <c r="C3233" s="1" t="n">
        <v>45932</v>
      </c>
      <c r="D3233" t="inlineStr">
        <is>
          <t>VÄRMLANDS LÄN</t>
        </is>
      </c>
      <c r="E3233" t="inlineStr">
        <is>
          <t>KIL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10276-2025</t>
        </is>
      </c>
      <c r="B3234" s="1" t="n">
        <v>45720</v>
      </c>
      <c r="C3234" s="1" t="n">
        <v>45932</v>
      </c>
      <c r="D3234" t="inlineStr">
        <is>
          <t>VÄRMLANDS LÄN</t>
        </is>
      </c>
      <c r="E3234" t="inlineStr">
        <is>
          <t>ARVIKA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10288-2025</t>
        </is>
      </c>
      <c r="B3235" s="1" t="n">
        <v>45720.41396990741</v>
      </c>
      <c r="C3235" s="1" t="n">
        <v>45932</v>
      </c>
      <c r="D3235" t="inlineStr">
        <is>
          <t>VÄRMLANDS LÄN</t>
        </is>
      </c>
      <c r="E3235" t="inlineStr">
        <is>
          <t>TORSBY</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73874-2021</t>
        </is>
      </c>
      <c r="B3236" s="1" t="n">
        <v>44553.39755787037</v>
      </c>
      <c r="C3236" s="1" t="n">
        <v>45932</v>
      </c>
      <c r="D3236" t="inlineStr">
        <is>
          <t>VÄRMLANDS LÄN</t>
        </is>
      </c>
      <c r="E3236" t="inlineStr">
        <is>
          <t>TORSBY</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22231-2025</t>
        </is>
      </c>
      <c r="B3237" s="1" t="n">
        <v>45785.66783564815</v>
      </c>
      <c r="C3237" s="1" t="n">
        <v>45932</v>
      </c>
      <c r="D3237" t="inlineStr">
        <is>
          <t>VÄRMLANDS LÄN</t>
        </is>
      </c>
      <c r="E3237" t="inlineStr">
        <is>
          <t>HAGFORS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30452-2023</t>
        </is>
      </c>
      <c r="B3238" s="1" t="n">
        <v>45111.57283564815</v>
      </c>
      <c r="C3238" s="1" t="n">
        <v>45932</v>
      </c>
      <c r="D3238" t="inlineStr">
        <is>
          <t>VÄRMLANDS LÄN</t>
        </is>
      </c>
      <c r="E3238" t="inlineStr">
        <is>
          <t>EDA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22269-2025</t>
        </is>
      </c>
      <c r="B3239" s="1" t="n">
        <v>45785</v>
      </c>
      <c r="C3239" s="1" t="n">
        <v>45932</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43868-2023</t>
        </is>
      </c>
      <c r="B3240" s="1" t="n">
        <v>45187</v>
      </c>
      <c r="C3240" s="1" t="n">
        <v>45932</v>
      </c>
      <c r="D3240" t="inlineStr">
        <is>
          <t>VÄRMLANDS LÄN</t>
        </is>
      </c>
      <c r="E3240" t="inlineStr">
        <is>
          <t>SUNNE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57220-2024</t>
        </is>
      </c>
      <c r="B3241" s="1" t="n">
        <v>45629</v>
      </c>
      <c r="C3241" s="1" t="n">
        <v>45932</v>
      </c>
      <c r="D3241" t="inlineStr">
        <is>
          <t>VÄRMLANDS LÄN</t>
        </is>
      </c>
      <c r="E3241" t="inlineStr">
        <is>
          <t>KIL</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19843-2025</t>
        </is>
      </c>
      <c r="B3242" s="1" t="n">
        <v>45771</v>
      </c>
      <c r="C3242" s="1" t="n">
        <v>45932</v>
      </c>
      <c r="D3242" t="inlineStr">
        <is>
          <t>VÄRMLANDS LÄN</t>
        </is>
      </c>
      <c r="E3242" t="inlineStr">
        <is>
          <t>ÅRJÄNG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9525-2024</t>
        </is>
      </c>
      <c r="B3243" s="1" t="n">
        <v>45359.65731481482</v>
      </c>
      <c r="C3243" s="1" t="n">
        <v>45932</v>
      </c>
      <c r="D3243" t="inlineStr">
        <is>
          <t>VÄRMLANDS LÄN</t>
        </is>
      </c>
      <c r="E3243" t="inlineStr">
        <is>
          <t>ARVIKA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4304-2022</t>
        </is>
      </c>
      <c r="B3244" s="1" t="n">
        <v>44588.77704861111</v>
      </c>
      <c r="C3244" s="1" t="n">
        <v>45932</v>
      </c>
      <c r="D3244" t="inlineStr">
        <is>
          <t>VÄRMLANDS LÄN</t>
        </is>
      </c>
      <c r="E3244" t="inlineStr">
        <is>
          <t>KRISTINEHAMN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53912-2024</t>
        </is>
      </c>
      <c r="B3245" s="1" t="n">
        <v>45615.72717592592</v>
      </c>
      <c r="C3245" s="1" t="n">
        <v>45932</v>
      </c>
      <c r="D3245" t="inlineStr">
        <is>
          <t>VÄRMLANDS LÄN</t>
        </is>
      </c>
      <c r="E3245" t="inlineStr">
        <is>
          <t>STORFORS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39780-2022</t>
        </is>
      </c>
      <c r="B3246" s="1" t="n">
        <v>44819.46672453704</v>
      </c>
      <c r="C3246" s="1" t="n">
        <v>45932</v>
      </c>
      <c r="D3246" t="inlineStr">
        <is>
          <t>VÄRMLANDS LÄN</t>
        </is>
      </c>
      <c r="E3246" t="inlineStr">
        <is>
          <t>TORSBY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40485-2022</t>
        </is>
      </c>
      <c r="B3247" s="1" t="n">
        <v>44823.57565972222</v>
      </c>
      <c r="C3247" s="1" t="n">
        <v>45932</v>
      </c>
      <c r="D3247" t="inlineStr">
        <is>
          <t>VÄRMLANDS LÄN</t>
        </is>
      </c>
      <c r="E3247" t="inlineStr">
        <is>
          <t>SUNNE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63203-2021</t>
        </is>
      </c>
      <c r="B3248" s="1" t="n">
        <v>44507.78568287037</v>
      </c>
      <c r="C3248" s="1" t="n">
        <v>45932</v>
      </c>
      <c r="D3248" t="inlineStr">
        <is>
          <t>VÄRMLANDS LÄN</t>
        </is>
      </c>
      <c r="E3248" t="inlineStr">
        <is>
          <t>ÅRJÄNG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3752-2025</t>
        </is>
      </c>
      <c r="B3249" s="1" t="n">
        <v>45681</v>
      </c>
      <c r="C3249" s="1" t="n">
        <v>45932</v>
      </c>
      <c r="D3249" t="inlineStr">
        <is>
          <t>VÄRMLANDS LÄN</t>
        </is>
      </c>
      <c r="E3249" t="inlineStr">
        <is>
          <t>SÄFFLE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40490-2022</t>
        </is>
      </c>
      <c r="B3250" s="1" t="n">
        <v>44823.58560185185</v>
      </c>
      <c r="C3250" s="1" t="n">
        <v>45932</v>
      </c>
      <c r="D3250" t="inlineStr">
        <is>
          <t>VÄRMLANDS LÄN</t>
        </is>
      </c>
      <c r="E3250" t="inlineStr">
        <is>
          <t>ÅRJÄNG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64664-2021</t>
        </is>
      </c>
      <c r="B3251" s="1" t="n">
        <v>44512</v>
      </c>
      <c r="C3251" s="1" t="n">
        <v>45932</v>
      </c>
      <c r="D3251" t="inlineStr">
        <is>
          <t>VÄRMLANDS LÄN</t>
        </is>
      </c>
      <c r="E3251" t="inlineStr">
        <is>
          <t>ARVIKA</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38469-2024</t>
        </is>
      </c>
      <c r="B3252" s="1" t="n">
        <v>45546</v>
      </c>
      <c r="C3252" s="1" t="n">
        <v>45932</v>
      </c>
      <c r="D3252" t="inlineStr">
        <is>
          <t>VÄRMLANDS LÄN</t>
        </is>
      </c>
      <c r="E3252" t="inlineStr">
        <is>
          <t>KARLSTAD</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3681-2024</t>
        </is>
      </c>
      <c r="B3253" s="1" t="n">
        <v>45321</v>
      </c>
      <c r="C3253" s="1" t="n">
        <v>45932</v>
      </c>
      <c r="D3253" t="inlineStr">
        <is>
          <t>VÄRMLANDS LÄN</t>
        </is>
      </c>
      <c r="E3253" t="inlineStr">
        <is>
          <t>HAGFORS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14367-2025</t>
        </is>
      </c>
      <c r="B3254" s="1" t="n">
        <v>45741.38988425926</v>
      </c>
      <c r="C3254" s="1" t="n">
        <v>45932</v>
      </c>
      <c r="D3254" t="inlineStr">
        <is>
          <t>VÄRMLANDS LÄN</t>
        </is>
      </c>
      <c r="E3254" t="inlineStr">
        <is>
          <t>TORSBY</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22076-2025</t>
        </is>
      </c>
      <c r="B3255" s="1" t="n">
        <v>45785.41473379629</v>
      </c>
      <c r="C3255" s="1" t="n">
        <v>45932</v>
      </c>
      <c r="D3255" t="inlineStr">
        <is>
          <t>VÄRMLANDS LÄN</t>
        </is>
      </c>
      <c r="E3255" t="inlineStr">
        <is>
          <t>TORSBY</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5881-2021</t>
        </is>
      </c>
      <c r="B3256" s="1" t="n">
        <v>44231</v>
      </c>
      <c r="C3256" s="1" t="n">
        <v>45932</v>
      </c>
      <c r="D3256" t="inlineStr">
        <is>
          <t>VÄRMLANDS LÄN</t>
        </is>
      </c>
      <c r="E3256" t="inlineStr">
        <is>
          <t>ARVIKA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14419-2025</t>
        </is>
      </c>
      <c r="B3257" s="1" t="n">
        <v>45741</v>
      </c>
      <c r="C3257" s="1" t="n">
        <v>45932</v>
      </c>
      <c r="D3257" t="inlineStr">
        <is>
          <t>VÄRMLANDS LÄN</t>
        </is>
      </c>
      <c r="E3257" t="inlineStr">
        <is>
          <t>TORSBY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14464-2025</t>
        </is>
      </c>
      <c r="B3258" s="1" t="n">
        <v>45741.57142361111</v>
      </c>
      <c r="C3258" s="1" t="n">
        <v>45932</v>
      </c>
      <c r="D3258" t="inlineStr">
        <is>
          <t>VÄRMLANDS LÄN</t>
        </is>
      </c>
      <c r="E3258" t="inlineStr">
        <is>
          <t>HAGFORS</t>
        </is>
      </c>
      <c r="F3258" t="inlineStr">
        <is>
          <t>Bergvik skog väst AB</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36050-2023</t>
        </is>
      </c>
      <c r="B3259" s="1" t="n">
        <v>45149</v>
      </c>
      <c r="C3259" s="1" t="n">
        <v>45932</v>
      </c>
      <c r="D3259" t="inlineStr">
        <is>
          <t>VÄRMLANDS LÄN</t>
        </is>
      </c>
      <c r="E3259" t="inlineStr">
        <is>
          <t>TORSBY</t>
        </is>
      </c>
      <c r="F3259" t="inlineStr">
        <is>
          <t>Kommuner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2437-2025</t>
        </is>
      </c>
      <c r="B3260" s="1" t="n">
        <v>45674</v>
      </c>
      <c r="C3260" s="1" t="n">
        <v>45932</v>
      </c>
      <c r="D3260" t="inlineStr">
        <is>
          <t>VÄRMLANDS LÄN</t>
        </is>
      </c>
      <c r="E3260" t="inlineStr">
        <is>
          <t>FILIPSTAD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22125-2025</t>
        </is>
      </c>
      <c r="B3261" s="1" t="n">
        <v>45785.52416666667</v>
      </c>
      <c r="C3261" s="1" t="n">
        <v>45932</v>
      </c>
      <c r="D3261" t="inlineStr">
        <is>
          <t>VÄRMLANDS LÄN</t>
        </is>
      </c>
      <c r="E3261" t="inlineStr">
        <is>
          <t>SUNNE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39096-2023</t>
        </is>
      </c>
      <c r="B3262" s="1" t="n">
        <v>45164.55570601852</v>
      </c>
      <c r="C3262" s="1" t="n">
        <v>45932</v>
      </c>
      <c r="D3262" t="inlineStr">
        <is>
          <t>VÄRMLANDS LÄN</t>
        </is>
      </c>
      <c r="E3262" t="inlineStr">
        <is>
          <t>ÅRJÄNG</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40332-2023</t>
        </is>
      </c>
      <c r="B3263" s="1" t="n">
        <v>45169</v>
      </c>
      <c r="C3263" s="1" t="n">
        <v>45932</v>
      </c>
      <c r="D3263" t="inlineStr">
        <is>
          <t>VÄRMLANDS LÄN</t>
        </is>
      </c>
      <c r="E3263" t="inlineStr">
        <is>
          <t>HAGFORS</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61819-2024</t>
        </is>
      </c>
      <c r="B3264" s="1" t="n">
        <v>45646</v>
      </c>
      <c r="C3264" s="1" t="n">
        <v>45932</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37381-2021</t>
        </is>
      </c>
      <c r="B3265" s="1" t="n">
        <v>44398</v>
      </c>
      <c r="C3265" s="1" t="n">
        <v>45932</v>
      </c>
      <c r="D3265" t="inlineStr">
        <is>
          <t>VÄRMLANDS LÄN</t>
        </is>
      </c>
      <c r="E3265" t="inlineStr">
        <is>
          <t>SUNNE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44085-2024</t>
        </is>
      </c>
      <c r="B3266" s="1" t="n">
        <v>45572</v>
      </c>
      <c r="C3266" s="1" t="n">
        <v>45932</v>
      </c>
      <c r="D3266" t="inlineStr">
        <is>
          <t>VÄRMLANDS LÄN</t>
        </is>
      </c>
      <c r="E3266" t="inlineStr">
        <is>
          <t>KARLSTAD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58869-2022</t>
        </is>
      </c>
      <c r="B3267" s="1" t="n">
        <v>44903</v>
      </c>
      <c r="C3267" s="1" t="n">
        <v>45932</v>
      </c>
      <c r="D3267" t="inlineStr">
        <is>
          <t>VÄRMLANDS LÄN</t>
        </is>
      </c>
      <c r="E3267" t="inlineStr">
        <is>
          <t>TORSBY</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31166-2022</t>
        </is>
      </c>
      <c r="B3268" s="1" t="n">
        <v>44770.51526620371</v>
      </c>
      <c r="C3268" s="1" t="n">
        <v>45932</v>
      </c>
      <c r="D3268" t="inlineStr">
        <is>
          <t>VÄRMLANDS LÄN</t>
        </is>
      </c>
      <c r="E3268" t="inlineStr">
        <is>
          <t>HAGFORS</t>
        </is>
      </c>
      <c r="F3268" t="inlineStr">
        <is>
          <t>Bergvik skog väst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41915-2021</t>
        </is>
      </c>
      <c r="B3269" s="1" t="n">
        <v>44426</v>
      </c>
      <c r="C3269" s="1" t="n">
        <v>45932</v>
      </c>
      <c r="D3269" t="inlineStr">
        <is>
          <t>VÄRMLANDS LÄN</t>
        </is>
      </c>
      <c r="E3269" t="inlineStr">
        <is>
          <t>SUNNE</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42053-2021</t>
        </is>
      </c>
      <c r="B3270" s="1" t="n">
        <v>44426</v>
      </c>
      <c r="C3270" s="1" t="n">
        <v>45932</v>
      </c>
      <c r="D3270" t="inlineStr">
        <is>
          <t>VÄRMLANDS LÄN</t>
        </is>
      </c>
      <c r="E3270" t="inlineStr">
        <is>
          <t>KARLSTAD</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49609-2021</t>
        </is>
      </c>
      <c r="B3271" s="1" t="n">
        <v>44455.42010416667</v>
      </c>
      <c r="C3271" s="1" t="n">
        <v>45932</v>
      </c>
      <c r="D3271" t="inlineStr">
        <is>
          <t>VÄRMLANDS LÄN</t>
        </is>
      </c>
      <c r="E3271" t="inlineStr">
        <is>
          <t>EDA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29588-2022</t>
        </is>
      </c>
      <c r="B3272" s="1" t="n">
        <v>44754</v>
      </c>
      <c r="C3272" s="1" t="n">
        <v>45932</v>
      </c>
      <c r="D3272" t="inlineStr">
        <is>
          <t>VÄRMLANDS LÄN</t>
        </is>
      </c>
      <c r="E3272" t="inlineStr">
        <is>
          <t>SUNNE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11187-2024</t>
        </is>
      </c>
      <c r="B3273" s="1" t="n">
        <v>45371</v>
      </c>
      <c r="C3273" s="1" t="n">
        <v>45932</v>
      </c>
      <c r="D3273" t="inlineStr">
        <is>
          <t>VÄRMLANDS LÄN</t>
        </is>
      </c>
      <c r="E3273" t="inlineStr">
        <is>
          <t>TORSBY</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37854-2023</t>
        </is>
      </c>
      <c r="B3274" s="1" t="n">
        <v>45158</v>
      </c>
      <c r="C3274" s="1" t="n">
        <v>45932</v>
      </c>
      <c r="D3274" t="inlineStr">
        <is>
          <t>VÄRMLANDS LÄN</t>
        </is>
      </c>
      <c r="E3274" t="inlineStr">
        <is>
          <t>ARVIKA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56727-2024</t>
        </is>
      </c>
      <c r="B3275" s="1" t="n">
        <v>45628.35303240741</v>
      </c>
      <c r="C3275" s="1" t="n">
        <v>45932</v>
      </c>
      <c r="D3275" t="inlineStr">
        <is>
          <t>VÄRMLANDS LÄN</t>
        </is>
      </c>
      <c r="E3275" t="inlineStr">
        <is>
          <t>SUNNE</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11709-2025</t>
        </is>
      </c>
      <c r="B3276" s="1" t="n">
        <v>45727.58711805556</v>
      </c>
      <c r="C3276" s="1" t="n">
        <v>45932</v>
      </c>
      <c r="D3276" t="inlineStr">
        <is>
          <t>VÄRMLANDS LÄN</t>
        </is>
      </c>
      <c r="E3276" t="inlineStr">
        <is>
          <t>SUNNE</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12406-2025</t>
        </is>
      </c>
      <c r="B3277" s="1" t="n">
        <v>45730.428125</v>
      </c>
      <c r="C3277" s="1" t="n">
        <v>45932</v>
      </c>
      <c r="D3277" t="inlineStr">
        <is>
          <t>VÄRMLANDS LÄN</t>
        </is>
      </c>
      <c r="E3277" t="inlineStr">
        <is>
          <t>EDA</t>
        </is>
      </c>
      <c r="G3277" t="n">
        <v>12.7</v>
      </c>
      <c r="H3277" t="n">
        <v>0</v>
      </c>
      <c r="I3277" t="n">
        <v>0</v>
      </c>
      <c r="J3277" t="n">
        <v>0</v>
      </c>
      <c r="K3277" t="n">
        <v>0</v>
      </c>
      <c r="L3277" t="n">
        <v>0</v>
      </c>
      <c r="M3277" t="n">
        <v>0</v>
      </c>
      <c r="N3277" t="n">
        <v>0</v>
      </c>
      <c r="O3277" t="n">
        <v>0</v>
      </c>
      <c r="P3277" t="n">
        <v>0</v>
      </c>
      <c r="Q3277" t="n">
        <v>0</v>
      </c>
      <c r="R3277" s="2" t="inlineStr"/>
    </row>
    <row r="3278" ht="15" customHeight="1">
      <c r="A3278" t="inlineStr">
        <is>
          <t>A 13533-2025</t>
        </is>
      </c>
      <c r="B3278" s="1" t="n">
        <v>45736</v>
      </c>
      <c r="C3278" s="1" t="n">
        <v>45932</v>
      </c>
      <c r="D3278" t="inlineStr">
        <is>
          <t>VÄRMLANDS LÄN</t>
        </is>
      </c>
      <c r="E3278" t="inlineStr">
        <is>
          <t>SÄFFLE</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3409-2025</t>
        </is>
      </c>
      <c r="B3279" s="1" t="n">
        <v>45680.39391203703</v>
      </c>
      <c r="C3279" s="1" t="n">
        <v>45932</v>
      </c>
      <c r="D3279" t="inlineStr">
        <is>
          <t>VÄRMLANDS LÄN</t>
        </is>
      </c>
      <c r="E3279" t="inlineStr">
        <is>
          <t>TORSBY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6918-2025</t>
        </is>
      </c>
      <c r="B3280" s="1" t="n">
        <v>45701.4422337963</v>
      </c>
      <c r="C3280" s="1" t="n">
        <v>45932</v>
      </c>
      <c r="D3280" t="inlineStr">
        <is>
          <t>VÄRMLANDS LÄN</t>
        </is>
      </c>
      <c r="E3280" t="inlineStr">
        <is>
          <t>FORSHAGA</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6927-2025</t>
        </is>
      </c>
      <c r="B3281" s="1" t="n">
        <v>45701.45054398148</v>
      </c>
      <c r="C3281" s="1" t="n">
        <v>45932</v>
      </c>
      <c r="D3281" t="inlineStr">
        <is>
          <t>VÄRMLANDS LÄN</t>
        </is>
      </c>
      <c r="E3281" t="inlineStr">
        <is>
          <t>KRISTINEHAMN</t>
        </is>
      </c>
      <c r="F3281" t="inlineStr">
        <is>
          <t>Naturvårdsverket</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21849-2025</t>
        </is>
      </c>
      <c r="B3282" s="1" t="n">
        <v>45784.34284722222</v>
      </c>
      <c r="C3282" s="1" t="n">
        <v>45932</v>
      </c>
      <c r="D3282" t="inlineStr">
        <is>
          <t>VÄRMLANDS LÄN</t>
        </is>
      </c>
      <c r="E3282" t="inlineStr">
        <is>
          <t>KARLSTAD</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46441-2023</t>
        </is>
      </c>
      <c r="B3283" s="1" t="n">
        <v>45197</v>
      </c>
      <c r="C3283" s="1" t="n">
        <v>45932</v>
      </c>
      <c r="D3283" t="inlineStr">
        <is>
          <t>VÄRMLANDS LÄN</t>
        </is>
      </c>
      <c r="E3283" t="inlineStr">
        <is>
          <t>ÅRJÄNG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21858-2025</t>
        </is>
      </c>
      <c r="B3284" s="1" t="n">
        <v>45784.36265046296</v>
      </c>
      <c r="C3284" s="1" t="n">
        <v>45932</v>
      </c>
      <c r="D3284" t="inlineStr">
        <is>
          <t>VÄRMLANDS LÄN</t>
        </is>
      </c>
      <c r="E3284" t="inlineStr">
        <is>
          <t>TORSBY</t>
        </is>
      </c>
      <c r="F3284" t="inlineStr">
        <is>
          <t>Bergvik skog väst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21838-2025</t>
        </is>
      </c>
      <c r="B3285" s="1" t="n">
        <v>45784.3278587963</v>
      </c>
      <c r="C3285" s="1" t="n">
        <v>45932</v>
      </c>
      <c r="D3285" t="inlineStr">
        <is>
          <t>VÄRMLANDS LÄN</t>
        </is>
      </c>
      <c r="E3285" t="inlineStr">
        <is>
          <t>KARLSTAD</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22037-2025</t>
        </is>
      </c>
      <c r="B3286" s="1" t="n">
        <v>45785.32155092592</v>
      </c>
      <c r="C3286" s="1" t="n">
        <v>45932</v>
      </c>
      <c r="D3286" t="inlineStr">
        <is>
          <t>VÄRMLANDS LÄN</t>
        </is>
      </c>
      <c r="E3286" t="inlineStr">
        <is>
          <t>ARVIKA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65844-2021</t>
        </is>
      </c>
      <c r="B3287" s="1" t="n">
        <v>44517.36067129629</v>
      </c>
      <c r="C3287" s="1" t="n">
        <v>45932</v>
      </c>
      <c r="D3287" t="inlineStr">
        <is>
          <t>VÄRMLANDS LÄN</t>
        </is>
      </c>
      <c r="E3287" t="inlineStr">
        <is>
          <t>ÅRJÄNG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47648-2023</t>
        </is>
      </c>
      <c r="B3288" s="1" t="n">
        <v>45198</v>
      </c>
      <c r="C3288" s="1" t="n">
        <v>45932</v>
      </c>
      <c r="D3288" t="inlineStr">
        <is>
          <t>VÄRMLANDS LÄN</t>
        </is>
      </c>
      <c r="E3288" t="inlineStr">
        <is>
          <t>KRISTINEHAMN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10602-2025</t>
        </is>
      </c>
      <c r="B3289" s="1" t="n">
        <v>45721</v>
      </c>
      <c r="C3289" s="1" t="n">
        <v>45932</v>
      </c>
      <c r="D3289" t="inlineStr">
        <is>
          <t>VÄRMLANDS LÄN</t>
        </is>
      </c>
      <c r="E3289" t="inlineStr">
        <is>
          <t>EDA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10615-2025</t>
        </is>
      </c>
      <c r="B3290" s="1" t="n">
        <v>45721.61363425926</v>
      </c>
      <c r="C3290" s="1" t="n">
        <v>45932</v>
      </c>
      <c r="D3290" t="inlineStr">
        <is>
          <t>VÄRMLANDS LÄN</t>
        </is>
      </c>
      <c r="E3290" t="inlineStr">
        <is>
          <t>SUNNE</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67457-2021</t>
        </is>
      </c>
      <c r="B3291" s="1" t="n">
        <v>44524</v>
      </c>
      <c r="C3291" s="1" t="n">
        <v>45932</v>
      </c>
      <c r="D3291" t="inlineStr">
        <is>
          <t>VÄRMLANDS LÄN</t>
        </is>
      </c>
      <c r="E3291" t="inlineStr">
        <is>
          <t>TORSBY</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21308-2024</t>
        </is>
      </c>
      <c r="B3292" s="1" t="n">
        <v>45440</v>
      </c>
      <c r="C3292" s="1" t="n">
        <v>45932</v>
      </c>
      <c r="D3292" t="inlineStr">
        <is>
          <t>VÄRMLANDS LÄN</t>
        </is>
      </c>
      <c r="E3292" t="inlineStr">
        <is>
          <t>TORSBY</t>
        </is>
      </c>
      <c r="G3292" t="n">
        <v>18.9</v>
      </c>
      <c r="H3292" t="n">
        <v>0</v>
      </c>
      <c r="I3292" t="n">
        <v>0</v>
      </c>
      <c r="J3292" t="n">
        <v>0</v>
      </c>
      <c r="K3292" t="n">
        <v>0</v>
      </c>
      <c r="L3292" t="n">
        <v>0</v>
      </c>
      <c r="M3292" t="n">
        <v>0</v>
      </c>
      <c r="N3292" t="n">
        <v>0</v>
      </c>
      <c r="O3292" t="n">
        <v>0</v>
      </c>
      <c r="P3292" t="n">
        <v>0</v>
      </c>
      <c r="Q3292" t="n">
        <v>0</v>
      </c>
      <c r="R3292" s="2" t="inlineStr"/>
    </row>
    <row r="3293" ht="15" customHeight="1">
      <c r="A3293" t="inlineStr">
        <is>
          <t>A 1446-2023</t>
        </is>
      </c>
      <c r="B3293" s="1" t="n">
        <v>44937.38175925926</v>
      </c>
      <c r="C3293" s="1" t="n">
        <v>45932</v>
      </c>
      <c r="D3293" t="inlineStr">
        <is>
          <t>VÄRMLANDS LÄN</t>
        </is>
      </c>
      <c r="E3293" t="inlineStr">
        <is>
          <t>KARLSTAD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21311-2024</t>
        </is>
      </c>
      <c r="B3294" s="1" t="n">
        <v>45440</v>
      </c>
      <c r="C3294" s="1" t="n">
        <v>45932</v>
      </c>
      <c r="D3294" t="inlineStr">
        <is>
          <t>VÄRMLANDS LÄN</t>
        </is>
      </c>
      <c r="E3294" t="inlineStr">
        <is>
          <t>GRUMS</t>
        </is>
      </c>
      <c r="F3294" t="inlineStr">
        <is>
          <t>Bergvik skog väst AB</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24054-2024</t>
        </is>
      </c>
      <c r="B3295" s="1" t="n">
        <v>45456.50659722222</v>
      </c>
      <c r="C3295" s="1" t="n">
        <v>45932</v>
      </c>
      <c r="D3295" t="inlineStr">
        <is>
          <t>VÄRMLANDS LÄN</t>
        </is>
      </c>
      <c r="E3295" t="inlineStr">
        <is>
          <t>FILIPSTAD</t>
        </is>
      </c>
      <c r="F3295" t="inlineStr">
        <is>
          <t>Bergvik skog väst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34032-2021</t>
        </is>
      </c>
      <c r="B3296" s="1" t="n">
        <v>44378</v>
      </c>
      <c r="C3296" s="1" t="n">
        <v>45932</v>
      </c>
      <c r="D3296" t="inlineStr">
        <is>
          <t>VÄRMLANDS LÄN</t>
        </is>
      </c>
      <c r="E3296" t="inlineStr">
        <is>
          <t>ÅRJÄNG</t>
        </is>
      </c>
      <c r="F3296" t="inlineStr">
        <is>
          <t>Övriga Aktiebolag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9067-2023</t>
        </is>
      </c>
      <c r="B3297" s="1" t="n">
        <v>44979</v>
      </c>
      <c r="C3297" s="1" t="n">
        <v>45932</v>
      </c>
      <c r="D3297" t="inlineStr">
        <is>
          <t>VÄRMLANDS LÄN</t>
        </is>
      </c>
      <c r="E3297" t="inlineStr">
        <is>
          <t>TORSBY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19887-2024</t>
        </is>
      </c>
      <c r="B3298" s="1" t="n">
        <v>45433</v>
      </c>
      <c r="C3298" s="1" t="n">
        <v>45932</v>
      </c>
      <c r="D3298" t="inlineStr">
        <is>
          <t>VÄRMLANDS LÄN</t>
        </is>
      </c>
      <c r="E3298" t="inlineStr">
        <is>
          <t>TORSBY</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29897-2024</t>
        </is>
      </c>
      <c r="B3299" s="1" t="n">
        <v>45487.51834490741</v>
      </c>
      <c r="C3299" s="1" t="n">
        <v>45932</v>
      </c>
      <c r="D3299" t="inlineStr">
        <is>
          <t>VÄRMLANDS LÄN</t>
        </is>
      </c>
      <c r="E3299" t="inlineStr">
        <is>
          <t>TORSBY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21977-2025</t>
        </is>
      </c>
      <c r="B3300" s="1" t="n">
        <v>45784</v>
      </c>
      <c r="C3300" s="1" t="n">
        <v>45932</v>
      </c>
      <c r="D3300" t="inlineStr">
        <is>
          <t>VÄRMLANDS LÄN</t>
        </is>
      </c>
      <c r="E3300" t="inlineStr">
        <is>
          <t>SÄFFLE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22133-2025</t>
        </is>
      </c>
      <c r="B3301" s="1" t="n">
        <v>45785</v>
      </c>
      <c r="C3301" s="1" t="n">
        <v>45932</v>
      </c>
      <c r="D3301" t="inlineStr">
        <is>
          <t>VÄRMLANDS LÄN</t>
        </is>
      </c>
      <c r="E3301" t="inlineStr">
        <is>
          <t>GRUMS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54757-2022</t>
        </is>
      </c>
      <c r="B3302" s="1" t="n">
        <v>44883.60331018519</v>
      </c>
      <c r="C3302" s="1" t="n">
        <v>45932</v>
      </c>
      <c r="D3302" t="inlineStr">
        <is>
          <t>VÄRMLANDS LÄN</t>
        </is>
      </c>
      <c r="E3302" t="inlineStr">
        <is>
          <t>HAGFORS</t>
        </is>
      </c>
      <c r="F3302" t="inlineStr">
        <is>
          <t>Bergvik skog väst AB</t>
        </is>
      </c>
      <c r="G3302" t="n">
        <v>17.9</v>
      </c>
      <c r="H3302" t="n">
        <v>0</v>
      </c>
      <c r="I3302" t="n">
        <v>0</v>
      </c>
      <c r="J3302" t="n">
        <v>0</v>
      </c>
      <c r="K3302" t="n">
        <v>0</v>
      </c>
      <c r="L3302" t="n">
        <v>0</v>
      </c>
      <c r="M3302" t="n">
        <v>0</v>
      </c>
      <c r="N3302" t="n">
        <v>0</v>
      </c>
      <c r="O3302" t="n">
        <v>0</v>
      </c>
      <c r="P3302" t="n">
        <v>0</v>
      </c>
      <c r="Q3302" t="n">
        <v>0</v>
      </c>
      <c r="R3302" s="2" t="inlineStr"/>
    </row>
    <row r="3303" ht="15" customHeight="1">
      <c r="A3303" t="inlineStr">
        <is>
          <t>A 19952-2024</t>
        </is>
      </c>
      <c r="B3303" s="1" t="n">
        <v>45433.62677083333</v>
      </c>
      <c r="C3303" s="1" t="n">
        <v>45932</v>
      </c>
      <c r="D3303" t="inlineStr">
        <is>
          <t>VÄRMLANDS LÄN</t>
        </is>
      </c>
      <c r="E3303" t="inlineStr">
        <is>
          <t>SÄFFLE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21956-2025</t>
        </is>
      </c>
      <c r="B3304" s="1" t="n">
        <v>45784.60358796296</v>
      </c>
      <c r="C3304" s="1" t="n">
        <v>45932</v>
      </c>
      <c r="D3304" t="inlineStr">
        <is>
          <t>VÄRMLANDS LÄN</t>
        </is>
      </c>
      <c r="E3304" t="inlineStr">
        <is>
          <t>HAGFORS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19058-2025</t>
        </is>
      </c>
      <c r="B3305" s="1" t="n">
        <v>45764.86341435185</v>
      </c>
      <c r="C3305" s="1" t="n">
        <v>45932</v>
      </c>
      <c r="D3305" t="inlineStr">
        <is>
          <t>VÄRMLANDS LÄN</t>
        </is>
      </c>
      <c r="E3305" t="inlineStr">
        <is>
          <t>EDA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3076-2025</t>
        </is>
      </c>
      <c r="B3306" s="1" t="n">
        <v>45678</v>
      </c>
      <c r="C3306" s="1" t="n">
        <v>45932</v>
      </c>
      <c r="D3306" t="inlineStr">
        <is>
          <t>VÄRMLANDS LÄN</t>
        </is>
      </c>
      <c r="E3306" t="inlineStr">
        <is>
          <t>ARVIKA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53958-2024</t>
        </is>
      </c>
      <c r="B3307" s="1" t="n">
        <v>45616</v>
      </c>
      <c r="C3307" s="1" t="n">
        <v>45932</v>
      </c>
      <c r="D3307" t="inlineStr">
        <is>
          <t>VÄRMLANDS LÄN</t>
        </is>
      </c>
      <c r="E3307" t="inlineStr">
        <is>
          <t>KIL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43483-2024</t>
        </is>
      </c>
      <c r="B3308" s="1" t="n">
        <v>45568.80241898148</v>
      </c>
      <c r="C3308" s="1" t="n">
        <v>45932</v>
      </c>
      <c r="D3308" t="inlineStr">
        <is>
          <t>VÄRMLANDS LÄN</t>
        </is>
      </c>
      <c r="E3308" t="inlineStr">
        <is>
          <t>SUNNE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21836-2025</t>
        </is>
      </c>
      <c r="B3309" s="1" t="n">
        <v>45784.31782407407</v>
      </c>
      <c r="C3309" s="1" t="n">
        <v>45932</v>
      </c>
      <c r="D3309" t="inlineStr">
        <is>
          <t>VÄRMLANDS LÄN</t>
        </is>
      </c>
      <c r="E3309" t="inlineStr">
        <is>
          <t>FORSHAGA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21237-2024</t>
        </is>
      </c>
      <c r="B3310" s="1" t="n">
        <v>45440</v>
      </c>
      <c r="C3310" s="1" t="n">
        <v>45932</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7586-2025</t>
        </is>
      </c>
      <c r="B3311" s="1" t="n">
        <v>45705</v>
      </c>
      <c r="C3311" s="1" t="n">
        <v>45932</v>
      </c>
      <c r="D3311" t="inlineStr">
        <is>
          <t>VÄRMLANDS LÄN</t>
        </is>
      </c>
      <c r="E3311" t="inlineStr">
        <is>
          <t>KIL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14200-2025</t>
        </is>
      </c>
      <c r="B3312" s="1" t="n">
        <v>45740</v>
      </c>
      <c r="C3312" s="1" t="n">
        <v>45932</v>
      </c>
      <c r="D3312" t="inlineStr">
        <is>
          <t>VÄRMLANDS LÄN</t>
        </is>
      </c>
      <c r="E3312" t="inlineStr">
        <is>
          <t>SÄFFLE</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14201-2025</t>
        </is>
      </c>
      <c r="B3313" s="1" t="n">
        <v>45740</v>
      </c>
      <c r="C3313" s="1" t="n">
        <v>45932</v>
      </c>
      <c r="D3313" t="inlineStr">
        <is>
          <t>VÄRMLANDS LÄN</t>
        </is>
      </c>
      <c r="E3313" t="inlineStr">
        <is>
          <t>SÄFFLE</t>
        </is>
      </c>
      <c r="F3313" t="inlineStr">
        <is>
          <t>Bergvik skog väst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33088-2024</t>
        </is>
      </c>
      <c r="B3314" s="1" t="n">
        <v>45517</v>
      </c>
      <c r="C3314" s="1" t="n">
        <v>45932</v>
      </c>
      <c r="D3314" t="inlineStr">
        <is>
          <t>VÄRMLANDS LÄN</t>
        </is>
      </c>
      <c r="E3314" t="inlineStr">
        <is>
          <t>TORSBY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28594-2023</t>
        </is>
      </c>
      <c r="B3315" s="1" t="n">
        <v>45103.57027777778</v>
      </c>
      <c r="C3315" s="1" t="n">
        <v>45932</v>
      </c>
      <c r="D3315" t="inlineStr">
        <is>
          <t>VÄRMLANDS LÄN</t>
        </is>
      </c>
      <c r="E3315" t="inlineStr">
        <is>
          <t>HAGFORS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2969-2022</t>
        </is>
      </c>
      <c r="B3316" s="1" t="n">
        <v>44581.70811342593</v>
      </c>
      <c r="C3316" s="1" t="n">
        <v>45932</v>
      </c>
      <c r="D3316" t="inlineStr">
        <is>
          <t>VÄRMLANDS LÄN</t>
        </is>
      </c>
      <c r="E3316" t="inlineStr">
        <is>
          <t>ÅRJÄNG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20435-2024</t>
        </is>
      </c>
      <c r="B3317" s="1" t="n">
        <v>45435.61392361111</v>
      </c>
      <c r="C3317" s="1" t="n">
        <v>45932</v>
      </c>
      <c r="D3317" t="inlineStr">
        <is>
          <t>VÄRMLANDS LÄN</t>
        </is>
      </c>
      <c r="E3317" t="inlineStr">
        <is>
          <t>SUNNE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50872-2024</t>
        </is>
      </c>
      <c r="B3318" s="1" t="n">
        <v>45602.64645833334</v>
      </c>
      <c r="C3318" s="1" t="n">
        <v>45932</v>
      </c>
      <c r="D3318" t="inlineStr">
        <is>
          <t>VÄRMLANDS LÄN</t>
        </is>
      </c>
      <c r="E3318" t="inlineStr">
        <is>
          <t>SUNNE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1329-2022</t>
        </is>
      </c>
      <c r="B3319" s="1" t="n">
        <v>44572</v>
      </c>
      <c r="C3319" s="1" t="n">
        <v>45932</v>
      </c>
      <c r="D3319" t="inlineStr">
        <is>
          <t>VÄRMLANDS LÄN</t>
        </is>
      </c>
      <c r="E3319" t="inlineStr">
        <is>
          <t>ARVIKA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34059-2023</t>
        </is>
      </c>
      <c r="B3320" s="1" t="n">
        <v>45125</v>
      </c>
      <c r="C3320" s="1" t="n">
        <v>45932</v>
      </c>
      <c r="D3320" t="inlineStr">
        <is>
          <t>VÄRMLANDS LÄN</t>
        </is>
      </c>
      <c r="E3320" t="inlineStr">
        <is>
          <t>SUNNE</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18934-2025</t>
        </is>
      </c>
      <c r="B3321" s="1" t="n">
        <v>45764</v>
      </c>
      <c r="C3321" s="1" t="n">
        <v>45932</v>
      </c>
      <c r="D3321" t="inlineStr">
        <is>
          <t>VÄRMLANDS LÄN</t>
        </is>
      </c>
      <c r="E3321" t="inlineStr">
        <is>
          <t>HAGFORS</t>
        </is>
      </c>
      <c r="F3321" t="inlineStr">
        <is>
          <t>Bergvik skog väst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25094-2024</t>
        </is>
      </c>
      <c r="B3322" s="1" t="n">
        <v>45462</v>
      </c>
      <c r="C3322" s="1" t="n">
        <v>45932</v>
      </c>
      <c r="D3322" t="inlineStr">
        <is>
          <t>VÄRMLANDS LÄN</t>
        </is>
      </c>
      <c r="E3322" t="inlineStr">
        <is>
          <t>FORSHAGA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22623-2025</t>
        </is>
      </c>
      <c r="B3323" s="1" t="n">
        <v>45789</v>
      </c>
      <c r="C3323" s="1" t="n">
        <v>45932</v>
      </c>
      <c r="D3323" t="inlineStr">
        <is>
          <t>VÄRMLANDS LÄN</t>
        </is>
      </c>
      <c r="E3323" t="inlineStr">
        <is>
          <t>FORSHAGA</t>
        </is>
      </c>
      <c r="F3323" t="inlineStr">
        <is>
          <t>Bergvik skog väst AB</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22648-2025</t>
        </is>
      </c>
      <c r="B3324" s="1" t="n">
        <v>45789.46739583334</v>
      </c>
      <c r="C3324" s="1" t="n">
        <v>45932</v>
      </c>
      <c r="D3324" t="inlineStr">
        <is>
          <t>VÄRMLANDS LÄN</t>
        </is>
      </c>
      <c r="E3324" t="inlineStr">
        <is>
          <t>HAGFORS</t>
        </is>
      </c>
      <c r="G3324" t="n">
        <v>12.3</v>
      </c>
      <c r="H3324" t="n">
        <v>0</v>
      </c>
      <c r="I3324" t="n">
        <v>0</v>
      </c>
      <c r="J3324" t="n">
        <v>0</v>
      </c>
      <c r="K3324" t="n">
        <v>0</v>
      </c>
      <c r="L3324" t="n">
        <v>0</v>
      </c>
      <c r="M3324" t="n">
        <v>0</v>
      </c>
      <c r="N3324" t="n">
        <v>0</v>
      </c>
      <c r="O3324" t="n">
        <v>0</v>
      </c>
      <c r="P3324" t="n">
        <v>0</v>
      </c>
      <c r="Q3324" t="n">
        <v>0</v>
      </c>
      <c r="R3324" s="2" t="inlineStr"/>
    </row>
    <row r="3325" ht="15" customHeight="1">
      <c r="A3325" t="inlineStr">
        <is>
          <t>A 45563-2022</t>
        </is>
      </c>
      <c r="B3325" s="1" t="n">
        <v>44841</v>
      </c>
      <c r="C3325" s="1" t="n">
        <v>45932</v>
      </c>
      <c r="D3325" t="inlineStr">
        <is>
          <t>VÄRMLANDS LÄN</t>
        </is>
      </c>
      <c r="E3325" t="inlineStr">
        <is>
          <t>KRISTINEHAMN</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8835-2025</t>
        </is>
      </c>
      <c r="B3326" s="1" t="n">
        <v>45712.92547453703</v>
      </c>
      <c r="C3326" s="1" t="n">
        <v>45932</v>
      </c>
      <c r="D3326" t="inlineStr">
        <is>
          <t>VÄRMLANDS LÄN</t>
        </is>
      </c>
      <c r="E3326" t="inlineStr">
        <is>
          <t>ÅRJÄNG</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22660-2025</t>
        </is>
      </c>
      <c r="B3327" s="1" t="n">
        <v>45789</v>
      </c>
      <c r="C3327" s="1" t="n">
        <v>45932</v>
      </c>
      <c r="D3327" t="inlineStr">
        <is>
          <t>VÄRMLANDS LÄN</t>
        </is>
      </c>
      <c r="E3327" t="inlineStr">
        <is>
          <t>SÄFFLE</t>
        </is>
      </c>
      <c r="F3327" t="inlineStr">
        <is>
          <t>Bergvik skog väst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27344-2023</t>
        </is>
      </c>
      <c r="B3328" s="1" t="n">
        <v>45096</v>
      </c>
      <c r="C3328" s="1" t="n">
        <v>45932</v>
      </c>
      <c r="D3328" t="inlineStr">
        <is>
          <t>VÄRMLANDS LÄN</t>
        </is>
      </c>
      <c r="E3328" t="inlineStr">
        <is>
          <t>KARLSTAD</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23423-2024</t>
        </is>
      </c>
      <c r="B3329" s="1" t="n">
        <v>45453.60787037037</v>
      </c>
      <c r="C3329" s="1" t="n">
        <v>45932</v>
      </c>
      <c r="D3329" t="inlineStr">
        <is>
          <t>VÄRMLANDS LÄN</t>
        </is>
      </c>
      <c r="E3329" t="inlineStr">
        <is>
          <t>TORSBY</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23451-2024</t>
        </is>
      </c>
      <c r="B3330" s="1" t="n">
        <v>45453.64371527778</v>
      </c>
      <c r="C3330" s="1" t="n">
        <v>45932</v>
      </c>
      <c r="D3330" t="inlineStr">
        <is>
          <t>VÄRMLANDS LÄN</t>
        </is>
      </c>
      <c r="E3330" t="inlineStr">
        <is>
          <t>FORSHAGA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29746-2023</t>
        </is>
      </c>
      <c r="B3331" s="1" t="n">
        <v>45107</v>
      </c>
      <c r="C3331" s="1" t="n">
        <v>45932</v>
      </c>
      <c r="D3331" t="inlineStr">
        <is>
          <t>VÄRMLANDS LÄN</t>
        </is>
      </c>
      <c r="E3331" t="inlineStr">
        <is>
          <t>SUNNE</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59770-2023</t>
        </is>
      </c>
      <c r="B3332" s="1" t="n">
        <v>45257.42827546296</v>
      </c>
      <c r="C3332" s="1" t="n">
        <v>45932</v>
      </c>
      <c r="D3332" t="inlineStr">
        <is>
          <t>VÄRMLANDS LÄN</t>
        </is>
      </c>
      <c r="E3332" t="inlineStr">
        <is>
          <t>EDA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45520-2023</t>
        </is>
      </c>
      <c r="B3333" s="1" t="n">
        <v>45194</v>
      </c>
      <c r="C3333" s="1" t="n">
        <v>45932</v>
      </c>
      <c r="D3333" t="inlineStr">
        <is>
          <t>VÄRMLANDS LÄN</t>
        </is>
      </c>
      <c r="E3333" t="inlineStr">
        <is>
          <t>ARVIKA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14740-2023</t>
        </is>
      </c>
      <c r="B3334" s="1" t="n">
        <v>45014.48680555556</v>
      </c>
      <c r="C3334" s="1" t="n">
        <v>45932</v>
      </c>
      <c r="D3334" t="inlineStr">
        <is>
          <t>VÄRMLANDS LÄN</t>
        </is>
      </c>
      <c r="E3334" t="inlineStr">
        <is>
          <t>SUNNE</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54008-2021</t>
        </is>
      </c>
      <c r="B3335" s="1" t="n">
        <v>44470</v>
      </c>
      <c r="C3335" s="1" t="n">
        <v>45932</v>
      </c>
      <c r="D3335" t="inlineStr">
        <is>
          <t>VÄRMLANDS LÄN</t>
        </is>
      </c>
      <c r="E3335" t="inlineStr">
        <is>
          <t>FILIPSTAD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53074-2022</t>
        </is>
      </c>
      <c r="B3336" s="1" t="n">
        <v>44876</v>
      </c>
      <c r="C3336" s="1" t="n">
        <v>45932</v>
      </c>
      <c r="D3336" t="inlineStr">
        <is>
          <t>VÄRMLANDS LÄN</t>
        </is>
      </c>
      <c r="E3336" t="inlineStr">
        <is>
          <t>FORSHAGA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24965-2023</t>
        </is>
      </c>
      <c r="B3337" s="1" t="n">
        <v>45085</v>
      </c>
      <c r="C3337" s="1" t="n">
        <v>45932</v>
      </c>
      <c r="D3337" t="inlineStr">
        <is>
          <t>VÄRMLANDS LÄN</t>
        </is>
      </c>
      <c r="E3337" t="inlineStr">
        <is>
          <t>TORSBY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24969-2023</t>
        </is>
      </c>
      <c r="B3338" s="1" t="n">
        <v>45085.61429398148</v>
      </c>
      <c r="C3338" s="1" t="n">
        <v>45932</v>
      </c>
      <c r="D3338" t="inlineStr">
        <is>
          <t>VÄRMLANDS LÄN</t>
        </is>
      </c>
      <c r="E3338" t="inlineStr">
        <is>
          <t>TORSBY</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40858-2023</t>
        </is>
      </c>
      <c r="B3339" s="1" t="n">
        <v>45173.34709490741</v>
      </c>
      <c r="C3339" s="1" t="n">
        <v>45932</v>
      </c>
      <c r="D3339" t="inlineStr">
        <is>
          <t>VÄRMLANDS LÄN</t>
        </is>
      </c>
      <c r="E3339" t="inlineStr">
        <is>
          <t>TORSBY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68460-2020</t>
        </is>
      </c>
      <c r="B3340" s="1" t="n">
        <v>44186</v>
      </c>
      <c r="C3340" s="1" t="n">
        <v>45932</v>
      </c>
      <c r="D3340" t="inlineStr">
        <is>
          <t>VÄRMLANDS LÄN</t>
        </is>
      </c>
      <c r="E3340" t="inlineStr">
        <is>
          <t>SUNNE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22662-2022</t>
        </is>
      </c>
      <c r="B3341" s="1" t="n">
        <v>44714</v>
      </c>
      <c r="C3341" s="1" t="n">
        <v>45932</v>
      </c>
      <c r="D3341" t="inlineStr">
        <is>
          <t>VÄRMLANDS LÄN</t>
        </is>
      </c>
      <c r="E3341" t="inlineStr">
        <is>
          <t>TORSBY</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44433-2023</t>
        </is>
      </c>
      <c r="B3342" s="1" t="n">
        <v>45183</v>
      </c>
      <c r="C3342" s="1" t="n">
        <v>45932</v>
      </c>
      <c r="D3342" t="inlineStr">
        <is>
          <t>VÄRMLANDS LÄN</t>
        </is>
      </c>
      <c r="E3342" t="inlineStr">
        <is>
          <t>SUNNE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51795-2020</t>
        </is>
      </c>
      <c r="B3343" s="1" t="n">
        <v>44116</v>
      </c>
      <c r="C3343" s="1" t="n">
        <v>45932</v>
      </c>
      <c r="D3343" t="inlineStr">
        <is>
          <t>VÄRMLANDS LÄN</t>
        </is>
      </c>
      <c r="E3343" t="inlineStr">
        <is>
          <t>ARVIKA</t>
        </is>
      </c>
      <c r="G3343" t="n">
        <v>11.1</v>
      </c>
      <c r="H3343" t="n">
        <v>0</v>
      </c>
      <c r="I3343" t="n">
        <v>0</v>
      </c>
      <c r="J3343" t="n">
        <v>0</v>
      </c>
      <c r="K3343" t="n">
        <v>0</v>
      </c>
      <c r="L3343" t="n">
        <v>0</v>
      </c>
      <c r="M3343" t="n">
        <v>0</v>
      </c>
      <c r="N3343" t="n">
        <v>0</v>
      </c>
      <c r="O3343" t="n">
        <v>0</v>
      </c>
      <c r="P3343" t="n">
        <v>0</v>
      </c>
      <c r="Q3343" t="n">
        <v>0</v>
      </c>
      <c r="R3343" s="2" t="inlineStr"/>
    </row>
    <row r="3344" ht="15" customHeight="1">
      <c r="A3344" t="inlineStr">
        <is>
          <t>A 32093-2022</t>
        </is>
      </c>
      <c r="B3344" s="1" t="n">
        <v>44778</v>
      </c>
      <c r="C3344" s="1" t="n">
        <v>45932</v>
      </c>
      <c r="D3344" t="inlineStr">
        <is>
          <t>VÄRMLANDS LÄN</t>
        </is>
      </c>
      <c r="E3344" t="inlineStr">
        <is>
          <t>SUNNE</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40714-2022</t>
        </is>
      </c>
      <c r="B3345" s="1" t="n">
        <v>44824.49069444444</v>
      </c>
      <c r="C3345" s="1" t="n">
        <v>45932</v>
      </c>
      <c r="D3345" t="inlineStr">
        <is>
          <t>VÄRMLANDS LÄN</t>
        </is>
      </c>
      <c r="E3345" t="inlineStr">
        <is>
          <t>SUNNE</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56572-2024</t>
        </is>
      </c>
      <c r="B3346" s="1" t="n">
        <v>45625.59396990741</v>
      </c>
      <c r="C3346" s="1" t="n">
        <v>45932</v>
      </c>
      <c r="D3346" t="inlineStr">
        <is>
          <t>VÄRMLANDS LÄN</t>
        </is>
      </c>
      <c r="E3346" t="inlineStr">
        <is>
          <t>KRISTINEHAMN</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25800-2023</t>
        </is>
      </c>
      <c r="B3347" s="1" t="n">
        <v>45090.50625</v>
      </c>
      <c r="C3347" s="1" t="n">
        <v>45932</v>
      </c>
      <c r="D3347" t="inlineStr">
        <is>
          <t>VÄRMLANDS LÄN</t>
        </is>
      </c>
      <c r="E3347" t="inlineStr">
        <is>
          <t>EDA</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10675-2025</t>
        </is>
      </c>
      <c r="B3348" s="1" t="n">
        <v>45721.86783564815</v>
      </c>
      <c r="C3348" s="1" t="n">
        <v>45932</v>
      </c>
      <c r="D3348" t="inlineStr">
        <is>
          <t>VÄRMLANDS LÄN</t>
        </is>
      </c>
      <c r="E3348" t="inlineStr">
        <is>
          <t>SUNNE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39980-2022</t>
        </is>
      </c>
      <c r="B3349" s="1" t="n">
        <v>44820</v>
      </c>
      <c r="C3349" s="1" t="n">
        <v>45932</v>
      </c>
      <c r="D3349" t="inlineStr">
        <is>
          <t>VÄRMLANDS LÄN</t>
        </is>
      </c>
      <c r="E3349" t="inlineStr">
        <is>
          <t>ARVIKA</t>
        </is>
      </c>
      <c r="F3349" t="inlineStr">
        <is>
          <t>Bergvik skog väst AB</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16806-2024</t>
        </is>
      </c>
      <c r="B3350" s="1" t="n">
        <v>45411.45510416666</v>
      </c>
      <c r="C3350" s="1" t="n">
        <v>45932</v>
      </c>
      <c r="D3350" t="inlineStr">
        <is>
          <t>VÄRMLANDS LÄN</t>
        </is>
      </c>
      <c r="E3350" t="inlineStr">
        <is>
          <t>ÅRJÄNG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4479-2021</t>
        </is>
      </c>
      <c r="B3351" s="1" t="n">
        <v>44224</v>
      </c>
      <c r="C3351" s="1" t="n">
        <v>45932</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10232-2024</t>
        </is>
      </c>
      <c r="B3352" s="1" t="n">
        <v>45365</v>
      </c>
      <c r="C3352" s="1" t="n">
        <v>45932</v>
      </c>
      <c r="D3352" t="inlineStr">
        <is>
          <t>VÄRMLANDS LÄN</t>
        </is>
      </c>
      <c r="E3352" t="inlineStr">
        <is>
          <t>SUNNE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23460-2023</t>
        </is>
      </c>
      <c r="B3353" s="1" t="n">
        <v>45076</v>
      </c>
      <c r="C3353" s="1" t="n">
        <v>45932</v>
      </c>
      <c r="D3353" t="inlineStr">
        <is>
          <t>VÄRMLANDS LÄN</t>
        </is>
      </c>
      <c r="E3353" t="inlineStr">
        <is>
          <t>SUNNE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19188-2023</t>
        </is>
      </c>
      <c r="B3354" s="1" t="n">
        <v>45044</v>
      </c>
      <c r="C3354" s="1" t="n">
        <v>45932</v>
      </c>
      <c r="D3354" t="inlineStr">
        <is>
          <t>VÄRMLANDS LÄN</t>
        </is>
      </c>
      <c r="E3354" t="inlineStr">
        <is>
          <t>SÄFFLE</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1715-2024</t>
        </is>
      </c>
      <c r="B3355" s="1" t="n">
        <v>45307.4084375</v>
      </c>
      <c r="C3355" s="1" t="n">
        <v>45932</v>
      </c>
      <c r="D3355" t="inlineStr">
        <is>
          <t>VÄRMLANDS LÄN</t>
        </is>
      </c>
      <c r="E3355" t="inlineStr">
        <is>
          <t>EDA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45231-2024</t>
        </is>
      </c>
      <c r="B3356" s="1" t="n">
        <v>45575.84795138889</v>
      </c>
      <c r="C3356" s="1" t="n">
        <v>45932</v>
      </c>
      <c r="D3356" t="inlineStr">
        <is>
          <t>VÄRMLANDS LÄN</t>
        </is>
      </c>
      <c r="E3356" t="inlineStr">
        <is>
          <t>KARLSTAD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45238-2024</t>
        </is>
      </c>
      <c r="B3357" s="1" t="n">
        <v>45575.8860300926</v>
      </c>
      <c r="C3357" s="1" t="n">
        <v>45932</v>
      </c>
      <c r="D3357" t="inlineStr">
        <is>
          <t>VÄRMLANDS LÄN</t>
        </is>
      </c>
      <c r="E3357" t="inlineStr">
        <is>
          <t>HAGFORS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49295-2023</t>
        </is>
      </c>
      <c r="B3358" s="1" t="n">
        <v>45210</v>
      </c>
      <c r="C3358" s="1" t="n">
        <v>45932</v>
      </c>
      <c r="D3358" t="inlineStr">
        <is>
          <t>VÄRMLANDS LÄN</t>
        </is>
      </c>
      <c r="E3358" t="inlineStr">
        <is>
          <t>ARVIKA</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45271-2024</t>
        </is>
      </c>
      <c r="B3359" s="1" t="n">
        <v>45576</v>
      </c>
      <c r="C3359" s="1" t="n">
        <v>45932</v>
      </c>
      <c r="D3359" t="inlineStr">
        <is>
          <t>VÄRMLANDS LÄN</t>
        </is>
      </c>
      <c r="E3359" t="inlineStr">
        <is>
          <t>STORFORS</t>
        </is>
      </c>
      <c r="F3359" t="inlineStr">
        <is>
          <t>Naturvårdsverket</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23382-2024</t>
        </is>
      </c>
      <c r="B3360" s="1" t="n">
        <v>45453.55965277777</v>
      </c>
      <c r="C3360" s="1" t="n">
        <v>45932</v>
      </c>
      <c r="D3360" t="inlineStr">
        <is>
          <t>VÄRMLANDS LÄN</t>
        </is>
      </c>
      <c r="E3360" t="inlineStr">
        <is>
          <t>FILIPSTAD</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22715-2025</t>
        </is>
      </c>
      <c r="B3361" s="1" t="n">
        <v>45789.56496527778</v>
      </c>
      <c r="C3361" s="1" t="n">
        <v>45932</v>
      </c>
      <c r="D3361" t="inlineStr">
        <is>
          <t>VÄRMLANDS LÄN</t>
        </is>
      </c>
      <c r="E3361" t="inlineStr">
        <is>
          <t>TORSBY</t>
        </is>
      </c>
      <c r="F3361" t="inlineStr">
        <is>
          <t>Kyrkan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14045-2025</t>
        </is>
      </c>
      <c r="B3362" s="1" t="n">
        <v>45738</v>
      </c>
      <c r="C3362" s="1" t="n">
        <v>45932</v>
      </c>
      <c r="D3362" t="inlineStr">
        <is>
          <t>VÄRMLANDS LÄN</t>
        </is>
      </c>
      <c r="E3362" t="inlineStr">
        <is>
          <t>SUNNE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14099-2025</t>
        </is>
      </c>
      <c r="B3363" s="1" t="n">
        <v>45740.45099537037</v>
      </c>
      <c r="C3363" s="1" t="n">
        <v>45932</v>
      </c>
      <c r="D3363" t="inlineStr">
        <is>
          <t>VÄRMLANDS LÄN</t>
        </is>
      </c>
      <c r="E3363" t="inlineStr">
        <is>
          <t>SUNNE</t>
        </is>
      </c>
      <c r="F3363" t="inlineStr">
        <is>
          <t>Bergvik skog väst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22523-2025</t>
        </is>
      </c>
      <c r="B3364" s="1" t="n">
        <v>45786.70331018518</v>
      </c>
      <c r="C3364" s="1" t="n">
        <v>45932</v>
      </c>
      <c r="D3364" t="inlineStr">
        <is>
          <t>VÄRMLANDS LÄN</t>
        </is>
      </c>
      <c r="E3364" t="inlineStr">
        <is>
          <t>KARLSTAD</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22544-2025</t>
        </is>
      </c>
      <c r="B3365" s="1" t="n">
        <v>45788.44922453703</v>
      </c>
      <c r="C3365" s="1" t="n">
        <v>45932</v>
      </c>
      <c r="D3365" t="inlineStr">
        <is>
          <t>VÄRMLANDS LÄN</t>
        </is>
      </c>
      <c r="E3365" t="inlineStr">
        <is>
          <t>SUNNE</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22556-2025</t>
        </is>
      </c>
      <c r="B3366" s="1" t="n">
        <v>45788.93663194445</v>
      </c>
      <c r="C3366" s="1" t="n">
        <v>45932</v>
      </c>
      <c r="D3366" t="inlineStr">
        <is>
          <t>VÄRMLANDS LÄN</t>
        </is>
      </c>
      <c r="E3366" t="inlineStr">
        <is>
          <t>ÅRJÄNG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16328-2023</t>
        </is>
      </c>
      <c r="B3367" s="1" t="n">
        <v>45028.6211574074</v>
      </c>
      <c r="C3367" s="1" t="n">
        <v>45932</v>
      </c>
      <c r="D3367" t="inlineStr">
        <is>
          <t>VÄRMLANDS LÄN</t>
        </is>
      </c>
      <c r="E3367" t="inlineStr">
        <is>
          <t>EDA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18469-2024</t>
        </is>
      </c>
      <c r="B3368" s="1" t="n">
        <v>45425</v>
      </c>
      <c r="C3368" s="1" t="n">
        <v>45932</v>
      </c>
      <c r="D3368" t="inlineStr">
        <is>
          <t>VÄRMLANDS LÄN</t>
        </is>
      </c>
      <c r="E3368" t="inlineStr">
        <is>
          <t>SÄFFLE</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18561-2024</t>
        </is>
      </c>
      <c r="B3369" s="1" t="n">
        <v>45425</v>
      </c>
      <c r="C3369" s="1" t="n">
        <v>45932</v>
      </c>
      <c r="D3369" t="inlineStr">
        <is>
          <t>VÄRMLANDS LÄN</t>
        </is>
      </c>
      <c r="E3369" t="inlineStr">
        <is>
          <t>KRISTINEHAMN</t>
        </is>
      </c>
      <c r="F3369" t="inlineStr">
        <is>
          <t>Naturvårdsverket</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14-2024</t>
        </is>
      </c>
      <c r="B3370" s="1" t="n">
        <v>45293</v>
      </c>
      <c r="C3370" s="1" t="n">
        <v>45932</v>
      </c>
      <c r="D3370" t="inlineStr">
        <is>
          <t>VÄRMLANDS LÄN</t>
        </is>
      </c>
      <c r="E3370" t="inlineStr">
        <is>
          <t>EDA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62966-2023</t>
        </is>
      </c>
      <c r="B3371" s="1" t="n">
        <v>45272.57006944445</v>
      </c>
      <c r="C3371" s="1" t="n">
        <v>45932</v>
      </c>
      <c r="D3371" t="inlineStr">
        <is>
          <t>VÄRMLANDS LÄN</t>
        </is>
      </c>
      <c r="E3371" t="inlineStr">
        <is>
          <t>ÅRJÄNG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22585-2025</t>
        </is>
      </c>
      <c r="B3372" s="1" t="n">
        <v>45789.39423611111</v>
      </c>
      <c r="C3372" s="1" t="n">
        <v>45932</v>
      </c>
      <c r="D3372" t="inlineStr">
        <is>
          <t>VÄRMLANDS LÄN</t>
        </is>
      </c>
      <c r="E3372" t="inlineStr">
        <is>
          <t>KARLSTAD</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14850-2025</t>
        </is>
      </c>
      <c r="B3373" s="1" t="n">
        <v>45743</v>
      </c>
      <c r="C3373" s="1" t="n">
        <v>45932</v>
      </c>
      <c r="D3373" t="inlineStr">
        <is>
          <t>VÄRMLANDS LÄN</t>
        </is>
      </c>
      <c r="E3373" t="inlineStr">
        <is>
          <t>HAGFORS</t>
        </is>
      </c>
      <c r="F3373" t="inlineStr">
        <is>
          <t>Bergvik skog väst AB</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26037-2023</t>
        </is>
      </c>
      <c r="B3374" s="1" t="n">
        <v>45091</v>
      </c>
      <c r="C3374" s="1" t="n">
        <v>45932</v>
      </c>
      <c r="D3374" t="inlineStr">
        <is>
          <t>VÄRMLANDS LÄN</t>
        </is>
      </c>
      <c r="E3374" t="inlineStr">
        <is>
          <t>FORSHAGA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10350-2025</t>
        </is>
      </c>
      <c r="B3375" s="1" t="n">
        <v>45720</v>
      </c>
      <c r="C3375" s="1" t="n">
        <v>45932</v>
      </c>
      <c r="D3375" t="inlineStr">
        <is>
          <t>VÄRMLANDS LÄN</t>
        </is>
      </c>
      <c r="E3375" t="inlineStr">
        <is>
          <t>SÄFFLE</t>
        </is>
      </c>
      <c r="F3375" t="inlineStr">
        <is>
          <t>Kyrkan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22537-2025</t>
        </is>
      </c>
      <c r="B3376" s="1" t="n">
        <v>45787</v>
      </c>
      <c r="C3376" s="1" t="n">
        <v>45932</v>
      </c>
      <c r="D3376" t="inlineStr">
        <is>
          <t>VÄRMLANDS LÄN</t>
        </is>
      </c>
      <c r="E3376" t="inlineStr">
        <is>
          <t>GRUMS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60626-2024</t>
        </is>
      </c>
      <c r="B3377" s="1" t="n">
        <v>45642</v>
      </c>
      <c r="C3377" s="1" t="n">
        <v>45932</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29570-2023</t>
        </is>
      </c>
      <c r="B3378" s="1" t="n">
        <v>45106.6989699074</v>
      </c>
      <c r="C3378" s="1" t="n">
        <v>45932</v>
      </c>
      <c r="D3378" t="inlineStr">
        <is>
          <t>VÄRMLANDS LÄN</t>
        </is>
      </c>
      <c r="E3378" t="inlineStr">
        <is>
          <t>ÅRJÄNG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28991-2021</t>
        </is>
      </c>
      <c r="B3379" s="1" t="n">
        <v>44358.42668981481</v>
      </c>
      <c r="C3379" s="1" t="n">
        <v>45932</v>
      </c>
      <c r="D3379" t="inlineStr">
        <is>
          <t>VÄRMLANDS LÄN</t>
        </is>
      </c>
      <c r="E3379" t="inlineStr">
        <is>
          <t>KARLSTAD</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47436-2024</t>
        </is>
      </c>
      <c r="B3380" s="1" t="n">
        <v>45587</v>
      </c>
      <c r="C3380" s="1" t="n">
        <v>45932</v>
      </c>
      <c r="D3380" t="inlineStr">
        <is>
          <t>VÄRMLANDS LÄN</t>
        </is>
      </c>
      <c r="E3380" t="inlineStr">
        <is>
          <t>FILIPSTAD</t>
        </is>
      </c>
      <c r="F3380" t="inlineStr">
        <is>
          <t>Bergvik skog väst AB</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43137-2024</t>
        </is>
      </c>
      <c r="B3381" s="1" t="n">
        <v>45567</v>
      </c>
      <c r="C3381" s="1" t="n">
        <v>45932</v>
      </c>
      <c r="D3381" t="inlineStr">
        <is>
          <t>VÄRMLANDS LÄN</t>
        </is>
      </c>
      <c r="E3381" t="inlineStr">
        <is>
          <t>TORSBY</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47452-2024</t>
        </is>
      </c>
      <c r="B3382" s="1" t="n">
        <v>45587</v>
      </c>
      <c r="C3382" s="1" t="n">
        <v>45932</v>
      </c>
      <c r="D3382" t="inlineStr">
        <is>
          <t>VÄRMLANDS LÄN</t>
        </is>
      </c>
      <c r="E3382" t="inlineStr">
        <is>
          <t>TORSBY</t>
        </is>
      </c>
      <c r="F3382" t="inlineStr">
        <is>
          <t>Övriga Aktiebolag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23246-2024</t>
        </is>
      </c>
      <c r="B3383" s="1" t="n">
        <v>45450</v>
      </c>
      <c r="C3383" s="1" t="n">
        <v>45932</v>
      </c>
      <c r="D3383" t="inlineStr">
        <is>
          <t>VÄRMLANDS LÄN</t>
        </is>
      </c>
      <c r="E3383" t="inlineStr">
        <is>
          <t>KRISTINEHAMN</t>
        </is>
      </c>
      <c r="F3383" t="inlineStr">
        <is>
          <t>Kommuner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11805-2024</t>
        </is>
      </c>
      <c r="B3384" s="1" t="n">
        <v>45375.76523148148</v>
      </c>
      <c r="C3384" s="1" t="n">
        <v>45932</v>
      </c>
      <c r="D3384" t="inlineStr">
        <is>
          <t>VÄRMLANDS LÄN</t>
        </is>
      </c>
      <c r="E3384" t="inlineStr">
        <is>
          <t>ÅRJÄNG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7057-2023</t>
        </is>
      </c>
      <c r="B3385" s="1" t="n">
        <v>44969</v>
      </c>
      <c r="C3385" s="1" t="n">
        <v>45932</v>
      </c>
      <c r="D3385" t="inlineStr">
        <is>
          <t>VÄRMLANDS LÄN</t>
        </is>
      </c>
      <c r="E3385" t="inlineStr">
        <is>
          <t>SUNNE</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65167-2021</t>
        </is>
      </c>
      <c r="B3386" s="1" t="n">
        <v>44515</v>
      </c>
      <c r="C3386" s="1" t="n">
        <v>45932</v>
      </c>
      <c r="D3386" t="inlineStr">
        <is>
          <t>VÄRMLANDS LÄN</t>
        </is>
      </c>
      <c r="E3386" t="inlineStr">
        <is>
          <t>FILIPSTAD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6863-2023</t>
        </is>
      </c>
      <c r="B3387" s="1" t="n">
        <v>44964</v>
      </c>
      <c r="C3387" s="1" t="n">
        <v>45932</v>
      </c>
      <c r="D3387" t="inlineStr">
        <is>
          <t>VÄRMLANDS LÄN</t>
        </is>
      </c>
      <c r="E3387" t="inlineStr">
        <is>
          <t>TORSBY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28488-2021</t>
        </is>
      </c>
      <c r="B3388" s="1" t="n">
        <v>44356</v>
      </c>
      <c r="C3388" s="1" t="n">
        <v>45932</v>
      </c>
      <c r="D3388" t="inlineStr">
        <is>
          <t>VÄRMLANDS LÄN</t>
        </is>
      </c>
      <c r="E3388" t="inlineStr">
        <is>
          <t>SUNNE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3570-2022</t>
        </is>
      </c>
      <c r="B3389" s="1" t="n">
        <v>44586.3008449074</v>
      </c>
      <c r="C3389" s="1" t="n">
        <v>45932</v>
      </c>
      <c r="D3389" t="inlineStr">
        <is>
          <t>VÄRMLANDS LÄN</t>
        </is>
      </c>
      <c r="E3389" t="inlineStr">
        <is>
          <t>EDA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3335-2024</t>
        </is>
      </c>
      <c r="B3390" s="1" t="n">
        <v>45317.57331018519</v>
      </c>
      <c r="C3390" s="1" t="n">
        <v>45932</v>
      </c>
      <c r="D3390" t="inlineStr">
        <is>
          <t>VÄRMLANDS LÄN</t>
        </is>
      </c>
      <c r="E3390" t="inlineStr">
        <is>
          <t>SUNNE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22596-2025</t>
        </is>
      </c>
      <c r="B3391" s="1" t="n">
        <v>45789.41362268518</v>
      </c>
      <c r="C3391" s="1" t="n">
        <v>45932</v>
      </c>
      <c r="D3391" t="inlineStr">
        <is>
          <t>VÄRMLANDS LÄN</t>
        </is>
      </c>
      <c r="E3391" t="inlineStr">
        <is>
          <t>TORSBY</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59190-2024</t>
        </is>
      </c>
      <c r="B3392" s="1" t="n">
        <v>45636</v>
      </c>
      <c r="C3392" s="1" t="n">
        <v>45932</v>
      </c>
      <c r="D3392" t="inlineStr">
        <is>
          <t>VÄRMLANDS LÄN</t>
        </is>
      </c>
      <c r="E3392" t="inlineStr">
        <is>
          <t>KRISTINEHAMN</t>
        </is>
      </c>
      <c r="G3392" t="n">
        <v>8.300000000000001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21702-2024</t>
        </is>
      </c>
      <c r="B3393" s="1" t="n">
        <v>45442</v>
      </c>
      <c r="C3393" s="1" t="n">
        <v>45932</v>
      </c>
      <c r="D3393" t="inlineStr">
        <is>
          <t>VÄRMLANDS LÄN</t>
        </is>
      </c>
      <c r="E3393" t="inlineStr">
        <is>
          <t>KRISTINEHAMN</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17484-2023</t>
        </is>
      </c>
      <c r="B3394" s="1" t="n">
        <v>45036.37512731482</v>
      </c>
      <c r="C3394" s="1" t="n">
        <v>45932</v>
      </c>
      <c r="D3394" t="inlineStr">
        <is>
          <t>VÄRMLANDS LÄN</t>
        </is>
      </c>
      <c r="E3394" t="inlineStr">
        <is>
          <t>ARVIKA</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17554-2023</t>
        </is>
      </c>
      <c r="B3395" s="1" t="n">
        <v>45034</v>
      </c>
      <c r="C3395" s="1" t="n">
        <v>45932</v>
      </c>
      <c r="D3395" t="inlineStr">
        <is>
          <t>VÄRMLANDS LÄN</t>
        </is>
      </c>
      <c r="E3395" t="inlineStr">
        <is>
          <t>TORSBY</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44150-2023</t>
        </is>
      </c>
      <c r="B3396" s="1" t="n">
        <v>45188.47791666666</v>
      </c>
      <c r="C3396" s="1" t="n">
        <v>45932</v>
      </c>
      <c r="D3396" t="inlineStr">
        <is>
          <t>VÄRMLANDS LÄN</t>
        </is>
      </c>
      <c r="E3396" t="inlineStr">
        <is>
          <t>TORSBY</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10733-2025</t>
        </is>
      </c>
      <c r="B3397" s="1" t="n">
        <v>45722</v>
      </c>
      <c r="C3397" s="1" t="n">
        <v>45932</v>
      </c>
      <c r="D3397" t="inlineStr">
        <is>
          <t>VÄRMLANDS LÄN</t>
        </is>
      </c>
      <c r="E3397" t="inlineStr">
        <is>
          <t>EDA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37026-2024</t>
        </is>
      </c>
      <c r="B3398" s="1" t="n">
        <v>45539</v>
      </c>
      <c r="C3398" s="1" t="n">
        <v>45932</v>
      </c>
      <c r="D3398" t="inlineStr">
        <is>
          <t>VÄRMLANDS LÄN</t>
        </is>
      </c>
      <c r="E3398" t="inlineStr">
        <is>
          <t>ÅRJÄNG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39792-2024</t>
        </is>
      </c>
      <c r="B3399" s="1" t="n">
        <v>45553.33490740741</v>
      </c>
      <c r="C3399" s="1" t="n">
        <v>45932</v>
      </c>
      <c r="D3399" t="inlineStr">
        <is>
          <t>VÄRMLANDS LÄN</t>
        </is>
      </c>
      <c r="E3399" t="inlineStr">
        <is>
          <t>KARLSTAD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48945-2021</t>
        </is>
      </c>
      <c r="B3400" s="1" t="n">
        <v>44453</v>
      </c>
      <c r="C3400" s="1" t="n">
        <v>45932</v>
      </c>
      <c r="D3400" t="inlineStr">
        <is>
          <t>VÄRMLANDS LÄN</t>
        </is>
      </c>
      <c r="E3400" t="inlineStr">
        <is>
          <t>SUNNE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48573-2024</t>
        </is>
      </c>
      <c r="B3401" s="1" t="n">
        <v>45593.4062037037</v>
      </c>
      <c r="C3401" s="1" t="n">
        <v>45932</v>
      </c>
      <c r="D3401" t="inlineStr">
        <is>
          <t>VÄRMLANDS LÄN</t>
        </is>
      </c>
      <c r="E3401" t="inlineStr">
        <is>
          <t>KRISTINEHAMN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2368-2021</t>
        </is>
      </c>
      <c r="B3402" s="1" t="n">
        <v>44214</v>
      </c>
      <c r="C3402" s="1" t="n">
        <v>45932</v>
      </c>
      <c r="D3402" t="inlineStr">
        <is>
          <t>VÄRMLANDS LÄN</t>
        </is>
      </c>
      <c r="E3402" t="inlineStr">
        <is>
          <t>SUNNE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38840-2023</t>
        </is>
      </c>
      <c r="B3403" s="1" t="n">
        <v>45163.48267361111</v>
      </c>
      <c r="C3403" s="1" t="n">
        <v>45932</v>
      </c>
      <c r="D3403" t="inlineStr">
        <is>
          <t>VÄRMLANDS LÄN</t>
        </is>
      </c>
      <c r="E3403" t="inlineStr">
        <is>
          <t>ÅRJÄNG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57136-2023</t>
        </is>
      </c>
      <c r="B3404" s="1" t="n">
        <v>45245.38790509259</v>
      </c>
      <c r="C3404" s="1" t="n">
        <v>45932</v>
      </c>
      <c r="D3404" t="inlineStr">
        <is>
          <t>VÄRMLANDS LÄN</t>
        </is>
      </c>
      <c r="E3404" t="inlineStr">
        <is>
          <t>EDA</t>
        </is>
      </c>
      <c r="F3404" t="inlineStr">
        <is>
          <t>Övriga Aktiebolag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900-2025</t>
        </is>
      </c>
      <c r="B3405" s="1" t="n">
        <v>45665</v>
      </c>
      <c r="C3405" s="1" t="n">
        <v>45932</v>
      </c>
      <c r="D3405" t="inlineStr">
        <is>
          <t>VÄRMLANDS LÄN</t>
        </is>
      </c>
      <c r="E3405" t="inlineStr">
        <is>
          <t>KARLSTAD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65004-2023</t>
        </is>
      </c>
      <c r="B3406" s="1" t="n">
        <v>45287</v>
      </c>
      <c r="C3406" s="1" t="n">
        <v>45932</v>
      </c>
      <c r="D3406" t="inlineStr">
        <is>
          <t>VÄRMLANDS LÄN</t>
        </is>
      </c>
      <c r="E3406" t="inlineStr">
        <is>
          <t>KIL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65008-2023</t>
        </is>
      </c>
      <c r="B3407" s="1" t="n">
        <v>45287</v>
      </c>
      <c r="C3407" s="1" t="n">
        <v>45932</v>
      </c>
      <c r="D3407" t="inlineStr">
        <is>
          <t>VÄRMLANDS LÄN</t>
        </is>
      </c>
      <c r="E3407" t="inlineStr">
        <is>
          <t>KIL</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19011-2023</t>
        </is>
      </c>
      <c r="B3408" s="1" t="n">
        <v>45045</v>
      </c>
      <c r="C3408" s="1" t="n">
        <v>45932</v>
      </c>
      <c r="D3408" t="inlineStr">
        <is>
          <t>VÄRMLANDS LÄN</t>
        </is>
      </c>
      <c r="E3408" t="inlineStr">
        <is>
          <t>SUNNE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31624-2024</t>
        </is>
      </c>
      <c r="B3409" s="1" t="n">
        <v>45506.50138888889</v>
      </c>
      <c r="C3409" s="1" t="n">
        <v>45932</v>
      </c>
      <c r="D3409" t="inlineStr">
        <is>
          <t>VÄRMLANDS LÄN</t>
        </is>
      </c>
      <c r="E3409" t="inlineStr">
        <is>
          <t>SÄFFLE</t>
        </is>
      </c>
      <c r="F3409" t="inlineStr">
        <is>
          <t>Kyrkan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34378-2022</t>
        </is>
      </c>
      <c r="B3410" s="1" t="n">
        <v>44792.48787037037</v>
      </c>
      <c r="C3410" s="1" t="n">
        <v>45932</v>
      </c>
      <c r="D3410" t="inlineStr">
        <is>
          <t>VÄRMLANDS LÄN</t>
        </is>
      </c>
      <c r="E3410" t="inlineStr">
        <is>
          <t>TORSBY</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20040-2025</t>
        </is>
      </c>
      <c r="B3411" s="1" t="n">
        <v>45772</v>
      </c>
      <c r="C3411" s="1" t="n">
        <v>45932</v>
      </c>
      <c r="D3411" t="inlineStr">
        <is>
          <t>VÄRMLANDS LÄN</t>
        </is>
      </c>
      <c r="E3411" t="inlineStr">
        <is>
          <t>FILIPSTAD</t>
        </is>
      </c>
      <c r="F3411" t="inlineStr">
        <is>
          <t>Bergvik skog väst AB</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37945-2024</t>
        </is>
      </c>
      <c r="B3412" s="1" t="n">
        <v>45544.50271990741</v>
      </c>
      <c r="C3412" s="1" t="n">
        <v>45932</v>
      </c>
      <c r="D3412" t="inlineStr">
        <is>
          <t>VÄRMLANDS LÄN</t>
        </is>
      </c>
      <c r="E3412" t="inlineStr">
        <is>
          <t>FILIPSTAD</t>
        </is>
      </c>
      <c r="F3412" t="inlineStr">
        <is>
          <t>Bergvik skog väst AB</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62902-2023</t>
        </is>
      </c>
      <c r="B3413" s="1" t="n">
        <v>45272.44296296296</v>
      </c>
      <c r="C3413" s="1" t="n">
        <v>45932</v>
      </c>
      <c r="D3413" t="inlineStr">
        <is>
          <t>VÄRMLANDS LÄN</t>
        </is>
      </c>
      <c r="E3413" t="inlineStr">
        <is>
          <t>KARLSTAD</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20357-2025</t>
        </is>
      </c>
      <c r="B3414" s="1" t="n">
        <v>45775</v>
      </c>
      <c r="C3414" s="1" t="n">
        <v>45932</v>
      </c>
      <c r="D3414" t="inlineStr">
        <is>
          <t>VÄRMLANDS LÄN</t>
        </is>
      </c>
      <c r="E3414" t="inlineStr">
        <is>
          <t>ARVIKA</t>
        </is>
      </c>
      <c r="F3414" t="inlineStr">
        <is>
          <t>Bergvik skog väst AB</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22496-2023</t>
        </is>
      </c>
      <c r="B3415" s="1" t="n">
        <v>45071</v>
      </c>
      <c r="C3415" s="1" t="n">
        <v>45932</v>
      </c>
      <c r="D3415" t="inlineStr">
        <is>
          <t>VÄRMLANDS LÄN</t>
        </is>
      </c>
      <c r="E3415" t="inlineStr">
        <is>
          <t>ARVIKA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32095-2024</t>
        </is>
      </c>
      <c r="B3416" s="1" t="n">
        <v>45511.39107638889</v>
      </c>
      <c r="C3416" s="1" t="n">
        <v>45932</v>
      </c>
      <c r="D3416" t="inlineStr">
        <is>
          <t>VÄRMLANDS LÄN</t>
        </is>
      </c>
      <c r="E3416" t="inlineStr">
        <is>
          <t>ÅRJÄNG</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29042-2023</t>
        </is>
      </c>
      <c r="B3417" s="1" t="n">
        <v>45104</v>
      </c>
      <c r="C3417" s="1" t="n">
        <v>45932</v>
      </c>
      <c r="D3417" t="inlineStr">
        <is>
          <t>VÄRMLANDS LÄN</t>
        </is>
      </c>
      <c r="E3417" t="inlineStr">
        <is>
          <t>TORSBY</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10126-2023</t>
        </is>
      </c>
      <c r="B3418" s="1" t="n">
        <v>44980</v>
      </c>
      <c r="C3418" s="1" t="n">
        <v>45932</v>
      </c>
      <c r="D3418" t="inlineStr">
        <is>
          <t>VÄRMLANDS LÄN</t>
        </is>
      </c>
      <c r="E3418" t="inlineStr">
        <is>
          <t>ÅRJÄNG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59624-2022</t>
        </is>
      </c>
      <c r="B3419" s="1" t="n">
        <v>44907.90521990741</v>
      </c>
      <c r="C3419" s="1" t="n">
        <v>45932</v>
      </c>
      <c r="D3419" t="inlineStr">
        <is>
          <t>VÄRMLANDS LÄN</t>
        </is>
      </c>
      <c r="E3419" t="inlineStr">
        <is>
          <t>ÅRJÄNG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2130-2024</t>
        </is>
      </c>
      <c r="B3420" s="1" t="n">
        <v>45309.51518518518</v>
      </c>
      <c r="C3420" s="1" t="n">
        <v>45932</v>
      </c>
      <c r="D3420" t="inlineStr">
        <is>
          <t>VÄRMLANDS LÄN</t>
        </is>
      </c>
      <c r="E3420" t="inlineStr">
        <is>
          <t>TORSBY</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2134-2024</t>
        </is>
      </c>
      <c r="B3421" s="1" t="n">
        <v>45309</v>
      </c>
      <c r="C3421" s="1" t="n">
        <v>45932</v>
      </c>
      <c r="D3421" t="inlineStr">
        <is>
          <t>VÄRMLANDS LÄN</t>
        </is>
      </c>
      <c r="E3421" t="inlineStr">
        <is>
          <t>ARVIKA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8967-2023</t>
        </is>
      </c>
      <c r="B3422" s="1" t="n">
        <v>44979.49119212963</v>
      </c>
      <c r="C3422" s="1" t="n">
        <v>45932</v>
      </c>
      <c r="D3422" t="inlineStr">
        <is>
          <t>VÄRMLANDS LÄN</t>
        </is>
      </c>
      <c r="E3422" t="inlineStr">
        <is>
          <t>EDA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46138-2023</t>
        </is>
      </c>
      <c r="B3423" s="1" t="n">
        <v>45196.56465277778</v>
      </c>
      <c r="C3423" s="1" t="n">
        <v>45932</v>
      </c>
      <c r="D3423" t="inlineStr">
        <is>
          <t>VÄRMLANDS LÄN</t>
        </is>
      </c>
      <c r="E3423" t="inlineStr">
        <is>
          <t>SUNNE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27522-2024</t>
        </is>
      </c>
      <c r="B3424" s="1" t="n">
        <v>45474</v>
      </c>
      <c r="C3424" s="1" t="n">
        <v>45932</v>
      </c>
      <c r="D3424" t="inlineStr">
        <is>
          <t>VÄRMLANDS LÄN</t>
        </is>
      </c>
      <c r="E3424" t="inlineStr">
        <is>
          <t>EDA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35817-2021</t>
        </is>
      </c>
      <c r="B3425" s="1" t="n">
        <v>44386</v>
      </c>
      <c r="C3425" s="1" t="n">
        <v>45932</v>
      </c>
      <c r="D3425" t="inlineStr">
        <is>
          <t>VÄRMLANDS LÄN</t>
        </is>
      </c>
      <c r="E3425" t="inlineStr">
        <is>
          <t>KIL</t>
        </is>
      </c>
      <c r="F3425" t="inlineStr">
        <is>
          <t>Kyrkan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9807-2025</t>
        </is>
      </c>
      <c r="B3426" s="1" t="n">
        <v>45715</v>
      </c>
      <c r="C3426" s="1" t="n">
        <v>45932</v>
      </c>
      <c r="D3426" t="inlineStr">
        <is>
          <t>VÄRMLANDS LÄN</t>
        </is>
      </c>
      <c r="E3426" t="inlineStr">
        <is>
          <t>SUNNE</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9839-2025</t>
        </is>
      </c>
      <c r="B3427" s="1" t="n">
        <v>45716.60288194445</v>
      </c>
      <c r="C3427" s="1" t="n">
        <v>45932</v>
      </c>
      <c r="D3427" t="inlineStr">
        <is>
          <t>VÄRMLANDS LÄN</t>
        </is>
      </c>
      <c r="E3427" t="inlineStr">
        <is>
          <t>FILIPSTAD</t>
        </is>
      </c>
      <c r="F3427" t="inlineStr">
        <is>
          <t>Kommuner</t>
        </is>
      </c>
      <c r="G3427" t="n">
        <v>29.5</v>
      </c>
      <c r="H3427" t="n">
        <v>0</v>
      </c>
      <c r="I3427" t="n">
        <v>0</v>
      </c>
      <c r="J3427" t="n">
        <v>0</v>
      </c>
      <c r="K3427" t="n">
        <v>0</v>
      </c>
      <c r="L3427" t="n">
        <v>0</v>
      </c>
      <c r="M3427" t="n">
        <v>0</v>
      </c>
      <c r="N3427" t="n">
        <v>0</v>
      </c>
      <c r="O3427" t="n">
        <v>0</v>
      </c>
      <c r="P3427" t="n">
        <v>0</v>
      </c>
      <c r="Q3427" t="n">
        <v>0</v>
      </c>
      <c r="R3427" s="2" t="inlineStr"/>
    </row>
    <row r="3428" ht="15" customHeight="1">
      <c r="A3428" t="inlineStr">
        <is>
          <t>A 10701-2022</t>
        </is>
      </c>
      <c r="B3428" s="1" t="n">
        <v>44625</v>
      </c>
      <c r="C3428" s="1" t="n">
        <v>45932</v>
      </c>
      <c r="D3428" t="inlineStr">
        <is>
          <t>VÄRMLANDS LÄN</t>
        </is>
      </c>
      <c r="E3428" t="inlineStr">
        <is>
          <t>EDA</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56430-2024</t>
        </is>
      </c>
      <c r="B3429" s="1" t="n">
        <v>45625</v>
      </c>
      <c r="C3429" s="1" t="n">
        <v>45932</v>
      </c>
      <c r="D3429" t="inlineStr">
        <is>
          <t>VÄRMLANDS LÄN</t>
        </is>
      </c>
      <c r="E3429" t="inlineStr">
        <is>
          <t>TORSBY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54437-2021</t>
        </is>
      </c>
      <c r="B3430" s="1" t="n">
        <v>44459</v>
      </c>
      <c r="C3430" s="1" t="n">
        <v>45932</v>
      </c>
      <c r="D3430" t="inlineStr">
        <is>
          <t>VÄRMLANDS LÄN</t>
        </is>
      </c>
      <c r="E3430" t="inlineStr">
        <is>
          <t>ÅRJÄNG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235-2024</t>
        </is>
      </c>
      <c r="B3431" s="1" t="n">
        <v>45294.85100694445</v>
      </c>
      <c r="C3431" s="1" t="n">
        <v>45932</v>
      </c>
      <c r="D3431" t="inlineStr">
        <is>
          <t>VÄRMLANDS LÄN</t>
        </is>
      </c>
      <c r="E3431" t="inlineStr">
        <is>
          <t>TORSBY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242-2024</t>
        </is>
      </c>
      <c r="B3432" s="1" t="n">
        <v>45294</v>
      </c>
      <c r="C3432" s="1" t="n">
        <v>45932</v>
      </c>
      <c r="D3432" t="inlineStr">
        <is>
          <t>VÄRMLANDS LÄN</t>
        </is>
      </c>
      <c r="E3432" t="inlineStr">
        <is>
          <t>KIL</t>
        </is>
      </c>
      <c r="F3432" t="inlineStr">
        <is>
          <t>Kyrkan</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19484-2021</t>
        </is>
      </c>
      <c r="B3433" s="1" t="n">
        <v>44312</v>
      </c>
      <c r="C3433" s="1" t="n">
        <v>45932</v>
      </c>
      <c r="D3433" t="inlineStr">
        <is>
          <t>VÄRMLANDS LÄN</t>
        </is>
      </c>
      <c r="E3433" t="inlineStr">
        <is>
          <t>ARVIKA</t>
        </is>
      </c>
      <c r="G3433" t="n">
        <v>11.3</v>
      </c>
      <c r="H3433" t="n">
        <v>0</v>
      </c>
      <c r="I3433" t="n">
        <v>0</v>
      </c>
      <c r="J3433" t="n">
        <v>0</v>
      </c>
      <c r="K3433" t="n">
        <v>0</v>
      </c>
      <c r="L3433" t="n">
        <v>0</v>
      </c>
      <c r="M3433" t="n">
        <v>0</v>
      </c>
      <c r="N3433" t="n">
        <v>0</v>
      </c>
      <c r="O3433" t="n">
        <v>0</v>
      </c>
      <c r="P3433" t="n">
        <v>0</v>
      </c>
      <c r="Q3433" t="n">
        <v>0</v>
      </c>
      <c r="R3433" s="2" t="inlineStr"/>
    </row>
    <row r="3434" ht="15" customHeight="1">
      <c r="A3434" t="inlineStr">
        <is>
          <t>A 17031-2022</t>
        </is>
      </c>
      <c r="B3434" s="1" t="n">
        <v>44676</v>
      </c>
      <c r="C3434" s="1" t="n">
        <v>45932</v>
      </c>
      <c r="D3434" t="inlineStr">
        <is>
          <t>VÄRMLANDS LÄN</t>
        </is>
      </c>
      <c r="E3434" t="inlineStr">
        <is>
          <t>SUNNE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11659-2025</t>
        </is>
      </c>
      <c r="B3435" s="1" t="n">
        <v>45726</v>
      </c>
      <c r="C3435" s="1" t="n">
        <v>45932</v>
      </c>
      <c r="D3435" t="inlineStr">
        <is>
          <t>VÄRMLANDS LÄN</t>
        </is>
      </c>
      <c r="E3435" t="inlineStr">
        <is>
          <t>SUNNE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45132-2023</t>
        </is>
      </c>
      <c r="B3436" s="1" t="n">
        <v>45191</v>
      </c>
      <c r="C3436" s="1" t="n">
        <v>45932</v>
      </c>
      <c r="D3436" t="inlineStr">
        <is>
          <t>VÄRMLANDS LÄN</t>
        </is>
      </c>
      <c r="E3436" t="inlineStr">
        <is>
          <t>ARVIKA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50367-2024</t>
        </is>
      </c>
      <c r="B3437" s="1" t="n">
        <v>45600.88394675926</v>
      </c>
      <c r="C3437" s="1" t="n">
        <v>45932</v>
      </c>
      <c r="D3437" t="inlineStr">
        <is>
          <t>VÄRMLANDS LÄN</t>
        </is>
      </c>
      <c r="E3437" t="inlineStr">
        <is>
          <t>FORSHAGA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11679-2025</t>
        </is>
      </c>
      <c r="B3438" s="1" t="n">
        <v>45727.53943287037</v>
      </c>
      <c r="C3438" s="1" t="n">
        <v>45932</v>
      </c>
      <c r="D3438" t="inlineStr">
        <is>
          <t>VÄRMLANDS LÄN</t>
        </is>
      </c>
      <c r="E3438" t="inlineStr">
        <is>
          <t>ARVIKA</t>
        </is>
      </c>
      <c r="F3438" t="inlineStr">
        <is>
          <t>Bergvik skog väst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11686-2025</t>
        </is>
      </c>
      <c r="B3439" s="1" t="n">
        <v>45727.55393518518</v>
      </c>
      <c r="C3439" s="1" t="n">
        <v>45932</v>
      </c>
      <c r="D3439" t="inlineStr">
        <is>
          <t>VÄRMLANDS LÄN</t>
        </is>
      </c>
      <c r="E3439" t="inlineStr">
        <is>
          <t>KARLSTAD</t>
        </is>
      </c>
      <c r="F3439" t="inlineStr">
        <is>
          <t>Naturvårdsverket</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30459-2022</t>
        </is>
      </c>
      <c r="B3440" s="1" t="n">
        <v>44761</v>
      </c>
      <c r="C3440" s="1" t="n">
        <v>45932</v>
      </c>
      <c r="D3440" t="inlineStr">
        <is>
          <t>VÄRMLANDS LÄN</t>
        </is>
      </c>
      <c r="E3440" t="inlineStr">
        <is>
          <t>ÅRJÄNG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30524-2022</t>
        </is>
      </c>
      <c r="B3441" s="1" t="n">
        <v>44762</v>
      </c>
      <c r="C3441" s="1" t="n">
        <v>45932</v>
      </c>
      <c r="D3441" t="inlineStr">
        <is>
          <t>VÄRMLANDS LÄN</t>
        </is>
      </c>
      <c r="E3441" t="inlineStr">
        <is>
          <t>HAGFORS</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29958-2024</t>
        </is>
      </c>
      <c r="B3442" s="1" t="n">
        <v>45488</v>
      </c>
      <c r="C3442" s="1" t="n">
        <v>45932</v>
      </c>
      <c r="D3442" t="inlineStr">
        <is>
          <t>VÄRMLANDS LÄN</t>
        </is>
      </c>
      <c r="E3442" t="inlineStr">
        <is>
          <t>SUNNE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30011-2024</t>
        </is>
      </c>
      <c r="B3443" s="1" t="n">
        <v>45488</v>
      </c>
      <c r="C3443" s="1" t="n">
        <v>45932</v>
      </c>
      <c r="D3443" t="inlineStr">
        <is>
          <t>VÄRMLANDS LÄN</t>
        </is>
      </c>
      <c r="E3443" t="inlineStr">
        <is>
          <t>TORSBY</t>
        </is>
      </c>
      <c r="F3443" t="inlineStr">
        <is>
          <t>Kommuner</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22362-2024</t>
        </is>
      </c>
      <c r="B3444" s="1" t="n">
        <v>45446.63490740741</v>
      </c>
      <c r="C3444" s="1" t="n">
        <v>45932</v>
      </c>
      <c r="D3444" t="inlineStr">
        <is>
          <t>VÄRMLANDS LÄN</t>
        </is>
      </c>
      <c r="E3444" t="inlineStr">
        <is>
          <t>FORSHAGA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37081-2023</t>
        </is>
      </c>
      <c r="B3445" s="1" t="n">
        <v>45155</v>
      </c>
      <c r="C3445" s="1" t="n">
        <v>45932</v>
      </c>
      <c r="D3445" t="inlineStr">
        <is>
          <t>VÄRMLANDS LÄN</t>
        </is>
      </c>
      <c r="E3445" t="inlineStr">
        <is>
          <t>TORSBY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37085-2023</t>
        </is>
      </c>
      <c r="B3446" s="1" t="n">
        <v>45155</v>
      </c>
      <c r="C3446" s="1" t="n">
        <v>45932</v>
      </c>
      <c r="D3446" t="inlineStr">
        <is>
          <t>VÄRMLANDS LÄN</t>
        </is>
      </c>
      <c r="E3446" t="inlineStr">
        <is>
          <t>HAGFORS</t>
        </is>
      </c>
      <c r="F3446" t="inlineStr">
        <is>
          <t>Bergvik skog väst AB</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53799-2024</t>
        </is>
      </c>
      <c r="B3447" s="1" t="n">
        <v>45615.5812037037</v>
      </c>
      <c r="C3447" s="1" t="n">
        <v>45932</v>
      </c>
      <c r="D3447" t="inlineStr">
        <is>
          <t>VÄRMLANDS LÄN</t>
        </is>
      </c>
      <c r="E3447" t="inlineStr">
        <is>
          <t>EDA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4494-2025</t>
        </is>
      </c>
      <c r="B3448" s="1" t="n">
        <v>45686</v>
      </c>
      <c r="C3448" s="1" t="n">
        <v>45932</v>
      </c>
      <c r="D3448" t="inlineStr">
        <is>
          <t>VÄRMLANDS LÄN</t>
        </is>
      </c>
      <c r="E3448" t="inlineStr">
        <is>
          <t>STORFORS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22614-2025</t>
        </is>
      </c>
      <c r="B3449" s="1" t="n">
        <v>45789</v>
      </c>
      <c r="C3449" s="1" t="n">
        <v>45932</v>
      </c>
      <c r="D3449" t="inlineStr">
        <is>
          <t>VÄRMLANDS LÄN</t>
        </is>
      </c>
      <c r="E3449" t="inlineStr">
        <is>
          <t>FORSHAGA</t>
        </is>
      </c>
      <c r="F3449" t="inlineStr">
        <is>
          <t>Bergvik skog väst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22619-2025</t>
        </is>
      </c>
      <c r="B3450" s="1" t="n">
        <v>45789</v>
      </c>
      <c r="C3450" s="1" t="n">
        <v>45932</v>
      </c>
      <c r="D3450" t="inlineStr">
        <is>
          <t>VÄRMLANDS LÄN</t>
        </is>
      </c>
      <c r="E3450" t="inlineStr">
        <is>
          <t>FORSHAGA</t>
        </is>
      </c>
      <c r="F3450" t="inlineStr">
        <is>
          <t>Bergvik skog väst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53123-2024</t>
        </is>
      </c>
      <c r="B3451" s="1" t="n">
        <v>45611.58819444444</v>
      </c>
      <c r="C3451" s="1" t="n">
        <v>45932</v>
      </c>
      <c r="D3451" t="inlineStr">
        <is>
          <t>VÄRMLANDS LÄN</t>
        </is>
      </c>
      <c r="E3451" t="inlineStr">
        <is>
          <t>ÅRJÄNG</t>
        </is>
      </c>
      <c r="F3451" t="inlineStr">
        <is>
          <t>Bergvik skog väst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4537-2025</t>
        </is>
      </c>
      <c r="B3452" s="1" t="n">
        <v>45687.38836805556</v>
      </c>
      <c r="C3452" s="1" t="n">
        <v>45932</v>
      </c>
      <c r="D3452" t="inlineStr">
        <is>
          <t>VÄRMLANDS LÄN</t>
        </is>
      </c>
      <c r="E3452" t="inlineStr">
        <is>
          <t>TORSBY</t>
        </is>
      </c>
      <c r="F3452" t="inlineStr">
        <is>
          <t>Kommuner</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1734-2023</t>
        </is>
      </c>
      <c r="B3453" s="1" t="n">
        <v>44938</v>
      </c>
      <c r="C3453" s="1" t="n">
        <v>45932</v>
      </c>
      <c r="D3453" t="inlineStr">
        <is>
          <t>VÄRMLANDS LÄN</t>
        </is>
      </c>
      <c r="E3453" t="inlineStr">
        <is>
          <t>HAGFORS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56451-2024</t>
        </is>
      </c>
      <c r="B3454" s="1" t="n">
        <v>45625.43577546296</v>
      </c>
      <c r="C3454" s="1" t="n">
        <v>45932</v>
      </c>
      <c r="D3454" t="inlineStr">
        <is>
          <t>VÄRMLANDS LÄN</t>
        </is>
      </c>
      <c r="E3454" t="inlineStr">
        <is>
          <t>FILIPSTAD</t>
        </is>
      </c>
      <c r="F3454" t="inlineStr">
        <is>
          <t>Bergvik skog väst AB</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38979-2023</t>
        </is>
      </c>
      <c r="B3455" s="1" t="n">
        <v>45163.64584490741</v>
      </c>
      <c r="C3455" s="1" t="n">
        <v>45932</v>
      </c>
      <c r="D3455" t="inlineStr">
        <is>
          <t>VÄRMLANDS LÄN</t>
        </is>
      </c>
      <c r="E3455" t="inlineStr">
        <is>
          <t>TORSBY</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56549-2024</t>
        </is>
      </c>
      <c r="B3456" s="1" t="n">
        <v>45625</v>
      </c>
      <c r="C3456" s="1" t="n">
        <v>45932</v>
      </c>
      <c r="D3456" t="inlineStr">
        <is>
          <t>VÄRMLANDS LÄN</t>
        </is>
      </c>
      <c r="E3456" t="inlineStr">
        <is>
          <t>SUNNE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28396-2022</t>
        </is>
      </c>
      <c r="B3457" s="1" t="n">
        <v>44747.57859953704</v>
      </c>
      <c r="C3457" s="1" t="n">
        <v>45932</v>
      </c>
      <c r="D3457" t="inlineStr">
        <is>
          <t>VÄRMLANDS LÄN</t>
        </is>
      </c>
      <c r="E3457" t="inlineStr">
        <is>
          <t>SUNNE</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55903-2024</t>
        </is>
      </c>
      <c r="B3458" s="1" t="n">
        <v>45623</v>
      </c>
      <c r="C3458" s="1" t="n">
        <v>45932</v>
      </c>
      <c r="D3458" t="inlineStr">
        <is>
          <t>VÄRMLANDS LÄN</t>
        </is>
      </c>
      <c r="E3458" t="inlineStr">
        <is>
          <t>EDA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22586-2025</t>
        </is>
      </c>
      <c r="B3459" s="1" t="n">
        <v>45789</v>
      </c>
      <c r="C3459" s="1" t="n">
        <v>45932</v>
      </c>
      <c r="D3459" t="inlineStr">
        <is>
          <t>VÄRMLANDS LÄN</t>
        </is>
      </c>
      <c r="E3459" t="inlineStr">
        <is>
          <t>FORSHAGA</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22589-2025</t>
        </is>
      </c>
      <c r="B3460" s="1" t="n">
        <v>45789.40226851852</v>
      </c>
      <c r="C3460" s="1" t="n">
        <v>45932</v>
      </c>
      <c r="D3460" t="inlineStr">
        <is>
          <t>VÄRMLANDS LÄN</t>
        </is>
      </c>
      <c r="E3460" t="inlineStr">
        <is>
          <t>ARVIKA</t>
        </is>
      </c>
      <c r="F3460" t="inlineStr">
        <is>
          <t>Bergvik skog väst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37463-2022</t>
        </is>
      </c>
      <c r="B3461" s="1" t="n">
        <v>44809.5108912037</v>
      </c>
      <c r="C3461" s="1" t="n">
        <v>45932</v>
      </c>
      <c r="D3461" t="inlineStr">
        <is>
          <t>VÄRMLANDS LÄN</t>
        </is>
      </c>
      <c r="E3461" t="inlineStr">
        <is>
          <t>HAGFORS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26323-2022</t>
        </is>
      </c>
      <c r="B3462" s="1" t="n">
        <v>44735</v>
      </c>
      <c r="C3462" s="1" t="n">
        <v>45932</v>
      </c>
      <c r="D3462" t="inlineStr">
        <is>
          <t>VÄRMLANDS LÄN</t>
        </is>
      </c>
      <c r="E3462" t="inlineStr">
        <is>
          <t>KARLSTAD</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37486-2022</t>
        </is>
      </c>
      <c r="B3463" s="1" t="n">
        <v>44809.55424768518</v>
      </c>
      <c r="C3463" s="1" t="n">
        <v>45932</v>
      </c>
      <c r="D3463" t="inlineStr">
        <is>
          <t>VÄRMLANDS LÄN</t>
        </is>
      </c>
      <c r="E3463" t="inlineStr">
        <is>
          <t>GRUMS</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48203-2023</t>
        </is>
      </c>
      <c r="B3464" s="1" t="n">
        <v>45200</v>
      </c>
      <c r="C3464" s="1" t="n">
        <v>45932</v>
      </c>
      <c r="D3464" t="inlineStr">
        <is>
          <t>VÄRMLANDS LÄN</t>
        </is>
      </c>
      <c r="E3464" t="inlineStr">
        <is>
          <t>ÅRJÄNG</t>
        </is>
      </c>
      <c r="F3464" t="inlineStr">
        <is>
          <t>Övriga Aktiebolag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12280-2024</t>
        </is>
      </c>
      <c r="B3465" s="1" t="n">
        <v>45378</v>
      </c>
      <c r="C3465" s="1" t="n">
        <v>45932</v>
      </c>
      <c r="D3465" t="inlineStr">
        <is>
          <t>VÄRMLANDS LÄN</t>
        </is>
      </c>
      <c r="E3465" t="inlineStr">
        <is>
          <t>KIL</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51602-2023</t>
        </is>
      </c>
      <c r="B3466" s="1" t="n">
        <v>45222.48622685186</v>
      </c>
      <c r="C3466" s="1" t="n">
        <v>45932</v>
      </c>
      <c r="D3466" t="inlineStr">
        <is>
          <t>VÄRMLANDS LÄN</t>
        </is>
      </c>
      <c r="E3466" t="inlineStr">
        <is>
          <t>SÄFFLE</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4640-2022</t>
        </is>
      </c>
      <c r="B3467" s="1" t="n">
        <v>44592</v>
      </c>
      <c r="C3467" s="1" t="n">
        <v>45932</v>
      </c>
      <c r="D3467" t="inlineStr">
        <is>
          <t>VÄRMLANDS LÄN</t>
        </is>
      </c>
      <c r="E3467" t="inlineStr">
        <is>
          <t>TORSBY</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29615-2022</t>
        </is>
      </c>
      <c r="B3468" s="1" t="n">
        <v>44754</v>
      </c>
      <c r="C3468" s="1" t="n">
        <v>45932</v>
      </c>
      <c r="D3468" t="inlineStr">
        <is>
          <t>VÄRMLANDS LÄN</t>
        </is>
      </c>
      <c r="E3468" t="inlineStr">
        <is>
          <t>KIL</t>
        </is>
      </c>
      <c r="F3468" t="inlineStr">
        <is>
          <t>Kyrkan</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54796-2024</t>
        </is>
      </c>
      <c r="B3469" s="1" t="n">
        <v>45618</v>
      </c>
      <c r="C3469" s="1" t="n">
        <v>45932</v>
      </c>
      <c r="D3469" t="inlineStr">
        <is>
          <t>VÄRMLANDS LÄN</t>
        </is>
      </c>
      <c r="E3469" t="inlineStr">
        <is>
          <t>TORSBY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29655-2022</t>
        </is>
      </c>
      <c r="B3470" s="1" t="n">
        <v>44754</v>
      </c>
      <c r="C3470" s="1" t="n">
        <v>45932</v>
      </c>
      <c r="D3470" t="inlineStr">
        <is>
          <t>VÄRMLANDS LÄN</t>
        </is>
      </c>
      <c r="E3470" t="inlineStr">
        <is>
          <t>KARLSTAD</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14149-2025</t>
        </is>
      </c>
      <c r="B3471" s="1" t="n">
        <v>45740.4903587963</v>
      </c>
      <c r="C3471" s="1" t="n">
        <v>45932</v>
      </c>
      <c r="D3471" t="inlineStr">
        <is>
          <t>VÄRMLANDS LÄN</t>
        </is>
      </c>
      <c r="E3471" t="inlineStr">
        <is>
          <t>SÄFFLE</t>
        </is>
      </c>
      <c r="F3471" t="inlineStr">
        <is>
          <t>Bergvik skog väst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34655-2022</t>
        </is>
      </c>
      <c r="B3472" s="1" t="n">
        <v>44795</v>
      </c>
      <c r="C3472" s="1" t="n">
        <v>45932</v>
      </c>
      <c r="D3472" t="inlineStr">
        <is>
          <t>VÄRMLANDS LÄN</t>
        </is>
      </c>
      <c r="E3472" t="inlineStr">
        <is>
          <t>TORSBY</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49585-2023</t>
        </is>
      </c>
      <c r="B3473" s="1" t="n">
        <v>45211.67328703704</v>
      </c>
      <c r="C3473" s="1" t="n">
        <v>45932</v>
      </c>
      <c r="D3473" t="inlineStr">
        <is>
          <t>VÄRMLANDS LÄN</t>
        </is>
      </c>
      <c r="E3473" t="inlineStr">
        <is>
          <t>HAGFORS</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25454-2023</t>
        </is>
      </c>
      <c r="B3474" s="1" t="n">
        <v>45081</v>
      </c>
      <c r="C3474" s="1" t="n">
        <v>45932</v>
      </c>
      <c r="D3474" t="inlineStr">
        <is>
          <t>VÄRMLANDS LÄN</t>
        </is>
      </c>
      <c r="E3474" t="inlineStr">
        <is>
          <t>KRISTINEHAMN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50383-2024</t>
        </is>
      </c>
      <c r="B3475" s="1" t="n">
        <v>45601.31583333333</v>
      </c>
      <c r="C3475" s="1" t="n">
        <v>45932</v>
      </c>
      <c r="D3475" t="inlineStr">
        <is>
          <t>VÄRMLANDS LÄN</t>
        </is>
      </c>
      <c r="E3475" t="inlineStr">
        <is>
          <t>ARVIKA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22352-2025</t>
        </is>
      </c>
      <c r="B3476" s="1" t="n">
        <v>45786.45491898148</v>
      </c>
      <c r="C3476" s="1" t="n">
        <v>45932</v>
      </c>
      <c r="D3476" t="inlineStr">
        <is>
          <t>VÄRMLANDS LÄN</t>
        </is>
      </c>
      <c r="E3476" t="inlineStr">
        <is>
          <t>ÅRJÄNG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5890-2021</t>
        </is>
      </c>
      <c r="B3477" s="1" t="n">
        <v>44230</v>
      </c>
      <c r="C3477" s="1" t="n">
        <v>45932</v>
      </c>
      <c r="D3477" t="inlineStr">
        <is>
          <t>VÄRMLANDS LÄN</t>
        </is>
      </c>
      <c r="E3477" t="inlineStr">
        <is>
          <t>SUNNE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5796-2024</t>
        </is>
      </c>
      <c r="B3478" s="1" t="n">
        <v>45335.4540625</v>
      </c>
      <c r="C3478" s="1" t="n">
        <v>45932</v>
      </c>
      <c r="D3478" t="inlineStr">
        <is>
          <t>VÄRMLANDS LÄN</t>
        </is>
      </c>
      <c r="E3478" t="inlineStr">
        <is>
          <t>HAGFORS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22799-2025</t>
        </is>
      </c>
      <c r="B3479" s="1" t="n">
        <v>45789.66512731482</v>
      </c>
      <c r="C3479" s="1" t="n">
        <v>45932</v>
      </c>
      <c r="D3479" t="inlineStr">
        <is>
          <t>VÄRMLANDS LÄN</t>
        </is>
      </c>
      <c r="E3479" t="inlineStr">
        <is>
          <t>HAGFORS</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71812-2021</t>
        </is>
      </c>
      <c r="B3480" s="1" t="n">
        <v>44539</v>
      </c>
      <c r="C3480" s="1" t="n">
        <v>45932</v>
      </c>
      <c r="D3480" t="inlineStr">
        <is>
          <t>VÄRMLANDS LÄN</t>
        </is>
      </c>
      <c r="E3480" t="inlineStr">
        <is>
          <t>ÅRJÄNG</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73033-2021</t>
        </is>
      </c>
      <c r="B3481" s="1" t="n">
        <v>44550</v>
      </c>
      <c r="C3481" s="1" t="n">
        <v>45932</v>
      </c>
      <c r="D3481" t="inlineStr">
        <is>
          <t>VÄRMLANDS LÄN</t>
        </is>
      </c>
      <c r="E3481" t="inlineStr">
        <is>
          <t>GRUMS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21457-2024</t>
        </is>
      </c>
      <c r="B3482" s="1" t="n">
        <v>45441</v>
      </c>
      <c r="C3482" s="1" t="n">
        <v>45932</v>
      </c>
      <c r="D3482" t="inlineStr">
        <is>
          <t>VÄRMLANDS LÄN</t>
        </is>
      </c>
      <c r="E3482" t="inlineStr">
        <is>
          <t>HAGFORS</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73050-2021</t>
        </is>
      </c>
      <c r="B3483" s="1" t="n">
        <v>44550</v>
      </c>
      <c r="C3483" s="1" t="n">
        <v>45932</v>
      </c>
      <c r="D3483" t="inlineStr">
        <is>
          <t>VÄRMLANDS LÄN</t>
        </is>
      </c>
      <c r="E3483" t="inlineStr">
        <is>
          <t>SUNNE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73119-2021</t>
        </is>
      </c>
      <c r="B3484" s="1" t="n">
        <v>44546</v>
      </c>
      <c r="C3484" s="1" t="n">
        <v>45932</v>
      </c>
      <c r="D3484" t="inlineStr">
        <is>
          <t>VÄRMLANDS LÄN</t>
        </is>
      </c>
      <c r="E3484" t="inlineStr">
        <is>
          <t>SÄFFLE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24696-2023</t>
        </is>
      </c>
      <c r="B3485" s="1" t="n">
        <v>45084</v>
      </c>
      <c r="C3485" s="1" t="n">
        <v>45932</v>
      </c>
      <c r="D3485" t="inlineStr">
        <is>
          <t>VÄRMLANDS LÄN</t>
        </is>
      </c>
      <c r="E3485" t="inlineStr">
        <is>
          <t>TORSBY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13382-2024</t>
        </is>
      </c>
      <c r="B3486" s="1" t="n">
        <v>45387</v>
      </c>
      <c r="C3486" s="1" t="n">
        <v>45932</v>
      </c>
      <c r="D3486" t="inlineStr">
        <is>
          <t>VÄRMLANDS LÄN</t>
        </is>
      </c>
      <c r="E3486" t="inlineStr">
        <is>
          <t>GRUMS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13397-2024</t>
        </is>
      </c>
      <c r="B3487" s="1" t="n">
        <v>45387.42944444445</v>
      </c>
      <c r="C3487" s="1" t="n">
        <v>45932</v>
      </c>
      <c r="D3487" t="inlineStr">
        <is>
          <t>VÄRMLANDS LÄN</t>
        </is>
      </c>
      <c r="E3487" t="inlineStr">
        <is>
          <t>SUNNE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13402-2024</t>
        </is>
      </c>
      <c r="B3488" s="1" t="n">
        <v>45387</v>
      </c>
      <c r="C3488" s="1" t="n">
        <v>45932</v>
      </c>
      <c r="D3488" t="inlineStr">
        <is>
          <t>VÄRMLANDS LÄN</t>
        </is>
      </c>
      <c r="E3488" t="inlineStr">
        <is>
          <t>KARLSTAD</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22278-2025</t>
        </is>
      </c>
      <c r="B3489" s="1" t="n">
        <v>45786.33332175926</v>
      </c>
      <c r="C3489" s="1" t="n">
        <v>45932</v>
      </c>
      <c r="D3489" t="inlineStr">
        <is>
          <t>VÄRMLANDS LÄN</t>
        </is>
      </c>
      <c r="E3489" t="inlineStr">
        <is>
          <t>TORSBY</t>
        </is>
      </c>
      <c r="F3489" t="inlineStr">
        <is>
          <t>Bergvik skog väst AB</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48416-2021</t>
        </is>
      </c>
      <c r="B3490" s="1" t="n">
        <v>44452</v>
      </c>
      <c r="C3490" s="1" t="n">
        <v>45932</v>
      </c>
      <c r="D3490" t="inlineStr">
        <is>
          <t>VÄRMLANDS LÄN</t>
        </is>
      </c>
      <c r="E3490" t="inlineStr">
        <is>
          <t>KRISTINEHAMN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18954-2023</t>
        </is>
      </c>
      <c r="B3491" s="1" t="n">
        <v>45044.70921296296</v>
      </c>
      <c r="C3491" s="1" t="n">
        <v>45932</v>
      </c>
      <c r="D3491" t="inlineStr">
        <is>
          <t>VÄRMLANDS LÄN</t>
        </is>
      </c>
      <c r="E3491" t="inlineStr">
        <is>
          <t>KRISTINEHAMN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31020-2024</t>
        </is>
      </c>
      <c r="B3492" s="1" t="n">
        <v>45499</v>
      </c>
      <c r="C3492" s="1" t="n">
        <v>45932</v>
      </c>
      <c r="D3492" t="inlineStr">
        <is>
          <t>VÄRMLANDS LÄN</t>
        </is>
      </c>
      <c r="E3492" t="inlineStr">
        <is>
          <t>SUNNE</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233-2025</t>
        </is>
      </c>
      <c r="B3493" s="1" t="n">
        <v>45660.37150462963</v>
      </c>
      <c r="C3493" s="1" t="n">
        <v>45932</v>
      </c>
      <c r="D3493" t="inlineStr">
        <is>
          <t>VÄRMLANDS LÄN</t>
        </is>
      </c>
      <c r="E3493" t="inlineStr">
        <is>
          <t>HAGFORS</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35107-2024</t>
        </is>
      </c>
      <c r="B3494" s="1" t="n">
        <v>45529.5588425926</v>
      </c>
      <c r="C3494" s="1" t="n">
        <v>45932</v>
      </c>
      <c r="D3494" t="inlineStr">
        <is>
          <t>VÄRMLANDS LÄN</t>
        </is>
      </c>
      <c r="E3494" t="inlineStr">
        <is>
          <t>TORSBY</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27044-2023</t>
        </is>
      </c>
      <c r="B3495" s="1" t="n">
        <v>45095.80391203704</v>
      </c>
      <c r="C3495" s="1" t="n">
        <v>45932</v>
      </c>
      <c r="D3495" t="inlineStr">
        <is>
          <t>VÄRMLANDS LÄN</t>
        </is>
      </c>
      <c r="E3495" t="inlineStr">
        <is>
          <t>MUNKFORS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27049-2023</t>
        </is>
      </c>
      <c r="B3496" s="1" t="n">
        <v>45095</v>
      </c>
      <c r="C3496" s="1" t="n">
        <v>45932</v>
      </c>
      <c r="D3496" t="inlineStr">
        <is>
          <t>VÄRMLANDS LÄN</t>
        </is>
      </c>
      <c r="E3496" t="inlineStr">
        <is>
          <t>KARLSTAD</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200-2025</t>
        </is>
      </c>
      <c r="B3497" s="1" t="n">
        <v>45659.93418981481</v>
      </c>
      <c r="C3497" s="1" t="n">
        <v>45932</v>
      </c>
      <c r="D3497" t="inlineStr">
        <is>
          <t>VÄRMLANDS LÄN</t>
        </is>
      </c>
      <c r="E3497" t="inlineStr">
        <is>
          <t>TORSBY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20066-2025</t>
        </is>
      </c>
      <c r="B3498" s="1" t="n">
        <v>45772</v>
      </c>
      <c r="C3498" s="1" t="n">
        <v>45932</v>
      </c>
      <c r="D3498" t="inlineStr">
        <is>
          <t>VÄRMLANDS LÄN</t>
        </is>
      </c>
      <c r="E3498" t="inlineStr">
        <is>
          <t>ARVIKA</t>
        </is>
      </c>
      <c r="F3498" t="inlineStr">
        <is>
          <t>Bergvik skog väst AB</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35335-2024</t>
        </is>
      </c>
      <c r="B3499" s="1" t="n">
        <v>45530</v>
      </c>
      <c r="C3499" s="1" t="n">
        <v>45932</v>
      </c>
      <c r="D3499" t="inlineStr">
        <is>
          <t>VÄRMLANDS LÄN</t>
        </is>
      </c>
      <c r="E3499" t="inlineStr">
        <is>
          <t>FORSHAGA</t>
        </is>
      </c>
      <c r="F3499" t="inlineStr">
        <is>
          <t>Kommuner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5012-2023</t>
        </is>
      </c>
      <c r="B3500" s="1" t="n">
        <v>44953</v>
      </c>
      <c r="C3500" s="1" t="n">
        <v>45932</v>
      </c>
      <c r="D3500" t="inlineStr">
        <is>
          <t>VÄRMLANDS LÄN</t>
        </is>
      </c>
      <c r="E3500" t="inlineStr">
        <is>
          <t>SUNNE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7717-2025</t>
        </is>
      </c>
      <c r="B3501" s="1" t="n">
        <v>45706.43501157407</v>
      </c>
      <c r="C3501" s="1" t="n">
        <v>45932</v>
      </c>
      <c r="D3501" t="inlineStr">
        <is>
          <t>VÄRMLANDS LÄN</t>
        </is>
      </c>
      <c r="E3501" t="inlineStr">
        <is>
          <t>ARVIKA</t>
        </is>
      </c>
      <c r="F3501" t="inlineStr">
        <is>
          <t>Bergvik skog väst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47538-2024</t>
        </is>
      </c>
      <c r="B3502" s="1" t="n">
        <v>45587</v>
      </c>
      <c r="C3502" s="1" t="n">
        <v>45932</v>
      </c>
      <c r="D3502" t="inlineStr">
        <is>
          <t>VÄRMLANDS LÄN</t>
        </is>
      </c>
      <c r="E3502" t="inlineStr">
        <is>
          <t>ARVIKA</t>
        </is>
      </c>
      <c r="F3502" t="inlineStr">
        <is>
          <t>Bergvik skog väst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7797-2025</t>
        </is>
      </c>
      <c r="B3503" s="1" t="n">
        <v>45706</v>
      </c>
      <c r="C3503" s="1" t="n">
        <v>45932</v>
      </c>
      <c r="D3503" t="inlineStr">
        <is>
          <t>VÄRMLANDS LÄN</t>
        </is>
      </c>
      <c r="E3503" t="inlineStr">
        <is>
          <t>SÄFFLE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38062-2024</t>
        </is>
      </c>
      <c r="B3504" s="1" t="n">
        <v>45544</v>
      </c>
      <c r="C3504" s="1" t="n">
        <v>45932</v>
      </c>
      <c r="D3504" t="inlineStr">
        <is>
          <t>VÄRMLANDS LÄN</t>
        </is>
      </c>
      <c r="E3504" t="inlineStr">
        <is>
          <t>TORSBY</t>
        </is>
      </c>
      <c r="F3504" t="inlineStr">
        <is>
          <t>Bergvik skog väst AB</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19385-2024</t>
        </is>
      </c>
      <c r="B3505" s="1" t="n">
        <v>45428</v>
      </c>
      <c r="C3505" s="1" t="n">
        <v>45932</v>
      </c>
      <c r="D3505" t="inlineStr">
        <is>
          <t>VÄRMLANDS LÄN</t>
        </is>
      </c>
      <c r="E3505" t="inlineStr">
        <is>
          <t>SÄFFLE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52750-2024</t>
        </is>
      </c>
      <c r="B3506" s="1" t="n">
        <v>45610</v>
      </c>
      <c r="C3506" s="1" t="n">
        <v>45932</v>
      </c>
      <c r="D3506" t="inlineStr">
        <is>
          <t>VÄRMLANDS LÄN</t>
        </is>
      </c>
      <c r="E3506" t="inlineStr">
        <is>
          <t>TORSBY</t>
        </is>
      </c>
      <c r="F3506" t="inlineStr">
        <is>
          <t>Kyrkan</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2-2023</t>
        </is>
      </c>
      <c r="B3507" s="1" t="n">
        <v>44927.65268518519</v>
      </c>
      <c r="C3507" s="1" t="n">
        <v>45932</v>
      </c>
      <c r="D3507" t="inlineStr">
        <is>
          <t>VÄRMLANDS LÄN</t>
        </is>
      </c>
      <c r="E3507" t="inlineStr">
        <is>
          <t>KIL</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22051-2024</t>
        </is>
      </c>
      <c r="B3508" s="1" t="n">
        <v>45443.61469907407</v>
      </c>
      <c r="C3508" s="1" t="n">
        <v>45932</v>
      </c>
      <c r="D3508" t="inlineStr">
        <is>
          <t>VÄRMLANDS LÄN</t>
        </is>
      </c>
      <c r="E3508" t="inlineStr">
        <is>
          <t>EDA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22062-2024</t>
        </is>
      </c>
      <c r="B3509" s="1" t="n">
        <v>45443.62809027778</v>
      </c>
      <c r="C3509" s="1" t="n">
        <v>45932</v>
      </c>
      <c r="D3509" t="inlineStr">
        <is>
          <t>VÄRMLANDS LÄN</t>
        </is>
      </c>
      <c r="E3509" t="inlineStr">
        <is>
          <t>EDA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35850-2023</t>
        </is>
      </c>
      <c r="B3510" s="1" t="n">
        <v>45148</v>
      </c>
      <c r="C3510" s="1" t="n">
        <v>45932</v>
      </c>
      <c r="D3510" t="inlineStr">
        <is>
          <t>VÄRMLANDS LÄN</t>
        </is>
      </c>
      <c r="E3510" t="inlineStr">
        <is>
          <t>FORSHAGA</t>
        </is>
      </c>
      <c r="F3510" t="inlineStr">
        <is>
          <t>Kommuner</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58255-2024</t>
        </is>
      </c>
      <c r="B3511" s="1" t="n">
        <v>45632.55993055556</v>
      </c>
      <c r="C3511" s="1" t="n">
        <v>45932</v>
      </c>
      <c r="D3511" t="inlineStr">
        <is>
          <t>VÄRMLANDS LÄN</t>
        </is>
      </c>
      <c r="E3511" t="inlineStr">
        <is>
          <t>TORSBY</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27680-2024</t>
        </is>
      </c>
      <c r="B3512" s="1" t="n">
        <v>45475.3100462963</v>
      </c>
      <c r="C3512" s="1" t="n">
        <v>45932</v>
      </c>
      <c r="D3512" t="inlineStr">
        <is>
          <t>VÄRMLANDS LÄN</t>
        </is>
      </c>
      <c r="E3512" t="inlineStr">
        <is>
          <t>EDA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62461-2023</t>
        </is>
      </c>
      <c r="B3513" s="1" t="n">
        <v>45268.51887731482</v>
      </c>
      <c r="C3513" s="1" t="n">
        <v>45932</v>
      </c>
      <c r="D3513" t="inlineStr">
        <is>
          <t>VÄRMLANDS LÄN</t>
        </is>
      </c>
      <c r="E3513" t="inlineStr">
        <is>
          <t>HAGFORS</t>
        </is>
      </c>
      <c r="F3513" t="inlineStr">
        <is>
          <t>Bergvik skog väst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62507-2023</t>
        </is>
      </c>
      <c r="B3514" s="1" t="n">
        <v>45267</v>
      </c>
      <c r="C3514" s="1" t="n">
        <v>45932</v>
      </c>
      <c r="D3514" t="inlineStr">
        <is>
          <t>VÄRMLANDS LÄN</t>
        </is>
      </c>
      <c r="E3514" t="inlineStr">
        <is>
          <t>TORSBY</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53892-2022</t>
        </is>
      </c>
      <c r="B3515" s="1" t="n">
        <v>44880</v>
      </c>
      <c r="C3515" s="1" t="n">
        <v>45932</v>
      </c>
      <c r="D3515" t="inlineStr">
        <is>
          <t>VÄRMLANDS LÄN</t>
        </is>
      </c>
      <c r="E3515" t="inlineStr">
        <is>
          <t>ARVIKA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36961-2021</t>
        </is>
      </c>
      <c r="B3516" s="1" t="n">
        <v>44393.55895833333</v>
      </c>
      <c r="C3516" s="1" t="n">
        <v>45932</v>
      </c>
      <c r="D3516" t="inlineStr">
        <is>
          <t>VÄRMLANDS LÄN</t>
        </is>
      </c>
      <c r="E3516" t="inlineStr">
        <is>
          <t>KRISTINEHAMN</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56309-2024</t>
        </is>
      </c>
      <c r="B3517" s="1" t="n">
        <v>45624.70613425926</v>
      </c>
      <c r="C3517" s="1" t="n">
        <v>45932</v>
      </c>
      <c r="D3517" t="inlineStr">
        <is>
          <t>VÄRMLANDS LÄN</t>
        </is>
      </c>
      <c r="E3517" t="inlineStr">
        <is>
          <t>ARVIKA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22316-2025</t>
        </is>
      </c>
      <c r="B3518" s="1" t="n">
        <v>45786.39013888889</v>
      </c>
      <c r="C3518" s="1" t="n">
        <v>45932</v>
      </c>
      <c r="D3518" t="inlineStr">
        <is>
          <t>VÄRMLANDS LÄN</t>
        </is>
      </c>
      <c r="E3518" t="inlineStr">
        <is>
          <t>TORSBY</t>
        </is>
      </c>
      <c r="F3518" t="inlineStr">
        <is>
          <t>Bergvik skog väst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20554-2025</t>
        </is>
      </c>
      <c r="B3519" s="1" t="n">
        <v>45775</v>
      </c>
      <c r="C3519" s="1" t="n">
        <v>45932</v>
      </c>
      <c r="D3519" t="inlineStr">
        <is>
          <t>VÄRMLANDS LÄN</t>
        </is>
      </c>
      <c r="E3519" t="inlineStr">
        <is>
          <t>FILIPSTAD</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32778-2024</t>
        </is>
      </c>
      <c r="B3520" s="1" t="n">
        <v>45516.5083912037</v>
      </c>
      <c r="C3520" s="1" t="n">
        <v>45932</v>
      </c>
      <c r="D3520" t="inlineStr">
        <is>
          <t>VÄRMLANDS LÄN</t>
        </is>
      </c>
      <c r="E3520" t="inlineStr">
        <is>
          <t>ÅRJÄNG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62761-2023</t>
        </is>
      </c>
      <c r="B3521" s="1" t="n">
        <v>45271</v>
      </c>
      <c r="C3521" s="1" t="n">
        <v>45932</v>
      </c>
      <c r="D3521" t="inlineStr">
        <is>
          <t>VÄRMLANDS LÄN</t>
        </is>
      </c>
      <c r="E3521" t="inlineStr">
        <is>
          <t>EDA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62767-2023</t>
        </is>
      </c>
      <c r="B3522" s="1" t="n">
        <v>45268</v>
      </c>
      <c r="C3522" s="1" t="n">
        <v>45932</v>
      </c>
      <c r="D3522" t="inlineStr">
        <is>
          <t>VÄRMLANDS LÄN</t>
        </is>
      </c>
      <c r="E3522" t="inlineStr">
        <is>
          <t>KRISTINEHAMN</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22593-2025</t>
        </is>
      </c>
      <c r="B3523" s="1" t="n">
        <v>45789.41113425926</v>
      </c>
      <c r="C3523" s="1" t="n">
        <v>45932</v>
      </c>
      <c r="D3523" t="inlineStr">
        <is>
          <t>VÄRMLANDS LÄN</t>
        </is>
      </c>
      <c r="E3523" t="inlineStr">
        <is>
          <t>TORSBY</t>
        </is>
      </c>
      <c r="F3523" t="inlineStr">
        <is>
          <t>Bergvik skog väst AB</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22346-2025</t>
        </is>
      </c>
      <c r="B3524" s="1" t="n">
        <v>45786.4487037037</v>
      </c>
      <c r="C3524" s="1" t="n">
        <v>45932</v>
      </c>
      <c r="D3524" t="inlineStr">
        <is>
          <t>VÄRMLANDS LÄN</t>
        </is>
      </c>
      <c r="E3524" t="inlineStr">
        <is>
          <t>HAGFORS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16868-2025</t>
        </is>
      </c>
      <c r="B3525" s="1" t="n">
        <v>45754.88141203704</v>
      </c>
      <c r="C3525" s="1" t="n">
        <v>45932</v>
      </c>
      <c r="D3525" t="inlineStr">
        <is>
          <t>VÄRMLANDS LÄN</t>
        </is>
      </c>
      <c r="E3525" t="inlineStr">
        <is>
          <t>KIL</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20466-2023</t>
        </is>
      </c>
      <c r="B3526" s="1" t="n">
        <v>45057.29209490741</v>
      </c>
      <c r="C3526" s="1" t="n">
        <v>45932</v>
      </c>
      <c r="D3526" t="inlineStr">
        <is>
          <t>VÄRMLANDS LÄN</t>
        </is>
      </c>
      <c r="E3526" t="inlineStr">
        <is>
          <t>HAGFORS</t>
        </is>
      </c>
      <c r="F3526" t="inlineStr">
        <is>
          <t>Kyrkan</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57721-2022</t>
        </is>
      </c>
      <c r="B3527" s="1" t="n">
        <v>44897.55278935185</v>
      </c>
      <c r="C3527" s="1" t="n">
        <v>45932</v>
      </c>
      <c r="D3527" t="inlineStr">
        <is>
          <t>VÄRMLANDS LÄN</t>
        </is>
      </c>
      <c r="E3527" t="inlineStr">
        <is>
          <t>TORSBY</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24704-2024</t>
        </is>
      </c>
      <c r="B3528" s="1" t="n">
        <v>45460</v>
      </c>
      <c r="C3528" s="1" t="n">
        <v>45932</v>
      </c>
      <c r="D3528" t="inlineStr">
        <is>
          <t>VÄRMLANDS LÄN</t>
        </is>
      </c>
      <c r="E3528" t="inlineStr">
        <is>
          <t>SÄFFLE</t>
        </is>
      </c>
      <c r="G3528" t="n">
        <v>49.7</v>
      </c>
      <c r="H3528" t="n">
        <v>0</v>
      </c>
      <c r="I3528" t="n">
        <v>0</v>
      </c>
      <c r="J3528" t="n">
        <v>0</v>
      </c>
      <c r="K3528" t="n">
        <v>0</v>
      </c>
      <c r="L3528" t="n">
        <v>0</v>
      </c>
      <c r="M3528" t="n">
        <v>0</v>
      </c>
      <c r="N3528" t="n">
        <v>0</v>
      </c>
      <c r="O3528" t="n">
        <v>0</v>
      </c>
      <c r="P3528" t="n">
        <v>0</v>
      </c>
      <c r="Q3528" t="n">
        <v>0</v>
      </c>
      <c r="R3528" s="2" t="inlineStr"/>
    </row>
    <row r="3529" ht="15" customHeight="1">
      <c r="A3529" t="inlineStr">
        <is>
          <t>A 64582-2023</t>
        </is>
      </c>
      <c r="B3529" s="1" t="n">
        <v>45281</v>
      </c>
      <c r="C3529" s="1" t="n">
        <v>45932</v>
      </c>
      <c r="D3529" t="inlineStr">
        <is>
          <t>VÄRMLANDS LÄN</t>
        </is>
      </c>
      <c r="E3529" t="inlineStr">
        <is>
          <t>SUNNE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34347-2023</t>
        </is>
      </c>
      <c r="B3530" s="1" t="n">
        <v>45131</v>
      </c>
      <c r="C3530" s="1" t="n">
        <v>45932</v>
      </c>
      <c r="D3530" t="inlineStr">
        <is>
          <t>VÄRMLANDS LÄN</t>
        </is>
      </c>
      <c r="E3530" t="inlineStr">
        <is>
          <t>ARVIKA</t>
        </is>
      </c>
      <c r="F3530" t="inlineStr">
        <is>
          <t>Övriga Aktiebolag</t>
        </is>
      </c>
      <c r="G3530" t="n">
        <v>22.7</v>
      </c>
      <c r="H3530" t="n">
        <v>0</v>
      </c>
      <c r="I3530" t="n">
        <v>0</v>
      </c>
      <c r="J3530" t="n">
        <v>0</v>
      </c>
      <c r="K3530" t="n">
        <v>0</v>
      </c>
      <c r="L3530" t="n">
        <v>0</v>
      </c>
      <c r="M3530" t="n">
        <v>0</v>
      </c>
      <c r="N3530" t="n">
        <v>0</v>
      </c>
      <c r="O3530" t="n">
        <v>0</v>
      </c>
      <c r="P3530" t="n">
        <v>0</v>
      </c>
      <c r="Q3530" t="n">
        <v>0</v>
      </c>
      <c r="R3530" s="2" t="inlineStr"/>
    </row>
    <row r="3531" ht="15" customHeight="1">
      <c r="A3531" t="inlineStr">
        <is>
          <t>A 24708-2024</t>
        </is>
      </c>
      <c r="B3531" s="1" t="n">
        <v>45460</v>
      </c>
      <c r="C3531" s="1" t="n">
        <v>45932</v>
      </c>
      <c r="D3531" t="inlineStr">
        <is>
          <t>VÄRMLANDS LÄN</t>
        </is>
      </c>
      <c r="E3531" t="inlineStr">
        <is>
          <t>TORSBY</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16403-2024</t>
        </is>
      </c>
      <c r="B3532" s="1" t="n">
        <v>45407.63439814815</v>
      </c>
      <c r="C3532" s="1" t="n">
        <v>45932</v>
      </c>
      <c r="D3532" t="inlineStr">
        <is>
          <t>VÄRMLANDS LÄN</t>
        </is>
      </c>
      <c r="E3532" t="inlineStr">
        <is>
          <t>SUNNE</t>
        </is>
      </c>
      <c r="F3532" t="inlineStr">
        <is>
          <t>Bergvik skog väst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22635-2025</t>
        </is>
      </c>
      <c r="B3533" s="1" t="n">
        <v>45789</v>
      </c>
      <c r="C3533" s="1" t="n">
        <v>45932</v>
      </c>
      <c r="D3533" t="inlineStr">
        <is>
          <t>VÄRMLANDS LÄN</t>
        </is>
      </c>
      <c r="E3533" t="inlineStr">
        <is>
          <t>ÅRJÄNG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22276-2025</t>
        </is>
      </c>
      <c r="B3534" s="1" t="n">
        <v>45786.32737268518</v>
      </c>
      <c r="C3534" s="1" t="n">
        <v>45932</v>
      </c>
      <c r="D3534" t="inlineStr">
        <is>
          <t>VÄRMLANDS LÄN</t>
        </is>
      </c>
      <c r="E3534" t="inlineStr">
        <is>
          <t>ÅRJÄNG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38536-2024</t>
        </is>
      </c>
      <c r="B3535" s="1" t="n">
        <v>45546.59431712963</v>
      </c>
      <c r="C3535" s="1" t="n">
        <v>45932</v>
      </c>
      <c r="D3535" t="inlineStr">
        <is>
          <t>VÄRMLANDS LÄN</t>
        </is>
      </c>
      <c r="E3535" t="inlineStr">
        <is>
          <t>ÅRJÄNG</t>
        </is>
      </c>
      <c r="F3535" t="inlineStr">
        <is>
          <t>Bergvik skog väst AB</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42163-2022</t>
        </is>
      </c>
      <c r="B3536" s="1" t="n">
        <v>44830</v>
      </c>
      <c r="C3536" s="1" t="n">
        <v>45932</v>
      </c>
      <c r="D3536" t="inlineStr">
        <is>
          <t>VÄRMLANDS LÄN</t>
        </is>
      </c>
      <c r="E3536" t="inlineStr">
        <is>
          <t>ARVIKA</t>
        </is>
      </c>
      <c r="F3536" t="inlineStr">
        <is>
          <t>Bergvik skog väst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53978-2021</t>
        </is>
      </c>
      <c r="B3537" s="1" t="n">
        <v>44470</v>
      </c>
      <c r="C3537" s="1" t="n">
        <v>45932</v>
      </c>
      <c r="D3537" t="inlineStr">
        <is>
          <t>VÄRMLANDS LÄN</t>
        </is>
      </c>
      <c r="E3537" t="inlineStr">
        <is>
          <t>EDA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22708-2025</t>
        </is>
      </c>
      <c r="B3538" s="1" t="n">
        <v>45789.55561342592</v>
      </c>
      <c r="C3538" s="1" t="n">
        <v>45932</v>
      </c>
      <c r="D3538" t="inlineStr">
        <is>
          <t>VÄRMLANDS LÄN</t>
        </is>
      </c>
      <c r="E3538" t="inlineStr">
        <is>
          <t>TORSBY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22712-2025</t>
        </is>
      </c>
      <c r="B3539" s="1" t="n">
        <v>45789.55943287037</v>
      </c>
      <c r="C3539" s="1" t="n">
        <v>45932</v>
      </c>
      <c r="D3539" t="inlineStr">
        <is>
          <t>VÄRMLANDS LÄN</t>
        </is>
      </c>
      <c r="E3539" t="inlineStr">
        <is>
          <t>KRISTINEHAMN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22717-2025</t>
        </is>
      </c>
      <c r="B3540" s="1" t="n">
        <v>45789.56633101852</v>
      </c>
      <c r="C3540" s="1" t="n">
        <v>45932</v>
      </c>
      <c r="D3540" t="inlineStr">
        <is>
          <t>VÄRMLANDS LÄN</t>
        </is>
      </c>
      <c r="E3540" t="inlineStr">
        <is>
          <t>SÄFFLE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22718-2025</t>
        </is>
      </c>
      <c r="B3541" s="1" t="n">
        <v>45789</v>
      </c>
      <c r="C3541" s="1" t="n">
        <v>45932</v>
      </c>
      <c r="D3541" t="inlineStr">
        <is>
          <t>VÄRMLANDS LÄN</t>
        </is>
      </c>
      <c r="E3541" t="inlineStr">
        <is>
          <t>SÄFFLE</t>
        </is>
      </c>
      <c r="F3541" t="inlineStr">
        <is>
          <t>Bergvik skog väst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2342-2023</t>
        </is>
      </c>
      <c r="B3542" s="1" t="n">
        <v>44938</v>
      </c>
      <c r="C3542" s="1" t="n">
        <v>45932</v>
      </c>
      <c r="D3542" t="inlineStr">
        <is>
          <t>VÄRMLANDS LÄN</t>
        </is>
      </c>
      <c r="E3542" t="inlineStr">
        <is>
          <t>STORFORS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14219-2024</t>
        </is>
      </c>
      <c r="B3543" s="1" t="n">
        <v>45393.45599537037</v>
      </c>
      <c r="C3543" s="1" t="n">
        <v>45932</v>
      </c>
      <c r="D3543" t="inlineStr">
        <is>
          <t>VÄRMLANDS LÄN</t>
        </is>
      </c>
      <c r="E3543" t="inlineStr">
        <is>
          <t>ARVIKA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14235-2024</t>
        </is>
      </c>
      <c r="B3544" s="1" t="n">
        <v>45393</v>
      </c>
      <c r="C3544" s="1" t="n">
        <v>45932</v>
      </c>
      <c r="D3544" t="inlineStr">
        <is>
          <t>VÄRMLANDS LÄN</t>
        </is>
      </c>
      <c r="E3544" t="inlineStr">
        <is>
          <t>KARLSTAD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2363-2023</t>
        </is>
      </c>
      <c r="B3545" s="1" t="n">
        <v>44938</v>
      </c>
      <c r="C3545" s="1" t="n">
        <v>45932</v>
      </c>
      <c r="D3545" t="inlineStr">
        <is>
          <t>VÄRMLANDS LÄN</t>
        </is>
      </c>
      <c r="E3545" t="inlineStr">
        <is>
          <t>STORFORS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22281-2025</t>
        </is>
      </c>
      <c r="B3546" s="1" t="n">
        <v>45786.33900462963</v>
      </c>
      <c r="C3546" s="1" t="n">
        <v>45932</v>
      </c>
      <c r="D3546" t="inlineStr">
        <is>
          <t>VÄRMLANDS LÄN</t>
        </is>
      </c>
      <c r="E3546" t="inlineStr">
        <is>
          <t>ÅRJÄNG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40887-2022</t>
        </is>
      </c>
      <c r="B3547" s="1" t="n">
        <v>44825.35525462963</v>
      </c>
      <c r="C3547" s="1" t="n">
        <v>45932</v>
      </c>
      <c r="D3547" t="inlineStr">
        <is>
          <t>VÄRMLANDS LÄN</t>
        </is>
      </c>
      <c r="E3547" t="inlineStr">
        <is>
          <t>SÄFFLE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2278-2022</t>
        </is>
      </c>
      <c r="B3548" s="1" t="n">
        <v>44578</v>
      </c>
      <c r="C3548" s="1" t="n">
        <v>45932</v>
      </c>
      <c r="D3548" t="inlineStr">
        <is>
          <t>VÄRMLANDS LÄN</t>
        </is>
      </c>
      <c r="E3548" t="inlineStr">
        <is>
          <t>FORSHAGA</t>
        </is>
      </c>
      <c r="F3548" t="inlineStr">
        <is>
          <t>Bergvik skog väst AB</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22699-2025</t>
        </is>
      </c>
      <c r="B3549" s="1" t="n">
        <v>45789.54835648148</v>
      </c>
      <c r="C3549" s="1" t="n">
        <v>45932</v>
      </c>
      <c r="D3549" t="inlineStr">
        <is>
          <t>VÄRMLANDS LÄN</t>
        </is>
      </c>
      <c r="E3549" t="inlineStr">
        <is>
          <t>KARLSTAD</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55093-2022</t>
        </is>
      </c>
      <c r="B3550" s="1" t="n">
        <v>44881</v>
      </c>
      <c r="C3550" s="1" t="n">
        <v>45932</v>
      </c>
      <c r="D3550" t="inlineStr">
        <is>
          <t>VÄRMLANDS LÄN</t>
        </is>
      </c>
      <c r="E3550" t="inlineStr">
        <is>
          <t>SÄFFLE</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34891-2023</t>
        </is>
      </c>
      <c r="B3551" s="1" t="n">
        <v>45141</v>
      </c>
      <c r="C3551" s="1" t="n">
        <v>45932</v>
      </c>
      <c r="D3551" t="inlineStr">
        <is>
          <t>VÄRMLANDS LÄN</t>
        </is>
      </c>
      <c r="E3551" t="inlineStr">
        <is>
          <t>KRISTINEHAMN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51593-2023</t>
        </is>
      </c>
      <c r="B3552" s="1" t="n">
        <v>45222.47865740741</v>
      </c>
      <c r="C3552" s="1" t="n">
        <v>45932</v>
      </c>
      <c r="D3552" t="inlineStr">
        <is>
          <t>VÄRMLANDS LÄN</t>
        </is>
      </c>
      <c r="E3552" t="inlineStr">
        <is>
          <t>SÄFFLE</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24953-2024</t>
        </is>
      </c>
      <c r="B3553" s="1" t="n">
        <v>45461</v>
      </c>
      <c r="C3553" s="1" t="n">
        <v>45932</v>
      </c>
      <c r="D3553" t="inlineStr">
        <is>
          <t>VÄRMLANDS LÄN</t>
        </is>
      </c>
      <c r="E3553" t="inlineStr">
        <is>
          <t>SUNNE</t>
        </is>
      </c>
      <c r="F3553" t="inlineStr">
        <is>
          <t>Bergvik skog väst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24984-2024</t>
        </is>
      </c>
      <c r="B3554" s="1" t="n">
        <v>45461.67710648148</v>
      </c>
      <c r="C3554" s="1" t="n">
        <v>45932</v>
      </c>
      <c r="D3554" t="inlineStr">
        <is>
          <t>VÄRMLANDS LÄN</t>
        </is>
      </c>
      <c r="E3554" t="inlineStr">
        <is>
          <t>ARVIKA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10625-2025</t>
        </is>
      </c>
      <c r="B3555" s="1" t="n">
        <v>45721</v>
      </c>
      <c r="C3555" s="1" t="n">
        <v>45932</v>
      </c>
      <c r="D3555" t="inlineStr">
        <is>
          <t>VÄRMLANDS LÄN</t>
        </is>
      </c>
      <c r="E3555" t="inlineStr">
        <is>
          <t>ÅRJÄNG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10627-2025</t>
        </is>
      </c>
      <c r="B3556" s="1" t="n">
        <v>45721</v>
      </c>
      <c r="C3556" s="1" t="n">
        <v>45932</v>
      </c>
      <c r="D3556" t="inlineStr">
        <is>
          <t>VÄRMLANDS LÄN</t>
        </is>
      </c>
      <c r="E3556" t="inlineStr">
        <is>
          <t>ÅRJÄNG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24986-2024</t>
        </is>
      </c>
      <c r="B3557" s="1" t="n">
        <v>45461</v>
      </c>
      <c r="C3557" s="1" t="n">
        <v>45932</v>
      </c>
      <c r="D3557" t="inlineStr">
        <is>
          <t>VÄRMLANDS LÄN</t>
        </is>
      </c>
      <c r="E3557" t="inlineStr">
        <is>
          <t>ARVIKA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6947-2025</t>
        </is>
      </c>
      <c r="B3558" s="1" t="n">
        <v>45701</v>
      </c>
      <c r="C3558" s="1" t="n">
        <v>45932</v>
      </c>
      <c r="D3558" t="inlineStr">
        <is>
          <t>VÄRMLANDS LÄN</t>
        </is>
      </c>
      <c r="E3558" t="inlineStr">
        <is>
          <t>FORSHAGA</t>
        </is>
      </c>
      <c r="F3558" t="inlineStr">
        <is>
          <t>Bergvik skog väst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1711-2024</t>
        </is>
      </c>
      <c r="B3559" s="1" t="n">
        <v>45307</v>
      </c>
      <c r="C3559" s="1" t="n">
        <v>45932</v>
      </c>
      <c r="D3559" t="inlineStr">
        <is>
          <t>VÄRMLANDS LÄN</t>
        </is>
      </c>
      <c r="E3559" t="inlineStr">
        <is>
          <t>EDA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24995-2024</t>
        </is>
      </c>
      <c r="B3560" s="1" t="n">
        <v>45461</v>
      </c>
      <c r="C3560" s="1" t="n">
        <v>45932</v>
      </c>
      <c r="D3560" t="inlineStr">
        <is>
          <t>VÄRMLANDS LÄN</t>
        </is>
      </c>
      <c r="E3560" t="inlineStr">
        <is>
          <t>TORSBY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2506-2025</t>
        </is>
      </c>
      <c r="B3561" s="1" t="n">
        <v>45674</v>
      </c>
      <c r="C3561" s="1" t="n">
        <v>45932</v>
      </c>
      <c r="D3561" t="inlineStr">
        <is>
          <t>VÄRMLANDS LÄN</t>
        </is>
      </c>
      <c r="E3561" t="inlineStr">
        <is>
          <t>TORSBY</t>
        </is>
      </c>
      <c r="F3561" t="inlineStr">
        <is>
          <t>Bergvik skog väst AB</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54398-2024</t>
        </is>
      </c>
      <c r="B3562" s="1" t="n">
        <v>45617</v>
      </c>
      <c r="C3562" s="1" t="n">
        <v>45932</v>
      </c>
      <c r="D3562" t="inlineStr">
        <is>
          <t>VÄRMLANDS LÄN</t>
        </is>
      </c>
      <c r="E3562" t="inlineStr">
        <is>
          <t>FILIPSTAD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56215-2023</t>
        </is>
      </c>
      <c r="B3563" s="1" t="n">
        <v>45240.72761574074</v>
      </c>
      <c r="C3563" s="1" t="n">
        <v>45932</v>
      </c>
      <c r="D3563" t="inlineStr">
        <is>
          <t>VÄRMLANDS LÄN</t>
        </is>
      </c>
      <c r="E3563" t="inlineStr">
        <is>
          <t>SUNNE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50509-2024</t>
        </is>
      </c>
      <c r="B3564" s="1" t="n">
        <v>45601</v>
      </c>
      <c r="C3564" s="1" t="n">
        <v>45932</v>
      </c>
      <c r="D3564" t="inlineStr">
        <is>
          <t>VÄRMLANDS LÄN</t>
        </is>
      </c>
      <c r="E3564" t="inlineStr">
        <is>
          <t>ÅRJÄNG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108-2024</t>
        </is>
      </c>
      <c r="B3565" s="1" t="n">
        <v>45293</v>
      </c>
      <c r="C3565" s="1" t="n">
        <v>45932</v>
      </c>
      <c r="D3565" t="inlineStr">
        <is>
          <t>VÄRMLANDS LÄN</t>
        </is>
      </c>
      <c r="E3565" t="inlineStr">
        <is>
          <t>ARVIKA</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35492-2024</t>
        </is>
      </c>
      <c r="B3566" s="1" t="n">
        <v>45531</v>
      </c>
      <c r="C3566" s="1" t="n">
        <v>45932</v>
      </c>
      <c r="D3566" t="inlineStr">
        <is>
          <t>VÄRMLANDS LÄN</t>
        </is>
      </c>
      <c r="E3566" t="inlineStr">
        <is>
          <t>ARVIKA</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56219-2023</t>
        </is>
      </c>
      <c r="B3567" s="1" t="n">
        <v>45240.77920138889</v>
      </c>
      <c r="C3567" s="1" t="n">
        <v>45932</v>
      </c>
      <c r="D3567" t="inlineStr">
        <is>
          <t>VÄRMLANDS LÄN</t>
        </is>
      </c>
      <c r="E3567" t="inlineStr">
        <is>
          <t>GRUMS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24066-2021</t>
        </is>
      </c>
      <c r="B3568" s="1" t="n">
        <v>44336</v>
      </c>
      <c r="C3568" s="1" t="n">
        <v>45932</v>
      </c>
      <c r="D3568" t="inlineStr">
        <is>
          <t>VÄRMLANDS LÄN</t>
        </is>
      </c>
      <c r="E3568" t="inlineStr">
        <is>
          <t>SUNNE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39148-2024</t>
        </is>
      </c>
      <c r="B3569" s="1" t="n">
        <v>45548</v>
      </c>
      <c r="C3569" s="1" t="n">
        <v>45932</v>
      </c>
      <c r="D3569" t="inlineStr">
        <is>
          <t>VÄRMLANDS LÄN</t>
        </is>
      </c>
      <c r="E3569" t="inlineStr">
        <is>
          <t>SÄFFLE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54498-2024</t>
        </is>
      </c>
      <c r="B3570" s="1" t="n">
        <v>45617</v>
      </c>
      <c r="C3570" s="1" t="n">
        <v>45932</v>
      </c>
      <c r="D3570" t="inlineStr">
        <is>
          <t>VÄRMLANDS LÄN</t>
        </is>
      </c>
      <c r="E3570" t="inlineStr">
        <is>
          <t>SÄFFLE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56930-2023</t>
        </is>
      </c>
      <c r="B3571" s="1" t="n">
        <v>45244.59488425926</v>
      </c>
      <c r="C3571" s="1" t="n">
        <v>45932</v>
      </c>
      <c r="D3571" t="inlineStr">
        <is>
          <t>VÄRMLANDS LÄN</t>
        </is>
      </c>
      <c r="E3571" t="inlineStr">
        <is>
          <t>KRISTINEHAMN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55808-2024</t>
        </is>
      </c>
      <c r="B3572" s="1" t="n">
        <v>45622</v>
      </c>
      <c r="C3572" s="1" t="n">
        <v>45932</v>
      </c>
      <c r="D3572" t="inlineStr">
        <is>
          <t>VÄRMLANDS LÄN</t>
        </is>
      </c>
      <c r="E3572" t="inlineStr">
        <is>
          <t>TORSBY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375-2023</t>
        </is>
      </c>
      <c r="B3573" s="1" t="n">
        <v>44922</v>
      </c>
      <c r="C3573" s="1" t="n">
        <v>45932</v>
      </c>
      <c r="D3573" t="inlineStr">
        <is>
          <t>VÄRMLANDS LÄN</t>
        </is>
      </c>
      <c r="E3573" t="inlineStr">
        <is>
          <t>ARVIKA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25211-2024</t>
        </is>
      </c>
      <c r="B3574" s="1" t="n">
        <v>45462</v>
      </c>
      <c r="C3574" s="1" t="n">
        <v>45932</v>
      </c>
      <c r="D3574" t="inlineStr">
        <is>
          <t>VÄRMLANDS LÄN</t>
        </is>
      </c>
      <c r="E3574" t="inlineStr">
        <is>
          <t>SUNNE</t>
        </is>
      </c>
      <c r="F3574" t="inlineStr">
        <is>
          <t>Bergvik skog väst AB</t>
        </is>
      </c>
      <c r="G3574" t="n">
        <v>15.2</v>
      </c>
      <c r="H3574" t="n">
        <v>0</v>
      </c>
      <c r="I3574" t="n">
        <v>0</v>
      </c>
      <c r="J3574" t="n">
        <v>0</v>
      </c>
      <c r="K3574" t="n">
        <v>0</v>
      </c>
      <c r="L3574" t="n">
        <v>0</v>
      </c>
      <c r="M3574" t="n">
        <v>0</v>
      </c>
      <c r="N3574" t="n">
        <v>0</v>
      </c>
      <c r="O3574" t="n">
        <v>0</v>
      </c>
      <c r="P3574" t="n">
        <v>0</v>
      </c>
      <c r="Q3574" t="n">
        <v>0</v>
      </c>
      <c r="R3574" s="2" t="inlineStr"/>
    </row>
    <row r="3575" ht="15" customHeight="1">
      <c r="A3575" t="inlineStr">
        <is>
          <t>A 22714-2025</t>
        </is>
      </c>
      <c r="B3575" s="1" t="n">
        <v>45788</v>
      </c>
      <c r="C3575" s="1" t="n">
        <v>45932</v>
      </c>
      <c r="D3575" t="inlineStr">
        <is>
          <t>VÄRMLANDS LÄN</t>
        </is>
      </c>
      <c r="E3575" t="inlineStr">
        <is>
          <t>ARVIKA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22727-2025</t>
        </is>
      </c>
      <c r="B3576" s="1" t="n">
        <v>45789.5744212963</v>
      </c>
      <c r="C3576" s="1" t="n">
        <v>45932</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13196-2023</t>
        </is>
      </c>
      <c r="B3577" s="1" t="n">
        <v>45002</v>
      </c>
      <c r="C3577" s="1" t="n">
        <v>45932</v>
      </c>
      <c r="D3577" t="inlineStr">
        <is>
          <t>VÄRMLANDS LÄN</t>
        </is>
      </c>
      <c r="E3577" t="inlineStr">
        <is>
          <t>ÅRJÄNG</t>
        </is>
      </c>
      <c r="F3577" t="inlineStr">
        <is>
          <t>Kyrkan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54185-2022</t>
        </is>
      </c>
      <c r="B3578" s="1" t="n">
        <v>44881</v>
      </c>
      <c r="C3578" s="1" t="n">
        <v>45932</v>
      </c>
      <c r="D3578" t="inlineStr">
        <is>
          <t>VÄRMLANDS LÄN</t>
        </is>
      </c>
      <c r="E3578" t="inlineStr">
        <is>
          <t>EDA</t>
        </is>
      </c>
      <c r="F3578" t="inlineStr">
        <is>
          <t>Övriga Aktiebolag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13198-2023</t>
        </is>
      </c>
      <c r="B3579" s="1" t="n">
        <v>45002.63953703704</v>
      </c>
      <c r="C3579" s="1" t="n">
        <v>45932</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70761-2021</t>
        </is>
      </c>
      <c r="B3580" s="1" t="n">
        <v>44536</v>
      </c>
      <c r="C3580" s="1" t="n">
        <v>45932</v>
      </c>
      <c r="D3580" t="inlineStr">
        <is>
          <t>VÄRMLANDS LÄN</t>
        </is>
      </c>
      <c r="E3580" t="inlineStr">
        <is>
          <t>STORFORS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680-2024</t>
        </is>
      </c>
      <c r="B3581" s="1" t="n">
        <v>45300</v>
      </c>
      <c r="C3581" s="1" t="n">
        <v>45932</v>
      </c>
      <c r="D3581" t="inlineStr">
        <is>
          <t>VÄRMLANDS LÄN</t>
        </is>
      </c>
      <c r="E3581" t="inlineStr">
        <is>
          <t>GRUMS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731-2024</t>
        </is>
      </c>
      <c r="B3582" s="1" t="n">
        <v>45300</v>
      </c>
      <c r="C3582" s="1" t="n">
        <v>45932</v>
      </c>
      <c r="D3582" t="inlineStr">
        <is>
          <t>VÄRMLANDS LÄN</t>
        </is>
      </c>
      <c r="E3582" t="inlineStr">
        <is>
          <t>TORSBY</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16789-2024</t>
        </is>
      </c>
      <c r="B3583" s="1" t="n">
        <v>45411</v>
      </c>
      <c r="C3583" s="1" t="n">
        <v>45932</v>
      </c>
      <c r="D3583" t="inlineStr">
        <is>
          <t>VÄRMLANDS LÄN</t>
        </is>
      </c>
      <c r="E3583" t="inlineStr">
        <is>
          <t>TORSBY</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16815-2024</t>
        </is>
      </c>
      <c r="B3584" s="1" t="n">
        <v>45411.46498842593</v>
      </c>
      <c r="C3584" s="1" t="n">
        <v>45932</v>
      </c>
      <c r="D3584" t="inlineStr">
        <is>
          <t>VÄRMLANDS LÄN</t>
        </is>
      </c>
      <c r="E3584" t="inlineStr">
        <is>
          <t>ARVIKA</t>
        </is>
      </c>
      <c r="F3584" t="inlineStr">
        <is>
          <t>Bergvik skog väst AB</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36680-2023</t>
        </is>
      </c>
      <c r="B3585" s="1" t="n">
        <v>45153</v>
      </c>
      <c r="C3585" s="1" t="n">
        <v>45932</v>
      </c>
      <c r="D3585" t="inlineStr">
        <is>
          <t>VÄRMLANDS LÄN</t>
        </is>
      </c>
      <c r="E3585" t="inlineStr">
        <is>
          <t>FILIPSTAD</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2691-2022</t>
        </is>
      </c>
      <c r="B3586" s="1" t="n">
        <v>44580</v>
      </c>
      <c r="C3586" s="1" t="n">
        <v>45932</v>
      </c>
      <c r="D3586" t="inlineStr">
        <is>
          <t>VÄRMLANDS LÄN</t>
        </is>
      </c>
      <c r="E3586" t="inlineStr">
        <is>
          <t>SUNNE</t>
        </is>
      </c>
      <c r="F3586" t="inlineStr">
        <is>
          <t>Övriga Aktiebolag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57012-2023</t>
        </is>
      </c>
      <c r="B3587" s="1" t="n">
        <v>45244.69415509259</v>
      </c>
      <c r="C3587" s="1" t="n">
        <v>45932</v>
      </c>
      <c r="D3587" t="inlineStr">
        <is>
          <t>VÄRMLANDS LÄN</t>
        </is>
      </c>
      <c r="E3587" t="inlineStr">
        <is>
          <t>ARVIKA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20659-2023</t>
        </is>
      </c>
      <c r="B3588" s="1" t="n">
        <v>45058.35065972222</v>
      </c>
      <c r="C3588" s="1" t="n">
        <v>45932</v>
      </c>
      <c r="D3588" t="inlineStr">
        <is>
          <t>VÄRMLANDS LÄN</t>
        </is>
      </c>
      <c r="E3588" t="inlineStr">
        <is>
          <t>EDA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57721-2023</t>
        </is>
      </c>
      <c r="B3589" s="1" t="n">
        <v>45243</v>
      </c>
      <c r="C3589" s="1" t="n">
        <v>45932</v>
      </c>
      <c r="D3589" t="inlineStr">
        <is>
          <t>VÄRMLANDS LÄN</t>
        </is>
      </c>
      <c r="E3589" t="inlineStr">
        <is>
          <t>SUNNE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57728-2023</t>
        </is>
      </c>
      <c r="B3590" s="1" t="n">
        <v>45243</v>
      </c>
      <c r="C3590" s="1" t="n">
        <v>45932</v>
      </c>
      <c r="D3590" t="inlineStr">
        <is>
          <t>VÄRMLANDS LÄN</t>
        </is>
      </c>
      <c r="E3590" t="inlineStr">
        <is>
          <t>SUNNE</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48265-2022</t>
        </is>
      </c>
      <c r="B3591" s="1" t="n">
        <v>44858.48615740741</v>
      </c>
      <c r="C3591" s="1" t="n">
        <v>45932</v>
      </c>
      <c r="D3591" t="inlineStr">
        <is>
          <t>VÄRMLANDS LÄN</t>
        </is>
      </c>
      <c r="E3591" t="inlineStr">
        <is>
          <t>SUNNE</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34116-2024</t>
        </is>
      </c>
      <c r="B3592" s="1" t="n">
        <v>45524</v>
      </c>
      <c r="C3592" s="1" t="n">
        <v>45932</v>
      </c>
      <c r="D3592" t="inlineStr">
        <is>
          <t>VÄRMLANDS LÄN</t>
        </is>
      </c>
      <c r="E3592" t="inlineStr">
        <is>
          <t>FILIPSTAD</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5881-2025</t>
        </is>
      </c>
      <c r="B3593" s="1" t="n">
        <v>45695</v>
      </c>
      <c r="C3593" s="1" t="n">
        <v>45932</v>
      </c>
      <c r="D3593" t="inlineStr">
        <is>
          <t>VÄRMLANDS LÄN</t>
        </is>
      </c>
      <c r="E3593" t="inlineStr">
        <is>
          <t>STORFORS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15014-2025</t>
        </is>
      </c>
      <c r="B3594" s="1" t="n">
        <v>45743</v>
      </c>
      <c r="C3594" s="1" t="n">
        <v>45932</v>
      </c>
      <c r="D3594" t="inlineStr">
        <is>
          <t>VÄRMLANDS LÄN</t>
        </is>
      </c>
      <c r="E3594" t="inlineStr">
        <is>
          <t>TORSBY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21953-2023</t>
        </is>
      </c>
      <c r="B3595" s="1" t="n">
        <v>45068</v>
      </c>
      <c r="C3595" s="1" t="n">
        <v>45932</v>
      </c>
      <c r="D3595" t="inlineStr">
        <is>
          <t>VÄRMLANDS LÄN</t>
        </is>
      </c>
      <c r="E3595" t="inlineStr">
        <is>
          <t>ARVIKA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38555-2023</t>
        </is>
      </c>
      <c r="B3596" s="1" t="n">
        <v>45162</v>
      </c>
      <c r="C3596" s="1" t="n">
        <v>45932</v>
      </c>
      <c r="D3596" t="inlineStr">
        <is>
          <t>VÄRMLANDS LÄN</t>
        </is>
      </c>
      <c r="E3596" t="inlineStr">
        <is>
          <t>HAGFORS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21075-2024</t>
        </is>
      </c>
      <c r="B3597" s="1" t="n">
        <v>45439.91932870371</v>
      </c>
      <c r="C3597" s="1" t="n">
        <v>45932</v>
      </c>
      <c r="D3597" t="inlineStr">
        <is>
          <t>VÄRMLANDS LÄN</t>
        </is>
      </c>
      <c r="E3597" t="inlineStr">
        <is>
          <t>SÄFFLE</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379-2023</t>
        </is>
      </c>
      <c r="B3598" s="1" t="n">
        <v>44922</v>
      </c>
      <c r="C3598" s="1" t="n">
        <v>45932</v>
      </c>
      <c r="D3598" t="inlineStr">
        <is>
          <t>VÄRMLANDS LÄN</t>
        </is>
      </c>
      <c r="E3598" t="inlineStr">
        <is>
          <t>ARVIKA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36809-2022</t>
        </is>
      </c>
      <c r="B3599" s="1" t="n">
        <v>44805.52994212963</v>
      </c>
      <c r="C3599" s="1" t="n">
        <v>45932</v>
      </c>
      <c r="D3599" t="inlineStr">
        <is>
          <t>VÄRMLANDS LÄN</t>
        </is>
      </c>
      <c r="E3599" t="inlineStr">
        <is>
          <t>FILIPSTAD</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61210-2023</t>
        </is>
      </c>
      <c r="B3600" s="1" t="n">
        <v>45264.3956712963</v>
      </c>
      <c r="C3600" s="1" t="n">
        <v>45932</v>
      </c>
      <c r="D3600" t="inlineStr">
        <is>
          <t>VÄRMLANDS LÄN</t>
        </is>
      </c>
      <c r="E3600" t="inlineStr">
        <is>
          <t>KIL</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61223-2023</t>
        </is>
      </c>
      <c r="B3601" s="1" t="n">
        <v>45264</v>
      </c>
      <c r="C3601" s="1" t="n">
        <v>45932</v>
      </c>
      <c r="D3601" t="inlineStr">
        <is>
          <t>VÄRMLANDS LÄN</t>
        </is>
      </c>
      <c r="E3601" t="inlineStr">
        <is>
          <t>SÄFFLE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22461-2025</t>
        </is>
      </c>
      <c r="B3602" s="1" t="n">
        <v>45786.60795138889</v>
      </c>
      <c r="C3602" s="1" t="n">
        <v>45932</v>
      </c>
      <c r="D3602" t="inlineStr">
        <is>
          <t>VÄRMLANDS LÄN</t>
        </is>
      </c>
      <c r="E3602" t="inlineStr">
        <is>
          <t>HAGFORS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22484-2025</t>
        </is>
      </c>
      <c r="B3603" s="1" t="n">
        <v>45786.64372685185</v>
      </c>
      <c r="C3603" s="1" t="n">
        <v>45932</v>
      </c>
      <c r="D3603" t="inlineStr">
        <is>
          <t>VÄRMLANDS LÄN</t>
        </is>
      </c>
      <c r="E3603" t="inlineStr">
        <is>
          <t>HAGFORS</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7184-2024</t>
        </is>
      </c>
      <c r="B3604" s="1" t="n">
        <v>45344</v>
      </c>
      <c r="C3604" s="1" t="n">
        <v>45932</v>
      </c>
      <c r="D3604" t="inlineStr">
        <is>
          <t>VÄRMLANDS LÄN</t>
        </is>
      </c>
      <c r="E3604" t="inlineStr">
        <is>
          <t>ÅRJÄNG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487-2023</t>
        </is>
      </c>
      <c r="B3605" s="1" t="n">
        <v>44930.29883101852</v>
      </c>
      <c r="C3605" s="1" t="n">
        <v>45932</v>
      </c>
      <c r="D3605" t="inlineStr">
        <is>
          <t>VÄRMLANDS LÄN</t>
        </is>
      </c>
      <c r="E3605" t="inlineStr">
        <is>
          <t>STORFORS</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19253-2025</t>
        </is>
      </c>
      <c r="B3606" s="1" t="n">
        <v>45769</v>
      </c>
      <c r="C3606" s="1" t="n">
        <v>45932</v>
      </c>
      <c r="D3606" t="inlineStr">
        <is>
          <t>VÄRMLANDS LÄN</t>
        </is>
      </c>
      <c r="E3606" t="inlineStr">
        <is>
          <t>TORSBY</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15087-2023</t>
        </is>
      </c>
      <c r="B3607" s="1" t="n">
        <v>45016</v>
      </c>
      <c r="C3607" s="1" t="n">
        <v>45932</v>
      </c>
      <c r="D3607" t="inlineStr">
        <is>
          <t>VÄRMLANDS LÄN</t>
        </is>
      </c>
      <c r="E3607" t="inlineStr">
        <is>
          <t>TORSBY</t>
        </is>
      </c>
      <c r="F3607" t="inlineStr">
        <is>
          <t>Bergvik skog väst AB</t>
        </is>
      </c>
      <c r="G3607" t="n">
        <v>11.4</v>
      </c>
      <c r="H3607" t="n">
        <v>0</v>
      </c>
      <c r="I3607" t="n">
        <v>0</v>
      </c>
      <c r="J3607" t="n">
        <v>0</v>
      </c>
      <c r="K3607" t="n">
        <v>0</v>
      </c>
      <c r="L3607" t="n">
        <v>0</v>
      </c>
      <c r="M3607" t="n">
        <v>0</v>
      </c>
      <c r="N3607" t="n">
        <v>0</v>
      </c>
      <c r="O3607" t="n">
        <v>0</v>
      </c>
      <c r="P3607" t="n">
        <v>0</v>
      </c>
      <c r="Q3607" t="n">
        <v>0</v>
      </c>
      <c r="R3607" s="2" t="inlineStr"/>
    </row>
    <row r="3608" ht="15" customHeight="1">
      <c r="A3608" t="inlineStr">
        <is>
          <t>A 32680-2023</t>
        </is>
      </c>
      <c r="B3608" s="1" t="n">
        <v>45121.67741898148</v>
      </c>
      <c r="C3608" s="1" t="n">
        <v>45932</v>
      </c>
      <c r="D3608" t="inlineStr">
        <is>
          <t>VÄRMLANDS LÄN</t>
        </is>
      </c>
      <c r="E3608" t="inlineStr">
        <is>
          <t>FORSHAGA</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10231-2023</t>
        </is>
      </c>
      <c r="B3609" s="1" t="n">
        <v>44980</v>
      </c>
      <c r="C3609" s="1" t="n">
        <v>45932</v>
      </c>
      <c r="D3609" t="inlineStr">
        <is>
          <t>VÄRMLANDS LÄN</t>
        </is>
      </c>
      <c r="E3609" t="inlineStr">
        <is>
          <t>SUNNE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45892-2024</t>
        </is>
      </c>
      <c r="B3610" s="1" t="n">
        <v>45580</v>
      </c>
      <c r="C3610" s="1" t="n">
        <v>45932</v>
      </c>
      <c r="D3610" t="inlineStr">
        <is>
          <t>VÄRMLANDS LÄN</t>
        </is>
      </c>
      <c r="E3610" t="inlineStr">
        <is>
          <t>ARVIKA</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24668-2021</t>
        </is>
      </c>
      <c r="B3611" s="1" t="n">
        <v>44340</v>
      </c>
      <c r="C3611" s="1" t="n">
        <v>45932</v>
      </c>
      <c r="D3611" t="inlineStr">
        <is>
          <t>VÄRMLANDS LÄN</t>
        </is>
      </c>
      <c r="E3611" t="inlineStr">
        <is>
          <t>ARVIKA</t>
        </is>
      </c>
      <c r="F3611" t="inlineStr">
        <is>
          <t>Bergvik skog väst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60710-2024</t>
        </is>
      </c>
      <c r="B3612" s="1" t="n">
        <v>45643</v>
      </c>
      <c r="C3612" s="1" t="n">
        <v>45932</v>
      </c>
      <c r="D3612" t="inlineStr">
        <is>
          <t>VÄRMLANDS LÄN</t>
        </is>
      </c>
      <c r="E3612" t="inlineStr">
        <is>
          <t>TORSBY</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59270-2022</t>
        </is>
      </c>
      <c r="B3613" s="1" t="n">
        <v>44904</v>
      </c>
      <c r="C3613" s="1" t="n">
        <v>45932</v>
      </c>
      <c r="D3613" t="inlineStr">
        <is>
          <t>VÄRMLANDS LÄN</t>
        </is>
      </c>
      <c r="E3613" t="inlineStr">
        <is>
          <t>EDA</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13863-2023</t>
        </is>
      </c>
      <c r="B3614" s="1" t="n">
        <v>45007</v>
      </c>
      <c r="C3614" s="1" t="n">
        <v>45932</v>
      </c>
      <c r="D3614" t="inlineStr">
        <is>
          <t>VÄRMLANDS LÄN</t>
        </is>
      </c>
      <c r="E3614" t="inlineStr">
        <is>
          <t>KARLSTAD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30339-2022</t>
        </is>
      </c>
      <c r="B3615" s="1" t="n">
        <v>44760.47674768518</v>
      </c>
      <c r="C3615" s="1" t="n">
        <v>45932</v>
      </c>
      <c r="D3615" t="inlineStr">
        <is>
          <t>VÄRMLANDS LÄN</t>
        </is>
      </c>
      <c r="E3615" t="inlineStr">
        <is>
          <t>GRUMS</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17361-2022</t>
        </is>
      </c>
      <c r="B3616" s="1" t="n">
        <v>44678.6044675926</v>
      </c>
      <c r="C3616" s="1" t="n">
        <v>45932</v>
      </c>
      <c r="D3616" t="inlineStr">
        <is>
          <t>VÄRMLANDS LÄN</t>
        </is>
      </c>
      <c r="E3616" t="inlineStr">
        <is>
          <t>ÅRJÄNG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34933-2024</t>
        </is>
      </c>
      <c r="B3617" s="1" t="n">
        <v>45527.45614583333</v>
      </c>
      <c r="C3617" s="1" t="n">
        <v>45932</v>
      </c>
      <c r="D3617" t="inlineStr">
        <is>
          <t>VÄRMLANDS LÄN</t>
        </is>
      </c>
      <c r="E3617" t="inlineStr">
        <is>
          <t>ARVIKA</t>
        </is>
      </c>
      <c r="F3617" t="inlineStr">
        <is>
          <t>Bergvik skog väst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30050-2021</t>
        </is>
      </c>
      <c r="B3618" s="1" t="n">
        <v>44362</v>
      </c>
      <c r="C3618" s="1" t="n">
        <v>45932</v>
      </c>
      <c r="D3618" t="inlineStr">
        <is>
          <t>VÄRMLANDS LÄN</t>
        </is>
      </c>
      <c r="E3618" t="inlineStr">
        <is>
          <t>SÄFFLE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44262-2023</t>
        </is>
      </c>
      <c r="B3619" s="1" t="n">
        <v>45188.59809027778</v>
      </c>
      <c r="C3619" s="1" t="n">
        <v>45932</v>
      </c>
      <c r="D3619" t="inlineStr">
        <is>
          <t>VÄRMLANDS LÄN</t>
        </is>
      </c>
      <c r="E3619" t="inlineStr">
        <is>
          <t>TORSBY</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59886-2021</t>
        </is>
      </c>
      <c r="B3620" s="1" t="n">
        <v>44493</v>
      </c>
      <c r="C3620" s="1" t="n">
        <v>45932</v>
      </c>
      <c r="D3620" t="inlineStr">
        <is>
          <t>VÄRMLANDS LÄN</t>
        </is>
      </c>
      <c r="E3620" t="inlineStr">
        <is>
          <t>ARVIKA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57392-2023</t>
        </is>
      </c>
      <c r="B3621" s="1" t="n">
        <v>45245.95524305556</v>
      </c>
      <c r="C3621" s="1" t="n">
        <v>45932</v>
      </c>
      <c r="D3621" t="inlineStr">
        <is>
          <t>VÄRMLANDS LÄN</t>
        </is>
      </c>
      <c r="E3621" t="inlineStr">
        <is>
          <t>SUNNE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62596-2022</t>
        </is>
      </c>
      <c r="B3622" s="1" t="n">
        <v>44917</v>
      </c>
      <c r="C3622" s="1" t="n">
        <v>45932</v>
      </c>
      <c r="D3622" t="inlineStr">
        <is>
          <t>VÄRMLANDS LÄN</t>
        </is>
      </c>
      <c r="E3622" t="inlineStr">
        <is>
          <t>ARVIKA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62601-2022</t>
        </is>
      </c>
      <c r="B3623" s="1" t="n">
        <v>44917</v>
      </c>
      <c r="C3623" s="1" t="n">
        <v>45932</v>
      </c>
      <c r="D3623" t="inlineStr">
        <is>
          <t>VÄRMLANDS LÄN</t>
        </is>
      </c>
      <c r="E3623" t="inlineStr">
        <is>
          <t>ARVIKA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62607-2022</t>
        </is>
      </c>
      <c r="B3624" s="1" t="n">
        <v>44917</v>
      </c>
      <c r="C3624" s="1" t="n">
        <v>45932</v>
      </c>
      <c r="D3624" t="inlineStr">
        <is>
          <t>VÄRMLANDS LÄN</t>
        </is>
      </c>
      <c r="E3624" t="inlineStr">
        <is>
          <t>ARVIKA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62609-2022</t>
        </is>
      </c>
      <c r="B3625" s="1" t="n">
        <v>44917</v>
      </c>
      <c r="C3625" s="1" t="n">
        <v>45932</v>
      </c>
      <c r="D3625" t="inlineStr">
        <is>
          <t>VÄRMLANDS LÄN</t>
        </is>
      </c>
      <c r="E3625" t="inlineStr">
        <is>
          <t>ARVIKA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62612-2022</t>
        </is>
      </c>
      <c r="B3626" s="1" t="n">
        <v>44917</v>
      </c>
      <c r="C3626" s="1" t="n">
        <v>45932</v>
      </c>
      <c r="D3626" t="inlineStr">
        <is>
          <t>VÄRMLANDS LÄN</t>
        </is>
      </c>
      <c r="E3626" t="inlineStr">
        <is>
          <t>ARVIKA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36587-2024</t>
        </is>
      </c>
      <c r="B3627" s="1" t="n">
        <v>45537</v>
      </c>
      <c r="C3627" s="1" t="n">
        <v>45932</v>
      </c>
      <c r="D3627" t="inlineStr">
        <is>
          <t>VÄRMLANDS LÄN</t>
        </is>
      </c>
      <c r="E3627" t="inlineStr">
        <is>
          <t>ÅRJÄNG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6926-2024</t>
        </is>
      </c>
      <c r="B3628" s="1" t="n">
        <v>45343</v>
      </c>
      <c r="C3628" s="1" t="n">
        <v>45932</v>
      </c>
      <c r="D3628" t="inlineStr">
        <is>
          <t>VÄRMLANDS LÄN</t>
        </is>
      </c>
      <c r="E3628" t="inlineStr">
        <is>
          <t>SUNNE</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68505-2021</t>
        </is>
      </c>
      <c r="B3629" s="1" t="n">
        <v>44525</v>
      </c>
      <c r="C3629" s="1" t="n">
        <v>45932</v>
      </c>
      <c r="D3629" t="inlineStr">
        <is>
          <t>VÄRMLANDS LÄN</t>
        </is>
      </c>
      <c r="E3629" t="inlineStr">
        <is>
          <t>KRISTINEHAMN</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16475-2025</t>
        </is>
      </c>
      <c r="B3630" s="1" t="n">
        <v>45751</v>
      </c>
      <c r="C3630" s="1" t="n">
        <v>45932</v>
      </c>
      <c r="D3630" t="inlineStr">
        <is>
          <t>VÄRMLANDS LÄN</t>
        </is>
      </c>
      <c r="E3630" t="inlineStr">
        <is>
          <t>HAGFORS</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11020-2023</t>
        </is>
      </c>
      <c r="B3631" s="1" t="n">
        <v>44991.76490740741</v>
      </c>
      <c r="C3631" s="1" t="n">
        <v>45932</v>
      </c>
      <c r="D3631" t="inlineStr">
        <is>
          <t>VÄRMLANDS LÄN</t>
        </is>
      </c>
      <c r="E3631" t="inlineStr">
        <is>
          <t>KRISTINEHAMN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73521-2021</t>
        </is>
      </c>
      <c r="B3632" s="1" t="n">
        <v>44551</v>
      </c>
      <c r="C3632" s="1" t="n">
        <v>45932</v>
      </c>
      <c r="D3632" t="inlineStr">
        <is>
          <t>VÄRMLANDS LÄN</t>
        </is>
      </c>
      <c r="E3632" t="inlineStr">
        <is>
          <t>TORSBY</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20647-2024</t>
        </is>
      </c>
      <c r="B3633" s="1" t="n">
        <v>45436</v>
      </c>
      <c r="C3633" s="1" t="n">
        <v>45932</v>
      </c>
      <c r="D3633" t="inlineStr">
        <is>
          <t>VÄRMLANDS LÄN</t>
        </is>
      </c>
      <c r="E3633" t="inlineStr">
        <is>
          <t>TORSBY</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45124-2024</t>
        </is>
      </c>
      <c r="B3634" s="1" t="n">
        <v>45575</v>
      </c>
      <c r="C3634" s="1" t="n">
        <v>45932</v>
      </c>
      <c r="D3634" t="inlineStr">
        <is>
          <t>VÄRMLANDS LÄN</t>
        </is>
      </c>
      <c r="E3634" t="inlineStr">
        <is>
          <t>ÅRJÄNG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45134-2024</t>
        </is>
      </c>
      <c r="B3635" s="1" t="n">
        <v>45575</v>
      </c>
      <c r="C3635" s="1" t="n">
        <v>45932</v>
      </c>
      <c r="D3635" t="inlineStr">
        <is>
          <t>VÄRMLANDS LÄN</t>
        </is>
      </c>
      <c r="E3635" t="inlineStr">
        <is>
          <t>TORSBY</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27588-2024</t>
        </is>
      </c>
      <c r="B3636" s="1" t="n">
        <v>45474</v>
      </c>
      <c r="C3636" s="1" t="n">
        <v>45932</v>
      </c>
      <c r="D3636" t="inlineStr">
        <is>
          <t>VÄRMLANDS LÄN</t>
        </is>
      </c>
      <c r="E3636" t="inlineStr">
        <is>
          <t>TORSBY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27617-2024</t>
        </is>
      </c>
      <c r="B3637" s="1" t="n">
        <v>45474.84886574074</v>
      </c>
      <c r="C3637" s="1" t="n">
        <v>45932</v>
      </c>
      <c r="D3637" t="inlineStr">
        <is>
          <t>VÄRMLANDS LÄN</t>
        </is>
      </c>
      <c r="E3637" t="inlineStr">
        <is>
          <t>ARVIKA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46257-2022</t>
        </is>
      </c>
      <c r="B3638" s="1" t="n">
        <v>44847</v>
      </c>
      <c r="C3638" s="1" t="n">
        <v>45932</v>
      </c>
      <c r="D3638" t="inlineStr">
        <is>
          <t>VÄRMLANDS LÄN</t>
        </is>
      </c>
      <c r="E3638" t="inlineStr">
        <is>
          <t>FILIPSTAD</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46299-2022</t>
        </is>
      </c>
      <c r="B3639" s="1" t="n">
        <v>44847.75081018519</v>
      </c>
      <c r="C3639" s="1" t="n">
        <v>45932</v>
      </c>
      <c r="D3639" t="inlineStr">
        <is>
          <t>VÄRMLANDS LÄN</t>
        </is>
      </c>
      <c r="E3639" t="inlineStr">
        <is>
          <t>GRUMS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17898-2023</t>
        </is>
      </c>
      <c r="B3640" s="1" t="n">
        <v>45039.72086805556</v>
      </c>
      <c r="C3640" s="1" t="n">
        <v>45932</v>
      </c>
      <c r="D3640" t="inlineStr">
        <is>
          <t>VÄRMLANDS LÄN</t>
        </is>
      </c>
      <c r="E3640" t="inlineStr">
        <is>
          <t>TORSBY</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52689-2024</t>
        </is>
      </c>
      <c r="B3641" s="1" t="n">
        <v>45610.39621527777</v>
      </c>
      <c r="C3641" s="1" t="n">
        <v>45932</v>
      </c>
      <c r="D3641" t="inlineStr">
        <is>
          <t>VÄRMLANDS LÄN</t>
        </is>
      </c>
      <c r="E3641" t="inlineStr">
        <is>
          <t>TORSBY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15828-2024</t>
        </is>
      </c>
      <c r="B3642" s="1" t="n">
        <v>45404</v>
      </c>
      <c r="C3642" s="1" t="n">
        <v>45932</v>
      </c>
      <c r="D3642" t="inlineStr">
        <is>
          <t>VÄRMLANDS LÄN</t>
        </is>
      </c>
      <c r="E3642" t="inlineStr">
        <is>
          <t>ÅRJÄNG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29792-2022</t>
        </is>
      </c>
      <c r="B3643" s="1" t="n">
        <v>44755.67122685185</v>
      </c>
      <c r="C3643" s="1" t="n">
        <v>45932</v>
      </c>
      <c r="D3643" t="inlineStr">
        <is>
          <t>VÄRMLANDS LÄN</t>
        </is>
      </c>
      <c r="E3643" t="inlineStr">
        <is>
          <t>ÅRJÄNG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20113-2023</t>
        </is>
      </c>
      <c r="B3644" s="1" t="n">
        <v>45055</v>
      </c>
      <c r="C3644" s="1" t="n">
        <v>45932</v>
      </c>
      <c r="D3644" t="inlineStr">
        <is>
          <t>VÄRMLANDS LÄN</t>
        </is>
      </c>
      <c r="E3644" t="inlineStr">
        <is>
          <t>HAGFORS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20120-2023</t>
        </is>
      </c>
      <c r="B3645" s="1" t="n">
        <v>45055</v>
      </c>
      <c r="C3645" s="1" t="n">
        <v>45932</v>
      </c>
      <c r="D3645" t="inlineStr">
        <is>
          <t>VÄRMLANDS LÄN</t>
        </is>
      </c>
      <c r="E3645" t="inlineStr">
        <is>
          <t>TORSBY</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27033-2023</t>
        </is>
      </c>
      <c r="B3646" s="1" t="n">
        <v>45095.5043287037</v>
      </c>
      <c r="C3646" s="1" t="n">
        <v>45932</v>
      </c>
      <c r="D3646" t="inlineStr">
        <is>
          <t>VÄRMLANDS LÄN</t>
        </is>
      </c>
      <c r="E3646" t="inlineStr">
        <is>
          <t>KRISTINEHAMN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39555-2024</t>
        </is>
      </c>
      <c r="B3647" s="1" t="n">
        <v>45551</v>
      </c>
      <c r="C3647" s="1" t="n">
        <v>45932</v>
      </c>
      <c r="D3647" t="inlineStr">
        <is>
          <t>VÄRMLANDS LÄN</t>
        </is>
      </c>
      <c r="E3647" t="inlineStr">
        <is>
          <t>KARLSTAD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32696-2023</t>
        </is>
      </c>
      <c r="B3648" s="1" t="n">
        <v>45112</v>
      </c>
      <c r="C3648" s="1" t="n">
        <v>45932</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13785-2023</t>
        </is>
      </c>
      <c r="B3649" s="1" t="n">
        <v>45007</v>
      </c>
      <c r="C3649" s="1" t="n">
        <v>45932</v>
      </c>
      <c r="D3649" t="inlineStr">
        <is>
          <t>VÄRMLANDS LÄN</t>
        </is>
      </c>
      <c r="E3649" t="inlineStr">
        <is>
          <t>TORSBY</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53813-2024</t>
        </is>
      </c>
      <c r="B3650" s="1" t="n">
        <v>45615.60076388889</v>
      </c>
      <c r="C3650" s="1" t="n">
        <v>45932</v>
      </c>
      <c r="D3650" t="inlineStr">
        <is>
          <t>VÄRMLANDS LÄN</t>
        </is>
      </c>
      <c r="E3650" t="inlineStr">
        <is>
          <t>HAGFORS</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26670-2023</t>
        </is>
      </c>
      <c r="B3651" s="1" t="n">
        <v>45093</v>
      </c>
      <c r="C3651" s="1" t="n">
        <v>45932</v>
      </c>
      <c r="D3651" t="inlineStr">
        <is>
          <t>VÄRMLANDS LÄN</t>
        </is>
      </c>
      <c r="E3651" t="inlineStr">
        <is>
          <t>KARLSTAD</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48524-2023</t>
        </is>
      </c>
      <c r="B3652" s="1" t="n">
        <v>45208</v>
      </c>
      <c r="C3652" s="1" t="n">
        <v>45932</v>
      </c>
      <c r="D3652" t="inlineStr">
        <is>
          <t>VÄRMLANDS LÄN</t>
        </is>
      </c>
      <c r="E3652" t="inlineStr">
        <is>
          <t>FILIPSTAD</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44906-2024</t>
        </is>
      </c>
      <c r="B3653" s="1" t="n">
        <v>45575</v>
      </c>
      <c r="C3653" s="1" t="n">
        <v>45932</v>
      </c>
      <c r="D3653" t="inlineStr">
        <is>
          <t>VÄRMLANDS LÄN</t>
        </is>
      </c>
      <c r="E3653" t="inlineStr">
        <is>
          <t>HAGFORS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8173-2023</t>
        </is>
      </c>
      <c r="B3654" s="1" t="n">
        <v>44974</v>
      </c>
      <c r="C3654" s="1" t="n">
        <v>45932</v>
      </c>
      <c r="D3654" t="inlineStr">
        <is>
          <t>VÄRMLANDS LÄN</t>
        </is>
      </c>
      <c r="E3654" t="inlineStr">
        <is>
          <t>KRISTINEHAMN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44934-2024</t>
        </is>
      </c>
      <c r="B3655" s="1" t="n">
        <v>45575</v>
      </c>
      <c r="C3655" s="1" t="n">
        <v>45932</v>
      </c>
      <c r="D3655" t="inlineStr">
        <is>
          <t>VÄRMLANDS LÄN</t>
        </is>
      </c>
      <c r="E3655" t="inlineStr">
        <is>
          <t>ÅRJÄNG</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34427-2024</t>
        </is>
      </c>
      <c r="B3656" s="1" t="n">
        <v>45525</v>
      </c>
      <c r="C3656" s="1" t="n">
        <v>45932</v>
      </c>
      <c r="D3656" t="inlineStr">
        <is>
          <t>VÄRMLANDS LÄN</t>
        </is>
      </c>
      <c r="E3656" t="inlineStr">
        <is>
          <t>FORSHAGA</t>
        </is>
      </c>
      <c r="F3656" t="inlineStr">
        <is>
          <t>Bergvik skog väst AB</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1930-2025</t>
        </is>
      </c>
      <c r="B3657" s="1" t="n">
        <v>45671.73806712963</v>
      </c>
      <c r="C3657" s="1" t="n">
        <v>45932</v>
      </c>
      <c r="D3657" t="inlineStr">
        <is>
          <t>VÄRMLANDS LÄN</t>
        </is>
      </c>
      <c r="E3657" t="inlineStr">
        <is>
          <t>KRISTINEHAMN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51922-2024</t>
        </is>
      </c>
      <c r="B3658" s="1" t="n">
        <v>45607</v>
      </c>
      <c r="C3658" s="1" t="n">
        <v>45932</v>
      </c>
      <c r="D3658" t="inlineStr">
        <is>
          <t>VÄRMLANDS LÄN</t>
        </is>
      </c>
      <c r="E3658" t="inlineStr">
        <is>
          <t>FILIPSTAD</t>
        </is>
      </c>
      <c r="F3658" t="inlineStr">
        <is>
          <t>Bergvik skog väst AB</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21138-2023</t>
        </is>
      </c>
      <c r="B3659" s="1" t="n">
        <v>45062.36471064815</v>
      </c>
      <c r="C3659" s="1" t="n">
        <v>45932</v>
      </c>
      <c r="D3659" t="inlineStr">
        <is>
          <t>VÄRMLANDS LÄN</t>
        </is>
      </c>
      <c r="E3659" t="inlineStr">
        <is>
          <t>SUNNE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1841-2024</t>
        </is>
      </c>
      <c r="B3660" s="1" t="n">
        <v>45307.68342592593</v>
      </c>
      <c r="C3660" s="1" t="n">
        <v>45932</v>
      </c>
      <c r="D3660" t="inlineStr">
        <is>
          <t>VÄRMLANDS LÄN</t>
        </is>
      </c>
      <c r="E3660" t="inlineStr">
        <is>
          <t>KARLSTAD</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1842-2024</t>
        </is>
      </c>
      <c r="B3661" s="1" t="n">
        <v>45307</v>
      </c>
      <c r="C3661" s="1" t="n">
        <v>45932</v>
      </c>
      <c r="D3661" t="inlineStr">
        <is>
          <t>VÄRMLANDS LÄN</t>
        </is>
      </c>
      <c r="E3661" t="inlineStr">
        <is>
          <t>SUNNE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38616-2023</t>
        </is>
      </c>
      <c r="B3662" s="1" t="n">
        <v>45162</v>
      </c>
      <c r="C3662" s="1" t="n">
        <v>45932</v>
      </c>
      <c r="D3662" t="inlineStr">
        <is>
          <t>VÄRMLANDS LÄN</t>
        </is>
      </c>
      <c r="E3662" t="inlineStr">
        <is>
          <t>EDA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39213-2023</t>
        </is>
      </c>
      <c r="B3663" s="1" t="n">
        <v>45166</v>
      </c>
      <c r="C3663" s="1" t="n">
        <v>45932</v>
      </c>
      <c r="D3663" t="inlineStr">
        <is>
          <t>VÄRMLANDS LÄN</t>
        </is>
      </c>
      <c r="E3663" t="inlineStr">
        <is>
          <t>FORSHAGA</t>
        </is>
      </c>
      <c r="F3663" t="inlineStr">
        <is>
          <t>Kommuner</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38404-2022</t>
        </is>
      </c>
      <c r="B3664" s="1" t="n">
        <v>44812</v>
      </c>
      <c r="C3664" s="1" t="n">
        <v>45932</v>
      </c>
      <c r="D3664" t="inlineStr">
        <is>
          <t>VÄRMLANDS LÄN</t>
        </is>
      </c>
      <c r="E3664" t="inlineStr">
        <is>
          <t>KRISTINEHAMN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38009-2024</t>
        </is>
      </c>
      <c r="B3665" s="1" t="n">
        <v>45544.62174768518</v>
      </c>
      <c r="C3665" s="1" t="n">
        <v>45932</v>
      </c>
      <c r="D3665" t="inlineStr">
        <is>
          <t>VÄRMLANDS LÄN</t>
        </is>
      </c>
      <c r="E3665" t="inlineStr">
        <is>
          <t>ARVIKA</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2155-2023</t>
        </is>
      </c>
      <c r="B3666" s="1" t="n">
        <v>44941.59325231481</v>
      </c>
      <c r="C3666" s="1" t="n">
        <v>45932</v>
      </c>
      <c r="D3666" t="inlineStr">
        <is>
          <t>VÄRMLANDS LÄN</t>
        </is>
      </c>
      <c r="E3666" t="inlineStr">
        <is>
          <t>ARVIKA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62149-2020</t>
        </is>
      </c>
      <c r="B3667" s="1" t="n">
        <v>44159</v>
      </c>
      <c r="C3667" s="1" t="n">
        <v>45932</v>
      </c>
      <c r="D3667" t="inlineStr">
        <is>
          <t>VÄRMLANDS LÄN</t>
        </is>
      </c>
      <c r="E3667" t="inlineStr">
        <is>
          <t>ARVIKA</t>
        </is>
      </c>
      <c r="F3667" t="inlineStr">
        <is>
          <t>Bergvik skog väst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33582-2024</t>
        </is>
      </c>
      <c r="B3668" s="1" t="n">
        <v>45520.3394675926</v>
      </c>
      <c r="C3668" s="1" t="n">
        <v>45932</v>
      </c>
      <c r="D3668" t="inlineStr">
        <is>
          <t>VÄRMLANDS LÄN</t>
        </is>
      </c>
      <c r="E3668" t="inlineStr">
        <is>
          <t>SUNNE</t>
        </is>
      </c>
      <c r="F3668" t="inlineStr">
        <is>
          <t>Bergvik skog väst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32821-2023</t>
        </is>
      </c>
      <c r="B3669" s="1" t="n">
        <v>45112</v>
      </c>
      <c r="C3669" s="1" t="n">
        <v>45932</v>
      </c>
      <c r="D3669" t="inlineStr">
        <is>
          <t>VÄRMLANDS LÄN</t>
        </is>
      </c>
      <c r="E3669" t="inlineStr">
        <is>
          <t>KRISTINEHAMN</t>
        </is>
      </c>
      <c r="F3669" t="inlineStr">
        <is>
          <t>Kommuner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7496-2024</t>
        </is>
      </c>
      <c r="B3670" s="1" t="n">
        <v>45346.83141203703</v>
      </c>
      <c r="C3670" s="1" t="n">
        <v>45932</v>
      </c>
      <c r="D3670" t="inlineStr">
        <is>
          <t>VÄRMLANDS LÄN</t>
        </is>
      </c>
      <c r="E3670" t="inlineStr">
        <is>
          <t>SUNNE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32878-2023</t>
        </is>
      </c>
      <c r="B3671" s="1" t="n">
        <v>45112</v>
      </c>
      <c r="C3671" s="1" t="n">
        <v>45932</v>
      </c>
      <c r="D3671" t="inlineStr">
        <is>
          <t>VÄRMLANDS LÄN</t>
        </is>
      </c>
      <c r="E3671" t="inlineStr">
        <is>
          <t>KARLSTAD</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513-2023</t>
        </is>
      </c>
      <c r="B3672" s="1" t="n">
        <v>44930</v>
      </c>
      <c r="C3672" s="1" t="n">
        <v>45932</v>
      </c>
      <c r="D3672" t="inlineStr">
        <is>
          <t>VÄRMLANDS LÄN</t>
        </is>
      </c>
      <c r="E3672" t="inlineStr">
        <is>
          <t>SUNNE</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20049-2023</t>
        </is>
      </c>
      <c r="B3673" s="1" t="n">
        <v>45054</v>
      </c>
      <c r="C3673" s="1" t="n">
        <v>45932</v>
      </c>
      <c r="D3673" t="inlineStr">
        <is>
          <t>VÄRMLANDS LÄN</t>
        </is>
      </c>
      <c r="E3673" t="inlineStr">
        <is>
          <t>EDA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20052-2023</t>
        </is>
      </c>
      <c r="B3674" s="1" t="n">
        <v>45054</v>
      </c>
      <c r="C3674" s="1" t="n">
        <v>45932</v>
      </c>
      <c r="D3674" t="inlineStr">
        <is>
          <t>VÄRMLANDS LÄN</t>
        </is>
      </c>
      <c r="E3674" t="inlineStr">
        <is>
          <t>EDA</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15175-2024</t>
        </is>
      </c>
      <c r="B3675" s="1" t="n">
        <v>45400</v>
      </c>
      <c r="C3675" s="1" t="n">
        <v>45932</v>
      </c>
      <c r="D3675" t="inlineStr">
        <is>
          <t>VÄRMLANDS LÄN</t>
        </is>
      </c>
      <c r="E3675" t="inlineStr">
        <is>
          <t>TORSBY</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2503-2024</t>
        </is>
      </c>
      <c r="B3676" s="1" t="n">
        <v>45313.45986111111</v>
      </c>
      <c r="C3676" s="1" t="n">
        <v>45932</v>
      </c>
      <c r="D3676" t="inlineStr">
        <is>
          <t>VÄRMLANDS LÄN</t>
        </is>
      </c>
      <c r="E3676" t="inlineStr">
        <is>
          <t>SÄFFLE</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13532-2024</t>
        </is>
      </c>
      <c r="B3677" s="1" t="n">
        <v>45387.87537037037</v>
      </c>
      <c r="C3677" s="1" t="n">
        <v>45932</v>
      </c>
      <c r="D3677" t="inlineStr">
        <is>
          <t>VÄRMLANDS LÄN</t>
        </is>
      </c>
      <c r="E3677" t="inlineStr">
        <is>
          <t>KARLSTAD</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13824-2024</t>
        </is>
      </c>
      <c r="B3678" s="1" t="n">
        <v>45391.42951388889</v>
      </c>
      <c r="C3678" s="1" t="n">
        <v>45932</v>
      </c>
      <c r="D3678" t="inlineStr">
        <is>
          <t>VÄRMLANDS LÄN</t>
        </is>
      </c>
      <c r="E3678" t="inlineStr">
        <is>
          <t>ÅRJÄNG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35134-2022</t>
        </is>
      </c>
      <c r="B3679" s="1" t="n">
        <v>44797</v>
      </c>
      <c r="C3679" s="1" t="n">
        <v>45932</v>
      </c>
      <c r="D3679" t="inlineStr">
        <is>
          <t>VÄRMLANDS LÄN</t>
        </is>
      </c>
      <c r="E3679" t="inlineStr">
        <is>
          <t>TORSBY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24281-2024</t>
        </is>
      </c>
      <c r="B3680" s="1" t="n">
        <v>45457</v>
      </c>
      <c r="C3680" s="1" t="n">
        <v>45932</v>
      </c>
      <c r="D3680" t="inlineStr">
        <is>
          <t>VÄRMLANDS LÄN</t>
        </is>
      </c>
      <c r="E3680" t="inlineStr">
        <is>
          <t>ÅRJÄNG</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22320-2025</t>
        </is>
      </c>
      <c r="B3681" s="1" t="n">
        <v>45786.40542824074</v>
      </c>
      <c r="C3681" s="1" t="n">
        <v>45932</v>
      </c>
      <c r="D3681" t="inlineStr">
        <is>
          <t>VÄRMLANDS LÄN</t>
        </is>
      </c>
      <c r="E3681" t="inlineStr">
        <is>
          <t>TORSBY</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22339-2025</t>
        </is>
      </c>
      <c r="B3682" s="1" t="n">
        <v>45786</v>
      </c>
      <c r="C3682" s="1" t="n">
        <v>45932</v>
      </c>
      <c r="D3682" t="inlineStr">
        <is>
          <t>VÄRMLANDS LÄN</t>
        </is>
      </c>
      <c r="E3682" t="inlineStr">
        <is>
          <t>TORSBY</t>
        </is>
      </c>
      <c r="F3682" t="inlineStr">
        <is>
          <t>Bergvik skog väst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38252-2023</t>
        </is>
      </c>
      <c r="B3683" s="1" t="n">
        <v>45161</v>
      </c>
      <c r="C3683" s="1" t="n">
        <v>45932</v>
      </c>
      <c r="D3683" t="inlineStr">
        <is>
          <t>VÄRMLANDS LÄN</t>
        </is>
      </c>
      <c r="E3683" t="inlineStr">
        <is>
          <t>TORSBY</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11321-2025</t>
        </is>
      </c>
      <c r="B3684" s="1" t="n">
        <v>45726.46517361111</v>
      </c>
      <c r="C3684" s="1" t="n">
        <v>45932</v>
      </c>
      <c r="D3684" t="inlineStr">
        <is>
          <t>VÄRMLANDS LÄN</t>
        </is>
      </c>
      <c r="E3684" t="inlineStr">
        <is>
          <t>ARVIKA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55088-2022</t>
        </is>
      </c>
      <c r="B3685" s="1" t="n">
        <v>44881</v>
      </c>
      <c r="C3685" s="1" t="n">
        <v>45932</v>
      </c>
      <c r="D3685" t="inlineStr">
        <is>
          <t>VÄRMLANDS LÄN</t>
        </is>
      </c>
      <c r="E3685" t="inlineStr">
        <is>
          <t>SÄFFLE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55092-2022</t>
        </is>
      </c>
      <c r="B3686" s="1" t="n">
        <v>44886.61493055556</v>
      </c>
      <c r="C3686" s="1" t="n">
        <v>45932</v>
      </c>
      <c r="D3686" t="inlineStr">
        <is>
          <t>VÄRMLANDS LÄN</t>
        </is>
      </c>
      <c r="E3686" t="inlineStr">
        <is>
          <t>TORSBY</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11342-2025</t>
        </is>
      </c>
      <c r="B3687" s="1" t="n">
        <v>45726</v>
      </c>
      <c r="C3687" s="1" t="n">
        <v>45932</v>
      </c>
      <c r="D3687" t="inlineStr">
        <is>
          <t>VÄRMLANDS LÄN</t>
        </is>
      </c>
      <c r="E3687" t="inlineStr">
        <is>
          <t>ARVIKA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11401-2025</t>
        </is>
      </c>
      <c r="B3688" s="1" t="n">
        <v>45726</v>
      </c>
      <c r="C3688" s="1" t="n">
        <v>45932</v>
      </c>
      <c r="D3688" t="inlineStr">
        <is>
          <t>VÄRMLANDS LÄN</t>
        </is>
      </c>
      <c r="E3688" t="inlineStr">
        <is>
          <t>ÅRJÄNG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17946-2024</t>
        </is>
      </c>
      <c r="B3689" s="1" t="n">
        <v>45419.63671296297</v>
      </c>
      <c r="C3689" s="1" t="n">
        <v>45932</v>
      </c>
      <c r="D3689" t="inlineStr">
        <is>
          <t>VÄRMLANDS LÄN</t>
        </is>
      </c>
      <c r="E3689" t="inlineStr">
        <is>
          <t>KIL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30158-2024</t>
        </is>
      </c>
      <c r="B3690" s="1" t="n">
        <v>45489</v>
      </c>
      <c r="C3690" s="1" t="n">
        <v>45932</v>
      </c>
      <c r="D3690" t="inlineStr">
        <is>
          <t>VÄRMLANDS LÄN</t>
        </is>
      </c>
      <c r="E3690" t="inlineStr">
        <is>
          <t>HAGFORS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8048-2022</t>
        </is>
      </c>
      <c r="B3691" s="1" t="n">
        <v>44609</v>
      </c>
      <c r="C3691" s="1" t="n">
        <v>45932</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54611-2024</t>
        </is>
      </c>
      <c r="B3692" s="1" t="n">
        <v>45617.70402777778</v>
      </c>
      <c r="C3692" s="1" t="n">
        <v>45932</v>
      </c>
      <c r="D3692" t="inlineStr">
        <is>
          <t>VÄRMLANDS LÄN</t>
        </is>
      </c>
      <c r="E3692" t="inlineStr">
        <is>
          <t>KARLSTAD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37334-2024</t>
        </is>
      </c>
      <c r="B3693" s="1" t="n">
        <v>45540.52130787037</v>
      </c>
      <c r="C3693" s="1" t="n">
        <v>45932</v>
      </c>
      <c r="D3693" t="inlineStr">
        <is>
          <t>VÄRMLANDS LÄN</t>
        </is>
      </c>
      <c r="E3693" t="inlineStr">
        <is>
          <t>SUNNE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62333-2023</t>
        </is>
      </c>
      <c r="B3694" s="1" t="n">
        <v>45267.89706018518</v>
      </c>
      <c r="C3694" s="1" t="n">
        <v>45932</v>
      </c>
      <c r="D3694" t="inlineStr">
        <is>
          <t>VÄRMLANDS LÄN</t>
        </is>
      </c>
      <c r="E3694" t="inlineStr">
        <is>
          <t>EDA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55664-2021</t>
        </is>
      </c>
      <c r="B3695" s="1" t="n">
        <v>44476.39673611111</v>
      </c>
      <c r="C3695" s="1" t="n">
        <v>45932</v>
      </c>
      <c r="D3695" t="inlineStr">
        <is>
          <t>VÄRMLANDS LÄN</t>
        </is>
      </c>
      <c r="E3695" t="inlineStr">
        <is>
          <t>MUNKFORS</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55668-2021</t>
        </is>
      </c>
      <c r="B3696" s="1" t="n">
        <v>44476.40172453703</v>
      </c>
      <c r="C3696" s="1" t="n">
        <v>45932</v>
      </c>
      <c r="D3696" t="inlineStr">
        <is>
          <t>VÄRMLANDS LÄN</t>
        </is>
      </c>
      <c r="E3696" t="inlineStr">
        <is>
          <t>EDA</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22760-2025</t>
        </is>
      </c>
      <c r="B3697" s="1" t="n">
        <v>45789</v>
      </c>
      <c r="C3697" s="1" t="n">
        <v>45932</v>
      </c>
      <c r="D3697" t="inlineStr">
        <is>
          <t>VÄRMLANDS LÄN</t>
        </is>
      </c>
      <c r="E3697" t="inlineStr">
        <is>
          <t>TORSBY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55794-2021</t>
        </is>
      </c>
      <c r="B3698" s="1" t="n">
        <v>44476</v>
      </c>
      <c r="C3698" s="1" t="n">
        <v>45932</v>
      </c>
      <c r="D3698" t="inlineStr">
        <is>
          <t>VÄRMLANDS LÄN</t>
        </is>
      </c>
      <c r="E3698" t="inlineStr">
        <is>
          <t>TORSBY</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61764-2022</t>
        </is>
      </c>
      <c r="B3699" s="1" t="n">
        <v>44911</v>
      </c>
      <c r="C3699" s="1" t="n">
        <v>45932</v>
      </c>
      <c r="D3699" t="inlineStr">
        <is>
          <t>VÄRMLANDS LÄN</t>
        </is>
      </c>
      <c r="E3699" t="inlineStr">
        <is>
          <t>ÅRJÄNG</t>
        </is>
      </c>
      <c r="F3699" t="inlineStr">
        <is>
          <t>Övriga Aktiebolag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22626-2025</t>
        </is>
      </c>
      <c r="B3700" s="1" t="n">
        <v>45789.43600694444</v>
      </c>
      <c r="C3700" s="1" t="n">
        <v>45932</v>
      </c>
      <c r="D3700" t="inlineStr">
        <is>
          <t>VÄRMLANDS LÄN</t>
        </is>
      </c>
      <c r="E3700" t="inlineStr">
        <is>
          <t>SUNNE</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22644-2025</t>
        </is>
      </c>
      <c r="B3701" s="1" t="n">
        <v>45789.46363425926</v>
      </c>
      <c r="C3701" s="1" t="n">
        <v>45932</v>
      </c>
      <c r="D3701" t="inlineStr">
        <is>
          <t>VÄRMLANDS LÄN</t>
        </is>
      </c>
      <c r="E3701" t="inlineStr">
        <is>
          <t>KARLSTAD</t>
        </is>
      </c>
      <c r="F3701" t="inlineStr">
        <is>
          <t>Bergvik skog väst AB</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11427-2022</t>
        </is>
      </c>
      <c r="B3702" s="1" t="n">
        <v>44630</v>
      </c>
      <c r="C3702" s="1" t="n">
        <v>45932</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22667-2025</t>
        </is>
      </c>
      <c r="B3703" s="1" t="n">
        <v>45789</v>
      </c>
      <c r="C3703" s="1" t="n">
        <v>45932</v>
      </c>
      <c r="D3703" t="inlineStr">
        <is>
          <t>VÄRMLANDS LÄN</t>
        </is>
      </c>
      <c r="E3703" t="inlineStr">
        <is>
          <t>ÅRJÄNG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38969-2021</t>
        </is>
      </c>
      <c r="B3704" s="1" t="n">
        <v>44411</v>
      </c>
      <c r="C3704" s="1" t="n">
        <v>45932</v>
      </c>
      <c r="D3704" t="inlineStr">
        <is>
          <t>VÄRMLANDS LÄN</t>
        </is>
      </c>
      <c r="E3704" t="inlineStr">
        <is>
          <t>SUNNE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13809-2023</t>
        </is>
      </c>
      <c r="B3705" s="1" t="n">
        <v>45007</v>
      </c>
      <c r="C3705" s="1" t="n">
        <v>45932</v>
      </c>
      <c r="D3705" t="inlineStr">
        <is>
          <t>VÄRMLANDS LÄN</t>
        </is>
      </c>
      <c r="E3705" t="inlineStr">
        <is>
          <t>ARVIKA</t>
        </is>
      </c>
      <c r="G3705" t="n">
        <v>8.699999999999999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14618-2025</t>
        </is>
      </c>
      <c r="B3706" s="1" t="n">
        <v>45742</v>
      </c>
      <c r="C3706" s="1" t="n">
        <v>45932</v>
      </c>
      <c r="D3706" t="inlineStr">
        <is>
          <t>VÄRMLANDS LÄN</t>
        </is>
      </c>
      <c r="E3706" t="inlineStr">
        <is>
          <t>KIL</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14626-2025</t>
        </is>
      </c>
      <c r="B3707" s="1" t="n">
        <v>45742.42351851852</v>
      </c>
      <c r="C3707" s="1" t="n">
        <v>45932</v>
      </c>
      <c r="D3707" t="inlineStr">
        <is>
          <t>VÄRMLANDS LÄN</t>
        </is>
      </c>
      <c r="E3707" t="inlineStr">
        <is>
          <t>ARVIKA</t>
        </is>
      </c>
      <c r="G3707" t="n">
        <v>14.9</v>
      </c>
      <c r="H3707" t="n">
        <v>0</v>
      </c>
      <c r="I3707" t="n">
        <v>0</v>
      </c>
      <c r="J3707" t="n">
        <v>0</v>
      </c>
      <c r="K3707" t="n">
        <v>0</v>
      </c>
      <c r="L3707" t="n">
        <v>0</v>
      </c>
      <c r="M3707" t="n">
        <v>0</v>
      </c>
      <c r="N3707" t="n">
        <v>0</v>
      </c>
      <c r="O3707" t="n">
        <v>0</v>
      </c>
      <c r="P3707" t="n">
        <v>0</v>
      </c>
      <c r="Q3707" t="n">
        <v>0</v>
      </c>
      <c r="R3707" s="2" t="inlineStr"/>
    </row>
    <row r="3708" ht="15" customHeight="1">
      <c r="A3708" t="inlineStr">
        <is>
          <t>A 22742-2025</t>
        </is>
      </c>
      <c r="B3708" s="1" t="n">
        <v>45789</v>
      </c>
      <c r="C3708" s="1" t="n">
        <v>45932</v>
      </c>
      <c r="D3708" t="inlineStr">
        <is>
          <t>VÄRMLANDS LÄN</t>
        </is>
      </c>
      <c r="E3708" t="inlineStr">
        <is>
          <t>FORSHAGA</t>
        </is>
      </c>
      <c r="F3708" t="inlineStr">
        <is>
          <t>Bergvik skog väst AB</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29375-2024</t>
        </is>
      </c>
      <c r="B3709" s="1" t="n">
        <v>45483.58712962963</v>
      </c>
      <c r="C3709" s="1" t="n">
        <v>45932</v>
      </c>
      <c r="D3709" t="inlineStr">
        <is>
          <t>VÄRMLANDS LÄN</t>
        </is>
      </c>
      <c r="E3709" t="inlineStr">
        <is>
          <t>TORSBY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10574-2023</t>
        </is>
      </c>
      <c r="B3710" s="1" t="n">
        <v>44984</v>
      </c>
      <c r="C3710" s="1" t="n">
        <v>45932</v>
      </c>
      <c r="D3710" t="inlineStr">
        <is>
          <t>VÄRMLANDS LÄN</t>
        </is>
      </c>
      <c r="E3710" t="inlineStr">
        <is>
          <t>ÅRJÄNG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1399-2024</t>
        </is>
      </c>
      <c r="B3711" s="1" t="n">
        <v>45303</v>
      </c>
      <c r="C3711" s="1" t="n">
        <v>45932</v>
      </c>
      <c r="D3711" t="inlineStr">
        <is>
          <t>VÄRMLANDS LÄN</t>
        </is>
      </c>
      <c r="E3711" t="inlineStr">
        <is>
          <t>KRISTINEHAMN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1422-2024</t>
        </is>
      </c>
      <c r="B3712" s="1" t="n">
        <v>45303.62887731481</v>
      </c>
      <c r="C3712" s="1" t="n">
        <v>45932</v>
      </c>
      <c r="D3712" t="inlineStr">
        <is>
          <t>VÄRMLANDS LÄN</t>
        </is>
      </c>
      <c r="E3712" t="inlineStr">
        <is>
          <t>ARVIKA</t>
        </is>
      </c>
      <c r="F3712" t="inlineStr">
        <is>
          <t>Kyrkan</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29401-2024</t>
        </is>
      </c>
      <c r="B3713" s="1" t="n">
        <v>45483</v>
      </c>
      <c r="C3713" s="1" t="n">
        <v>45932</v>
      </c>
      <c r="D3713" t="inlineStr">
        <is>
          <t>VÄRMLANDS LÄN</t>
        </is>
      </c>
      <c r="E3713" t="inlineStr">
        <is>
          <t>ARVIKA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1527-2024</t>
        </is>
      </c>
      <c r="B3714" s="1" t="n">
        <v>45306.45614583333</v>
      </c>
      <c r="C3714" s="1" t="n">
        <v>45932</v>
      </c>
      <c r="D3714" t="inlineStr">
        <is>
          <t>VÄRMLANDS LÄN</t>
        </is>
      </c>
      <c r="E3714" t="inlineStr">
        <is>
          <t>TORSBY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64602-2023</t>
        </is>
      </c>
      <c r="B3715" s="1" t="n">
        <v>45281.50085648148</v>
      </c>
      <c r="C3715" s="1" t="n">
        <v>45932</v>
      </c>
      <c r="D3715" t="inlineStr">
        <is>
          <t>VÄRMLANDS LÄN</t>
        </is>
      </c>
      <c r="E3715" t="inlineStr">
        <is>
          <t>TORSBY</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4189-2025</t>
        </is>
      </c>
      <c r="B3716" s="1" t="n">
        <v>45685</v>
      </c>
      <c r="C3716" s="1" t="n">
        <v>45932</v>
      </c>
      <c r="D3716" t="inlineStr">
        <is>
          <t>VÄRMLANDS LÄN</t>
        </is>
      </c>
      <c r="E3716" t="inlineStr">
        <is>
          <t>ÅRJÄNG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3551-2021</t>
        </is>
      </c>
      <c r="B3717" s="1" t="n">
        <v>44218</v>
      </c>
      <c r="C3717" s="1" t="n">
        <v>45932</v>
      </c>
      <c r="D3717" t="inlineStr">
        <is>
          <t>VÄRMLANDS LÄN</t>
        </is>
      </c>
      <c r="E3717" t="inlineStr">
        <is>
          <t>SÄFFLE</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41631-2024</t>
        </is>
      </c>
      <c r="B3718" s="1" t="n">
        <v>45560</v>
      </c>
      <c r="C3718" s="1" t="n">
        <v>45932</v>
      </c>
      <c r="D3718" t="inlineStr">
        <is>
          <t>VÄRMLANDS LÄN</t>
        </is>
      </c>
      <c r="E3718" t="inlineStr">
        <is>
          <t>TORSBY</t>
        </is>
      </c>
      <c r="F3718" t="inlineStr">
        <is>
          <t>Bergvik skog väst AB</t>
        </is>
      </c>
      <c r="G3718" t="n">
        <v>16.3</v>
      </c>
      <c r="H3718" t="n">
        <v>0</v>
      </c>
      <c r="I3718" t="n">
        <v>0</v>
      </c>
      <c r="J3718" t="n">
        <v>0</v>
      </c>
      <c r="K3718" t="n">
        <v>0</v>
      </c>
      <c r="L3718" t="n">
        <v>0</v>
      </c>
      <c r="M3718" t="n">
        <v>0</v>
      </c>
      <c r="N3718" t="n">
        <v>0</v>
      </c>
      <c r="O3718" t="n">
        <v>0</v>
      </c>
      <c r="P3718" t="n">
        <v>0</v>
      </c>
      <c r="Q3718" t="n">
        <v>0</v>
      </c>
      <c r="R3718" s="2" t="inlineStr"/>
    </row>
    <row r="3719" ht="15" customHeight="1">
      <c r="A3719" t="inlineStr">
        <is>
          <t>A 25654-2024</t>
        </is>
      </c>
      <c r="B3719" s="1" t="n">
        <v>45463</v>
      </c>
      <c r="C3719" s="1" t="n">
        <v>45932</v>
      </c>
      <c r="D3719" t="inlineStr">
        <is>
          <t>VÄRMLANDS LÄN</t>
        </is>
      </c>
      <c r="E3719" t="inlineStr">
        <is>
          <t>ÅRJÄNG</t>
        </is>
      </c>
      <c r="G3719" t="n">
        <v>16.9</v>
      </c>
      <c r="H3719" t="n">
        <v>0</v>
      </c>
      <c r="I3719" t="n">
        <v>0</v>
      </c>
      <c r="J3719" t="n">
        <v>0</v>
      </c>
      <c r="K3719" t="n">
        <v>0</v>
      </c>
      <c r="L3719" t="n">
        <v>0</v>
      </c>
      <c r="M3719" t="n">
        <v>0</v>
      </c>
      <c r="N3719" t="n">
        <v>0</v>
      </c>
      <c r="O3719" t="n">
        <v>0</v>
      </c>
      <c r="P3719" t="n">
        <v>0</v>
      </c>
      <c r="Q3719" t="n">
        <v>0</v>
      </c>
      <c r="R3719" s="2" t="inlineStr"/>
    </row>
    <row r="3720" ht="15" customHeight="1">
      <c r="A3720" t="inlineStr">
        <is>
          <t>A 44432-2021</t>
        </is>
      </c>
      <c r="B3720" s="1" t="n">
        <v>44435</v>
      </c>
      <c r="C3720" s="1" t="n">
        <v>45932</v>
      </c>
      <c r="D3720" t="inlineStr">
        <is>
          <t>VÄRMLANDS LÄN</t>
        </is>
      </c>
      <c r="E3720" t="inlineStr">
        <is>
          <t>ARVIKA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22485-2025</t>
        </is>
      </c>
      <c r="B3721" s="1" t="n">
        <v>45786.64387731482</v>
      </c>
      <c r="C3721" s="1" t="n">
        <v>45932</v>
      </c>
      <c r="D3721" t="inlineStr">
        <is>
          <t>VÄRMLANDS LÄN</t>
        </is>
      </c>
      <c r="E3721" t="inlineStr">
        <is>
          <t>ARVIKA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64539-2023</t>
        </is>
      </c>
      <c r="B3722" s="1" t="n">
        <v>45281</v>
      </c>
      <c r="C3722" s="1" t="n">
        <v>45932</v>
      </c>
      <c r="D3722" t="inlineStr">
        <is>
          <t>VÄRMLANDS LÄN</t>
        </is>
      </c>
      <c r="E3722" t="inlineStr">
        <is>
          <t>SUNNE</t>
        </is>
      </c>
      <c r="G3722" t="n">
        <v>12.5</v>
      </c>
      <c r="H3722" t="n">
        <v>0</v>
      </c>
      <c r="I3722" t="n">
        <v>0</v>
      </c>
      <c r="J3722" t="n">
        <v>0</v>
      </c>
      <c r="K3722" t="n">
        <v>0</v>
      </c>
      <c r="L3722" t="n">
        <v>0</v>
      </c>
      <c r="M3722" t="n">
        <v>0</v>
      </c>
      <c r="N3722" t="n">
        <v>0</v>
      </c>
      <c r="O3722" t="n">
        <v>0</v>
      </c>
      <c r="P3722" t="n">
        <v>0</v>
      </c>
      <c r="Q3722" t="n">
        <v>0</v>
      </c>
      <c r="R3722" s="2" t="inlineStr"/>
    </row>
    <row r="3723" ht="15" customHeight="1">
      <c r="A3723" t="inlineStr">
        <is>
          <t>A 22521-2025</t>
        </is>
      </c>
      <c r="B3723" s="1" t="n">
        <v>45786.68</v>
      </c>
      <c r="C3723" s="1" t="n">
        <v>45932</v>
      </c>
      <c r="D3723" t="inlineStr">
        <is>
          <t>VÄRMLANDS LÄN</t>
        </is>
      </c>
      <c r="E3723" t="inlineStr">
        <is>
          <t>ARVIKA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68180-2021</t>
        </is>
      </c>
      <c r="B3724" s="1" t="n">
        <v>44526.48689814815</v>
      </c>
      <c r="C3724" s="1" t="n">
        <v>45932</v>
      </c>
      <c r="D3724" t="inlineStr">
        <is>
          <t>VÄRMLANDS LÄN</t>
        </is>
      </c>
      <c r="E3724" t="inlineStr">
        <is>
          <t>ÅRJÄNG</t>
        </is>
      </c>
      <c r="F3724" t="inlineStr">
        <is>
          <t>Kyrkan</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20-2024</t>
        </is>
      </c>
      <c r="B3725" s="1" t="n">
        <v>45293.40135416666</v>
      </c>
      <c r="C3725" s="1" t="n">
        <v>45932</v>
      </c>
      <c r="D3725" t="inlineStr">
        <is>
          <t>VÄRMLANDS LÄN</t>
        </is>
      </c>
      <c r="E3725" t="inlineStr">
        <is>
          <t>EDA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4798-2022</t>
        </is>
      </c>
      <c r="B3726" s="1" t="n">
        <v>44592.6534375</v>
      </c>
      <c r="C3726" s="1" t="n">
        <v>45932</v>
      </c>
      <c r="D3726" t="inlineStr">
        <is>
          <t>VÄRMLANDS LÄN</t>
        </is>
      </c>
      <c r="E3726" t="inlineStr">
        <is>
          <t>ÅRJÄNG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4832-2022</t>
        </is>
      </c>
      <c r="B3727" s="1" t="n">
        <v>44592.81854166667</v>
      </c>
      <c r="C3727" s="1" t="n">
        <v>45932</v>
      </c>
      <c r="D3727" t="inlineStr">
        <is>
          <t>VÄRMLANDS LÄN</t>
        </is>
      </c>
      <c r="E3727" t="inlineStr">
        <is>
          <t>KIL</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70658-2021</t>
        </is>
      </c>
      <c r="B3728" s="1" t="n">
        <v>44537.52368055555</v>
      </c>
      <c r="C3728" s="1" t="n">
        <v>45932</v>
      </c>
      <c r="D3728" t="inlineStr">
        <is>
          <t>VÄRMLANDS LÄN</t>
        </is>
      </c>
      <c r="E3728" t="inlineStr">
        <is>
          <t>TORSBY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22558-2025</t>
        </is>
      </c>
      <c r="B3729" s="1" t="n">
        <v>45789.31070601852</v>
      </c>
      <c r="C3729" s="1" t="n">
        <v>45932</v>
      </c>
      <c r="D3729" t="inlineStr">
        <is>
          <t>VÄRMLANDS LÄN</t>
        </is>
      </c>
      <c r="E3729" t="inlineStr">
        <is>
          <t>FILIPSTAD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2397-2022</t>
        </is>
      </c>
      <c r="B3730" s="1" t="n">
        <v>44579</v>
      </c>
      <c r="C3730" s="1" t="n">
        <v>45932</v>
      </c>
      <c r="D3730" t="inlineStr">
        <is>
          <t>VÄRMLANDS LÄN</t>
        </is>
      </c>
      <c r="E3730" t="inlineStr">
        <is>
          <t>SUNNE</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14310-2022</t>
        </is>
      </c>
      <c r="B3731" s="1" t="n">
        <v>44652</v>
      </c>
      <c r="C3731" s="1" t="n">
        <v>45932</v>
      </c>
      <c r="D3731" t="inlineStr">
        <is>
          <t>VÄRMLANDS LÄN</t>
        </is>
      </c>
      <c r="E3731" t="inlineStr">
        <is>
          <t>ÅRJÄNG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54836-2023</t>
        </is>
      </c>
      <c r="B3732" s="1" t="n">
        <v>45229</v>
      </c>
      <c r="C3732" s="1" t="n">
        <v>45932</v>
      </c>
      <c r="D3732" t="inlineStr">
        <is>
          <t>VÄRMLANDS LÄN</t>
        </is>
      </c>
      <c r="E3732" t="inlineStr">
        <is>
          <t>FILIPSTAD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4430-2023</t>
        </is>
      </c>
      <c r="B3733" s="1" t="n">
        <v>44956</v>
      </c>
      <c r="C3733" s="1" t="n">
        <v>45932</v>
      </c>
      <c r="D3733" t="inlineStr">
        <is>
          <t>VÄRMLANDS LÄN</t>
        </is>
      </c>
      <c r="E3733" t="inlineStr">
        <is>
          <t>ARVIKA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22331-2025</t>
        </is>
      </c>
      <c r="B3734" s="1" t="n">
        <v>45786</v>
      </c>
      <c r="C3734" s="1" t="n">
        <v>45932</v>
      </c>
      <c r="D3734" t="inlineStr">
        <is>
          <t>VÄRMLANDS LÄN</t>
        </is>
      </c>
      <c r="E3734" t="inlineStr">
        <is>
          <t>TORSBY</t>
        </is>
      </c>
      <c r="F3734" t="inlineStr">
        <is>
          <t>Bergvik skog väst AB</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20884-2024</t>
        </is>
      </c>
      <c r="B3735" s="1" t="n">
        <v>45439.45408564815</v>
      </c>
      <c r="C3735" s="1" t="n">
        <v>45932</v>
      </c>
      <c r="D3735" t="inlineStr">
        <is>
          <t>VÄRMLANDS LÄN</t>
        </is>
      </c>
      <c r="E3735" t="inlineStr">
        <is>
          <t>ARVIKA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26424-2023</t>
        </is>
      </c>
      <c r="B3736" s="1" t="n">
        <v>45092.39200231482</v>
      </c>
      <c r="C3736" s="1" t="n">
        <v>45932</v>
      </c>
      <c r="D3736" t="inlineStr">
        <is>
          <t>VÄRMLANDS LÄN</t>
        </is>
      </c>
      <c r="E3736" t="inlineStr">
        <is>
          <t>ARVIKA</t>
        </is>
      </c>
      <c r="F3736" t="inlineStr">
        <is>
          <t>Bergvik skog väst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22472-2025</t>
        </is>
      </c>
      <c r="B3737" s="1" t="n">
        <v>45786.61974537037</v>
      </c>
      <c r="C3737" s="1" t="n">
        <v>45932</v>
      </c>
      <c r="D3737" t="inlineStr">
        <is>
          <t>VÄRMLANDS LÄN</t>
        </is>
      </c>
      <c r="E3737" t="inlineStr">
        <is>
          <t>HAGFORS</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15450-2023</t>
        </is>
      </c>
      <c r="B3738" s="1" t="n">
        <v>45020</v>
      </c>
      <c r="C3738" s="1" t="n">
        <v>45932</v>
      </c>
      <c r="D3738" t="inlineStr">
        <is>
          <t>VÄRMLANDS LÄN</t>
        </is>
      </c>
      <c r="E3738" t="inlineStr">
        <is>
          <t>TORSBY</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57236-2023</t>
        </is>
      </c>
      <c r="B3739" s="1" t="n">
        <v>45245.54427083334</v>
      </c>
      <c r="C3739" s="1" t="n">
        <v>45932</v>
      </c>
      <c r="D3739" t="inlineStr">
        <is>
          <t>VÄRMLANDS LÄN</t>
        </is>
      </c>
      <c r="E3739" t="inlineStr">
        <is>
          <t>GRUMS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57237-2023</t>
        </is>
      </c>
      <c r="B3740" s="1" t="n">
        <v>45245</v>
      </c>
      <c r="C3740" s="1" t="n">
        <v>45932</v>
      </c>
      <c r="D3740" t="inlineStr">
        <is>
          <t>VÄRMLANDS LÄN</t>
        </is>
      </c>
      <c r="E3740" t="inlineStr">
        <is>
          <t>GRUMS</t>
        </is>
      </c>
      <c r="G3740" t="n">
        <v>18.2</v>
      </c>
      <c r="H3740" t="n">
        <v>0</v>
      </c>
      <c r="I3740" t="n">
        <v>0</v>
      </c>
      <c r="J3740" t="n">
        <v>0</v>
      </c>
      <c r="K3740" t="n">
        <v>0</v>
      </c>
      <c r="L3740" t="n">
        <v>0</v>
      </c>
      <c r="M3740" t="n">
        <v>0</v>
      </c>
      <c r="N3740" t="n">
        <v>0</v>
      </c>
      <c r="O3740" t="n">
        <v>0</v>
      </c>
      <c r="P3740" t="n">
        <v>0</v>
      </c>
      <c r="Q3740" t="n">
        <v>0</v>
      </c>
      <c r="R3740" s="2" t="inlineStr"/>
    </row>
    <row r="3741" ht="15" customHeight="1">
      <c r="A3741" t="inlineStr">
        <is>
          <t>A 43654-2024</t>
        </is>
      </c>
      <c r="B3741" s="1" t="n">
        <v>45569.53792824074</v>
      </c>
      <c r="C3741" s="1" t="n">
        <v>45932</v>
      </c>
      <c r="D3741" t="inlineStr">
        <is>
          <t>VÄRMLANDS LÄN</t>
        </is>
      </c>
      <c r="E3741" t="inlineStr">
        <is>
          <t>KRISTINEHAMN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55518-2021</t>
        </is>
      </c>
      <c r="B3742" s="1" t="n">
        <v>44475</v>
      </c>
      <c r="C3742" s="1" t="n">
        <v>45932</v>
      </c>
      <c r="D3742" t="inlineStr">
        <is>
          <t>VÄRMLANDS LÄN</t>
        </is>
      </c>
      <c r="E3742" t="inlineStr">
        <is>
          <t>ARVIKA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54190-2023</t>
        </is>
      </c>
      <c r="B3743" s="1" t="n">
        <v>45232</v>
      </c>
      <c r="C3743" s="1" t="n">
        <v>45932</v>
      </c>
      <c r="D3743" t="inlineStr">
        <is>
          <t>VÄRMLANDS LÄN</t>
        </is>
      </c>
      <c r="E3743" t="inlineStr">
        <is>
          <t>STORFORS</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1534-2024</t>
        </is>
      </c>
      <c r="B3744" s="1" t="n">
        <v>45306</v>
      </c>
      <c r="C3744" s="1" t="n">
        <v>45932</v>
      </c>
      <c r="D3744" t="inlineStr">
        <is>
          <t>VÄRMLANDS LÄN</t>
        </is>
      </c>
      <c r="E3744" t="inlineStr">
        <is>
          <t>SÄFFLE</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1979-2023</t>
        </is>
      </c>
      <c r="B3745" s="1" t="n">
        <v>44939</v>
      </c>
      <c r="C3745" s="1" t="n">
        <v>45932</v>
      </c>
      <c r="D3745" t="inlineStr">
        <is>
          <t>VÄRMLANDS LÄN</t>
        </is>
      </c>
      <c r="E3745" t="inlineStr">
        <is>
          <t>TORSBY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22260-2023</t>
        </is>
      </c>
      <c r="B3746" s="1" t="n">
        <v>45070</v>
      </c>
      <c r="C3746" s="1" t="n">
        <v>45932</v>
      </c>
      <c r="D3746" t="inlineStr">
        <is>
          <t>VÄRMLANDS LÄN</t>
        </is>
      </c>
      <c r="E3746" t="inlineStr">
        <is>
          <t>SUNNE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44246-2022</t>
        </is>
      </c>
      <c r="B3747" s="1" t="n">
        <v>44839.55957175926</v>
      </c>
      <c r="C3747" s="1" t="n">
        <v>45932</v>
      </c>
      <c r="D3747" t="inlineStr">
        <is>
          <t>VÄRMLANDS LÄN</t>
        </is>
      </c>
      <c r="E3747" t="inlineStr">
        <is>
          <t>HAGFORS</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18238-2025</t>
        </is>
      </c>
      <c r="B3748" s="1" t="n">
        <v>45761.98936342593</v>
      </c>
      <c r="C3748" s="1" t="n">
        <v>45932</v>
      </c>
      <c r="D3748" t="inlineStr">
        <is>
          <t>VÄRMLANDS LÄN</t>
        </is>
      </c>
      <c r="E3748" t="inlineStr">
        <is>
          <t>ARVIKA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36789-2023</t>
        </is>
      </c>
      <c r="B3749" s="1" t="n">
        <v>45154.36349537037</v>
      </c>
      <c r="C3749" s="1" t="n">
        <v>45932</v>
      </c>
      <c r="D3749" t="inlineStr">
        <is>
          <t>VÄRMLANDS LÄN</t>
        </is>
      </c>
      <c r="E3749" t="inlineStr">
        <is>
          <t>EDA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46909-2024</t>
        </is>
      </c>
      <c r="B3750" s="1" t="n">
        <v>45583</v>
      </c>
      <c r="C3750" s="1" t="n">
        <v>45932</v>
      </c>
      <c r="D3750" t="inlineStr">
        <is>
          <t>VÄRMLANDS LÄN</t>
        </is>
      </c>
      <c r="E3750" t="inlineStr">
        <is>
          <t>TORSBY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22609-2025</t>
        </is>
      </c>
      <c r="B3751" s="1" t="n">
        <v>45789</v>
      </c>
      <c r="C3751" s="1" t="n">
        <v>45932</v>
      </c>
      <c r="D3751" t="inlineStr">
        <is>
          <t>VÄRMLANDS LÄN</t>
        </is>
      </c>
      <c r="E3751" t="inlineStr">
        <is>
          <t>FORSHAGA</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816-2024</t>
        </is>
      </c>
      <c r="B3752" s="1" t="n">
        <v>45300</v>
      </c>
      <c r="C3752" s="1" t="n">
        <v>45932</v>
      </c>
      <c r="D3752" t="inlineStr">
        <is>
          <t>VÄRMLANDS LÄN</t>
        </is>
      </c>
      <c r="E3752" t="inlineStr">
        <is>
          <t>SUNNE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22757-2025</t>
        </is>
      </c>
      <c r="B3753" s="1" t="n">
        <v>45789.61908564815</v>
      </c>
      <c r="C3753" s="1" t="n">
        <v>45932</v>
      </c>
      <c r="D3753" t="inlineStr">
        <is>
          <t>VÄRMLANDS LÄN</t>
        </is>
      </c>
      <c r="E3753" t="inlineStr">
        <is>
          <t>TORSBY</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35762-2024</t>
        </is>
      </c>
      <c r="B3754" s="1" t="n">
        <v>45532.57373842593</v>
      </c>
      <c r="C3754" s="1" t="n">
        <v>45932</v>
      </c>
      <c r="D3754" t="inlineStr">
        <is>
          <t>VÄRMLANDS LÄN</t>
        </is>
      </c>
      <c r="E3754" t="inlineStr">
        <is>
          <t>TORSBY</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35799-2024</t>
        </is>
      </c>
      <c r="B3755" s="1" t="n">
        <v>45532.64354166666</v>
      </c>
      <c r="C3755" s="1" t="n">
        <v>45932</v>
      </c>
      <c r="D3755" t="inlineStr">
        <is>
          <t>VÄRMLANDS LÄN</t>
        </is>
      </c>
      <c r="E3755" t="inlineStr">
        <is>
          <t>ARVIKA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34062-2023</t>
        </is>
      </c>
      <c r="B3756" s="1" t="n">
        <v>45125</v>
      </c>
      <c r="C3756" s="1" t="n">
        <v>45932</v>
      </c>
      <c r="D3756" t="inlineStr">
        <is>
          <t>VÄRMLANDS LÄN</t>
        </is>
      </c>
      <c r="E3756" t="inlineStr">
        <is>
          <t>SUNNE</t>
        </is>
      </c>
      <c r="G3756" t="n">
        <v>20.1</v>
      </c>
      <c r="H3756" t="n">
        <v>0</v>
      </c>
      <c r="I3756" t="n">
        <v>0</v>
      </c>
      <c r="J3756" t="n">
        <v>0</v>
      </c>
      <c r="K3756" t="n">
        <v>0</v>
      </c>
      <c r="L3756" t="n">
        <v>0</v>
      </c>
      <c r="M3756" t="n">
        <v>0</v>
      </c>
      <c r="N3756" t="n">
        <v>0</v>
      </c>
      <c r="O3756" t="n">
        <v>0</v>
      </c>
      <c r="P3756" t="n">
        <v>0</v>
      </c>
      <c r="Q3756" t="n">
        <v>0</v>
      </c>
      <c r="R3756" s="2" t="inlineStr"/>
    </row>
    <row r="3757" ht="15" customHeight="1">
      <c r="A3757" t="inlineStr">
        <is>
          <t>A 2971-2025</t>
        </is>
      </c>
      <c r="B3757" s="1" t="n">
        <v>45678.46741898148</v>
      </c>
      <c r="C3757" s="1" t="n">
        <v>45932</v>
      </c>
      <c r="D3757" t="inlineStr">
        <is>
          <t>VÄRMLANDS LÄN</t>
        </is>
      </c>
      <c r="E3757" t="inlineStr">
        <is>
          <t>HAGFORS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22341-2025</t>
        </is>
      </c>
      <c r="B3758" s="1" t="n">
        <v>45786</v>
      </c>
      <c r="C3758" s="1" t="n">
        <v>45932</v>
      </c>
      <c r="D3758" t="inlineStr">
        <is>
          <t>VÄRMLANDS LÄN</t>
        </is>
      </c>
      <c r="E3758" t="inlineStr">
        <is>
          <t>STORFORS</t>
        </is>
      </c>
      <c r="F3758" t="inlineStr">
        <is>
          <t>Bergvik skog väst AB</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15780-2023</t>
        </is>
      </c>
      <c r="B3759" s="1" t="n">
        <v>45021.66313657408</v>
      </c>
      <c r="C3759" s="1" t="n">
        <v>45932</v>
      </c>
      <c r="D3759" t="inlineStr">
        <is>
          <t>VÄRMLANDS LÄN</t>
        </is>
      </c>
      <c r="E3759" t="inlineStr">
        <is>
          <t>SÄFFLE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43894-2024</t>
        </is>
      </c>
      <c r="B3760" s="1" t="n">
        <v>45572</v>
      </c>
      <c r="C3760" s="1" t="n">
        <v>45932</v>
      </c>
      <c r="D3760" t="inlineStr">
        <is>
          <t>VÄRMLANDS LÄN</t>
        </is>
      </c>
      <c r="E3760" t="inlineStr">
        <is>
          <t>SÄFFLE</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62641-2023</t>
        </is>
      </c>
      <c r="B3761" s="1" t="n">
        <v>45271.42207175926</v>
      </c>
      <c r="C3761" s="1" t="n">
        <v>45932</v>
      </c>
      <c r="D3761" t="inlineStr">
        <is>
          <t>VÄRMLANDS LÄN</t>
        </is>
      </c>
      <c r="E3761" t="inlineStr">
        <is>
          <t>SÄFFLE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61140-2023</t>
        </is>
      </c>
      <c r="B3762" s="1" t="n">
        <v>45261</v>
      </c>
      <c r="C3762" s="1" t="n">
        <v>45932</v>
      </c>
      <c r="D3762" t="inlineStr">
        <is>
          <t>VÄRMLANDS LÄN</t>
        </is>
      </c>
      <c r="E3762" t="inlineStr">
        <is>
          <t>HAGFORS</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22547-2025</t>
        </is>
      </c>
      <c r="B3763" s="1" t="n">
        <v>45788.46444444444</v>
      </c>
      <c r="C3763" s="1" t="n">
        <v>45932</v>
      </c>
      <c r="D3763" t="inlineStr">
        <is>
          <t>VÄRMLANDS LÄN</t>
        </is>
      </c>
      <c r="E3763" t="inlineStr">
        <is>
          <t>FILIPSTAD</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62667-2023</t>
        </is>
      </c>
      <c r="B3764" s="1" t="n">
        <v>45271.45626157407</v>
      </c>
      <c r="C3764" s="1" t="n">
        <v>45932</v>
      </c>
      <c r="D3764" t="inlineStr">
        <is>
          <t>VÄRMLANDS LÄN</t>
        </is>
      </c>
      <c r="E3764" t="inlineStr">
        <is>
          <t>KIL</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19966-2025</t>
        </is>
      </c>
      <c r="B3765" s="1" t="n">
        <v>45771</v>
      </c>
      <c r="C3765" s="1" t="n">
        <v>45932</v>
      </c>
      <c r="D3765" t="inlineStr">
        <is>
          <t>VÄRMLANDS LÄN</t>
        </is>
      </c>
      <c r="E3765" t="inlineStr">
        <is>
          <t>KRISTINEHAMN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22656-2025</t>
        </is>
      </c>
      <c r="B3766" s="1" t="n">
        <v>45789</v>
      </c>
      <c r="C3766" s="1" t="n">
        <v>45932</v>
      </c>
      <c r="D3766" t="inlineStr">
        <is>
          <t>VÄRMLANDS LÄN</t>
        </is>
      </c>
      <c r="E3766" t="inlineStr">
        <is>
          <t>SÄFFLE</t>
        </is>
      </c>
      <c r="F3766" t="inlineStr">
        <is>
          <t>Bergvik skog väst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42474-2023</t>
        </is>
      </c>
      <c r="B3767" s="1" t="n">
        <v>45180.69912037037</v>
      </c>
      <c r="C3767" s="1" t="n">
        <v>45932</v>
      </c>
      <c r="D3767" t="inlineStr">
        <is>
          <t>VÄRMLANDS LÄN</t>
        </is>
      </c>
      <c r="E3767" t="inlineStr">
        <is>
          <t>SUNNE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42477-2023</t>
        </is>
      </c>
      <c r="B3768" s="1" t="n">
        <v>45180</v>
      </c>
      <c r="C3768" s="1" t="n">
        <v>45932</v>
      </c>
      <c r="D3768" t="inlineStr">
        <is>
          <t>VÄRMLANDS LÄN</t>
        </is>
      </c>
      <c r="E3768" t="inlineStr">
        <is>
          <t>SUNNE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22083-2024</t>
        </is>
      </c>
      <c r="B3769" s="1" t="n">
        <v>45443</v>
      </c>
      <c r="C3769" s="1" t="n">
        <v>45932</v>
      </c>
      <c r="D3769" t="inlineStr">
        <is>
          <t>VÄRMLANDS LÄN</t>
        </is>
      </c>
      <c r="E3769" t="inlineStr">
        <is>
          <t>EDA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53755-2022</t>
        </is>
      </c>
      <c r="B3770" s="1" t="n">
        <v>44880</v>
      </c>
      <c r="C3770" s="1" t="n">
        <v>45932</v>
      </c>
      <c r="D3770" t="inlineStr">
        <is>
          <t>VÄRMLANDS LÄN</t>
        </is>
      </c>
      <c r="E3770" t="inlineStr">
        <is>
          <t>SUNNE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60207-2024</t>
        </is>
      </c>
      <c r="B3771" s="1" t="n">
        <v>45642.67428240741</v>
      </c>
      <c r="C3771" s="1" t="n">
        <v>45932</v>
      </c>
      <c r="D3771" t="inlineStr">
        <is>
          <t>VÄRMLANDS LÄN</t>
        </is>
      </c>
      <c r="E3771" t="inlineStr">
        <is>
          <t>TORSBY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15579-2025</t>
        </is>
      </c>
      <c r="B3772" s="1" t="n">
        <v>45747</v>
      </c>
      <c r="C3772" s="1" t="n">
        <v>45932</v>
      </c>
      <c r="D3772" t="inlineStr">
        <is>
          <t>VÄRMLANDS LÄN</t>
        </is>
      </c>
      <c r="E3772" t="inlineStr">
        <is>
          <t>ÅRJÄNG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49693-2020</t>
        </is>
      </c>
      <c r="B3773" s="1" t="n">
        <v>44106</v>
      </c>
      <c r="C3773" s="1" t="n">
        <v>45932</v>
      </c>
      <c r="D3773" t="inlineStr">
        <is>
          <t>VÄRMLANDS LÄN</t>
        </is>
      </c>
      <c r="E3773" t="inlineStr">
        <is>
          <t>SÄFFLE</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6317-2025</t>
        </is>
      </c>
      <c r="B3774" s="1" t="n">
        <v>45698.74826388889</v>
      </c>
      <c r="C3774" s="1" t="n">
        <v>45932</v>
      </c>
      <c r="D3774" t="inlineStr">
        <is>
          <t>VÄRMLANDS LÄN</t>
        </is>
      </c>
      <c r="E3774" t="inlineStr">
        <is>
          <t>TORSBY</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35863-2023</t>
        </is>
      </c>
      <c r="B3775" s="1" t="n">
        <v>45148</v>
      </c>
      <c r="C3775" s="1" t="n">
        <v>45932</v>
      </c>
      <c r="D3775" t="inlineStr">
        <is>
          <t>VÄRMLANDS LÄN</t>
        </is>
      </c>
      <c r="E3775" t="inlineStr">
        <is>
          <t>FORSHAGA</t>
        </is>
      </c>
      <c r="F3775" t="inlineStr">
        <is>
          <t>Kommuner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26859-2024</t>
        </is>
      </c>
      <c r="B3776" s="1" t="n">
        <v>45470.60206018519</v>
      </c>
      <c r="C3776" s="1" t="n">
        <v>45932</v>
      </c>
      <c r="D3776" t="inlineStr">
        <is>
          <t>VÄRMLANDS LÄN</t>
        </is>
      </c>
      <c r="E3776" t="inlineStr">
        <is>
          <t>HAGFORS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26866-2024</t>
        </is>
      </c>
      <c r="B3777" s="1" t="n">
        <v>45470</v>
      </c>
      <c r="C3777" s="1" t="n">
        <v>45932</v>
      </c>
      <c r="D3777" t="inlineStr">
        <is>
          <t>VÄRMLANDS LÄN</t>
        </is>
      </c>
      <c r="E3777" t="inlineStr">
        <is>
          <t>ÅRJÄNG</t>
        </is>
      </c>
      <c r="F3777" t="inlineStr">
        <is>
          <t>Kyrkan</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26887-2024</t>
        </is>
      </c>
      <c r="B3778" s="1" t="n">
        <v>45470.64864583333</v>
      </c>
      <c r="C3778" s="1" t="n">
        <v>45932</v>
      </c>
      <c r="D3778" t="inlineStr">
        <is>
          <t>VÄRMLANDS LÄN</t>
        </is>
      </c>
      <c r="E3778" t="inlineStr">
        <is>
          <t>TORSBY</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36774-2022</t>
        </is>
      </c>
      <c r="B3779" s="1" t="n">
        <v>44805</v>
      </c>
      <c r="C3779" s="1" t="n">
        <v>45932</v>
      </c>
      <c r="D3779" t="inlineStr">
        <is>
          <t>VÄRMLANDS LÄN</t>
        </is>
      </c>
      <c r="E3779" t="inlineStr">
        <is>
          <t>KRISTINEHAMN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23367-2025</t>
        </is>
      </c>
      <c r="B3780" s="1" t="n">
        <v>45791.69582175926</v>
      </c>
      <c r="C3780" s="1" t="n">
        <v>45932</v>
      </c>
      <c r="D3780" t="inlineStr">
        <is>
          <t>VÄRMLANDS LÄN</t>
        </is>
      </c>
      <c r="E3780" t="inlineStr">
        <is>
          <t>TORSBY</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7101-2025</t>
        </is>
      </c>
      <c r="B3781" s="1" t="n">
        <v>45701</v>
      </c>
      <c r="C3781" s="1" t="n">
        <v>45932</v>
      </c>
      <c r="D3781" t="inlineStr">
        <is>
          <t>VÄRMLANDS LÄN</t>
        </is>
      </c>
      <c r="E3781" t="inlineStr">
        <is>
          <t>TORSBY</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26863-2024</t>
        </is>
      </c>
      <c r="B3782" s="1" t="n">
        <v>45470.60811342593</v>
      </c>
      <c r="C3782" s="1" t="n">
        <v>45932</v>
      </c>
      <c r="D3782" t="inlineStr">
        <is>
          <t>VÄRMLANDS LÄN</t>
        </is>
      </c>
      <c r="E3782" t="inlineStr">
        <is>
          <t>ARVIKA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28357-2024</t>
        </is>
      </c>
      <c r="B3783" s="1" t="n">
        <v>45477.57092592592</v>
      </c>
      <c r="C3783" s="1" t="n">
        <v>45932</v>
      </c>
      <c r="D3783" t="inlineStr">
        <is>
          <t>VÄRMLANDS LÄN</t>
        </is>
      </c>
      <c r="E3783" t="inlineStr">
        <is>
          <t>FILIPSTAD</t>
        </is>
      </c>
      <c r="F3783" t="inlineStr">
        <is>
          <t>Bergvik skog väst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50904-2023</t>
        </is>
      </c>
      <c r="B3784" s="1" t="n">
        <v>45218.4169212963</v>
      </c>
      <c r="C3784" s="1" t="n">
        <v>45932</v>
      </c>
      <c r="D3784" t="inlineStr">
        <is>
          <t>VÄRMLANDS LÄN</t>
        </is>
      </c>
      <c r="E3784" t="inlineStr">
        <is>
          <t>FILIPSTAD</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23357-2025</t>
        </is>
      </c>
      <c r="B3785" s="1" t="n">
        <v>45791.67365740741</v>
      </c>
      <c r="C3785" s="1" t="n">
        <v>45932</v>
      </c>
      <c r="D3785" t="inlineStr">
        <is>
          <t>VÄRMLANDS LÄN</t>
        </is>
      </c>
      <c r="E3785" t="inlineStr">
        <is>
          <t>SÄFFLE</t>
        </is>
      </c>
      <c r="F3785" t="inlineStr">
        <is>
          <t>Bergvik skog väst AB</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59014-2022</t>
        </is>
      </c>
      <c r="B3786" s="1" t="n">
        <v>44903</v>
      </c>
      <c r="C3786" s="1" t="n">
        <v>45932</v>
      </c>
      <c r="D3786" t="inlineStr">
        <is>
          <t>VÄRMLANDS LÄN</t>
        </is>
      </c>
      <c r="E3786" t="inlineStr">
        <is>
          <t>ARVIKA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25786-2024</t>
        </is>
      </c>
      <c r="B3787" s="1" t="n">
        <v>45466</v>
      </c>
      <c r="C3787" s="1" t="n">
        <v>45932</v>
      </c>
      <c r="D3787" t="inlineStr">
        <is>
          <t>VÄRMLANDS LÄN</t>
        </is>
      </c>
      <c r="E3787" t="inlineStr">
        <is>
          <t>KARLSTAD</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12350-2023</t>
        </is>
      </c>
      <c r="B3788" s="1" t="n">
        <v>44998</v>
      </c>
      <c r="C3788" s="1" t="n">
        <v>45932</v>
      </c>
      <c r="D3788" t="inlineStr">
        <is>
          <t>VÄRMLANDS LÄN</t>
        </is>
      </c>
      <c r="E3788" t="inlineStr">
        <is>
          <t>GRUMS</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46208-2023</t>
        </is>
      </c>
      <c r="B3789" s="1" t="n">
        <v>45196.64975694445</v>
      </c>
      <c r="C3789" s="1" t="n">
        <v>45932</v>
      </c>
      <c r="D3789" t="inlineStr">
        <is>
          <t>VÄRMLANDS LÄN</t>
        </is>
      </c>
      <c r="E3789" t="inlineStr">
        <is>
          <t>HAGFORS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57866-2022</t>
        </is>
      </c>
      <c r="B3790" s="1" t="n">
        <v>44899</v>
      </c>
      <c r="C3790" s="1" t="n">
        <v>45932</v>
      </c>
      <c r="D3790" t="inlineStr">
        <is>
          <t>VÄRMLANDS LÄN</t>
        </is>
      </c>
      <c r="E3790" t="inlineStr">
        <is>
          <t>EDA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22846-2025</t>
        </is>
      </c>
      <c r="B3791" s="1" t="n">
        <v>45790.32454861111</v>
      </c>
      <c r="C3791" s="1" t="n">
        <v>45932</v>
      </c>
      <c r="D3791" t="inlineStr">
        <is>
          <t>VÄRMLANDS LÄN</t>
        </is>
      </c>
      <c r="E3791" t="inlineStr">
        <is>
          <t>KARLSTAD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22849-2025</t>
        </is>
      </c>
      <c r="B3792" s="1" t="n">
        <v>45790.33559027778</v>
      </c>
      <c r="C3792" s="1" t="n">
        <v>45932</v>
      </c>
      <c r="D3792" t="inlineStr">
        <is>
          <t>VÄRMLANDS LÄN</t>
        </is>
      </c>
      <c r="E3792" t="inlineStr">
        <is>
          <t>ARVIKA</t>
        </is>
      </c>
      <c r="F3792" t="inlineStr">
        <is>
          <t>Bergvik skog väst AB</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13074-2023</t>
        </is>
      </c>
      <c r="B3793" s="1" t="n">
        <v>45001</v>
      </c>
      <c r="C3793" s="1" t="n">
        <v>45932</v>
      </c>
      <c r="D3793" t="inlineStr">
        <is>
          <t>VÄRMLANDS LÄN</t>
        </is>
      </c>
      <c r="E3793" t="inlineStr">
        <is>
          <t>ARVIKA</t>
        </is>
      </c>
      <c r="G3793" t="n">
        <v>21.1</v>
      </c>
      <c r="H3793" t="n">
        <v>0</v>
      </c>
      <c r="I3793" t="n">
        <v>0</v>
      </c>
      <c r="J3793" t="n">
        <v>0</v>
      </c>
      <c r="K3793" t="n">
        <v>0</v>
      </c>
      <c r="L3793" t="n">
        <v>0</v>
      </c>
      <c r="M3793" t="n">
        <v>0</v>
      </c>
      <c r="N3793" t="n">
        <v>0</v>
      </c>
      <c r="O3793" t="n">
        <v>0</v>
      </c>
      <c r="P3793" t="n">
        <v>0</v>
      </c>
      <c r="Q3793" t="n">
        <v>0</v>
      </c>
      <c r="R3793" s="2" t="inlineStr"/>
    </row>
    <row r="3794" ht="15" customHeight="1">
      <c r="A3794" t="inlineStr">
        <is>
          <t>A 23287-2025</t>
        </is>
      </c>
      <c r="B3794" s="1" t="n">
        <v>45791.5816087963</v>
      </c>
      <c r="C3794" s="1" t="n">
        <v>45932</v>
      </c>
      <c r="D3794" t="inlineStr">
        <is>
          <t>VÄRMLANDS LÄN</t>
        </is>
      </c>
      <c r="E3794" t="inlineStr">
        <is>
          <t>TORSBY</t>
        </is>
      </c>
      <c r="F3794" t="inlineStr">
        <is>
          <t>Bergvik skog väst AB</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36543-2024</t>
        </is>
      </c>
      <c r="B3795" s="1" t="n">
        <v>45537.46413194444</v>
      </c>
      <c r="C3795" s="1" t="n">
        <v>45932</v>
      </c>
      <c r="D3795" t="inlineStr">
        <is>
          <t>VÄRMLANDS LÄN</t>
        </is>
      </c>
      <c r="E3795" t="inlineStr">
        <is>
          <t>KRISTINEHAMN</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73324-2021</t>
        </is>
      </c>
      <c r="B3796" s="1" t="n">
        <v>44550</v>
      </c>
      <c r="C3796" s="1" t="n">
        <v>45932</v>
      </c>
      <c r="D3796" t="inlineStr">
        <is>
          <t>VÄRMLANDS LÄN</t>
        </is>
      </c>
      <c r="E3796" t="inlineStr">
        <is>
          <t>TORSBY</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35304-2024</t>
        </is>
      </c>
      <c r="B3797" s="1" t="n">
        <v>45530.67231481482</v>
      </c>
      <c r="C3797" s="1" t="n">
        <v>45932</v>
      </c>
      <c r="D3797" t="inlineStr">
        <is>
          <t>VÄRMLANDS LÄN</t>
        </is>
      </c>
      <c r="E3797" t="inlineStr">
        <is>
          <t>FILIPSTAD</t>
        </is>
      </c>
      <c r="F3797" t="inlineStr">
        <is>
          <t>Bergvik skog väst AB</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53038-2022</t>
        </is>
      </c>
      <c r="B3798" s="1" t="n">
        <v>44873</v>
      </c>
      <c r="C3798" s="1" t="n">
        <v>45932</v>
      </c>
      <c r="D3798" t="inlineStr">
        <is>
          <t>VÄRMLANDS LÄN</t>
        </is>
      </c>
      <c r="E3798" t="inlineStr">
        <is>
          <t>KARLSTAD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58727-2021</t>
        </is>
      </c>
      <c r="B3799" s="1" t="n">
        <v>44489.49052083334</v>
      </c>
      <c r="C3799" s="1" t="n">
        <v>45932</v>
      </c>
      <c r="D3799" t="inlineStr">
        <is>
          <t>VÄRMLANDS LÄN</t>
        </is>
      </c>
      <c r="E3799" t="inlineStr">
        <is>
          <t>TORSBY</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12247-2022</t>
        </is>
      </c>
      <c r="B3800" s="1" t="n">
        <v>44637.42344907407</v>
      </c>
      <c r="C3800" s="1" t="n">
        <v>45932</v>
      </c>
      <c r="D3800" t="inlineStr">
        <is>
          <t>VÄRMLANDS LÄN</t>
        </is>
      </c>
      <c r="E3800" t="inlineStr">
        <is>
          <t>FILIPSTAD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51865-2023</t>
        </is>
      </c>
      <c r="B3801" s="1" t="n">
        <v>45223.36175925926</v>
      </c>
      <c r="C3801" s="1" t="n">
        <v>45932</v>
      </c>
      <c r="D3801" t="inlineStr">
        <is>
          <t>VÄRMLANDS LÄN</t>
        </is>
      </c>
      <c r="E3801" t="inlineStr">
        <is>
          <t>EDA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23230-2025</t>
        </is>
      </c>
      <c r="B3802" s="1" t="n">
        <v>45791.48964120371</v>
      </c>
      <c r="C3802" s="1" t="n">
        <v>45932</v>
      </c>
      <c r="D3802" t="inlineStr">
        <is>
          <t>VÄRMLANDS LÄN</t>
        </is>
      </c>
      <c r="E3802" t="inlineStr">
        <is>
          <t>SUNNE</t>
        </is>
      </c>
      <c r="F3802" t="inlineStr">
        <is>
          <t>Kyrkan</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50318-2023</t>
        </is>
      </c>
      <c r="B3803" s="1" t="n">
        <v>45216.54363425926</v>
      </c>
      <c r="C3803" s="1" t="n">
        <v>45932</v>
      </c>
      <c r="D3803" t="inlineStr">
        <is>
          <t>VÄRMLANDS LÄN</t>
        </is>
      </c>
      <c r="E3803" t="inlineStr">
        <is>
          <t>HAGFORS</t>
        </is>
      </c>
      <c r="F3803" t="inlineStr">
        <is>
          <t>Bergvik skog väst AB</t>
        </is>
      </c>
      <c r="G3803" t="n">
        <v>18.1</v>
      </c>
      <c r="H3803" t="n">
        <v>0</v>
      </c>
      <c r="I3803" t="n">
        <v>0</v>
      </c>
      <c r="J3803" t="n">
        <v>0</v>
      </c>
      <c r="K3803" t="n">
        <v>0</v>
      </c>
      <c r="L3803" t="n">
        <v>0</v>
      </c>
      <c r="M3803" t="n">
        <v>0</v>
      </c>
      <c r="N3803" t="n">
        <v>0</v>
      </c>
      <c r="O3803" t="n">
        <v>0</v>
      </c>
      <c r="P3803" t="n">
        <v>0</v>
      </c>
      <c r="Q3803" t="n">
        <v>0</v>
      </c>
      <c r="R3803" s="2" t="inlineStr"/>
    </row>
    <row r="3804" ht="15" customHeight="1">
      <c r="A3804" t="inlineStr">
        <is>
          <t>A 63781-2023</t>
        </is>
      </c>
      <c r="B3804" s="1" t="n">
        <v>45278</v>
      </c>
      <c r="C3804" s="1" t="n">
        <v>45932</v>
      </c>
      <c r="D3804" t="inlineStr">
        <is>
          <t>VÄRMLANDS LÄN</t>
        </is>
      </c>
      <c r="E3804" t="inlineStr">
        <is>
          <t>SÄFFLE</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23268-2025</t>
        </is>
      </c>
      <c r="B3805" s="1" t="n">
        <v>45791.56040509259</v>
      </c>
      <c r="C3805" s="1" t="n">
        <v>45932</v>
      </c>
      <c r="D3805" t="inlineStr">
        <is>
          <t>VÄRMLANDS LÄN</t>
        </is>
      </c>
      <c r="E3805" t="inlineStr">
        <is>
          <t>HAGFORS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16861-2021</t>
        </is>
      </c>
      <c r="B3806" s="1" t="n">
        <v>44295.42576388889</v>
      </c>
      <c r="C3806" s="1" t="n">
        <v>45932</v>
      </c>
      <c r="D3806" t="inlineStr">
        <is>
          <t>VÄRMLANDS LÄN</t>
        </is>
      </c>
      <c r="E3806" t="inlineStr">
        <is>
          <t>KARLSTAD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50337-2023</t>
        </is>
      </c>
      <c r="B3807" s="1" t="n">
        <v>45216.56710648148</v>
      </c>
      <c r="C3807" s="1" t="n">
        <v>45932</v>
      </c>
      <c r="D3807" t="inlineStr">
        <is>
          <t>VÄRMLANDS LÄN</t>
        </is>
      </c>
      <c r="E3807" t="inlineStr">
        <is>
          <t>HAGFORS</t>
        </is>
      </c>
      <c r="F3807" t="inlineStr">
        <is>
          <t>Bergvik skog väst AB</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16896-2024</t>
        </is>
      </c>
      <c r="B3808" s="1" t="n">
        <v>45411.62149305556</v>
      </c>
      <c r="C3808" s="1" t="n">
        <v>45932</v>
      </c>
      <c r="D3808" t="inlineStr">
        <is>
          <t>VÄRMLANDS LÄN</t>
        </is>
      </c>
      <c r="E3808" t="inlineStr">
        <is>
          <t>SUNNE</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24947-2024</t>
        </is>
      </c>
      <c r="B3809" s="1" t="n">
        <v>45461</v>
      </c>
      <c r="C3809" s="1" t="n">
        <v>45932</v>
      </c>
      <c r="D3809" t="inlineStr">
        <is>
          <t>VÄRMLANDS LÄN</t>
        </is>
      </c>
      <c r="E3809" t="inlineStr">
        <is>
          <t>HAGFORS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24965-2024</t>
        </is>
      </c>
      <c r="B3810" s="1" t="n">
        <v>45461</v>
      </c>
      <c r="C3810" s="1" t="n">
        <v>45932</v>
      </c>
      <c r="D3810" t="inlineStr">
        <is>
          <t>VÄRMLANDS LÄN</t>
        </is>
      </c>
      <c r="E3810" t="inlineStr">
        <is>
          <t>HAGFORS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22944-2025</t>
        </is>
      </c>
      <c r="B3811" s="1" t="n">
        <v>45790</v>
      </c>
      <c r="C3811" s="1" t="n">
        <v>45932</v>
      </c>
      <c r="D3811" t="inlineStr">
        <is>
          <t>VÄRMLANDS LÄN</t>
        </is>
      </c>
      <c r="E3811" t="inlineStr">
        <is>
          <t>MUNKFORS</t>
        </is>
      </c>
      <c r="F3811" t="inlineStr">
        <is>
          <t>Bergvik skog väst AB</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22996-2025</t>
        </is>
      </c>
      <c r="B3812" s="1" t="n">
        <v>45790</v>
      </c>
      <c r="C3812" s="1" t="n">
        <v>45932</v>
      </c>
      <c r="D3812" t="inlineStr">
        <is>
          <t>VÄRMLANDS LÄN</t>
        </is>
      </c>
      <c r="E3812" t="inlineStr">
        <is>
          <t>SÄFFLE</t>
        </is>
      </c>
      <c r="F3812" t="inlineStr">
        <is>
          <t>Bergvik skog väst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35611-2023</t>
        </is>
      </c>
      <c r="B3813" s="1" t="n">
        <v>45147</v>
      </c>
      <c r="C3813" s="1" t="n">
        <v>45932</v>
      </c>
      <c r="D3813" t="inlineStr">
        <is>
          <t>VÄRMLANDS LÄN</t>
        </is>
      </c>
      <c r="E3813" t="inlineStr">
        <is>
          <t>SUNNE</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35613-2023</t>
        </is>
      </c>
      <c r="B3814" s="1" t="n">
        <v>45146</v>
      </c>
      <c r="C3814" s="1" t="n">
        <v>45932</v>
      </c>
      <c r="D3814" t="inlineStr">
        <is>
          <t>VÄRMLANDS LÄN</t>
        </is>
      </c>
      <c r="E3814" t="inlineStr">
        <is>
          <t>ARVIKA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35628-2023</t>
        </is>
      </c>
      <c r="B3815" s="1" t="n">
        <v>45146</v>
      </c>
      <c r="C3815" s="1" t="n">
        <v>45932</v>
      </c>
      <c r="D3815" t="inlineStr">
        <is>
          <t>VÄRMLANDS LÄN</t>
        </is>
      </c>
      <c r="E3815" t="inlineStr">
        <is>
          <t>ARVIKA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48288-2022</t>
        </is>
      </c>
      <c r="B3816" s="1" t="n">
        <v>44858.51219907407</v>
      </c>
      <c r="C3816" s="1" t="n">
        <v>45932</v>
      </c>
      <c r="D3816" t="inlineStr">
        <is>
          <t>VÄRMLANDS LÄN</t>
        </is>
      </c>
      <c r="E3816" t="inlineStr">
        <is>
          <t>EDA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59080-2024</t>
        </is>
      </c>
      <c r="B3817" s="1" t="n">
        <v>45637</v>
      </c>
      <c r="C3817" s="1" t="n">
        <v>45932</v>
      </c>
      <c r="D3817" t="inlineStr">
        <is>
          <t>VÄRMLANDS LÄN</t>
        </is>
      </c>
      <c r="E3817" t="inlineStr">
        <is>
          <t>TORSBY</t>
        </is>
      </c>
      <c r="F3817" t="inlineStr">
        <is>
          <t>Bergvik skog väst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17754-2025</t>
        </is>
      </c>
      <c r="B3818" s="1" t="n">
        <v>45758</v>
      </c>
      <c r="C3818" s="1" t="n">
        <v>45932</v>
      </c>
      <c r="D3818" t="inlineStr">
        <is>
          <t>VÄRMLANDS LÄN</t>
        </is>
      </c>
      <c r="E3818" t="inlineStr">
        <is>
          <t>TORSBY</t>
        </is>
      </c>
      <c r="F3818" t="inlineStr">
        <is>
          <t>Bergvik skog väst AB</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14078-2025</t>
        </is>
      </c>
      <c r="B3819" s="1" t="n">
        <v>45740.43538194444</v>
      </c>
      <c r="C3819" s="1" t="n">
        <v>45932</v>
      </c>
      <c r="D3819" t="inlineStr">
        <is>
          <t>VÄRMLANDS LÄN</t>
        </is>
      </c>
      <c r="E3819" t="inlineStr">
        <is>
          <t>SUNNE</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11178-2022</t>
        </is>
      </c>
      <c r="B3820" s="1" t="n">
        <v>44629</v>
      </c>
      <c r="C3820" s="1" t="n">
        <v>45932</v>
      </c>
      <c r="D3820" t="inlineStr">
        <is>
          <t>VÄRMLANDS LÄN</t>
        </is>
      </c>
      <c r="E3820" t="inlineStr">
        <is>
          <t>ARVIKA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6030-2023</t>
        </is>
      </c>
      <c r="B3821" s="1" t="n">
        <v>44964</v>
      </c>
      <c r="C3821" s="1" t="n">
        <v>45932</v>
      </c>
      <c r="D3821" t="inlineStr">
        <is>
          <t>VÄRMLANDS LÄN</t>
        </is>
      </c>
      <c r="E3821" t="inlineStr">
        <is>
          <t>ARVIKA</t>
        </is>
      </c>
      <c r="G3821" t="n">
        <v>10.5</v>
      </c>
      <c r="H3821" t="n">
        <v>0</v>
      </c>
      <c r="I3821" t="n">
        <v>0</v>
      </c>
      <c r="J3821" t="n">
        <v>0</v>
      </c>
      <c r="K3821" t="n">
        <v>0</v>
      </c>
      <c r="L3821" t="n">
        <v>0</v>
      </c>
      <c r="M3821" t="n">
        <v>0</v>
      </c>
      <c r="N3821" t="n">
        <v>0</v>
      </c>
      <c r="O3821" t="n">
        <v>0</v>
      </c>
      <c r="P3821" t="n">
        <v>0</v>
      </c>
      <c r="Q3821" t="n">
        <v>0</v>
      </c>
      <c r="R3821" s="2" t="inlineStr"/>
    </row>
    <row r="3822" ht="15" customHeight="1">
      <c r="A3822" t="inlineStr">
        <is>
          <t>A 8825-2025</t>
        </is>
      </c>
      <c r="B3822" s="1" t="n">
        <v>45712.86552083334</v>
      </c>
      <c r="C3822" s="1" t="n">
        <v>45932</v>
      </c>
      <c r="D3822" t="inlineStr">
        <is>
          <t>VÄRMLANDS LÄN</t>
        </is>
      </c>
      <c r="E3822" t="inlineStr">
        <is>
          <t>ARVIKA</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8826-2025</t>
        </is>
      </c>
      <c r="B3823" s="1" t="n">
        <v>45712</v>
      </c>
      <c r="C3823" s="1" t="n">
        <v>45932</v>
      </c>
      <c r="D3823" t="inlineStr">
        <is>
          <t>VÄRMLANDS LÄN</t>
        </is>
      </c>
      <c r="E3823" t="inlineStr">
        <is>
          <t>SÄFFLE</t>
        </is>
      </c>
      <c r="F3823" t="inlineStr">
        <is>
          <t>Kommuner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43407-2022</t>
        </is>
      </c>
      <c r="B3824" s="1" t="n">
        <v>44834</v>
      </c>
      <c r="C3824" s="1" t="n">
        <v>45932</v>
      </c>
      <c r="D3824" t="inlineStr">
        <is>
          <t>VÄRMLANDS LÄN</t>
        </is>
      </c>
      <c r="E3824" t="inlineStr">
        <is>
          <t>STORFORS</t>
        </is>
      </c>
      <c r="F3824" t="inlineStr">
        <is>
          <t>Bergvik skog väst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44504-2023</t>
        </is>
      </c>
      <c r="B3825" s="1" t="n">
        <v>45189.46061342592</v>
      </c>
      <c r="C3825" s="1" t="n">
        <v>45932</v>
      </c>
      <c r="D3825" t="inlineStr">
        <is>
          <t>VÄRMLANDS LÄN</t>
        </is>
      </c>
      <c r="E3825" t="inlineStr">
        <is>
          <t>SÄFFLE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63673-2021</t>
        </is>
      </c>
      <c r="B3826" s="1" t="n">
        <v>44509</v>
      </c>
      <c r="C3826" s="1" t="n">
        <v>45932</v>
      </c>
      <c r="D3826" t="inlineStr">
        <is>
          <t>VÄRMLANDS LÄN</t>
        </is>
      </c>
      <c r="E3826" t="inlineStr">
        <is>
          <t>SÄFFLE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25737-2023</t>
        </is>
      </c>
      <c r="B3827" s="1" t="n">
        <v>45090</v>
      </c>
      <c r="C3827" s="1" t="n">
        <v>45932</v>
      </c>
      <c r="D3827" t="inlineStr">
        <is>
          <t>VÄRMLANDS LÄN</t>
        </is>
      </c>
      <c r="E3827" t="inlineStr">
        <is>
          <t>FILIPSTAD</t>
        </is>
      </c>
      <c r="F3827" t="inlineStr">
        <is>
          <t>Bergvik skog väst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22917-2025</t>
        </is>
      </c>
      <c r="B3828" s="1" t="n">
        <v>45790.43143518519</v>
      </c>
      <c r="C3828" s="1" t="n">
        <v>45932</v>
      </c>
      <c r="D3828" t="inlineStr">
        <is>
          <t>VÄRMLANDS LÄN</t>
        </is>
      </c>
      <c r="E3828" t="inlineStr">
        <is>
          <t>HAGFORS</t>
        </is>
      </c>
      <c r="F3828" t="inlineStr">
        <is>
          <t>Bergvik skog väst AB</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22919-2025</t>
        </is>
      </c>
      <c r="B3829" s="1" t="n">
        <v>45790</v>
      </c>
      <c r="C3829" s="1" t="n">
        <v>45932</v>
      </c>
      <c r="D3829" t="inlineStr">
        <is>
          <t>VÄRMLANDS LÄN</t>
        </is>
      </c>
      <c r="E3829" t="inlineStr">
        <is>
          <t>SÄFFLE</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22925-2025</t>
        </is>
      </c>
      <c r="B3830" s="1" t="n">
        <v>45790.44490740741</v>
      </c>
      <c r="C3830" s="1" t="n">
        <v>45932</v>
      </c>
      <c r="D3830" t="inlineStr">
        <is>
          <t>VÄRMLANDS LÄN</t>
        </is>
      </c>
      <c r="E3830" t="inlineStr">
        <is>
          <t>FILIPSTAD</t>
        </is>
      </c>
      <c r="F3830" t="inlineStr">
        <is>
          <t>Bergvik skog väst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53771-2020</t>
        </is>
      </c>
      <c r="B3831" s="1" t="n">
        <v>44124</v>
      </c>
      <c r="C3831" s="1" t="n">
        <v>45932</v>
      </c>
      <c r="D3831" t="inlineStr">
        <is>
          <t>VÄRMLANDS LÄN</t>
        </is>
      </c>
      <c r="E3831" t="inlineStr">
        <is>
          <t>TORSBY</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5236-2023</t>
        </is>
      </c>
      <c r="B3832" s="1" t="n">
        <v>44956</v>
      </c>
      <c r="C3832" s="1" t="n">
        <v>45932</v>
      </c>
      <c r="D3832" t="inlineStr">
        <is>
          <t>VÄRMLANDS LÄN</t>
        </is>
      </c>
      <c r="E3832" t="inlineStr">
        <is>
          <t>GRUMS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5256-2023</t>
        </is>
      </c>
      <c r="B3833" s="1" t="n">
        <v>44959.45520833333</v>
      </c>
      <c r="C3833" s="1" t="n">
        <v>45932</v>
      </c>
      <c r="D3833" t="inlineStr">
        <is>
          <t>VÄRMLANDS LÄN</t>
        </is>
      </c>
      <c r="E3833" t="inlineStr">
        <is>
          <t>ÅRJÄNG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22635-2022</t>
        </is>
      </c>
      <c r="B3834" s="1" t="n">
        <v>44714</v>
      </c>
      <c r="C3834" s="1" t="n">
        <v>45932</v>
      </c>
      <c r="D3834" t="inlineStr">
        <is>
          <t>VÄRMLANDS LÄN</t>
        </is>
      </c>
      <c r="E3834" t="inlineStr">
        <is>
          <t>TORSBY</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19964-2023</t>
        </is>
      </c>
      <c r="B3835" s="1" t="n">
        <v>45051</v>
      </c>
      <c r="C3835" s="1" t="n">
        <v>45932</v>
      </c>
      <c r="D3835" t="inlineStr">
        <is>
          <t>VÄRMLANDS LÄN</t>
        </is>
      </c>
      <c r="E3835" t="inlineStr">
        <is>
          <t>ÅRJÄNG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38703-2021</t>
        </is>
      </c>
      <c r="B3836" s="1" t="n">
        <v>44410</v>
      </c>
      <c r="C3836" s="1" t="n">
        <v>45932</v>
      </c>
      <c r="D3836" t="inlineStr">
        <is>
          <t>VÄRMLANDS LÄN</t>
        </is>
      </c>
      <c r="E3836" t="inlineStr">
        <is>
          <t>SUNNE</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42175-2024</t>
        </is>
      </c>
      <c r="B3837" s="1" t="n">
        <v>45562.47100694444</v>
      </c>
      <c r="C3837" s="1" t="n">
        <v>45932</v>
      </c>
      <c r="D3837" t="inlineStr">
        <is>
          <t>VÄRMLANDS LÄN</t>
        </is>
      </c>
      <c r="E3837" t="inlineStr">
        <is>
          <t>HAGFORS</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12281-2025</t>
        </is>
      </c>
      <c r="B3838" s="1" t="n">
        <v>45729</v>
      </c>
      <c r="C3838" s="1" t="n">
        <v>45932</v>
      </c>
      <c r="D3838" t="inlineStr">
        <is>
          <t>VÄRMLANDS LÄN</t>
        </is>
      </c>
      <c r="E3838" t="inlineStr">
        <is>
          <t>EDA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12321-2025</t>
        </is>
      </c>
      <c r="B3839" s="1" t="n">
        <v>45730.28657407407</v>
      </c>
      <c r="C3839" s="1" t="n">
        <v>45932</v>
      </c>
      <c r="D3839" t="inlineStr">
        <is>
          <t>VÄRMLANDS LÄN</t>
        </is>
      </c>
      <c r="E3839" t="inlineStr">
        <is>
          <t>HAGFORS</t>
        </is>
      </c>
      <c r="F3839" t="inlineStr">
        <is>
          <t>Bergvik skog väst AB</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17985-2024</t>
        </is>
      </c>
      <c r="B3840" s="1" t="n">
        <v>45419</v>
      </c>
      <c r="C3840" s="1" t="n">
        <v>45932</v>
      </c>
      <c r="D3840" t="inlineStr">
        <is>
          <t>VÄRMLANDS LÄN</t>
        </is>
      </c>
      <c r="E3840" t="inlineStr">
        <is>
          <t>ARVIKA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58259-2024</t>
        </is>
      </c>
      <c r="B3841" s="1" t="n">
        <v>45632.56155092592</v>
      </c>
      <c r="C3841" s="1" t="n">
        <v>45932</v>
      </c>
      <c r="D3841" t="inlineStr">
        <is>
          <t>VÄRMLANDS LÄN</t>
        </is>
      </c>
      <c r="E3841" t="inlineStr">
        <is>
          <t>TORSBY</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3087-2024</t>
        </is>
      </c>
      <c r="B3842" s="1" t="n">
        <v>45316.44212962963</v>
      </c>
      <c r="C3842" s="1" t="n">
        <v>45932</v>
      </c>
      <c r="D3842" t="inlineStr">
        <is>
          <t>VÄRMLANDS LÄN</t>
        </is>
      </c>
      <c r="E3842" t="inlineStr">
        <is>
          <t>SUNNE</t>
        </is>
      </c>
      <c r="F3842" t="inlineStr">
        <is>
          <t>Kommuner</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929-2025</t>
        </is>
      </c>
      <c r="B3843" s="1" t="n">
        <v>45665.84310185185</v>
      </c>
      <c r="C3843" s="1" t="n">
        <v>45932</v>
      </c>
      <c r="D3843" t="inlineStr">
        <is>
          <t>VÄRMLANDS LÄN</t>
        </is>
      </c>
      <c r="E3843" t="inlineStr">
        <is>
          <t>ARVIKA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57546-2024</t>
        </is>
      </c>
      <c r="B3844" s="1" t="n">
        <v>45629</v>
      </c>
      <c r="C3844" s="1" t="n">
        <v>45932</v>
      </c>
      <c r="D3844" t="inlineStr">
        <is>
          <t>VÄRMLANDS LÄN</t>
        </is>
      </c>
      <c r="E3844" t="inlineStr">
        <is>
          <t>ÅRJÄNG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19511-2024</t>
        </is>
      </c>
      <c r="B3845" s="1" t="n">
        <v>45429.6099537037</v>
      </c>
      <c r="C3845" s="1" t="n">
        <v>45932</v>
      </c>
      <c r="D3845" t="inlineStr">
        <is>
          <t>VÄRMLANDS LÄN</t>
        </is>
      </c>
      <c r="E3845" t="inlineStr">
        <is>
          <t>ÅRJÄNG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19516-2024</t>
        </is>
      </c>
      <c r="B3846" s="1" t="n">
        <v>45429.61491898148</v>
      </c>
      <c r="C3846" s="1" t="n">
        <v>45932</v>
      </c>
      <c r="D3846" t="inlineStr">
        <is>
          <t>VÄRMLANDS LÄN</t>
        </is>
      </c>
      <c r="E3846" t="inlineStr">
        <is>
          <t>ÅRJÄNG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53715-2020</t>
        </is>
      </c>
      <c r="B3847" s="1" t="n">
        <v>44124</v>
      </c>
      <c r="C3847" s="1" t="n">
        <v>45932</v>
      </c>
      <c r="D3847" t="inlineStr">
        <is>
          <t>VÄRMLANDS LÄN</t>
        </is>
      </c>
      <c r="E3847" t="inlineStr">
        <is>
          <t>ARVIKA</t>
        </is>
      </c>
      <c r="F3847" t="inlineStr">
        <is>
          <t>Bergvik skog väst AB</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24261-2024</t>
        </is>
      </c>
      <c r="B3848" s="1" t="n">
        <v>45457</v>
      </c>
      <c r="C3848" s="1" t="n">
        <v>45932</v>
      </c>
      <c r="D3848" t="inlineStr">
        <is>
          <t>VÄRMLANDS LÄN</t>
        </is>
      </c>
      <c r="E3848" t="inlineStr">
        <is>
          <t>TORSBY</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36792-2023</t>
        </is>
      </c>
      <c r="B3849" s="1" t="n">
        <v>45154</v>
      </c>
      <c r="C3849" s="1" t="n">
        <v>45932</v>
      </c>
      <c r="D3849" t="inlineStr">
        <is>
          <t>VÄRMLANDS LÄN</t>
        </is>
      </c>
      <c r="E3849" t="inlineStr">
        <is>
          <t>KRISTINEHAMN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44385-2022</t>
        </is>
      </c>
      <c r="B3850" s="1" t="n">
        <v>44839</v>
      </c>
      <c r="C3850" s="1" t="n">
        <v>45932</v>
      </c>
      <c r="D3850" t="inlineStr">
        <is>
          <t>VÄRMLANDS LÄN</t>
        </is>
      </c>
      <c r="E3850" t="inlineStr">
        <is>
          <t>ÅRJÄNG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2046-2023</t>
        </is>
      </c>
      <c r="B3851" s="1" t="n">
        <v>44938</v>
      </c>
      <c r="C3851" s="1" t="n">
        <v>45932</v>
      </c>
      <c r="D3851" t="inlineStr">
        <is>
          <t>VÄRMLANDS LÄN</t>
        </is>
      </c>
      <c r="E3851" t="inlineStr">
        <is>
          <t>ARVIKA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6262-2025</t>
        </is>
      </c>
      <c r="B3852" s="1" t="n">
        <v>45698.59813657407</v>
      </c>
      <c r="C3852" s="1" t="n">
        <v>45932</v>
      </c>
      <c r="D3852" t="inlineStr">
        <is>
          <t>VÄRMLANDS LÄN</t>
        </is>
      </c>
      <c r="E3852" t="inlineStr">
        <is>
          <t>KARLSTAD</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10583-2023</t>
        </is>
      </c>
      <c r="B3853" s="1" t="n">
        <v>44988.36435185185</v>
      </c>
      <c r="C3853" s="1" t="n">
        <v>45932</v>
      </c>
      <c r="D3853" t="inlineStr">
        <is>
          <t>VÄRMLANDS LÄN</t>
        </is>
      </c>
      <c r="E3853" t="inlineStr">
        <is>
          <t>TORSBY</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13094-2024</t>
        </is>
      </c>
      <c r="B3854" s="1" t="n">
        <v>45385.68678240741</v>
      </c>
      <c r="C3854" s="1" t="n">
        <v>45932</v>
      </c>
      <c r="D3854" t="inlineStr">
        <is>
          <t>VÄRMLANDS LÄN</t>
        </is>
      </c>
      <c r="E3854" t="inlineStr">
        <is>
          <t>HAGFORS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17807-2021</t>
        </is>
      </c>
      <c r="B3855" s="1" t="n">
        <v>44300</v>
      </c>
      <c r="C3855" s="1" t="n">
        <v>45932</v>
      </c>
      <c r="D3855" t="inlineStr">
        <is>
          <t>VÄRMLANDS LÄN</t>
        </is>
      </c>
      <c r="E3855" t="inlineStr">
        <is>
          <t>FILIPSTAD</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39260-2021</t>
        </is>
      </c>
      <c r="B3856" s="1" t="n">
        <v>44413</v>
      </c>
      <c r="C3856" s="1" t="n">
        <v>45932</v>
      </c>
      <c r="D3856" t="inlineStr">
        <is>
          <t>VÄRMLANDS LÄN</t>
        </is>
      </c>
      <c r="E3856" t="inlineStr">
        <is>
          <t>TORSBY</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36344-2023</t>
        </is>
      </c>
      <c r="B3857" s="1" t="n">
        <v>45152</v>
      </c>
      <c r="C3857" s="1" t="n">
        <v>45932</v>
      </c>
      <c r="D3857" t="inlineStr">
        <is>
          <t>VÄRMLANDS LÄN</t>
        </is>
      </c>
      <c r="E3857" t="inlineStr">
        <is>
          <t>ÅRJÄNG</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36360-2023</t>
        </is>
      </c>
      <c r="B3858" s="1" t="n">
        <v>45152</v>
      </c>
      <c r="C3858" s="1" t="n">
        <v>45932</v>
      </c>
      <c r="D3858" t="inlineStr">
        <is>
          <t>VÄRMLANDS LÄN</t>
        </is>
      </c>
      <c r="E3858" t="inlineStr">
        <is>
          <t>HAGFORS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20746-2025</t>
        </is>
      </c>
      <c r="B3859" s="1" t="n">
        <v>45776.56165509259</v>
      </c>
      <c r="C3859" s="1" t="n">
        <v>45932</v>
      </c>
      <c r="D3859" t="inlineStr">
        <is>
          <t>VÄRMLANDS LÄN</t>
        </is>
      </c>
      <c r="E3859" t="inlineStr">
        <is>
          <t>HAGFORS</t>
        </is>
      </c>
      <c r="F3859" t="inlineStr">
        <is>
          <t>Bergvik skog väst AB</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24216-2024</t>
        </is>
      </c>
      <c r="B3860" s="1" t="n">
        <v>45457</v>
      </c>
      <c r="C3860" s="1" t="n">
        <v>45932</v>
      </c>
      <c r="D3860" t="inlineStr">
        <is>
          <t>VÄRMLANDS LÄN</t>
        </is>
      </c>
      <c r="E3860" t="inlineStr">
        <is>
          <t>ÅRJÄNG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14181-2021</t>
        </is>
      </c>
      <c r="B3861" s="1" t="n">
        <v>44278.4783912037</v>
      </c>
      <c r="C3861" s="1" t="n">
        <v>45932</v>
      </c>
      <c r="D3861" t="inlineStr">
        <is>
          <t>VÄRMLANDS LÄN</t>
        </is>
      </c>
      <c r="E3861" t="inlineStr">
        <is>
          <t>ARVIKA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33338-2024</t>
        </is>
      </c>
      <c r="B3862" s="1" t="n">
        <v>45519</v>
      </c>
      <c r="C3862" s="1" t="n">
        <v>45932</v>
      </c>
      <c r="D3862" t="inlineStr">
        <is>
          <t>VÄRMLANDS LÄN</t>
        </is>
      </c>
      <c r="E3862" t="inlineStr">
        <is>
          <t>TORSBY</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33360-2024</t>
        </is>
      </c>
      <c r="B3863" s="1" t="n">
        <v>45519</v>
      </c>
      <c r="C3863" s="1" t="n">
        <v>45932</v>
      </c>
      <c r="D3863" t="inlineStr">
        <is>
          <t>VÄRMLANDS LÄN</t>
        </is>
      </c>
      <c r="E3863" t="inlineStr">
        <is>
          <t>ARVIKA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22835-2025</t>
        </is>
      </c>
      <c r="B3864" s="1" t="n">
        <v>45789.90738425926</v>
      </c>
      <c r="C3864" s="1" t="n">
        <v>45932</v>
      </c>
      <c r="D3864" t="inlineStr">
        <is>
          <t>VÄRMLANDS LÄN</t>
        </is>
      </c>
      <c r="E3864" t="inlineStr">
        <is>
          <t>ARVIKA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22845-2025</t>
        </is>
      </c>
      <c r="B3865" s="1" t="n">
        <v>45790</v>
      </c>
      <c r="C3865" s="1" t="n">
        <v>45932</v>
      </c>
      <c r="D3865" t="inlineStr">
        <is>
          <t>VÄRMLANDS LÄN</t>
        </is>
      </c>
      <c r="E3865" t="inlineStr">
        <is>
          <t>TORSBY</t>
        </is>
      </c>
      <c r="F3865" t="inlineStr">
        <is>
          <t>Bergvik skog väst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8804-2024</t>
        </is>
      </c>
      <c r="B3866" s="1" t="n">
        <v>45356.64559027777</v>
      </c>
      <c r="C3866" s="1" t="n">
        <v>45932</v>
      </c>
      <c r="D3866" t="inlineStr">
        <is>
          <t>VÄRMLANDS LÄN</t>
        </is>
      </c>
      <c r="E3866" t="inlineStr">
        <is>
          <t>KARLSTAD</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19487-2024</t>
        </is>
      </c>
      <c r="B3867" s="1" t="n">
        <v>45429</v>
      </c>
      <c r="C3867" s="1" t="n">
        <v>45932</v>
      </c>
      <c r="D3867" t="inlineStr">
        <is>
          <t>VÄRMLANDS LÄN</t>
        </is>
      </c>
      <c r="E3867" t="inlineStr">
        <is>
          <t>SUNNE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47134-2021</t>
        </is>
      </c>
      <c r="B3868" s="1" t="n">
        <v>44446</v>
      </c>
      <c r="C3868" s="1" t="n">
        <v>45932</v>
      </c>
      <c r="D3868" t="inlineStr">
        <is>
          <t>VÄRMLANDS LÄN</t>
        </is>
      </c>
      <c r="E3868" t="inlineStr">
        <is>
          <t>KARLSTAD</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22836-2025</t>
        </is>
      </c>
      <c r="B3869" s="1" t="n">
        <v>45789.9125</v>
      </c>
      <c r="C3869" s="1" t="n">
        <v>45932</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23266-2025</t>
        </is>
      </c>
      <c r="B3870" s="1" t="n">
        <v>45791.55612268519</v>
      </c>
      <c r="C3870" s="1" t="n">
        <v>45932</v>
      </c>
      <c r="D3870" t="inlineStr">
        <is>
          <t>VÄRMLANDS LÄN</t>
        </is>
      </c>
      <c r="E3870" t="inlineStr">
        <is>
          <t>FILIPSTAD</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47750-2024</t>
        </is>
      </c>
      <c r="B3871" s="1" t="n">
        <v>45588</v>
      </c>
      <c r="C3871" s="1" t="n">
        <v>45932</v>
      </c>
      <c r="D3871" t="inlineStr">
        <is>
          <t>VÄRMLANDS LÄN</t>
        </is>
      </c>
      <c r="E3871" t="inlineStr">
        <is>
          <t>EDA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22992-2025</t>
        </is>
      </c>
      <c r="B3872" s="1" t="n">
        <v>45790.58039351852</v>
      </c>
      <c r="C3872" s="1" t="n">
        <v>45932</v>
      </c>
      <c r="D3872" t="inlineStr">
        <is>
          <t>VÄRMLANDS LÄN</t>
        </is>
      </c>
      <c r="E3872" t="inlineStr">
        <is>
          <t>ARVIKA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48702-2024</t>
        </is>
      </c>
      <c r="B3873" s="1" t="n">
        <v>45593.52293981481</v>
      </c>
      <c r="C3873" s="1" t="n">
        <v>45932</v>
      </c>
      <c r="D3873" t="inlineStr">
        <is>
          <t>VÄRMLANDS LÄN</t>
        </is>
      </c>
      <c r="E3873" t="inlineStr">
        <is>
          <t>FILIPSTAD</t>
        </is>
      </c>
      <c r="F3873" t="inlineStr">
        <is>
          <t>Bergvik skog väst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40366-2022</t>
        </is>
      </c>
      <c r="B3874" s="1" t="n">
        <v>44823.38884259259</v>
      </c>
      <c r="C3874" s="1" t="n">
        <v>45932</v>
      </c>
      <c r="D3874" t="inlineStr">
        <is>
          <t>VÄRMLANDS LÄN</t>
        </is>
      </c>
      <c r="E3874" t="inlineStr">
        <is>
          <t>ÅRJÄNG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37347-2024</t>
        </is>
      </c>
      <c r="B3875" s="1" t="n">
        <v>45540</v>
      </c>
      <c r="C3875" s="1" t="n">
        <v>45932</v>
      </c>
      <c r="D3875" t="inlineStr">
        <is>
          <t>VÄRMLANDS LÄN</t>
        </is>
      </c>
      <c r="E3875" t="inlineStr">
        <is>
          <t>ÅRJÄNG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12778-2025</t>
        </is>
      </c>
      <c r="B3876" s="1" t="n">
        <v>45733.5946875</v>
      </c>
      <c r="C3876" s="1" t="n">
        <v>45932</v>
      </c>
      <c r="D3876" t="inlineStr">
        <is>
          <t>VÄRMLANDS LÄN</t>
        </is>
      </c>
      <c r="E3876" t="inlineStr">
        <is>
          <t>HAGFORS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10256-2025</t>
        </is>
      </c>
      <c r="B3877" s="1" t="n">
        <v>45720.37347222222</v>
      </c>
      <c r="C3877" s="1" t="n">
        <v>45932</v>
      </c>
      <c r="D3877" t="inlineStr">
        <is>
          <t>VÄRMLANDS LÄN</t>
        </is>
      </c>
      <c r="E3877" t="inlineStr">
        <is>
          <t>ARVIKA</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10411-2025</t>
        </is>
      </c>
      <c r="B3878" s="1" t="n">
        <v>45720.63225694445</v>
      </c>
      <c r="C3878" s="1" t="n">
        <v>45932</v>
      </c>
      <c r="D3878" t="inlineStr">
        <is>
          <t>VÄRMLANDS LÄN</t>
        </is>
      </c>
      <c r="E3878" t="inlineStr">
        <is>
          <t>ARVIKA</t>
        </is>
      </c>
      <c r="F3878" t="inlineStr">
        <is>
          <t>Bergvik skog väst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7282-2023</t>
        </is>
      </c>
      <c r="B3879" s="1" t="n">
        <v>44970</v>
      </c>
      <c r="C3879" s="1" t="n">
        <v>45932</v>
      </c>
      <c r="D3879" t="inlineStr">
        <is>
          <t>VÄRMLANDS LÄN</t>
        </is>
      </c>
      <c r="E3879" t="inlineStr">
        <is>
          <t>EDA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11392-2025</t>
        </is>
      </c>
      <c r="B3880" s="1" t="n">
        <v>45725</v>
      </c>
      <c r="C3880" s="1" t="n">
        <v>45932</v>
      </c>
      <c r="D3880" t="inlineStr">
        <is>
          <t>VÄRMLANDS LÄN</t>
        </is>
      </c>
      <c r="E3880" t="inlineStr">
        <is>
          <t>SÄFFLE</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49744-2021</t>
        </is>
      </c>
      <c r="B3881" s="1" t="n">
        <v>44455</v>
      </c>
      <c r="C3881" s="1" t="n">
        <v>45932</v>
      </c>
      <c r="D3881" t="inlineStr">
        <is>
          <t>VÄRMLANDS LÄN</t>
        </is>
      </c>
      <c r="E3881" t="inlineStr">
        <is>
          <t>ARVIKA</t>
        </is>
      </c>
      <c r="F3881" t="inlineStr">
        <is>
          <t>Bergvik skog väst AB</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30369-2024</t>
        </is>
      </c>
      <c r="B3882" s="1" t="n">
        <v>45491</v>
      </c>
      <c r="C3882" s="1" t="n">
        <v>45932</v>
      </c>
      <c r="D3882" t="inlineStr">
        <is>
          <t>VÄRMLANDS LÄN</t>
        </is>
      </c>
      <c r="E3882" t="inlineStr">
        <is>
          <t>EDA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51146-2024</t>
        </is>
      </c>
      <c r="B3883" s="1" t="n">
        <v>45603</v>
      </c>
      <c r="C3883" s="1" t="n">
        <v>45932</v>
      </c>
      <c r="D3883" t="inlineStr">
        <is>
          <t>VÄRMLANDS LÄN</t>
        </is>
      </c>
      <c r="E3883" t="inlineStr">
        <is>
          <t>EDA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22834-2025</t>
        </is>
      </c>
      <c r="B3884" s="1" t="n">
        <v>45789.90438657408</v>
      </c>
      <c r="C3884" s="1" t="n">
        <v>45932</v>
      </c>
      <c r="D3884" t="inlineStr">
        <is>
          <t>VÄRMLANDS LÄN</t>
        </is>
      </c>
      <c r="E3884" t="inlineStr">
        <is>
          <t>ARVIKA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11419-2025</t>
        </is>
      </c>
      <c r="B3885" s="1" t="n">
        <v>45726</v>
      </c>
      <c r="C3885" s="1" t="n">
        <v>45932</v>
      </c>
      <c r="D3885" t="inlineStr">
        <is>
          <t>VÄRMLANDS LÄN</t>
        </is>
      </c>
      <c r="E3885" t="inlineStr">
        <is>
          <t>HAGFORS</t>
        </is>
      </c>
      <c r="F3885" t="inlineStr">
        <is>
          <t>Bergvik skog väst AB</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23276-2025</t>
        </is>
      </c>
      <c r="B3886" s="1" t="n">
        <v>45791.56663194444</v>
      </c>
      <c r="C3886" s="1" t="n">
        <v>45932</v>
      </c>
      <c r="D3886" t="inlineStr">
        <is>
          <t>VÄRMLANDS LÄN</t>
        </is>
      </c>
      <c r="E3886" t="inlineStr">
        <is>
          <t>HAGFORS</t>
        </is>
      </c>
      <c r="F3886" t="inlineStr">
        <is>
          <t>Bergvik skog väst AB</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23286-2025</t>
        </is>
      </c>
      <c r="B3887" s="1" t="n">
        <v>45791</v>
      </c>
      <c r="C3887" s="1" t="n">
        <v>45932</v>
      </c>
      <c r="D3887" t="inlineStr">
        <is>
          <t>VÄRMLANDS LÄN</t>
        </is>
      </c>
      <c r="E3887" t="inlineStr">
        <is>
          <t>FILIPSTAD</t>
        </is>
      </c>
      <c r="F3887" t="inlineStr">
        <is>
          <t>Bergvik skog väst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4090-2022</t>
        </is>
      </c>
      <c r="B3888" s="1" t="n">
        <v>44588.40508101852</v>
      </c>
      <c r="C3888" s="1" t="n">
        <v>45932</v>
      </c>
      <c r="D3888" t="inlineStr">
        <is>
          <t>VÄRMLANDS LÄN</t>
        </is>
      </c>
      <c r="E3888" t="inlineStr">
        <is>
          <t>ARVIKA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36700-2021</t>
        </is>
      </c>
      <c r="B3889" s="1" t="n">
        <v>44392</v>
      </c>
      <c r="C3889" s="1" t="n">
        <v>45932</v>
      </c>
      <c r="D3889" t="inlineStr">
        <is>
          <t>VÄRMLANDS LÄN</t>
        </is>
      </c>
      <c r="E3889" t="inlineStr">
        <is>
          <t>TORSBY</t>
        </is>
      </c>
      <c r="F3889" t="inlineStr">
        <is>
          <t>Bergvik skog väst AB</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36738-2021</t>
        </is>
      </c>
      <c r="B3890" s="1" t="n">
        <v>44392.60987268519</v>
      </c>
      <c r="C3890" s="1" t="n">
        <v>45932</v>
      </c>
      <c r="D3890" t="inlineStr">
        <is>
          <t>VÄRMLANDS LÄN</t>
        </is>
      </c>
      <c r="E3890" t="inlineStr">
        <is>
          <t>SUNNE</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15942-2025</t>
        </is>
      </c>
      <c r="B3891" s="1" t="n">
        <v>45749</v>
      </c>
      <c r="C3891" s="1" t="n">
        <v>45932</v>
      </c>
      <c r="D3891" t="inlineStr">
        <is>
          <t>VÄRMLANDS LÄN</t>
        </is>
      </c>
      <c r="E3891" t="inlineStr">
        <is>
          <t>KRISTINEHAMN</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15947-2025</t>
        </is>
      </c>
      <c r="B3892" s="1" t="n">
        <v>45749</v>
      </c>
      <c r="C3892" s="1" t="n">
        <v>45932</v>
      </c>
      <c r="D3892" t="inlineStr">
        <is>
          <t>VÄRMLANDS LÄN</t>
        </is>
      </c>
      <c r="E3892" t="inlineStr">
        <is>
          <t>KRISTINEHAMN</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60344-2023</t>
        </is>
      </c>
      <c r="B3893" s="1" t="n">
        <v>45259</v>
      </c>
      <c r="C3893" s="1" t="n">
        <v>45932</v>
      </c>
      <c r="D3893" t="inlineStr">
        <is>
          <t>VÄRMLANDS LÄN</t>
        </is>
      </c>
      <c r="E3893" t="inlineStr">
        <is>
          <t>ARVIKA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23118-2025</t>
        </is>
      </c>
      <c r="B3894" s="1" t="n">
        <v>45791.37291666667</v>
      </c>
      <c r="C3894" s="1" t="n">
        <v>45932</v>
      </c>
      <c r="D3894" t="inlineStr">
        <is>
          <t>VÄRMLANDS LÄN</t>
        </is>
      </c>
      <c r="E3894" t="inlineStr">
        <is>
          <t>HAGFORS</t>
        </is>
      </c>
      <c r="F3894" t="inlineStr">
        <is>
          <t>Bergvik skog väst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60528-2024</t>
        </is>
      </c>
      <c r="B3895" s="1" t="n">
        <v>45643.70802083334</v>
      </c>
      <c r="C3895" s="1" t="n">
        <v>45932</v>
      </c>
      <c r="D3895" t="inlineStr">
        <is>
          <t>VÄRMLANDS LÄN</t>
        </is>
      </c>
      <c r="E3895" t="inlineStr">
        <is>
          <t>ARVIKA</t>
        </is>
      </c>
      <c r="F3895" t="inlineStr">
        <is>
          <t>Bergvik skog väst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46317-2024</t>
        </is>
      </c>
      <c r="B3896" s="1" t="n">
        <v>45581.74462962963</v>
      </c>
      <c r="C3896" s="1" t="n">
        <v>45932</v>
      </c>
      <c r="D3896" t="inlineStr">
        <is>
          <t>VÄRMLANDS LÄN</t>
        </is>
      </c>
      <c r="E3896" t="inlineStr">
        <is>
          <t>ÅRJÄNG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34906-2024</t>
        </is>
      </c>
      <c r="B3897" s="1" t="n">
        <v>45527</v>
      </c>
      <c r="C3897" s="1" t="n">
        <v>45932</v>
      </c>
      <c r="D3897" t="inlineStr">
        <is>
          <t>VÄRMLANDS LÄN</t>
        </is>
      </c>
      <c r="E3897" t="inlineStr">
        <is>
          <t>TORSBY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24929-2023</t>
        </is>
      </c>
      <c r="B3898" s="1" t="n">
        <v>45085.51541666667</v>
      </c>
      <c r="C3898" s="1" t="n">
        <v>45932</v>
      </c>
      <c r="D3898" t="inlineStr">
        <is>
          <t>VÄRMLANDS LÄN</t>
        </is>
      </c>
      <c r="E3898" t="inlineStr">
        <is>
          <t>ARVIKA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25163-2023</t>
        </is>
      </c>
      <c r="B3899" s="1" t="n">
        <v>45086</v>
      </c>
      <c r="C3899" s="1" t="n">
        <v>45932</v>
      </c>
      <c r="D3899" t="inlineStr">
        <is>
          <t>VÄRMLANDS LÄN</t>
        </is>
      </c>
      <c r="E3899" t="inlineStr">
        <is>
          <t>TORSBY</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22905-2025</t>
        </is>
      </c>
      <c r="B3900" s="1" t="n">
        <v>45790</v>
      </c>
      <c r="C3900" s="1" t="n">
        <v>45932</v>
      </c>
      <c r="D3900" t="inlineStr">
        <is>
          <t>VÄRMLANDS LÄN</t>
        </is>
      </c>
      <c r="E3900" t="inlineStr">
        <is>
          <t>SÄFFLE</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38239-2024</t>
        </is>
      </c>
      <c r="B3901" s="1" t="n">
        <v>45545</v>
      </c>
      <c r="C3901" s="1" t="n">
        <v>45932</v>
      </c>
      <c r="D3901" t="inlineStr">
        <is>
          <t>VÄRMLANDS LÄN</t>
        </is>
      </c>
      <c r="E3901" t="inlineStr">
        <is>
          <t>HAGFORS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38887-2024</t>
        </is>
      </c>
      <c r="B3902" s="1" t="n">
        <v>45547.66456018519</v>
      </c>
      <c r="C3902" s="1" t="n">
        <v>45932</v>
      </c>
      <c r="D3902" t="inlineStr">
        <is>
          <t>VÄRMLANDS LÄN</t>
        </is>
      </c>
      <c r="E3902" t="inlineStr">
        <is>
          <t>HAGFORS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22911-2025</t>
        </is>
      </c>
      <c r="B3903" s="1" t="n">
        <v>45790</v>
      </c>
      <c r="C3903" s="1" t="n">
        <v>45932</v>
      </c>
      <c r="D3903" t="inlineStr">
        <is>
          <t>VÄRMLANDS LÄN</t>
        </is>
      </c>
      <c r="E3903" t="inlineStr">
        <is>
          <t>SÄFFLE</t>
        </is>
      </c>
      <c r="F3903" t="inlineStr">
        <is>
          <t>Bergvik skog väst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22914-2025</t>
        </is>
      </c>
      <c r="B3904" s="1" t="n">
        <v>45790</v>
      </c>
      <c r="C3904" s="1" t="n">
        <v>45932</v>
      </c>
      <c r="D3904" t="inlineStr">
        <is>
          <t>VÄRMLANDS LÄN</t>
        </is>
      </c>
      <c r="E3904" t="inlineStr">
        <is>
          <t>SÄFFLE</t>
        </is>
      </c>
      <c r="F3904" t="inlineStr">
        <is>
          <t>Bergvik skog väst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22954-2025</t>
        </is>
      </c>
      <c r="B3905" s="1" t="n">
        <v>45790.5184375</v>
      </c>
      <c r="C3905" s="1" t="n">
        <v>45932</v>
      </c>
      <c r="D3905" t="inlineStr">
        <is>
          <t>VÄRMLANDS LÄN</t>
        </is>
      </c>
      <c r="E3905" t="inlineStr">
        <is>
          <t>TORSBY</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23174-2025</t>
        </is>
      </c>
      <c r="B3906" s="1" t="n">
        <v>45791</v>
      </c>
      <c r="C3906" s="1" t="n">
        <v>45932</v>
      </c>
      <c r="D3906" t="inlineStr">
        <is>
          <t>VÄRMLANDS LÄN</t>
        </is>
      </c>
      <c r="E3906" t="inlineStr">
        <is>
          <t>FILIPSTAD</t>
        </is>
      </c>
      <c r="F3906" t="inlineStr">
        <is>
          <t>Bergvik skog väst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47651-2024</t>
        </is>
      </c>
      <c r="B3907" s="1" t="n">
        <v>45588</v>
      </c>
      <c r="C3907" s="1" t="n">
        <v>45932</v>
      </c>
      <c r="D3907" t="inlineStr">
        <is>
          <t>VÄRMLANDS LÄN</t>
        </is>
      </c>
      <c r="E3907" t="inlineStr">
        <is>
          <t>TORSBY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61367-2022</t>
        </is>
      </c>
      <c r="B3908" s="1" t="n">
        <v>44915.82997685186</v>
      </c>
      <c r="C3908" s="1" t="n">
        <v>45932</v>
      </c>
      <c r="D3908" t="inlineStr">
        <is>
          <t>VÄRMLANDS LÄN</t>
        </is>
      </c>
      <c r="E3908" t="inlineStr">
        <is>
          <t>TORSBY</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57667-2022</t>
        </is>
      </c>
      <c r="B3909" s="1" t="n">
        <v>44897</v>
      </c>
      <c r="C3909" s="1" t="n">
        <v>45932</v>
      </c>
      <c r="D3909" t="inlineStr">
        <is>
          <t>VÄRMLANDS LÄN</t>
        </is>
      </c>
      <c r="E3909" t="inlineStr">
        <is>
          <t>SUNNE</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23081-2025</t>
        </is>
      </c>
      <c r="B3910" s="1" t="n">
        <v>45791</v>
      </c>
      <c r="C3910" s="1" t="n">
        <v>45932</v>
      </c>
      <c r="D3910" t="inlineStr">
        <is>
          <t>VÄRMLANDS LÄN</t>
        </is>
      </c>
      <c r="E3910" t="inlineStr">
        <is>
          <t>SÄFFLE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2385-2024</t>
        </is>
      </c>
      <c r="B3911" s="1" t="n">
        <v>45310.65686342592</v>
      </c>
      <c r="C3911" s="1" t="n">
        <v>45932</v>
      </c>
      <c r="D3911" t="inlineStr">
        <is>
          <t>VÄRMLANDS LÄN</t>
        </is>
      </c>
      <c r="E3911" t="inlineStr">
        <is>
          <t>SUNNE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2390-2024</t>
        </is>
      </c>
      <c r="B3912" s="1" t="n">
        <v>45310.66641203704</v>
      </c>
      <c r="C3912" s="1" t="n">
        <v>45932</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27045-2023</t>
        </is>
      </c>
      <c r="B3913" s="1" t="n">
        <v>45095.81844907408</v>
      </c>
      <c r="C3913" s="1" t="n">
        <v>45932</v>
      </c>
      <c r="D3913" t="inlineStr">
        <is>
          <t>VÄRMLANDS LÄN</t>
        </is>
      </c>
      <c r="E3913" t="inlineStr">
        <is>
          <t>MUNKFORS</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27050-2023</t>
        </is>
      </c>
      <c r="B3914" s="1" t="n">
        <v>45095</v>
      </c>
      <c r="C3914" s="1" t="n">
        <v>45932</v>
      </c>
      <c r="D3914" t="inlineStr">
        <is>
          <t>VÄRMLANDS LÄN</t>
        </is>
      </c>
      <c r="E3914" t="inlineStr">
        <is>
          <t>KARLSTAD</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24896-2023</t>
        </is>
      </c>
      <c r="B3915" s="1" t="n">
        <v>45085</v>
      </c>
      <c r="C3915" s="1" t="n">
        <v>45932</v>
      </c>
      <c r="D3915" t="inlineStr">
        <is>
          <t>VÄRMLANDS LÄN</t>
        </is>
      </c>
      <c r="E3915" t="inlineStr">
        <is>
          <t>TORSBY</t>
        </is>
      </c>
      <c r="F3915" t="inlineStr">
        <is>
          <t>Bergvik skog väst AB</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19722-2025</t>
        </is>
      </c>
      <c r="B3916" s="1" t="n">
        <v>45771.36209490741</v>
      </c>
      <c r="C3916" s="1" t="n">
        <v>45932</v>
      </c>
      <c r="D3916" t="inlineStr">
        <is>
          <t>VÄRMLANDS LÄN</t>
        </is>
      </c>
      <c r="E3916" t="inlineStr">
        <is>
          <t>ARVIKA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23371-2025</t>
        </is>
      </c>
      <c r="B3917" s="1" t="n">
        <v>45791.71166666667</v>
      </c>
      <c r="C3917" s="1" t="n">
        <v>45932</v>
      </c>
      <c r="D3917" t="inlineStr">
        <is>
          <t>VÄRMLANDS LÄN</t>
        </is>
      </c>
      <c r="E3917" t="inlineStr">
        <is>
          <t>SÄFFLE</t>
        </is>
      </c>
      <c r="F3917" t="inlineStr">
        <is>
          <t>Bergvik skog väst AB</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32877-2024</t>
        </is>
      </c>
      <c r="B3918" s="1" t="n">
        <v>45516.6842824074</v>
      </c>
      <c r="C3918" s="1" t="n">
        <v>45932</v>
      </c>
      <c r="D3918" t="inlineStr">
        <is>
          <t>VÄRMLANDS LÄN</t>
        </is>
      </c>
      <c r="E3918" t="inlineStr">
        <is>
          <t>SÄFFLE</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11899-2025</t>
        </is>
      </c>
      <c r="B3919" s="1" t="n">
        <v>45728</v>
      </c>
      <c r="C3919" s="1" t="n">
        <v>45932</v>
      </c>
      <c r="D3919" t="inlineStr">
        <is>
          <t>VÄRMLANDS LÄN</t>
        </is>
      </c>
      <c r="E3919" t="inlineStr">
        <is>
          <t>ÅRJÄNG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23145-2025</t>
        </is>
      </c>
      <c r="B3920" s="1" t="n">
        <v>45791.3975</v>
      </c>
      <c r="C3920" s="1" t="n">
        <v>45932</v>
      </c>
      <c r="D3920" t="inlineStr">
        <is>
          <t>VÄRMLANDS LÄN</t>
        </is>
      </c>
      <c r="E3920" t="inlineStr">
        <is>
          <t>SÄFFLE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61457-2022</t>
        </is>
      </c>
      <c r="B3921" s="1" t="n">
        <v>44916.42027777778</v>
      </c>
      <c r="C3921" s="1" t="n">
        <v>45932</v>
      </c>
      <c r="D3921" t="inlineStr">
        <is>
          <t>VÄRMLANDS LÄN</t>
        </is>
      </c>
      <c r="E3921" t="inlineStr">
        <is>
          <t>FORSHAGA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35611-2024</t>
        </is>
      </c>
      <c r="B3922" s="1" t="n">
        <v>45531</v>
      </c>
      <c r="C3922" s="1" t="n">
        <v>45932</v>
      </c>
      <c r="D3922" t="inlineStr">
        <is>
          <t>VÄRMLANDS LÄN</t>
        </is>
      </c>
      <c r="E3922" t="inlineStr">
        <is>
          <t>KIL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3848-2025</t>
        </is>
      </c>
      <c r="B3923" s="1" t="n">
        <v>45683</v>
      </c>
      <c r="C3923" s="1" t="n">
        <v>45932</v>
      </c>
      <c r="D3923" t="inlineStr">
        <is>
          <t>VÄRMLANDS LÄN</t>
        </is>
      </c>
      <c r="E3923" t="inlineStr">
        <is>
          <t>ÅRJÄNG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10717-2021</t>
        </is>
      </c>
      <c r="B3924" s="1" t="n">
        <v>44258</v>
      </c>
      <c r="C3924" s="1" t="n">
        <v>45932</v>
      </c>
      <c r="D3924" t="inlineStr">
        <is>
          <t>VÄRMLANDS LÄN</t>
        </is>
      </c>
      <c r="E3924" t="inlineStr">
        <is>
          <t>KARLSTAD</t>
        </is>
      </c>
      <c r="G3924" t="n">
        <v>25.2</v>
      </c>
      <c r="H3924" t="n">
        <v>0</v>
      </c>
      <c r="I3924" t="n">
        <v>0</v>
      </c>
      <c r="J3924" t="n">
        <v>0</v>
      </c>
      <c r="K3924" t="n">
        <v>0</v>
      </c>
      <c r="L3924" t="n">
        <v>0</v>
      </c>
      <c r="M3924" t="n">
        <v>0</v>
      </c>
      <c r="N3924" t="n">
        <v>0</v>
      </c>
      <c r="O3924" t="n">
        <v>0</v>
      </c>
      <c r="P3924" t="n">
        <v>0</v>
      </c>
      <c r="Q3924" t="n">
        <v>0</v>
      </c>
      <c r="R3924" s="2" t="inlineStr"/>
    </row>
    <row r="3925" ht="15" customHeight="1">
      <c r="A3925" t="inlineStr">
        <is>
          <t>A 18178-2023</t>
        </is>
      </c>
      <c r="B3925" s="1" t="n">
        <v>45041</v>
      </c>
      <c r="C3925" s="1" t="n">
        <v>45932</v>
      </c>
      <c r="D3925" t="inlineStr">
        <is>
          <t>VÄRMLANDS LÄN</t>
        </is>
      </c>
      <c r="E3925" t="inlineStr">
        <is>
          <t>SUNNE</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28107-2024</t>
        </is>
      </c>
      <c r="B3926" s="1" t="n">
        <v>45476.63179398148</v>
      </c>
      <c r="C3926" s="1" t="n">
        <v>45932</v>
      </c>
      <c r="D3926" t="inlineStr">
        <is>
          <t>VÄRMLANDS LÄN</t>
        </is>
      </c>
      <c r="E3926" t="inlineStr">
        <is>
          <t>SUNNE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22993-2025</t>
        </is>
      </c>
      <c r="B3927" s="1" t="n">
        <v>45790</v>
      </c>
      <c r="C3927" s="1" t="n">
        <v>45932</v>
      </c>
      <c r="D3927" t="inlineStr">
        <is>
          <t>VÄRMLANDS LÄN</t>
        </is>
      </c>
      <c r="E3927" t="inlineStr">
        <is>
          <t>SÄFFLE</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23039-2025</t>
        </is>
      </c>
      <c r="B3928" s="1" t="n">
        <v>45790</v>
      </c>
      <c r="C3928" s="1" t="n">
        <v>45932</v>
      </c>
      <c r="D3928" t="inlineStr">
        <is>
          <t>VÄRMLANDS LÄN</t>
        </is>
      </c>
      <c r="E3928" t="inlineStr">
        <is>
          <t>ÅRJÄNG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22880-2025</t>
        </is>
      </c>
      <c r="B3929" s="1" t="n">
        <v>45790.38118055555</v>
      </c>
      <c r="C3929" s="1" t="n">
        <v>45932</v>
      </c>
      <c r="D3929" t="inlineStr">
        <is>
          <t>VÄRMLANDS LÄN</t>
        </is>
      </c>
      <c r="E3929" t="inlineStr">
        <is>
          <t>FILIPSTAD</t>
        </is>
      </c>
      <c r="F3929" t="inlineStr">
        <is>
          <t>Kyrkan</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22910-2025</t>
        </is>
      </c>
      <c r="B3930" s="1" t="n">
        <v>45790</v>
      </c>
      <c r="C3930" s="1" t="n">
        <v>45932</v>
      </c>
      <c r="D3930" t="inlineStr">
        <is>
          <t>VÄRMLANDS LÄN</t>
        </is>
      </c>
      <c r="E3930" t="inlineStr">
        <is>
          <t>SÄFFLE</t>
        </is>
      </c>
      <c r="F3930" t="inlineStr">
        <is>
          <t>Bergvik skog väst AB</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22843-2025</t>
        </is>
      </c>
      <c r="B3931" s="1" t="n">
        <v>45790.31645833333</v>
      </c>
      <c r="C3931" s="1" t="n">
        <v>45932</v>
      </c>
      <c r="D3931" t="inlineStr">
        <is>
          <t>VÄRMLANDS LÄN</t>
        </is>
      </c>
      <c r="E3931" t="inlineStr">
        <is>
          <t>FILIPSTAD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52311-2024</t>
        </is>
      </c>
      <c r="B3932" s="1" t="n">
        <v>45608.83903935185</v>
      </c>
      <c r="C3932" s="1" t="n">
        <v>45932</v>
      </c>
      <c r="D3932" t="inlineStr">
        <is>
          <t>VÄRMLANDS LÄN</t>
        </is>
      </c>
      <c r="E3932" t="inlineStr">
        <is>
          <t>SUNNE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28499-2023</t>
        </is>
      </c>
      <c r="B3933" s="1" t="n">
        <v>45103</v>
      </c>
      <c r="C3933" s="1" t="n">
        <v>45932</v>
      </c>
      <c r="D3933" t="inlineStr">
        <is>
          <t>VÄRMLANDS LÄN</t>
        </is>
      </c>
      <c r="E3933" t="inlineStr">
        <is>
          <t>SUNNE</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39567-2024</t>
        </is>
      </c>
      <c r="B3934" s="1" t="n">
        <v>45552.3584375</v>
      </c>
      <c r="C3934" s="1" t="n">
        <v>45932</v>
      </c>
      <c r="D3934" t="inlineStr">
        <is>
          <t>VÄRMLANDS LÄN</t>
        </is>
      </c>
      <c r="E3934" t="inlineStr">
        <is>
          <t>TORSBY</t>
        </is>
      </c>
      <c r="F3934" t="inlineStr">
        <is>
          <t>Bergvik skog väst AB</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42403-2023</t>
        </is>
      </c>
      <c r="B3935" s="1" t="n">
        <v>45180.59174768518</v>
      </c>
      <c r="C3935" s="1" t="n">
        <v>45932</v>
      </c>
      <c r="D3935" t="inlineStr">
        <is>
          <t>VÄRMLANDS LÄN</t>
        </is>
      </c>
      <c r="E3935" t="inlineStr">
        <is>
          <t>TORSBY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27240-2023</t>
        </is>
      </c>
      <c r="B3936" s="1" t="n">
        <v>45096</v>
      </c>
      <c r="C3936" s="1" t="n">
        <v>45932</v>
      </c>
      <c r="D3936" t="inlineStr">
        <is>
          <t>VÄRMLANDS LÄN</t>
        </is>
      </c>
      <c r="E3936" t="inlineStr">
        <is>
          <t>ÅRJÄNG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51109-2022</t>
        </is>
      </c>
      <c r="B3937" s="1" t="n">
        <v>44868.43569444444</v>
      </c>
      <c r="C3937" s="1" t="n">
        <v>45932</v>
      </c>
      <c r="D3937" t="inlineStr">
        <is>
          <t>VÄRMLANDS LÄN</t>
        </is>
      </c>
      <c r="E3937" t="inlineStr">
        <is>
          <t>ÅRJÄNG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64698-2023</t>
        </is>
      </c>
      <c r="B3938" s="1" t="n">
        <v>45281</v>
      </c>
      <c r="C3938" s="1" t="n">
        <v>45932</v>
      </c>
      <c r="D3938" t="inlineStr">
        <is>
          <t>VÄRMLANDS LÄN</t>
        </is>
      </c>
      <c r="E3938" t="inlineStr">
        <is>
          <t>EDA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24535-2024</t>
        </is>
      </c>
      <c r="B3939" s="1" t="n">
        <v>45460.38814814815</v>
      </c>
      <c r="C3939" s="1" t="n">
        <v>45932</v>
      </c>
      <c r="D3939" t="inlineStr">
        <is>
          <t>VÄRMLANDS LÄN</t>
        </is>
      </c>
      <c r="E3939" t="inlineStr">
        <is>
          <t>ARVIKA</t>
        </is>
      </c>
      <c r="F3939" t="inlineStr">
        <is>
          <t>Bergvik skog väst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24540-2024</t>
        </is>
      </c>
      <c r="B3940" s="1" t="n">
        <v>45460</v>
      </c>
      <c r="C3940" s="1" t="n">
        <v>45932</v>
      </c>
      <c r="D3940" t="inlineStr">
        <is>
          <t>VÄRMLANDS LÄN</t>
        </is>
      </c>
      <c r="E3940" t="inlineStr">
        <is>
          <t>EDA</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24543-2024</t>
        </is>
      </c>
      <c r="B3941" s="1" t="n">
        <v>45460</v>
      </c>
      <c r="C3941" s="1" t="n">
        <v>45932</v>
      </c>
      <c r="D3941" t="inlineStr">
        <is>
          <t>VÄRMLANDS LÄN</t>
        </is>
      </c>
      <c r="E3941" t="inlineStr">
        <is>
          <t>GRUMS</t>
        </is>
      </c>
      <c r="F3941" t="inlineStr">
        <is>
          <t>Bergvik skog väst AB</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3302-2022</t>
        </is>
      </c>
      <c r="B3942" s="1" t="n">
        <v>44584.92929398148</v>
      </c>
      <c r="C3942" s="1" t="n">
        <v>45932</v>
      </c>
      <c r="D3942" t="inlineStr">
        <is>
          <t>VÄRMLANDS LÄN</t>
        </is>
      </c>
      <c r="E3942" t="inlineStr">
        <is>
          <t>KRISTINEHAMN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23179-2025</t>
        </is>
      </c>
      <c r="B3943" s="1" t="n">
        <v>45791.43831018519</v>
      </c>
      <c r="C3943" s="1" t="n">
        <v>45932</v>
      </c>
      <c r="D3943" t="inlineStr">
        <is>
          <t>VÄRMLANDS LÄN</t>
        </is>
      </c>
      <c r="E3943" t="inlineStr">
        <is>
          <t>HAGFORS</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23325-2025</t>
        </is>
      </c>
      <c r="B3944" s="1" t="n">
        <v>45791.62258101852</v>
      </c>
      <c r="C3944" s="1" t="n">
        <v>45932</v>
      </c>
      <c r="D3944" t="inlineStr">
        <is>
          <t>VÄRMLANDS LÄN</t>
        </is>
      </c>
      <c r="E3944" t="inlineStr">
        <is>
          <t>HAGFORS</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62497-2022</t>
        </is>
      </c>
      <c r="B3945" s="1" t="n">
        <v>44924.58979166667</v>
      </c>
      <c r="C3945" s="1" t="n">
        <v>45932</v>
      </c>
      <c r="D3945" t="inlineStr">
        <is>
          <t>VÄRMLANDS LÄN</t>
        </is>
      </c>
      <c r="E3945" t="inlineStr">
        <is>
          <t>HAGFORS</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62498-2022</t>
        </is>
      </c>
      <c r="B3946" s="1" t="n">
        <v>44917</v>
      </c>
      <c r="C3946" s="1" t="n">
        <v>45932</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44094-2024</t>
        </is>
      </c>
      <c r="B3947" s="1" t="n">
        <v>45572.62396990741</v>
      </c>
      <c r="C3947" s="1" t="n">
        <v>45932</v>
      </c>
      <c r="D3947" t="inlineStr">
        <is>
          <t>VÄRMLANDS LÄN</t>
        </is>
      </c>
      <c r="E3947" t="inlineStr">
        <is>
          <t>KARLSTAD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44099-2024</t>
        </is>
      </c>
      <c r="B3948" s="1" t="n">
        <v>45572.62671296296</v>
      </c>
      <c r="C3948" s="1" t="n">
        <v>45932</v>
      </c>
      <c r="D3948" t="inlineStr">
        <is>
          <t>VÄRMLANDS LÄN</t>
        </is>
      </c>
      <c r="E3948" t="inlineStr">
        <is>
          <t>KARLSTAD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18817-2025</t>
        </is>
      </c>
      <c r="B3949" s="1" t="n">
        <v>45764</v>
      </c>
      <c r="C3949" s="1" t="n">
        <v>45932</v>
      </c>
      <c r="D3949" t="inlineStr">
        <is>
          <t>VÄRMLANDS LÄN</t>
        </is>
      </c>
      <c r="E3949" t="inlineStr">
        <is>
          <t>ARVIKA</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10404-2025</t>
        </is>
      </c>
      <c r="B3950" s="1" t="n">
        <v>45720.61591435185</v>
      </c>
      <c r="C3950" s="1" t="n">
        <v>45932</v>
      </c>
      <c r="D3950" t="inlineStr">
        <is>
          <t>VÄRMLANDS LÄN</t>
        </is>
      </c>
      <c r="E3950" t="inlineStr">
        <is>
          <t>ARVIKA</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69862-2021</t>
        </is>
      </c>
      <c r="B3951" s="1" t="n">
        <v>44532</v>
      </c>
      <c r="C3951" s="1" t="n">
        <v>45932</v>
      </c>
      <c r="D3951" t="inlineStr">
        <is>
          <t>VÄRMLANDS LÄN</t>
        </is>
      </c>
      <c r="E3951" t="inlineStr">
        <is>
          <t>ÅRJÄNG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26818-2023</t>
        </is>
      </c>
      <c r="B3952" s="1" t="n">
        <v>45090</v>
      </c>
      <c r="C3952" s="1" t="n">
        <v>45932</v>
      </c>
      <c r="D3952" t="inlineStr">
        <is>
          <t>VÄRMLANDS LÄN</t>
        </is>
      </c>
      <c r="E3952" t="inlineStr">
        <is>
          <t>EDA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30110-2023</t>
        </is>
      </c>
      <c r="B3953" s="1" t="n">
        <v>45110</v>
      </c>
      <c r="C3953" s="1" t="n">
        <v>45932</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49145-2023</t>
        </is>
      </c>
      <c r="B3954" s="1" t="n">
        <v>45210</v>
      </c>
      <c r="C3954" s="1" t="n">
        <v>45932</v>
      </c>
      <c r="D3954" t="inlineStr">
        <is>
          <t>VÄRMLANDS LÄN</t>
        </is>
      </c>
      <c r="E3954" t="inlineStr">
        <is>
          <t>KRISTINEHAMN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32541-2023</t>
        </is>
      </c>
      <c r="B3955" s="1" t="n">
        <v>45121.39616898148</v>
      </c>
      <c r="C3955" s="1" t="n">
        <v>45932</v>
      </c>
      <c r="D3955" t="inlineStr">
        <is>
          <t>VÄRMLANDS LÄN</t>
        </is>
      </c>
      <c r="E3955" t="inlineStr">
        <is>
          <t>ÅRJÄNG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49596-2024</t>
        </is>
      </c>
      <c r="B3956" s="1" t="n">
        <v>45596.55828703703</v>
      </c>
      <c r="C3956" s="1" t="n">
        <v>45932</v>
      </c>
      <c r="D3956" t="inlineStr">
        <is>
          <t>VÄRMLANDS LÄN</t>
        </is>
      </c>
      <c r="E3956" t="inlineStr">
        <is>
          <t>STORFORS</t>
        </is>
      </c>
      <c r="F3956" t="inlineStr">
        <is>
          <t>Bergvik skog väst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21631-2024</t>
        </is>
      </c>
      <c r="B3957" s="1" t="n">
        <v>45442.33350694444</v>
      </c>
      <c r="C3957" s="1" t="n">
        <v>45932</v>
      </c>
      <c r="D3957" t="inlineStr">
        <is>
          <t>VÄRMLANDS LÄN</t>
        </is>
      </c>
      <c r="E3957" t="inlineStr">
        <is>
          <t>SUNNE</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25258-2023</t>
        </is>
      </c>
      <c r="B3958" s="1" t="n">
        <v>45079</v>
      </c>
      <c r="C3958" s="1" t="n">
        <v>45932</v>
      </c>
      <c r="D3958" t="inlineStr">
        <is>
          <t>VÄRMLANDS LÄN</t>
        </is>
      </c>
      <c r="E3958" t="inlineStr">
        <is>
          <t>HAGFORS</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43163-2024</t>
        </is>
      </c>
      <c r="B3959" s="1" t="n">
        <v>45567</v>
      </c>
      <c r="C3959" s="1" t="n">
        <v>45932</v>
      </c>
      <c r="D3959" t="inlineStr">
        <is>
          <t>VÄRMLANDS LÄN</t>
        </is>
      </c>
      <c r="E3959" t="inlineStr">
        <is>
          <t>FORSHAGA</t>
        </is>
      </c>
      <c r="F3959" t="inlineStr">
        <is>
          <t>Bergvik skog väst AB</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32405-2023</t>
        </is>
      </c>
      <c r="B3960" s="1" t="n">
        <v>45110</v>
      </c>
      <c r="C3960" s="1" t="n">
        <v>45932</v>
      </c>
      <c r="D3960" t="inlineStr">
        <is>
          <t>VÄRMLANDS LÄN</t>
        </is>
      </c>
      <c r="E3960" t="inlineStr">
        <is>
          <t>SUNNE</t>
        </is>
      </c>
      <c r="F3960" t="inlineStr">
        <is>
          <t>Övriga statliga verk och myndigheter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32409-2023</t>
        </is>
      </c>
      <c r="B3961" s="1" t="n">
        <v>45110</v>
      </c>
      <c r="C3961" s="1" t="n">
        <v>45932</v>
      </c>
      <c r="D3961" t="inlineStr">
        <is>
          <t>VÄRMLANDS LÄN</t>
        </is>
      </c>
      <c r="E3961" t="inlineStr">
        <is>
          <t>KRISTINEHAMN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13036-2025</t>
        </is>
      </c>
      <c r="B3962" s="1" t="n">
        <v>45734.57474537037</v>
      </c>
      <c r="C3962" s="1" t="n">
        <v>45932</v>
      </c>
      <c r="D3962" t="inlineStr">
        <is>
          <t>VÄRMLANDS LÄN</t>
        </is>
      </c>
      <c r="E3962" t="inlineStr">
        <is>
          <t>ÅRJÄNG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34568-2024</t>
        </is>
      </c>
      <c r="B3963" s="1" t="n">
        <v>45526</v>
      </c>
      <c r="C3963" s="1" t="n">
        <v>45932</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41983-2023</t>
        </is>
      </c>
      <c r="B3964" s="1" t="n">
        <v>45177.40582175926</v>
      </c>
      <c r="C3964" s="1" t="n">
        <v>45932</v>
      </c>
      <c r="D3964" t="inlineStr">
        <is>
          <t>VÄRMLANDS LÄN</t>
        </is>
      </c>
      <c r="E3964" t="inlineStr">
        <is>
          <t>FILIPSTAD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50635-2023</t>
        </is>
      </c>
      <c r="B3965" s="1" t="n">
        <v>45217.46574074074</v>
      </c>
      <c r="C3965" s="1" t="n">
        <v>45932</v>
      </c>
      <c r="D3965" t="inlineStr">
        <is>
          <t>VÄRMLANDS LÄN</t>
        </is>
      </c>
      <c r="E3965" t="inlineStr">
        <is>
          <t>FORSHAGA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29216-2023</t>
        </is>
      </c>
      <c r="B3966" s="1" t="n">
        <v>45105</v>
      </c>
      <c r="C3966" s="1" t="n">
        <v>45932</v>
      </c>
      <c r="D3966" t="inlineStr">
        <is>
          <t>VÄRMLANDS LÄN</t>
        </is>
      </c>
      <c r="E3966" t="inlineStr">
        <is>
          <t>SUNNE</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236-2025</t>
        </is>
      </c>
      <c r="B3967" s="1" t="n">
        <v>45653</v>
      </c>
      <c r="C3967" s="1" t="n">
        <v>45932</v>
      </c>
      <c r="D3967" t="inlineStr">
        <is>
          <t>VÄRMLANDS LÄN</t>
        </is>
      </c>
      <c r="E3967" t="inlineStr">
        <is>
          <t>ÅRJÄNG</t>
        </is>
      </c>
      <c r="F3967" t="inlineStr">
        <is>
          <t>Övriga Aktiebolag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22016-2021</t>
        </is>
      </c>
      <c r="B3968" s="1" t="n">
        <v>44323</v>
      </c>
      <c r="C3968" s="1" t="n">
        <v>45932</v>
      </c>
      <c r="D3968" t="inlineStr">
        <is>
          <t>VÄRMLANDS LÄN</t>
        </is>
      </c>
      <c r="E3968" t="inlineStr">
        <is>
          <t>HAGFORS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33459-2024</t>
        </is>
      </c>
      <c r="B3969" s="1" t="n">
        <v>45519.58299768518</v>
      </c>
      <c r="C3969" s="1" t="n">
        <v>45932</v>
      </c>
      <c r="D3969" t="inlineStr">
        <is>
          <t>VÄRMLANDS LÄN</t>
        </is>
      </c>
      <c r="E3969" t="inlineStr">
        <is>
          <t>SUNNE</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23262-2025</t>
        </is>
      </c>
      <c r="B3970" s="1" t="n">
        <v>45791.55136574074</v>
      </c>
      <c r="C3970" s="1" t="n">
        <v>45932</v>
      </c>
      <c r="D3970" t="inlineStr">
        <is>
          <t>VÄRMLANDS LÄN</t>
        </is>
      </c>
      <c r="E3970" t="inlineStr">
        <is>
          <t>HAGFORS</t>
        </is>
      </c>
      <c r="F3970" t="inlineStr">
        <is>
          <t>Bergvik skog väst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43659-2024</t>
        </is>
      </c>
      <c r="B3971" s="1" t="n">
        <v>45569</v>
      </c>
      <c r="C3971" s="1" t="n">
        <v>45932</v>
      </c>
      <c r="D3971" t="inlineStr">
        <is>
          <t>VÄRMLANDS LÄN</t>
        </is>
      </c>
      <c r="E3971" t="inlineStr">
        <is>
          <t>ÅRJÄNG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23203-2023</t>
        </is>
      </c>
      <c r="B3972" s="1" t="n">
        <v>45075.61314814815</v>
      </c>
      <c r="C3972" s="1" t="n">
        <v>45932</v>
      </c>
      <c r="D3972" t="inlineStr">
        <is>
          <t>VÄRMLANDS LÄN</t>
        </is>
      </c>
      <c r="E3972" t="inlineStr">
        <is>
          <t>ÅRJÄNG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23212-2023</t>
        </is>
      </c>
      <c r="B3973" s="1" t="n">
        <v>45075.63211805555</v>
      </c>
      <c r="C3973" s="1" t="n">
        <v>45932</v>
      </c>
      <c r="D3973" t="inlineStr">
        <is>
          <t>VÄRMLANDS LÄN</t>
        </is>
      </c>
      <c r="E3973" t="inlineStr">
        <is>
          <t>ÅRJÄNG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26880-2023</t>
        </is>
      </c>
      <c r="B3974" s="1" t="n">
        <v>45093.58373842593</v>
      </c>
      <c r="C3974" s="1" t="n">
        <v>45932</v>
      </c>
      <c r="D3974" t="inlineStr">
        <is>
          <t>VÄRMLANDS LÄN</t>
        </is>
      </c>
      <c r="E3974" t="inlineStr">
        <is>
          <t>ÅRJÄNG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25807-2023</t>
        </is>
      </c>
      <c r="B3975" s="1" t="n">
        <v>45090</v>
      </c>
      <c r="C3975" s="1" t="n">
        <v>45932</v>
      </c>
      <c r="D3975" t="inlineStr">
        <is>
          <t>VÄRMLANDS LÄN</t>
        </is>
      </c>
      <c r="E3975" t="inlineStr">
        <is>
          <t>EDA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6434-2025</t>
        </is>
      </c>
      <c r="B3976" s="1" t="n">
        <v>45699</v>
      </c>
      <c r="C3976" s="1" t="n">
        <v>45932</v>
      </c>
      <c r="D3976" t="inlineStr">
        <is>
          <t>VÄRMLANDS LÄN</t>
        </is>
      </c>
      <c r="E3976" t="inlineStr">
        <is>
          <t>SÄFFLE</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6436-2025</t>
        </is>
      </c>
      <c r="B3977" s="1" t="n">
        <v>45699.5178125</v>
      </c>
      <c r="C3977" s="1" t="n">
        <v>45932</v>
      </c>
      <c r="D3977" t="inlineStr">
        <is>
          <t>VÄRMLANDS LÄN</t>
        </is>
      </c>
      <c r="E3977" t="inlineStr">
        <is>
          <t>KRISTINEHAMN</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13118-2025</t>
        </is>
      </c>
      <c r="B3978" s="1" t="n">
        <v>45734.73771990741</v>
      </c>
      <c r="C3978" s="1" t="n">
        <v>45932</v>
      </c>
      <c r="D3978" t="inlineStr">
        <is>
          <t>VÄRMLANDS LÄN</t>
        </is>
      </c>
      <c r="E3978" t="inlineStr">
        <is>
          <t>KRISTINEHAMN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28191-2022</t>
        </is>
      </c>
      <c r="B3979" s="1" t="n">
        <v>44746.59061342593</v>
      </c>
      <c r="C3979" s="1" t="n">
        <v>45932</v>
      </c>
      <c r="D3979" t="inlineStr">
        <is>
          <t>VÄRMLANDS LÄN</t>
        </is>
      </c>
      <c r="E3979" t="inlineStr">
        <is>
          <t>SUNNE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54790-2024</t>
        </is>
      </c>
      <c r="B3980" s="1" t="n">
        <v>45618</v>
      </c>
      <c r="C3980" s="1" t="n">
        <v>45932</v>
      </c>
      <c r="D3980" t="inlineStr">
        <is>
          <t>VÄRMLANDS LÄN</t>
        </is>
      </c>
      <c r="E3980" t="inlineStr">
        <is>
          <t>TORSBY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22964-2025</t>
        </is>
      </c>
      <c r="B3981" s="1" t="n">
        <v>45790.54108796296</v>
      </c>
      <c r="C3981" s="1" t="n">
        <v>45932</v>
      </c>
      <c r="D3981" t="inlineStr">
        <is>
          <t>VÄRMLANDS LÄN</t>
        </is>
      </c>
      <c r="E3981" t="inlineStr">
        <is>
          <t>HAGFORS</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21867-2024</t>
        </is>
      </c>
      <c r="B3982" s="1" t="n">
        <v>45443.30052083333</v>
      </c>
      <c r="C3982" s="1" t="n">
        <v>45932</v>
      </c>
      <c r="D3982" t="inlineStr">
        <is>
          <t>VÄRMLANDS LÄN</t>
        </is>
      </c>
      <c r="E3982" t="inlineStr">
        <is>
          <t>HAGFORS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17687-2024</t>
        </is>
      </c>
      <c r="B3983" s="1" t="n">
        <v>45418</v>
      </c>
      <c r="C3983" s="1" t="n">
        <v>45932</v>
      </c>
      <c r="D3983" t="inlineStr">
        <is>
          <t>VÄRMLANDS LÄN</t>
        </is>
      </c>
      <c r="E3983" t="inlineStr">
        <is>
          <t>TORSBY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14575-2025</t>
        </is>
      </c>
      <c r="B3984" s="1" t="n">
        <v>45742.29048611111</v>
      </c>
      <c r="C3984" s="1" t="n">
        <v>45932</v>
      </c>
      <c r="D3984" t="inlineStr">
        <is>
          <t>VÄRMLANDS LÄN</t>
        </is>
      </c>
      <c r="E3984" t="inlineStr">
        <is>
          <t>TORSBY</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13187-2025</t>
        </is>
      </c>
      <c r="B3985" s="1" t="n">
        <v>45735.38898148148</v>
      </c>
      <c r="C3985" s="1" t="n">
        <v>45932</v>
      </c>
      <c r="D3985" t="inlineStr">
        <is>
          <t>VÄRMLANDS LÄN</t>
        </is>
      </c>
      <c r="E3985" t="inlineStr">
        <is>
          <t>ARVIKA</t>
        </is>
      </c>
      <c r="F3985" t="inlineStr">
        <is>
          <t>Bergvik skog väst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45651-2024</t>
        </is>
      </c>
      <c r="B3986" s="1" t="n">
        <v>45579</v>
      </c>
      <c r="C3986" s="1" t="n">
        <v>45932</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44340-2022</t>
        </is>
      </c>
      <c r="B3987" s="1" t="n">
        <v>44838</v>
      </c>
      <c r="C3987" s="1" t="n">
        <v>45932</v>
      </c>
      <c r="D3987" t="inlineStr">
        <is>
          <t>VÄRMLANDS LÄN</t>
        </is>
      </c>
      <c r="E3987" t="inlineStr">
        <is>
          <t>TORSBY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23177-2025</t>
        </is>
      </c>
      <c r="B3988" s="1" t="n">
        <v>45791.43581018518</v>
      </c>
      <c r="C3988" s="1" t="n">
        <v>45932</v>
      </c>
      <c r="D3988" t="inlineStr">
        <is>
          <t>VÄRMLANDS LÄN</t>
        </is>
      </c>
      <c r="E3988" t="inlineStr">
        <is>
          <t>SUNNE</t>
        </is>
      </c>
      <c r="F3988" t="inlineStr">
        <is>
          <t>Kyrkan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13285-2025</t>
        </is>
      </c>
      <c r="B3989" s="1" t="n">
        <v>45735</v>
      </c>
      <c r="C3989" s="1" t="n">
        <v>45932</v>
      </c>
      <c r="D3989" t="inlineStr">
        <is>
          <t>VÄRMLANDS LÄN</t>
        </is>
      </c>
      <c r="E3989" t="inlineStr">
        <is>
          <t>TORSBY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4070-2024</t>
        </is>
      </c>
      <c r="B3990" s="1" t="n">
        <v>45323</v>
      </c>
      <c r="C3990" s="1" t="n">
        <v>45932</v>
      </c>
      <c r="D3990" t="inlineStr">
        <is>
          <t>VÄRMLANDS LÄN</t>
        </is>
      </c>
      <c r="E3990" t="inlineStr">
        <is>
          <t>TORSBY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73753-2021</t>
        </is>
      </c>
      <c r="B3991" s="1" t="n">
        <v>44552</v>
      </c>
      <c r="C3991" s="1" t="n">
        <v>45932</v>
      </c>
      <c r="D3991" t="inlineStr">
        <is>
          <t>VÄRMLANDS LÄN</t>
        </is>
      </c>
      <c r="E3991" t="inlineStr">
        <is>
          <t>KARLSTAD</t>
        </is>
      </c>
      <c r="F3991" t="inlineStr">
        <is>
          <t>Kyrkan</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23236-2025</t>
        </is>
      </c>
      <c r="B3992" s="1" t="n">
        <v>45791.49532407407</v>
      </c>
      <c r="C3992" s="1" t="n">
        <v>45932</v>
      </c>
      <c r="D3992" t="inlineStr">
        <is>
          <t>VÄRMLANDS LÄN</t>
        </is>
      </c>
      <c r="E3992" t="inlineStr">
        <is>
          <t>HAGFORS</t>
        </is>
      </c>
      <c r="F3992" t="inlineStr">
        <is>
          <t>Bergvik skog väst AB</t>
        </is>
      </c>
      <c r="G3992" t="n">
        <v>11.2</v>
      </c>
      <c r="H3992" t="n">
        <v>0</v>
      </c>
      <c r="I3992" t="n">
        <v>0</v>
      </c>
      <c r="J3992" t="n">
        <v>0</v>
      </c>
      <c r="K3992" t="n">
        <v>0</v>
      </c>
      <c r="L3992" t="n">
        <v>0</v>
      </c>
      <c r="M3992" t="n">
        <v>0</v>
      </c>
      <c r="N3992" t="n">
        <v>0</v>
      </c>
      <c r="O3992" t="n">
        <v>0</v>
      </c>
      <c r="P3992" t="n">
        <v>0</v>
      </c>
      <c r="Q3992" t="n">
        <v>0</v>
      </c>
      <c r="R3992" s="2" t="inlineStr"/>
    </row>
    <row r="3993" ht="15" customHeight="1">
      <c r="A3993" t="inlineStr">
        <is>
          <t>A 1275-2024</t>
        </is>
      </c>
      <c r="B3993" s="1" t="n">
        <v>45302</v>
      </c>
      <c r="C3993" s="1" t="n">
        <v>45932</v>
      </c>
      <c r="D3993" t="inlineStr">
        <is>
          <t>VÄRMLANDS LÄN</t>
        </is>
      </c>
      <c r="E3993" t="inlineStr">
        <is>
          <t>TORSBY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30370-2023</t>
        </is>
      </c>
      <c r="B3994" s="1" t="n">
        <v>45111</v>
      </c>
      <c r="C3994" s="1" t="n">
        <v>45932</v>
      </c>
      <c r="D3994" t="inlineStr">
        <is>
          <t>VÄRMLANDS LÄN</t>
        </is>
      </c>
      <c r="E3994" t="inlineStr">
        <is>
          <t>TORSBY</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23617-2023</t>
        </is>
      </c>
      <c r="B3995" s="1" t="n">
        <v>45077.47910879629</v>
      </c>
      <c r="C3995" s="1" t="n">
        <v>45932</v>
      </c>
      <c r="D3995" t="inlineStr">
        <is>
          <t>VÄRMLANDS LÄN</t>
        </is>
      </c>
      <c r="E3995" t="inlineStr">
        <is>
          <t>FILIPSTAD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23618-2023</t>
        </is>
      </c>
      <c r="B3996" s="1" t="n">
        <v>45077.4805787037</v>
      </c>
      <c r="C3996" s="1" t="n">
        <v>45932</v>
      </c>
      <c r="D3996" t="inlineStr">
        <is>
          <t>VÄRMLANDS LÄN</t>
        </is>
      </c>
      <c r="E3996" t="inlineStr">
        <is>
          <t>FILIPSTAD</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35878-2024</t>
        </is>
      </c>
      <c r="B3997" s="1" t="n">
        <v>45533.35328703704</v>
      </c>
      <c r="C3997" s="1" t="n">
        <v>45932</v>
      </c>
      <c r="D3997" t="inlineStr">
        <is>
          <t>VÄRMLANDS LÄN</t>
        </is>
      </c>
      <c r="E3997" t="inlineStr">
        <is>
          <t>EDA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39128-2023</t>
        </is>
      </c>
      <c r="B3998" s="1" t="n">
        <v>45165.73158564815</v>
      </c>
      <c r="C3998" s="1" t="n">
        <v>45932</v>
      </c>
      <c r="D3998" t="inlineStr">
        <is>
          <t>VÄRMLANDS LÄN</t>
        </is>
      </c>
      <c r="E3998" t="inlineStr">
        <is>
          <t>SUNNE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54450-2024</t>
        </is>
      </c>
      <c r="B3999" s="1" t="n">
        <v>45617</v>
      </c>
      <c r="C3999" s="1" t="n">
        <v>45932</v>
      </c>
      <c r="D3999" t="inlineStr">
        <is>
          <t>VÄRMLANDS LÄN</t>
        </is>
      </c>
      <c r="E3999" t="inlineStr">
        <is>
          <t>SÄFFLE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68985-2020</t>
        </is>
      </c>
      <c r="B4000" s="1" t="n">
        <v>44188</v>
      </c>
      <c r="C4000" s="1" t="n">
        <v>45932</v>
      </c>
      <c r="D4000" t="inlineStr">
        <is>
          <t>VÄRMLANDS LÄN</t>
        </is>
      </c>
      <c r="E4000" t="inlineStr">
        <is>
          <t>FORSHAGA</t>
        </is>
      </c>
      <c r="F4000" t="inlineStr">
        <is>
          <t>Bergvik skog väst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56218-2023</t>
        </is>
      </c>
      <c r="B4001" s="1" t="n">
        <v>45240.74755787037</v>
      </c>
      <c r="C4001" s="1" t="n">
        <v>45932</v>
      </c>
      <c r="D4001" t="inlineStr">
        <is>
          <t>VÄRMLANDS LÄN</t>
        </is>
      </c>
      <c r="E4001" t="inlineStr">
        <is>
          <t>KARLSTAD</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56220-2023</t>
        </is>
      </c>
      <c r="B4002" s="1" t="n">
        <v>45240.78313657407</v>
      </c>
      <c r="C4002" s="1" t="n">
        <v>45932</v>
      </c>
      <c r="D4002" t="inlineStr">
        <is>
          <t>VÄRMLANDS LÄN</t>
        </is>
      </c>
      <c r="E4002" t="inlineStr">
        <is>
          <t>GRUMS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38298-2022</t>
        </is>
      </c>
      <c r="B4003" s="1" t="n">
        <v>44812</v>
      </c>
      <c r="C4003" s="1" t="n">
        <v>45932</v>
      </c>
      <c r="D4003" t="inlineStr">
        <is>
          <t>VÄRMLANDS LÄN</t>
        </is>
      </c>
      <c r="E4003" t="inlineStr">
        <is>
          <t>KARLSTAD</t>
        </is>
      </c>
      <c r="F4003" t="inlineStr">
        <is>
          <t>Bergvik skog väst AB</t>
        </is>
      </c>
      <c r="G4003" t="n">
        <v>24.3</v>
      </c>
      <c r="H4003" t="n">
        <v>0</v>
      </c>
      <c r="I4003" t="n">
        <v>0</v>
      </c>
      <c r="J4003" t="n">
        <v>0</v>
      </c>
      <c r="K4003" t="n">
        <v>0</v>
      </c>
      <c r="L4003" t="n">
        <v>0</v>
      </c>
      <c r="M4003" t="n">
        <v>0</v>
      </c>
      <c r="N4003" t="n">
        <v>0</v>
      </c>
      <c r="O4003" t="n">
        <v>0</v>
      </c>
      <c r="P4003" t="n">
        <v>0</v>
      </c>
      <c r="Q4003" t="n">
        <v>0</v>
      </c>
      <c r="R4003" s="2" t="inlineStr"/>
    </row>
    <row r="4004" ht="15" customHeight="1">
      <c r="A4004" t="inlineStr">
        <is>
          <t>A 56238-2023</t>
        </is>
      </c>
      <c r="B4004" s="1" t="n">
        <v>45240.92606481481</v>
      </c>
      <c r="C4004" s="1" t="n">
        <v>45932</v>
      </c>
      <c r="D4004" t="inlineStr">
        <is>
          <t>VÄRMLANDS LÄN</t>
        </is>
      </c>
      <c r="E4004" t="inlineStr">
        <is>
          <t>SUNNE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62266-2023</t>
        </is>
      </c>
      <c r="B4005" s="1" t="n">
        <v>45266</v>
      </c>
      <c r="C4005" s="1" t="n">
        <v>45932</v>
      </c>
      <c r="D4005" t="inlineStr">
        <is>
          <t>VÄRMLANDS LÄN</t>
        </is>
      </c>
      <c r="E4005" t="inlineStr">
        <is>
          <t>ÅRJÄNG</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23047-2025</t>
        </is>
      </c>
      <c r="B4006" s="1" t="n">
        <v>45790.69576388889</v>
      </c>
      <c r="C4006" s="1" t="n">
        <v>45932</v>
      </c>
      <c r="D4006" t="inlineStr">
        <is>
          <t>VÄRMLANDS LÄN</t>
        </is>
      </c>
      <c r="E4006" t="inlineStr">
        <is>
          <t>EDA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49206-2022</t>
        </is>
      </c>
      <c r="B4007" s="1" t="n">
        <v>44860.95984953704</v>
      </c>
      <c r="C4007" s="1" t="n">
        <v>45932</v>
      </c>
      <c r="D4007" t="inlineStr">
        <is>
          <t>VÄRMLANDS LÄN</t>
        </is>
      </c>
      <c r="E4007" t="inlineStr">
        <is>
          <t>TORSBY</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6573-2023</t>
        </is>
      </c>
      <c r="B4008" s="1" t="n">
        <v>44960</v>
      </c>
      <c r="C4008" s="1" t="n">
        <v>45932</v>
      </c>
      <c r="D4008" t="inlineStr">
        <is>
          <t>VÄRMLANDS LÄN</t>
        </is>
      </c>
      <c r="E4008" t="inlineStr">
        <is>
          <t>FILIPSTAD</t>
        </is>
      </c>
      <c r="F4008" t="inlineStr">
        <is>
          <t>Kommuner</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969-2023</t>
        </is>
      </c>
      <c r="B4009" s="1" t="n">
        <v>44935.31355324074</v>
      </c>
      <c r="C4009" s="1" t="n">
        <v>45932</v>
      </c>
      <c r="D4009" t="inlineStr">
        <is>
          <t>VÄRMLANDS LÄN</t>
        </is>
      </c>
      <c r="E4009" t="inlineStr">
        <is>
          <t>ARVIKA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1042-2023</t>
        </is>
      </c>
      <c r="B4010" s="1" t="n">
        <v>44935.47858796296</v>
      </c>
      <c r="C4010" s="1" t="n">
        <v>45932</v>
      </c>
      <c r="D4010" t="inlineStr">
        <is>
          <t>VÄRMLANDS LÄN</t>
        </is>
      </c>
      <c r="E4010" t="inlineStr">
        <is>
          <t>FILIPSTAD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53755-2024</t>
        </is>
      </c>
      <c r="B4011" s="1" t="n">
        <v>45615.49748842593</v>
      </c>
      <c r="C4011" s="1" t="n">
        <v>45932</v>
      </c>
      <c r="D4011" t="inlineStr">
        <is>
          <t>VÄRMLANDS LÄN</t>
        </is>
      </c>
      <c r="E4011" t="inlineStr">
        <is>
          <t>GRUMS</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16613-2022</t>
        </is>
      </c>
      <c r="B4012" s="1" t="n">
        <v>44672</v>
      </c>
      <c r="C4012" s="1" t="n">
        <v>45932</v>
      </c>
      <c r="D4012" t="inlineStr">
        <is>
          <t>VÄRMLANDS LÄN</t>
        </is>
      </c>
      <c r="E4012" t="inlineStr">
        <is>
          <t>ÅRJÄNG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22988-2025</t>
        </is>
      </c>
      <c r="B4013" s="1" t="n">
        <v>45790</v>
      </c>
      <c r="C4013" s="1" t="n">
        <v>45932</v>
      </c>
      <c r="D4013" t="inlineStr">
        <is>
          <t>VÄRMLANDS LÄN</t>
        </is>
      </c>
      <c r="E4013" t="inlineStr">
        <is>
          <t>SÄFFLE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22997-2025</t>
        </is>
      </c>
      <c r="B4014" s="1" t="n">
        <v>45790</v>
      </c>
      <c r="C4014" s="1" t="n">
        <v>45932</v>
      </c>
      <c r="D4014" t="inlineStr">
        <is>
          <t>VÄRMLANDS LÄN</t>
        </is>
      </c>
      <c r="E4014" t="inlineStr">
        <is>
          <t>SÄFFLE</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23002-2025</t>
        </is>
      </c>
      <c r="B4015" s="1" t="n">
        <v>45790</v>
      </c>
      <c r="C4015" s="1" t="n">
        <v>45932</v>
      </c>
      <c r="D4015" t="inlineStr">
        <is>
          <t>VÄRMLANDS LÄN</t>
        </is>
      </c>
      <c r="E4015" t="inlineStr">
        <is>
          <t>SÄFFLE</t>
        </is>
      </c>
      <c r="F4015" t="inlineStr">
        <is>
          <t>Bergvik skog väst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23038-2025</t>
        </is>
      </c>
      <c r="B4016" s="1" t="n">
        <v>45790.66159722222</v>
      </c>
      <c r="C4016" s="1" t="n">
        <v>45932</v>
      </c>
      <c r="D4016" t="inlineStr">
        <is>
          <t>VÄRMLANDS LÄN</t>
        </is>
      </c>
      <c r="E4016" t="inlineStr">
        <is>
          <t>EDA</t>
        </is>
      </c>
      <c r="F4016" t="inlineStr">
        <is>
          <t>Bergvik skog väst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16210-2025</t>
        </is>
      </c>
      <c r="B4017" s="1" t="n">
        <v>45750</v>
      </c>
      <c r="C4017" s="1" t="n">
        <v>45932</v>
      </c>
      <c r="D4017" t="inlineStr">
        <is>
          <t>VÄRMLANDS LÄN</t>
        </is>
      </c>
      <c r="E4017" t="inlineStr">
        <is>
          <t>TORSBY</t>
        </is>
      </c>
      <c r="F4017" t="inlineStr">
        <is>
          <t>Bergvik skog väst AB</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18101-2022</t>
        </is>
      </c>
      <c r="B4018" s="1" t="n">
        <v>44684</v>
      </c>
      <c r="C4018" s="1" t="n">
        <v>45932</v>
      </c>
      <c r="D4018" t="inlineStr">
        <is>
          <t>VÄRMLANDS LÄN</t>
        </is>
      </c>
      <c r="E4018" t="inlineStr">
        <is>
          <t>TORSBY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14090-2024</t>
        </is>
      </c>
      <c r="B4019" s="1" t="n">
        <v>45392.60068287037</v>
      </c>
      <c r="C4019" s="1" t="n">
        <v>45932</v>
      </c>
      <c r="D4019" t="inlineStr">
        <is>
          <t>VÄRMLANDS LÄN</t>
        </is>
      </c>
      <c r="E4019" t="inlineStr">
        <is>
          <t>EDA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3640-2023</t>
        </is>
      </c>
      <c r="B4020" s="1" t="n">
        <v>44950.68668981481</v>
      </c>
      <c r="C4020" s="1" t="n">
        <v>45932</v>
      </c>
      <c r="D4020" t="inlineStr">
        <is>
          <t>VÄRMLANDS LÄN</t>
        </is>
      </c>
      <c r="E4020" t="inlineStr">
        <is>
          <t>ARVIKA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3734-2023</t>
        </is>
      </c>
      <c r="B4021" s="1" t="n">
        <v>44948</v>
      </c>
      <c r="C4021" s="1" t="n">
        <v>45932</v>
      </c>
      <c r="D4021" t="inlineStr">
        <is>
          <t>VÄRMLANDS LÄN</t>
        </is>
      </c>
      <c r="E4021" t="inlineStr">
        <is>
          <t>ÅRJÄNG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3666-2023</t>
        </is>
      </c>
      <c r="B4022" s="1" t="n">
        <v>44950</v>
      </c>
      <c r="C4022" s="1" t="n">
        <v>45932</v>
      </c>
      <c r="D4022" t="inlineStr">
        <is>
          <t>VÄRMLANDS LÄN</t>
        </is>
      </c>
      <c r="E4022" t="inlineStr">
        <is>
          <t>TORSBY</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29473-2024</t>
        </is>
      </c>
      <c r="B4023" s="1" t="n">
        <v>45484</v>
      </c>
      <c r="C4023" s="1" t="n">
        <v>45932</v>
      </c>
      <c r="D4023" t="inlineStr">
        <is>
          <t>VÄRMLANDS LÄN</t>
        </is>
      </c>
      <c r="E4023" t="inlineStr">
        <is>
          <t>FILIPSTAD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47239-2022</t>
        </is>
      </c>
      <c r="B4024" s="1" t="n">
        <v>44852</v>
      </c>
      <c r="C4024" s="1" t="n">
        <v>45932</v>
      </c>
      <c r="D4024" t="inlineStr">
        <is>
          <t>VÄRMLANDS LÄN</t>
        </is>
      </c>
      <c r="E4024" t="inlineStr">
        <is>
          <t>ARVIKA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42408-2022</t>
        </is>
      </c>
      <c r="B4025" s="1" t="n">
        <v>44831</v>
      </c>
      <c r="C4025" s="1" t="n">
        <v>45932</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972-2025</t>
        </is>
      </c>
      <c r="B4026" s="1" t="n">
        <v>45665</v>
      </c>
      <c r="C4026" s="1" t="n">
        <v>45932</v>
      </c>
      <c r="D4026" t="inlineStr">
        <is>
          <t>VÄRMLANDS LÄN</t>
        </is>
      </c>
      <c r="E4026" t="inlineStr">
        <is>
          <t>GRUMS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11935-2025</t>
        </is>
      </c>
      <c r="B4027" s="1" t="n">
        <v>45728</v>
      </c>
      <c r="C4027" s="1" t="n">
        <v>45932</v>
      </c>
      <c r="D4027" t="inlineStr">
        <is>
          <t>VÄRMLANDS LÄN</t>
        </is>
      </c>
      <c r="E4027" t="inlineStr">
        <is>
          <t>SÄFFLE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2471-2023</t>
        </is>
      </c>
      <c r="B4028" s="1" t="n">
        <v>44943.48373842592</v>
      </c>
      <c r="C4028" s="1" t="n">
        <v>45932</v>
      </c>
      <c r="D4028" t="inlineStr">
        <is>
          <t>VÄRMLANDS LÄN</t>
        </is>
      </c>
      <c r="E4028" t="inlineStr">
        <is>
          <t>TORSBY</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32134-2023</t>
        </is>
      </c>
      <c r="B4029" s="1" t="n">
        <v>45119.65582175926</v>
      </c>
      <c r="C4029" s="1" t="n">
        <v>45932</v>
      </c>
      <c r="D4029" t="inlineStr">
        <is>
          <t>VÄRMLANDS LÄN</t>
        </is>
      </c>
      <c r="E4029" t="inlineStr">
        <is>
          <t>SUNNE</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935-2021</t>
        </is>
      </c>
      <c r="B4030" s="1" t="n">
        <v>44207</v>
      </c>
      <c r="C4030" s="1" t="n">
        <v>45932</v>
      </c>
      <c r="D4030" t="inlineStr">
        <is>
          <t>VÄRMLANDS LÄN</t>
        </is>
      </c>
      <c r="E4030" t="inlineStr">
        <is>
          <t>ÅRJÄNG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57314-2024</t>
        </is>
      </c>
      <c r="B4031" s="1" t="n">
        <v>45629</v>
      </c>
      <c r="C4031" s="1" t="n">
        <v>45932</v>
      </c>
      <c r="D4031" t="inlineStr">
        <is>
          <t>VÄRMLANDS LÄN</t>
        </is>
      </c>
      <c r="E4031" t="inlineStr">
        <is>
          <t>EDA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23280-2025</t>
        </is>
      </c>
      <c r="B4032" s="1" t="n">
        <v>45791.57217592592</v>
      </c>
      <c r="C4032" s="1" t="n">
        <v>45932</v>
      </c>
      <c r="D4032" t="inlineStr">
        <is>
          <t>VÄRMLANDS LÄN</t>
        </is>
      </c>
      <c r="E4032" t="inlineStr">
        <is>
          <t>TORSBY</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31945-2024</t>
        </is>
      </c>
      <c r="B4033" s="1" t="n">
        <v>45510</v>
      </c>
      <c r="C4033" s="1" t="n">
        <v>45932</v>
      </c>
      <c r="D4033" t="inlineStr">
        <is>
          <t>VÄRMLANDS LÄN</t>
        </is>
      </c>
      <c r="E4033" t="inlineStr">
        <is>
          <t>TORSBY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19216-2025</t>
        </is>
      </c>
      <c r="B4034" s="1" t="n">
        <v>45769</v>
      </c>
      <c r="C4034" s="1" t="n">
        <v>45932</v>
      </c>
      <c r="D4034" t="inlineStr">
        <is>
          <t>VÄRMLANDS LÄN</t>
        </is>
      </c>
      <c r="E4034" t="inlineStr">
        <is>
          <t>ARVIKA</t>
        </is>
      </c>
      <c r="F4034" t="inlineStr">
        <is>
          <t>Bergvik skog väst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71195-2021</t>
        </is>
      </c>
      <c r="B4035" s="1" t="n">
        <v>44539.52929398148</v>
      </c>
      <c r="C4035" s="1" t="n">
        <v>45932</v>
      </c>
      <c r="D4035" t="inlineStr">
        <is>
          <t>VÄRMLANDS LÄN</t>
        </is>
      </c>
      <c r="E4035" t="inlineStr">
        <is>
          <t>SUNNE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1350-2025</t>
        </is>
      </c>
      <c r="B4036" s="1" t="n">
        <v>45667</v>
      </c>
      <c r="C4036" s="1" t="n">
        <v>45932</v>
      </c>
      <c r="D4036" t="inlineStr">
        <is>
          <t>VÄRMLANDS LÄN</t>
        </is>
      </c>
      <c r="E4036" t="inlineStr">
        <is>
          <t>FILIPSTAD</t>
        </is>
      </c>
      <c r="F4036" t="inlineStr">
        <is>
          <t>Kommuner</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11969-2025</t>
        </is>
      </c>
      <c r="B4037" s="1" t="n">
        <v>45728.58295138889</v>
      </c>
      <c r="C4037" s="1" t="n">
        <v>45932</v>
      </c>
      <c r="D4037" t="inlineStr">
        <is>
          <t>VÄRMLANDS LÄN</t>
        </is>
      </c>
      <c r="E4037" t="inlineStr">
        <is>
          <t>ARVIKA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19248-2025</t>
        </is>
      </c>
      <c r="B4038" s="1" t="n">
        <v>45769.48710648148</v>
      </c>
      <c r="C4038" s="1" t="n">
        <v>45932</v>
      </c>
      <c r="D4038" t="inlineStr">
        <is>
          <t>VÄRMLANDS LÄN</t>
        </is>
      </c>
      <c r="E4038" t="inlineStr">
        <is>
          <t>ÅRJÄNG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46058-2023</t>
        </is>
      </c>
      <c r="B4039" s="1" t="n">
        <v>45196.45377314815</v>
      </c>
      <c r="C4039" s="1" t="n">
        <v>45932</v>
      </c>
      <c r="D4039" t="inlineStr">
        <is>
          <t>VÄRMLANDS LÄN</t>
        </is>
      </c>
      <c r="E4039" t="inlineStr">
        <is>
          <t>SUNNE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36732-2024</t>
        </is>
      </c>
      <c r="B4040" s="1" t="n">
        <v>45537</v>
      </c>
      <c r="C4040" s="1" t="n">
        <v>45932</v>
      </c>
      <c r="D4040" t="inlineStr">
        <is>
          <t>VÄRMLANDS LÄN</t>
        </is>
      </c>
      <c r="E4040" t="inlineStr">
        <is>
          <t>FILIPSTAD</t>
        </is>
      </c>
      <c r="F4040" t="inlineStr">
        <is>
          <t>Bergvik skog väst AB</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55950-2024</t>
        </is>
      </c>
      <c r="B4041" s="1" t="n">
        <v>45623</v>
      </c>
      <c r="C4041" s="1" t="n">
        <v>45932</v>
      </c>
      <c r="D4041" t="inlineStr">
        <is>
          <t>VÄRMLANDS LÄN</t>
        </is>
      </c>
      <c r="E4041" t="inlineStr">
        <is>
          <t>HAGFORS</t>
        </is>
      </c>
      <c r="F4041" t="inlineStr">
        <is>
          <t>Bergvik skog väst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4462-2025</t>
        </is>
      </c>
      <c r="B4042" s="1" t="n">
        <v>45686.60108796296</v>
      </c>
      <c r="C4042" s="1" t="n">
        <v>45932</v>
      </c>
      <c r="D4042" t="inlineStr">
        <is>
          <t>VÄRMLANDS LÄN</t>
        </is>
      </c>
      <c r="E4042" t="inlineStr">
        <is>
          <t>FILIPSTAD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25520-2024</t>
        </is>
      </c>
      <c r="B4043" s="1" t="n">
        <v>45463</v>
      </c>
      <c r="C4043" s="1" t="n">
        <v>45932</v>
      </c>
      <c r="D4043" t="inlineStr">
        <is>
          <t>VÄRMLANDS LÄN</t>
        </is>
      </c>
      <c r="E4043" t="inlineStr">
        <is>
          <t>ARVIKA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25275-2024</t>
        </is>
      </c>
      <c r="B4044" s="1" t="n">
        <v>45462.62945601852</v>
      </c>
      <c r="C4044" s="1" t="n">
        <v>45932</v>
      </c>
      <c r="D4044" t="inlineStr">
        <is>
          <t>VÄRMLANDS LÄN</t>
        </is>
      </c>
      <c r="E4044" t="inlineStr">
        <is>
          <t>ARVIKA</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4506-2022</t>
        </is>
      </c>
      <c r="B4045" s="1" t="n">
        <v>44589</v>
      </c>
      <c r="C4045" s="1" t="n">
        <v>45932</v>
      </c>
      <c r="D4045" t="inlineStr">
        <is>
          <t>VÄRMLANDS LÄN</t>
        </is>
      </c>
      <c r="E4045" t="inlineStr">
        <is>
          <t>ARVIKA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48021-2023</t>
        </is>
      </c>
      <c r="B4046" s="1" t="n">
        <v>45204.6834837963</v>
      </c>
      <c r="C4046" s="1" t="n">
        <v>45932</v>
      </c>
      <c r="D4046" t="inlineStr">
        <is>
          <t>VÄRMLANDS LÄN</t>
        </is>
      </c>
      <c r="E4046" t="inlineStr">
        <is>
          <t>SUNNE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38953-2024</t>
        </is>
      </c>
      <c r="B4047" s="1" t="n">
        <v>45548</v>
      </c>
      <c r="C4047" s="1" t="n">
        <v>45932</v>
      </c>
      <c r="D4047" t="inlineStr">
        <is>
          <t>VÄRMLANDS LÄN</t>
        </is>
      </c>
      <c r="E4047" t="inlineStr">
        <is>
          <t>SUNNE</t>
        </is>
      </c>
      <c r="F4047" t="inlineStr">
        <is>
          <t>Bergvik skog väst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5289-2022</t>
        </is>
      </c>
      <c r="B4048" s="1" t="n">
        <v>44594.61883101852</v>
      </c>
      <c r="C4048" s="1" t="n">
        <v>45932</v>
      </c>
      <c r="D4048" t="inlineStr">
        <is>
          <t>VÄRMLANDS LÄN</t>
        </is>
      </c>
      <c r="E4048" t="inlineStr">
        <is>
          <t>TORSBY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53300-2020</t>
        </is>
      </c>
      <c r="B4049" s="1" t="n">
        <v>44123</v>
      </c>
      <c r="C4049" s="1" t="n">
        <v>45932</v>
      </c>
      <c r="D4049" t="inlineStr">
        <is>
          <t>VÄRMLANDS LÄN</t>
        </is>
      </c>
      <c r="E4049" t="inlineStr">
        <is>
          <t>ARVIKA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261-2023</t>
        </is>
      </c>
      <c r="B4050" s="1" t="n">
        <v>44928.77190972222</v>
      </c>
      <c r="C4050" s="1" t="n">
        <v>45932</v>
      </c>
      <c r="D4050" t="inlineStr">
        <is>
          <t>VÄRMLANDS LÄN</t>
        </is>
      </c>
      <c r="E4050" t="inlineStr">
        <is>
          <t>SUNNE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8948-2023</t>
        </is>
      </c>
      <c r="B4051" s="1" t="n">
        <v>44979.46204861111</v>
      </c>
      <c r="C4051" s="1" t="n">
        <v>45932</v>
      </c>
      <c r="D4051" t="inlineStr">
        <is>
          <t>VÄRMLANDS LÄN</t>
        </is>
      </c>
      <c r="E4051" t="inlineStr">
        <is>
          <t>SUNNE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31073-2023</t>
        </is>
      </c>
      <c r="B4052" s="1" t="n">
        <v>45113.63711805556</v>
      </c>
      <c r="C4052" s="1" t="n">
        <v>45932</v>
      </c>
      <c r="D4052" t="inlineStr">
        <is>
          <t>VÄRMLANDS LÄN</t>
        </is>
      </c>
      <c r="E4052" t="inlineStr">
        <is>
          <t>SÄFFLE</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7127-2023</t>
        </is>
      </c>
      <c r="B4053" s="1" t="n">
        <v>44970.41383101852</v>
      </c>
      <c r="C4053" s="1" t="n">
        <v>45932</v>
      </c>
      <c r="D4053" t="inlineStr">
        <is>
          <t>VÄRMLANDS LÄN</t>
        </is>
      </c>
      <c r="E4053" t="inlineStr">
        <is>
          <t>TORSBY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7131-2023</t>
        </is>
      </c>
      <c r="B4054" s="1" t="n">
        <v>44970</v>
      </c>
      <c r="C4054" s="1" t="n">
        <v>45932</v>
      </c>
      <c r="D4054" t="inlineStr">
        <is>
          <t>VÄRMLANDS LÄN</t>
        </is>
      </c>
      <c r="E4054" t="inlineStr">
        <is>
          <t>SUNNE</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52467-2024</t>
        </is>
      </c>
      <c r="B4055" s="1" t="n">
        <v>45609</v>
      </c>
      <c r="C4055" s="1" t="n">
        <v>45932</v>
      </c>
      <c r="D4055" t="inlineStr">
        <is>
          <t>VÄRMLANDS LÄN</t>
        </is>
      </c>
      <c r="E4055" t="inlineStr">
        <is>
          <t>SUNNE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38901-2021</t>
        </is>
      </c>
      <c r="B4056" s="1" t="n">
        <v>44411</v>
      </c>
      <c r="C4056" s="1" t="n">
        <v>45932</v>
      </c>
      <c r="D4056" t="inlineStr">
        <is>
          <t>VÄRMLANDS LÄN</t>
        </is>
      </c>
      <c r="E4056" t="inlineStr">
        <is>
          <t>SUNNE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59096-2024</t>
        </is>
      </c>
      <c r="B4057" s="1" t="n">
        <v>45637</v>
      </c>
      <c r="C4057" s="1" t="n">
        <v>45932</v>
      </c>
      <c r="D4057" t="inlineStr">
        <is>
          <t>VÄRMLANDS LÄN</t>
        </is>
      </c>
      <c r="E4057" t="inlineStr">
        <is>
          <t>KRISTINEHAMN</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5790-2024</t>
        </is>
      </c>
      <c r="B4058" s="1" t="n">
        <v>45335</v>
      </c>
      <c r="C4058" s="1" t="n">
        <v>45932</v>
      </c>
      <c r="D4058" t="inlineStr">
        <is>
          <t>VÄRMLANDS LÄN</t>
        </is>
      </c>
      <c r="E4058" t="inlineStr">
        <is>
          <t>HAGFORS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34049-2023</t>
        </is>
      </c>
      <c r="B4059" s="1" t="n">
        <v>45125</v>
      </c>
      <c r="C4059" s="1" t="n">
        <v>45932</v>
      </c>
      <c r="D4059" t="inlineStr">
        <is>
          <t>VÄRMLANDS LÄN</t>
        </is>
      </c>
      <c r="E4059" t="inlineStr">
        <is>
          <t>SUNNE</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5803-2023</t>
        </is>
      </c>
      <c r="B4060" s="1" t="n">
        <v>44963</v>
      </c>
      <c r="C4060" s="1" t="n">
        <v>45932</v>
      </c>
      <c r="D4060" t="inlineStr">
        <is>
          <t>VÄRMLANDS LÄN</t>
        </is>
      </c>
      <c r="E4060" t="inlineStr">
        <is>
          <t>FILIPSTAD</t>
        </is>
      </c>
      <c r="F4060" t="inlineStr">
        <is>
          <t>Bergvik skog väst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5810-2023</t>
        </is>
      </c>
      <c r="B4061" s="1" t="n">
        <v>44963.48369212963</v>
      </c>
      <c r="C4061" s="1" t="n">
        <v>45932</v>
      </c>
      <c r="D4061" t="inlineStr">
        <is>
          <t>VÄRMLANDS LÄN</t>
        </is>
      </c>
      <c r="E4061" t="inlineStr">
        <is>
          <t>GRUMS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15916-2025</t>
        </is>
      </c>
      <c r="B4062" s="1" t="n">
        <v>45749</v>
      </c>
      <c r="C4062" s="1" t="n">
        <v>45932</v>
      </c>
      <c r="D4062" t="inlineStr">
        <is>
          <t>VÄRMLANDS LÄN</t>
        </is>
      </c>
      <c r="E4062" t="inlineStr">
        <is>
          <t>SUNNE</t>
        </is>
      </c>
      <c r="F4062" t="inlineStr">
        <is>
          <t>Bergvik skog väst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15918-2025</t>
        </is>
      </c>
      <c r="B4063" s="1" t="n">
        <v>45749</v>
      </c>
      <c r="C4063" s="1" t="n">
        <v>45932</v>
      </c>
      <c r="D4063" t="inlineStr">
        <is>
          <t>VÄRMLANDS LÄN</t>
        </is>
      </c>
      <c r="E4063" t="inlineStr">
        <is>
          <t>ARVIKA</t>
        </is>
      </c>
      <c r="F4063" t="inlineStr">
        <is>
          <t>Bergvik skog väst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46961-2023</t>
        </is>
      </c>
      <c r="B4064" s="1" t="n">
        <v>45201.44359953704</v>
      </c>
      <c r="C4064" s="1" t="n">
        <v>45932</v>
      </c>
      <c r="D4064" t="inlineStr">
        <is>
          <t>VÄRMLANDS LÄN</t>
        </is>
      </c>
      <c r="E4064" t="inlineStr">
        <is>
          <t>KARLSTAD</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23832-2025</t>
        </is>
      </c>
      <c r="B4065" s="1" t="n">
        <v>45793.60357638889</v>
      </c>
      <c r="C4065" s="1" t="n">
        <v>45932</v>
      </c>
      <c r="D4065" t="inlineStr">
        <is>
          <t>VÄRMLANDS LÄN</t>
        </is>
      </c>
      <c r="E4065" t="inlineStr">
        <is>
          <t>TORSBY</t>
        </is>
      </c>
      <c r="F4065" t="inlineStr">
        <is>
          <t>Bergvik skog väst AB</t>
        </is>
      </c>
      <c r="G4065" t="n">
        <v>12.3</v>
      </c>
      <c r="H4065" t="n">
        <v>0</v>
      </c>
      <c r="I4065" t="n">
        <v>0</v>
      </c>
      <c r="J4065" t="n">
        <v>0</v>
      </c>
      <c r="K4065" t="n">
        <v>0</v>
      </c>
      <c r="L4065" t="n">
        <v>0</v>
      </c>
      <c r="M4065" t="n">
        <v>0</v>
      </c>
      <c r="N4065" t="n">
        <v>0</v>
      </c>
      <c r="O4065" t="n">
        <v>0</v>
      </c>
      <c r="P4065" t="n">
        <v>0</v>
      </c>
      <c r="Q4065" t="n">
        <v>0</v>
      </c>
      <c r="R4065" s="2" t="inlineStr"/>
    </row>
    <row r="4066" ht="15" customHeight="1">
      <c r="A4066" t="inlineStr">
        <is>
          <t>A 34053-2023</t>
        </is>
      </c>
      <c r="B4066" s="1" t="n">
        <v>45125</v>
      </c>
      <c r="C4066" s="1" t="n">
        <v>45932</v>
      </c>
      <c r="D4066" t="inlineStr">
        <is>
          <t>VÄRMLANDS LÄN</t>
        </is>
      </c>
      <c r="E4066" t="inlineStr">
        <is>
          <t>SUNNE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20424-2025</t>
        </is>
      </c>
      <c r="B4067" s="1" t="n">
        <v>45775</v>
      </c>
      <c r="C4067" s="1" t="n">
        <v>45932</v>
      </c>
      <c r="D4067" t="inlineStr">
        <is>
          <t>VÄRMLANDS LÄN</t>
        </is>
      </c>
      <c r="E4067" t="inlineStr">
        <is>
          <t>EDA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20434-2025</t>
        </is>
      </c>
      <c r="B4068" s="1" t="n">
        <v>45775.48181712963</v>
      </c>
      <c r="C4068" s="1" t="n">
        <v>45932</v>
      </c>
      <c r="D4068" t="inlineStr">
        <is>
          <t>VÄRMLANDS LÄN</t>
        </is>
      </c>
      <c r="E4068" t="inlineStr">
        <is>
          <t>ARVIKA</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33656-2023</t>
        </is>
      </c>
      <c r="B4069" s="1" t="n">
        <v>45132.57922453704</v>
      </c>
      <c r="C4069" s="1" t="n">
        <v>45932</v>
      </c>
      <c r="D4069" t="inlineStr">
        <is>
          <t>VÄRMLANDS LÄN</t>
        </is>
      </c>
      <c r="E4069" t="inlineStr">
        <is>
          <t>TORSBY</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49301-2024</t>
        </is>
      </c>
      <c r="B4070" s="1" t="n">
        <v>45596</v>
      </c>
      <c r="C4070" s="1" t="n">
        <v>45932</v>
      </c>
      <c r="D4070" t="inlineStr">
        <is>
          <t>VÄRMLANDS LÄN</t>
        </is>
      </c>
      <c r="E4070" t="inlineStr">
        <is>
          <t>SÄFFLE</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23769-2025</t>
        </is>
      </c>
      <c r="B4071" s="1" t="n">
        <v>45793</v>
      </c>
      <c r="C4071" s="1" t="n">
        <v>45932</v>
      </c>
      <c r="D4071" t="inlineStr">
        <is>
          <t>VÄRMLANDS LÄN</t>
        </is>
      </c>
      <c r="E4071" t="inlineStr">
        <is>
          <t>FILIPSTAD</t>
        </is>
      </c>
      <c r="F4071" t="inlineStr">
        <is>
          <t>Bergvik skog väst AB</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1377-2023</t>
        </is>
      </c>
      <c r="B4072" s="1" t="n">
        <v>44936.67111111111</v>
      </c>
      <c r="C4072" s="1" t="n">
        <v>45932</v>
      </c>
      <c r="D4072" t="inlineStr">
        <is>
          <t>VÄRMLANDS LÄN</t>
        </is>
      </c>
      <c r="E4072" t="inlineStr">
        <is>
          <t>ÅRJÄNG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21988-2023</t>
        </is>
      </c>
      <c r="B4073" s="1" t="n">
        <v>45068</v>
      </c>
      <c r="C4073" s="1" t="n">
        <v>45932</v>
      </c>
      <c r="D4073" t="inlineStr">
        <is>
          <t>VÄRMLANDS LÄN</t>
        </is>
      </c>
      <c r="E4073" t="inlineStr">
        <is>
          <t>TORSBY</t>
        </is>
      </c>
      <c r="F4073" t="inlineStr">
        <is>
          <t>Bergvik skog väst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21433-2022</t>
        </is>
      </c>
      <c r="B4074" s="1" t="n">
        <v>44706.34313657408</v>
      </c>
      <c r="C4074" s="1" t="n">
        <v>45932</v>
      </c>
      <c r="D4074" t="inlineStr">
        <is>
          <t>VÄRMLANDS LÄN</t>
        </is>
      </c>
      <c r="E4074" t="inlineStr">
        <is>
          <t>ARVIKA</t>
        </is>
      </c>
      <c r="F4074" t="inlineStr">
        <is>
          <t>Bergvik skog väst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21076-2023</t>
        </is>
      </c>
      <c r="B4075" s="1" t="n">
        <v>45061</v>
      </c>
      <c r="C4075" s="1" t="n">
        <v>45932</v>
      </c>
      <c r="D4075" t="inlineStr">
        <is>
          <t>VÄRMLANDS LÄN</t>
        </is>
      </c>
      <c r="E4075" t="inlineStr">
        <is>
          <t>TORSBY</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23557-2025</t>
        </is>
      </c>
      <c r="B4076" s="1" t="n">
        <v>45792.58086805556</v>
      </c>
      <c r="C4076" s="1" t="n">
        <v>45932</v>
      </c>
      <c r="D4076" t="inlineStr">
        <is>
          <t>VÄRMLANDS LÄN</t>
        </is>
      </c>
      <c r="E4076" t="inlineStr">
        <is>
          <t>TORSBY</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61814-2024</t>
        </is>
      </c>
      <c r="B4077" s="1" t="n">
        <v>45646</v>
      </c>
      <c r="C4077" s="1" t="n">
        <v>45932</v>
      </c>
      <c r="D4077" t="inlineStr">
        <is>
          <t>VÄRMLANDS LÄN</t>
        </is>
      </c>
      <c r="E4077" t="inlineStr">
        <is>
          <t>ÅRJÄNG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44449-2024</t>
        </is>
      </c>
      <c r="B4078" s="1" t="n">
        <v>45574.32737268518</v>
      </c>
      <c r="C4078" s="1" t="n">
        <v>45932</v>
      </c>
      <c r="D4078" t="inlineStr">
        <is>
          <t>VÄRMLANDS LÄN</t>
        </is>
      </c>
      <c r="E4078" t="inlineStr">
        <is>
          <t>EDA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19506-2023</t>
        </is>
      </c>
      <c r="B4079" s="1" t="n">
        <v>45050</v>
      </c>
      <c r="C4079" s="1" t="n">
        <v>45932</v>
      </c>
      <c r="D4079" t="inlineStr">
        <is>
          <t>VÄRMLANDS LÄN</t>
        </is>
      </c>
      <c r="E4079" t="inlineStr">
        <is>
          <t>SÄFFLE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19508-2023</t>
        </is>
      </c>
      <c r="B4080" s="1" t="n">
        <v>45050</v>
      </c>
      <c r="C4080" s="1" t="n">
        <v>45932</v>
      </c>
      <c r="D4080" t="inlineStr">
        <is>
          <t>VÄRMLANDS LÄN</t>
        </is>
      </c>
      <c r="E4080" t="inlineStr">
        <is>
          <t>SÄFFLE</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24479-2024</t>
        </is>
      </c>
      <c r="B4081" s="1" t="n">
        <v>45459</v>
      </c>
      <c r="C4081" s="1" t="n">
        <v>45932</v>
      </c>
      <c r="D4081" t="inlineStr">
        <is>
          <t>VÄRMLANDS LÄN</t>
        </is>
      </c>
      <c r="E4081" t="inlineStr">
        <is>
          <t>ARVIKA</t>
        </is>
      </c>
      <c r="F4081" t="inlineStr">
        <is>
          <t>Bergvik skog väst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24483-2024</t>
        </is>
      </c>
      <c r="B4082" s="1" t="n">
        <v>45459</v>
      </c>
      <c r="C4082" s="1" t="n">
        <v>45932</v>
      </c>
      <c r="D4082" t="inlineStr">
        <is>
          <t>VÄRMLANDS LÄN</t>
        </is>
      </c>
      <c r="E4082" t="inlineStr">
        <is>
          <t>ÅRJÄNG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7273-2023</t>
        </is>
      </c>
      <c r="B4083" s="1" t="n">
        <v>44970</v>
      </c>
      <c r="C4083" s="1" t="n">
        <v>45932</v>
      </c>
      <c r="D4083" t="inlineStr">
        <is>
          <t>VÄRMLANDS LÄN</t>
        </is>
      </c>
      <c r="E4083" t="inlineStr">
        <is>
          <t>FORSHAGA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11050-2022</t>
        </is>
      </c>
      <c r="B4084" s="1" t="n">
        <v>44628.60393518519</v>
      </c>
      <c r="C4084" s="1" t="n">
        <v>45932</v>
      </c>
      <c r="D4084" t="inlineStr">
        <is>
          <t>VÄRMLANDS LÄN</t>
        </is>
      </c>
      <c r="E4084" t="inlineStr">
        <is>
          <t>TORSBY</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47152-2023</t>
        </is>
      </c>
      <c r="B4085" s="1" t="n">
        <v>45201</v>
      </c>
      <c r="C4085" s="1" t="n">
        <v>45932</v>
      </c>
      <c r="D4085" t="inlineStr">
        <is>
          <t>VÄRMLANDS LÄN</t>
        </is>
      </c>
      <c r="E4085" t="inlineStr">
        <is>
          <t>GRUMS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7444-2024</t>
        </is>
      </c>
      <c r="B4086" s="1" t="n">
        <v>45345.72637731482</v>
      </c>
      <c r="C4086" s="1" t="n">
        <v>45932</v>
      </c>
      <c r="D4086" t="inlineStr">
        <is>
          <t>VÄRMLANDS LÄN</t>
        </is>
      </c>
      <c r="E4086" t="inlineStr">
        <is>
          <t>ÅRJÄNG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34004-2024</t>
        </is>
      </c>
      <c r="B4087" s="1" t="n">
        <v>45523</v>
      </c>
      <c r="C4087" s="1" t="n">
        <v>45932</v>
      </c>
      <c r="D4087" t="inlineStr">
        <is>
          <t>VÄRMLANDS LÄN</t>
        </is>
      </c>
      <c r="E4087" t="inlineStr">
        <is>
          <t>SUNNE</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19694-2024</t>
        </is>
      </c>
      <c r="B4088" s="1" t="n">
        <v>45432</v>
      </c>
      <c r="C4088" s="1" t="n">
        <v>45932</v>
      </c>
      <c r="D4088" t="inlineStr">
        <is>
          <t>VÄRMLANDS LÄN</t>
        </is>
      </c>
      <c r="E4088" t="inlineStr">
        <is>
          <t>SÄFFLE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43536-2023</t>
        </is>
      </c>
      <c r="B4089" s="1" t="n">
        <v>45181</v>
      </c>
      <c r="C4089" s="1" t="n">
        <v>45932</v>
      </c>
      <c r="D4089" t="inlineStr">
        <is>
          <t>VÄRMLANDS LÄN</t>
        </is>
      </c>
      <c r="E4089" t="inlineStr">
        <is>
          <t>TORSBY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60593-2023</t>
        </is>
      </c>
      <c r="B4090" s="1" t="n">
        <v>45260.32078703704</v>
      </c>
      <c r="C4090" s="1" t="n">
        <v>45932</v>
      </c>
      <c r="D4090" t="inlineStr">
        <is>
          <t>VÄRMLANDS LÄN</t>
        </is>
      </c>
      <c r="E4090" t="inlineStr">
        <is>
          <t>ARVIKA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21081-2023</t>
        </is>
      </c>
      <c r="B4091" s="1" t="n">
        <v>45057</v>
      </c>
      <c r="C4091" s="1" t="n">
        <v>45932</v>
      </c>
      <c r="D4091" t="inlineStr">
        <is>
          <t>VÄRMLANDS LÄN</t>
        </is>
      </c>
      <c r="E4091" t="inlineStr">
        <is>
          <t>ÅRJÄNG</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21451-2024</t>
        </is>
      </c>
      <c r="B4092" s="1" t="n">
        <v>45441.46148148148</v>
      </c>
      <c r="C4092" s="1" t="n">
        <v>45932</v>
      </c>
      <c r="D4092" t="inlineStr">
        <is>
          <t>VÄRMLANDS LÄN</t>
        </is>
      </c>
      <c r="E4092" t="inlineStr">
        <is>
          <t>HAGFORS</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4191-2022</t>
        </is>
      </c>
      <c r="B4093" s="1" t="n">
        <v>44588</v>
      </c>
      <c r="C4093" s="1" t="n">
        <v>45932</v>
      </c>
      <c r="D4093" t="inlineStr">
        <is>
          <t>VÄRMLANDS LÄN</t>
        </is>
      </c>
      <c r="E4093" t="inlineStr">
        <is>
          <t>FILIPSTAD</t>
        </is>
      </c>
      <c r="F4093" t="inlineStr">
        <is>
          <t>Kommuner</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44674-2023</t>
        </is>
      </c>
      <c r="B4094" s="1" t="n">
        <v>45189</v>
      </c>
      <c r="C4094" s="1" t="n">
        <v>45932</v>
      </c>
      <c r="D4094" t="inlineStr">
        <is>
          <t>VÄRMLANDS LÄN</t>
        </is>
      </c>
      <c r="E4094" t="inlineStr">
        <is>
          <t>EDA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47465-2024</t>
        </is>
      </c>
      <c r="B4095" s="1" t="n">
        <v>45587</v>
      </c>
      <c r="C4095" s="1" t="n">
        <v>45932</v>
      </c>
      <c r="D4095" t="inlineStr">
        <is>
          <t>VÄRMLANDS LÄN</t>
        </is>
      </c>
      <c r="E4095" t="inlineStr">
        <is>
          <t>TORSBY</t>
        </is>
      </c>
      <c r="F4095" t="inlineStr">
        <is>
          <t>Övriga Aktiebolag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5322-2023</t>
        </is>
      </c>
      <c r="B4096" s="1" t="n">
        <v>44959.57515046297</v>
      </c>
      <c r="C4096" s="1" t="n">
        <v>45932</v>
      </c>
      <c r="D4096" t="inlineStr">
        <is>
          <t>VÄRMLANDS LÄN</t>
        </is>
      </c>
      <c r="E4096" t="inlineStr">
        <is>
          <t>ARVIKA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17232-2025</t>
        </is>
      </c>
      <c r="B4097" s="1" t="n">
        <v>45756.47322916667</v>
      </c>
      <c r="C4097" s="1" t="n">
        <v>45932</v>
      </c>
      <c r="D4097" t="inlineStr">
        <is>
          <t>VÄRMLANDS LÄN</t>
        </is>
      </c>
      <c r="E4097" t="inlineStr">
        <is>
          <t>KRISTINEHAMN</t>
        </is>
      </c>
      <c r="F4097" t="inlineStr">
        <is>
          <t>Sveaskog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21233-2024</t>
        </is>
      </c>
      <c r="B4098" s="1" t="n">
        <v>45440.58263888889</v>
      </c>
      <c r="C4098" s="1" t="n">
        <v>45932</v>
      </c>
      <c r="D4098" t="inlineStr">
        <is>
          <t>VÄRMLANDS LÄN</t>
        </is>
      </c>
      <c r="E4098" t="inlineStr">
        <is>
          <t>ARVIKA</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8512-2023</t>
        </is>
      </c>
      <c r="B4099" s="1" t="n">
        <v>44977</v>
      </c>
      <c r="C4099" s="1" t="n">
        <v>45932</v>
      </c>
      <c r="D4099" t="inlineStr">
        <is>
          <t>VÄRMLANDS LÄN</t>
        </is>
      </c>
      <c r="E4099" t="inlineStr">
        <is>
          <t>ARVIKA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61865-2024</t>
        </is>
      </c>
      <c r="B4100" s="1" t="n">
        <v>45651</v>
      </c>
      <c r="C4100" s="1" t="n">
        <v>45932</v>
      </c>
      <c r="D4100" t="inlineStr">
        <is>
          <t>VÄRMLANDS LÄN</t>
        </is>
      </c>
      <c r="E4100" t="inlineStr">
        <is>
          <t>ARVIKA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61885-2024</t>
        </is>
      </c>
      <c r="B4101" s="1" t="n">
        <v>45652.67144675926</v>
      </c>
      <c r="C4101" s="1" t="n">
        <v>45932</v>
      </c>
      <c r="D4101" t="inlineStr">
        <is>
          <t>VÄRMLANDS LÄN</t>
        </is>
      </c>
      <c r="E4101" t="inlineStr">
        <is>
          <t>ARVIKA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12615-2022</t>
        </is>
      </c>
      <c r="B4102" s="1" t="n">
        <v>44641.36465277777</v>
      </c>
      <c r="C4102" s="1" t="n">
        <v>45932</v>
      </c>
      <c r="D4102" t="inlineStr">
        <is>
          <t>VÄRMLANDS LÄN</t>
        </is>
      </c>
      <c r="E4102" t="inlineStr">
        <is>
          <t>EDA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47992-2024</t>
        </is>
      </c>
      <c r="B4103" s="1" t="n">
        <v>45589</v>
      </c>
      <c r="C4103" s="1" t="n">
        <v>45932</v>
      </c>
      <c r="D4103" t="inlineStr">
        <is>
          <t>VÄRMLANDS LÄN</t>
        </is>
      </c>
      <c r="E4103" t="inlineStr">
        <is>
          <t>SÄFFLE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48629-2024</t>
        </is>
      </c>
      <c r="B4104" s="1" t="n">
        <v>45593.46605324074</v>
      </c>
      <c r="C4104" s="1" t="n">
        <v>45932</v>
      </c>
      <c r="D4104" t="inlineStr">
        <is>
          <t>VÄRMLANDS LÄN</t>
        </is>
      </c>
      <c r="E4104" t="inlineStr">
        <is>
          <t>TORSBY</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48637-2024</t>
        </is>
      </c>
      <c r="B4105" s="1" t="n">
        <v>45593</v>
      </c>
      <c r="C4105" s="1" t="n">
        <v>45932</v>
      </c>
      <c r="D4105" t="inlineStr">
        <is>
          <t>VÄRMLANDS LÄN</t>
        </is>
      </c>
      <c r="E4105" t="inlineStr">
        <is>
          <t>ARVIKA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5884-2021</t>
        </is>
      </c>
      <c r="B4106" s="1" t="n">
        <v>44230</v>
      </c>
      <c r="C4106" s="1" t="n">
        <v>45932</v>
      </c>
      <c r="D4106" t="inlineStr">
        <is>
          <t>VÄRMLANDS LÄN</t>
        </is>
      </c>
      <c r="E4106" t="inlineStr">
        <is>
          <t>SUNNE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27739-2024</t>
        </is>
      </c>
      <c r="B4107" s="1" t="n">
        <v>45475.4516087963</v>
      </c>
      <c r="C4107" s="1" t="n">
        <v>45932</v>
      </c>
      <c r="D4107" t="inlineStr">
        <is>
          <t>VÄRMLANDS LÄN</t>
        </is>
      </c>
      <c r="E4107" t="inlineStr">
        <is>
          <t>HAGFORS</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53492-2022</t>
        </is>
      </c>
      <c r="B4108" s="1" t="n">
        <v>44879.56734953704</v>
      </c>
      <c r="C4108" s="1" t="n">
        <v>45932</v>
      </c>
      <c r="D4108" t="inlineStr">
        <is>
          <t>VÄRMLANDS LÄN</t>
        </is>
      </c>
      <c r="E4108" t="inlineStr">
        <is>
          <t>TORSBY</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48647-2024</t>
        </is>
      </c>
      <c r="B4109" s="1" t="n">
        <v>45593</v>
      </c>
      <c r="C4109" s="1" t="n">
        <v>45932</v>
      </c>
      <c r="D4109" t="inlineStr">
        <is>
          <t>VÄRMLANDS LÄN</t>
        </is>
      </c>
      <c r="E4109" t="inlineStr">
        <is>
          <t>FORSHAGA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73214-2021</t>
        </is>
      </c>
      <c r="B4110" s="1" t="n">
        <v>44550.6446875</v>
      </c>
      <c r="C4110" s="1" t="n">
        <v>45932</v>
      </c>
      <c r="D4110" t="inlineStr">
        <is>
          <t>VÄRMLANDS LÄN</t>
        </is>
      </c>
      <c r="E4110" t="inlineStr">
        <is>
          <t>SUNNE</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58576-2024</t>
        </is>
      </c>
      <c r="B4111" s="1" t="n">
        <v>45635.48516203704</v>
      </c>
      <c r="C4111" s="1" t="n">
        <v>45932</v>
      </c>
      <c r="D4111" t="inlineStr">
        <is>
          <t>VÄRMLANDS LÄN</t>
        </is>
      </c>
      <c r="E4111" t="inlineStr">
        <is>
          <t>EDA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59204-2023</t>
        </is>
      </c>
      <c r="B4112" s="1" t="n">
        <v>45253</v>
      </c>
      <c r="C4112" s="1" t="n">
        <v>45932</v>
      </c>
      <c r="D4112" t="inlineStr">
        <is>
          <t>VÄRMLANDS LÄN</t>
        </is>
      </c>
      <c r="E4112" t="inlineStr">
        <is>
          <t>KARLSTAD</t>
        </is>
      </c>
      <c r="F4112" t="inlineStr">
        <is>
          <t>Kommuner</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18244-2023</t>
        </is>
      </c>
      <c r="B4113" s="1" t="n">
        <v>45041</v>
      </c>
      <c r="C4113" s="1" t="n">
        <v>45932</v>
      </c>
      <c r="D4113" t="inlineStr">
        <is>
          <t>VÄRMLANDS LÄN</t>
        </is>
      </c>
      <c r="E4113" t="inlineStr">
        <is>
          <t>TORSBY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24620-2024</t>
        </is>
      </c>
      <c r="B4114" s="1" t="n">
        <v>45460.49582175926</v>
      </c>
      <c r="C4114" s="1" t="n">
        <v>45932</v>
      </c>
      <c r="D4114" t="inlineStr">
        <is>
          <t>VÄRMLANDS LÄN</t>
        </is>
      </c>
      <c r="E4114" t="inlineStr">
        <is>
          <t>ARVIKA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24635-2024</t>
        </is>
      </c>
      <c r="B4115" s="1" t="n">
        <v>45460</v>
      </c>
      <c r="C4115" s="1" t="n">
        <v>45932</v>
      </c>
      <c r="D4115" t="inlineStr">
        <is>
          <t>VÄRMLANDS LÄN</t>
        </is>
      </c>
      <c r="E4115" t="inlineStr">
        <is>
          <t>KIL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50263-2022</t>
        </is>
      </c>
      <c r="B4116" s="1" t="n">
        <v>44865.6884375</v>
      </c>
      <c r="C4116" s="1" t="n">
        <v>45932</v>
      </c>
      <c r="D4116" t="inlineStr">
        <is>
          <t>VÄRMLANDS LÄN</t>
        </is>
      </c>
      <c r="E4116" t="inlineStr">
        <is>
          <t>ARVIKA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24710-2024</t>
        </is>
      </c>
      <c r="B4117" s="1" t="n">
        <v>45460.62325231481</v>
      </c>
      <c r="C4117" s="1" t="n">
        <v>45932</v>
      </c>
      <c r="D4117" t="inlineStr">
        <is>
          <t>VÄRMLANDS LÄN</t>
        </is>
      </c>
      <c r="E4117" t="inlineStr">
        <is>
          <t>KRISTINEHAMN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8818-2022</t>
        </is>
      </c>
      <c r="B4118" s="1" t="n">
        <v>44614.45849537037</v>
      </c>
      <c r="C4118" s="1" t="n">
        <v>45932</v>
      </c>
      <c r="D4118" t="inlineStr">
        <is>
          <t>VÄRMLANDS LÄN</t>
        </is>
      </c>
      <c r="E4118" t="inlineStr">
        <is>
          <t>ÅRJÄNG</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52943-2024</t>
        </is>
      </c>
      <c r="B4119" s="1" t="n">
        <v>45610</v>
      </c>
      <c r="C4119" s="1" t="n">
        <v>45932</v>
      </c>
      <c r="D4119" t="inlineStr">
        <is>
          <t>VÄRMLANDS LÄN</t>
        </is>
      </c>
      <c r="E4119" t="inlineStr">
        <is>
          <t>ARVIKA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40968-2022</t>
        </is>
      </c>
      <c r="B4120" s="1" t="n">
        <v>44823</v>
      </c>
      <c r="C4120" s="1" t="n">
        <v>45932</v>
      </c>
      <c r="D4120" t="inlineStr">
        <is>
          <t>VÄRMLANDS LÄN</t>
        </is>
      </c>
      <c r="E4120" t="inlineStr">
        <is>
          <t>FORSHAGA</t>
        </is>
      </c>
      <c r="G4120" t="n">
        <v>16.5</v>
      </c>
      <c r="H4120" t="n">
        <v>0</v>
      </c>
      <c r="I4120" t="n">
        <v>0</v>
      </c>
      <c r="J4120" t="n">
        <v>0</v>
      </c>
      <c r="K4120" t="n">
        <v>0</v>
      </c>
      <c r="L4120" t="n">
        <v>0</v>
      </c>
      <c r="M4120" t="n">
        <v>0</v>
      </c>
      <c r="N4120" t="n">
        <v>0</v>
      </c>
      <c r="O4120" t="n">
        <v>0</v>
      </c>
      <c r="P4120" t="n">
        <v>0</v>
      </c>
      <c r="Q4120" t="n">
        <v>0</v>
      </c>
      <c r="R4120" s="2" t="inlineStr"/>
    </row>
    <row r="4121" ht="15" customHeight="1">
      <c r="A4121" t="inlineStr">
        <is>
          <t>A 23441-2025</t>
        </is>
      </c>
      <c r="B4121" s="1" t="n">
        <v>45792.37693287037</v>
      </c>
      <c r="C4121" s="1" t="n">
        <v>45932</v>
      </c>
      <c r="D4121" t="inlineStr">
        <is>
          <t>VÄRMLANDS LÄN</t>
        </is>
      </c>
      <c r="E4121" t="inlineStr">
        <is>
          <t>HAGFORS</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23556-2025</t>
        </is>
      </c>
      <c r="B4122" s="1" t="n">
        <v>45792.58064814815</v>
      </c>
      <c r="C4122" s="1" t="n">
        <v>45932</v>
      </c>
      <c r="D4122" t="inlineStr">
        <is>
          <t>VÄRMLANDS LÄN</t>
        </is>
      </c>
      <c r="E4122" t="inlineStr">
        <is>
          <t>HAGFORS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42656-2023</t>
        </is>
      </c>
      <c r="B4123" s="1" t="n">
        <v>45181.53928240741</v>
      </c>
      <c r="C4123" s="1" t="n">
        <v>45932</v>
      </c>
      <c r="D4123" t="inlineStr">
        <is>
          <t>VÄRMLANDS LÄN</t>
        </is>
      </c>
      <c r="E4123" t="inlineStr">
        <is>
          <t>TORSBY</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17239-2025</t>
        </is>
      </c>
      <c r="B4124" s="1" t="n">
        <v>45756.47972222222</v>
      </c>
      <c r="C4124" s="1" t="n">
        <v>45932</v>
      </c>
      <c r="D4124" t="inlineStr">
        <is>
          <t>VÄRMLANDS LÄN</t>
        </is>
      </c>
      <c r="E4124" t="inlineStr">
        <is>
          <t>GRUMS</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17240-2025</t>
        </is>
      </c>
      <c r="B4125" s="1" t="n">
        <v>45756.48184027777</v>
      </c>
      <c r="C4125" s="1" t="n">
        <v>45932</v>
      </c>
      <c r="D4125" t="inlineStr">
        <is>
          <t>VÄRMLANDS LÄN</t>
        </is>
      </c>
      <c r="E4125" t="inlineStr">
        <is>
          <t>KIL</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55856-2023</t>
        </is>
      </c>
      <c r="B4126" s="1" t="n">
        <v>45239.66585648148</v>
      </c>
      <c r="C4126" s="1" t="n">
        <v>45932</v>
      </c>
      <c r="D4126" t="inlineStr">
        <is>
          <t>VÄRMLANDS LÄN</t>
        </is>
      </c>
      <c r="E4126" t="inlineStr">
        <is>
          <t>ARVIKA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51346-2022</t>
        </is>
      </c>
      <c r="B4127" s="1" t="n">
        <v>44869.3710300926</v>
      </c>
      <c r="C4127" s="1" t="n">
        <v>45932</v>
      </c>
      <c r="D4127" t="inlineStr">
        <is>
          <t>VÄRMLANDS LÄN</t>
        </is>
      </c>
      <c r="E4127" t="inlineStr">
        <is>
          <t>HAGFORS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1506-2024</t>
        </is>
      </c>
      <c r="B4128" s="1" t="n">
        <v>45306</v>
      </c>
      <c r="C4128" s="1" t="n">
        <v>45932</v>
      </c>
      <c r="D4128" t="inlineStr">
        <is>
          <t>VÄRMLANDS LÄN</t>
        </is>
      </c>
      <c r="E4128" t="inlineStr">
        <is>
          <t>ARVIKA</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56240-2024</t>
        </is>
      </c>
      <c r="B4129" s="1" t="n">
        <v>45624.63012731481</v>
      </c>
      <c r="C4129" s="1" t="n">
        <v>45932</v>
      </c>
      <c r="D4129" t="inlineStr">
        <is>
          <t>VÄRMLANDS LÄN</t>
        </is>
      </c>
      <c r="E4129" t="inlineStr">
        <is>
          <t>TORSBY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17048-2025</t>
        </is>
      </c>
      <c r="B4130" s="1" t="n">
        <v>45754</v>
      </c>
      <c r="C4130" s="1" t="n">
        <v>45932</v>
      </c>
      <c r="D4130" t="inlineStr">
        <is>
          <t>VÄRMLANDS LÄN</t>
        </is>
      </c>
      <c r="E4130" t="inlineStr">
        <is>
          <t>TORSBY</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17053-2025</t>
        </is>
      </c>
      <c r="B4131" s="1" t="n">
        <v>45754</v>
      </c>
      <c r="C4131" s="1" t="n">
        <v>45932</v>
      </c>
      <c r="D4131" t="inlineStr">
        <is>
          <t>VÄRMLANDS LÄN</t>
        </is>
      </c>
      <c r="E4131" t="inlineStr">
        <is>
          <t>TORSBY</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6241-2025</t>
        </is>
      </c>
      <c r="B4132" s="1" t="n">
        <v>45698</v>
      </c>
      <c r="C4132" s="1" t="n">
        <v>45932</v>
      </c>
      <c r="D4132" t="inlineStr">
        <is>
          <t>VÄRMLANDS LÄN</t>
        </is>
      </c>
      <c r="E4132" t="inlineStr">
        <is>
          <t>ARVIKA</t>
        </is>
      </c>
      <c r="G4132" t="n">
        <v>0.5</v>
      </c>
      <c r="H4132" t="n">
        <v>0</v>
      </c>
      <c r="I4132" t="n">
        <v>0</v>
      </c>
      <c r="J4132" t="n">
        <v>0</v>
      </c>
      <c r="K4132" t="n">
        <v>0</v>
      </c>
      <c r="L4132" t="n">
        <v>0</v>
      </c>
      <c r="M4132" t="n">
        <v>0</v>
      </c>
      <c r="N4132" t="n">
        <v>0</v>
      </c>
      <c r="O4132" t="n">
        <v>0</v>
      </c>
      <c r="P4132" t="n">
        <v>0</v>
      </c>
      <c r="Q4132" t="n">
        <v>0</v>
      </c>
      <c r="R4132" s="2" t="inlineStr"/>
      <c r="U4132">
        <f>HYPERLINK("https://klasma.github.io/Logging_1784/knärot/A 6241-2025 karta knärot.png", "A 6241-2025")</f>
        <v/>
      </c>
      <c r="V4132">
        <f>HYPERLINK("https://klasma.github.io/Logging_1784/klagomål/A 6241-2025 FSC-klagomål.docx", "A 6241-2025")</f>
        <v/>
      </c>
      <c r="W4132">
        <f>HYPERLINK("https://klasma.github.io/Logging_1784/klagomålsmail/A 6241-2025 FSC-klagomål mail.docx", "A 6241-2025")</f>
        <v/>
      </c>
      <c r="X4132">
        <f>HYPERLINK("https://klasma.github.io/Logging_1784/tillsyn/A 6241-2025 tillsynsbegäran.docx", "A 6241-2025")</f>
        <v/>
      </c>
      <c r="Y4132">
        <f>HYPERLINK("https://klasma.github.io/Logging_1784/tillsynsmail/A 6241-2025 tillsynsbegäran mail.docx", "A 6241-2025")</f>
        <v/>
      </c>
    </row>
    <row r="4133" ht="15" customHeight="1">
      <c r="A4133" t="inlineStr">
        <is>
          <t>A 6254-2025</t>
        </is>
      </c>
      <c r="B4133" s="1" t="n">
        <v>45698</v>
      </c>
      <c r="C4133" s="1" t="n">
        <v>45932</v>
      </c>
      <c r="D4133" t="inlineStr">
        <is>
          <t>VÄRMLANDS LÄN</t>
        </is>
      </c>
      <c r="E4133" t="inlineStr">
        <is>
          <t>KARLSTAD</t>
        </is>
      </c>
      <c r="G4133" t="n">
        <v>20.6</v>
      </c>
      <c r="H4133" t="n">
        <v>0</v>
      </c>
      <c r="I4133" t="n">
        <v>0</v>
      </c>
      <c r="J4133" t="n">
        <v>0</v>
      </c>
      <c r="K4133" t="n">
        <v>0</v>
      </c>
      <c r="L4133" t="n">
        <v>0</v>
      </c>
      <c r="M4133" t="n">
        <v>0</v>
      </c>
      <c r="N4133" t="n">
        <v>0</v>
      </c>
      <c r="O4133" t="n">
        <v>0</v>
      </c>
      <c r="P4133" t="n">
        <v>0</v>
      </c>
      <c r="Q4133" t="n">
        <v>0</v>
      </c>
      <c r="R4133" s="2" t="inlineStr"/>
    </row>
    <row r="4134" ht="15" customHeight="1">
      <c r="A4134" t="inlineStr">
        <is>
          <t>A 6269-2025</t>
        </is>
      </c>
      <c r="B4134" s="1" t="n">
        <v>45698.60329861111</v>
      </c>
      <c r="C4134" s="1" t="n">
        <v>45932</v>
      </c>
      <c r="D4134" t="inlineStr">
        <is>
          <t>VÄRMLANDS LÄN</t>
        </is>
      </c>
      <c r="E4134" t="inlineStr">
        <is>
          <t>KARLSTAD</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15237-2025</t>
        </is>
      </c>
      <c r="B4135" s="1" t="n">
        <v>45744</v>
      </c>
      <c r="C4135" s="1" t="n">
        <v>45932</v>
      </c>
      <c r="D4135" t="inlineStr">
        <is>
          <t>VÄRMLANDS LÄN</t>
        </is>
      </c>
      <c r="E4135" t="inlineStr">
        <is>
          <t>ÅRJÄNG</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18542-2024</t>
        </is>
      </c>
      <c r="B4136" s="1" t="n">
        <v>45425</v>
      </c>
      <c r="C4136" s="1" t="n">
        <v>45932</v>
      </c>
      <c r="D4136" t="inlineStr">
        <is>
          <t>VÄRMLANDS LÄN</t>
        </is>
      </c>
      <c r="E4136" t="inlineStr">
        <is>
          <t>SUNNE</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55515-2021</t>
        </is>
      </c>
      <c r="B4137" s="1" t="n">
        <v>44475.64054398148</v>
      </c>
      <c r="C4137" s="1" t="n">
        <v>45932</v>
      </c>
      <c r="D4137" t="inlineStr">
        <is>
          <t>VÄRMLANDS LÄN</t>
        </is>
      </c>
      <c r="E4137" t="inlineStr">
        <is>
          <t>ARVIKA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16420-2025</t>
        </is>
      </c>
      <c r="B4138" s="1" t="n">
        <v>45751.46481481481</v>
      </c>
      <c r="C4138" s="1" t="n">
        <v>45932</v>
      </c>
      <c r="D4138" t="inlineStr">
        <is>
          <t>VÄRMLANDS LÄN</t>
        </is>
      </c>
      <c r="E4138" t="inlineStr">
        <is>
          <t>KARLSTAD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23850-2025</t>
        </is>
      </c>
      <c r="B4139" s="1" t="n">
        <v>45793</v>
      </c>
      <c r="C4139" s="1" t="n">
        <v>45932</v>
      </c>
      <c r="D4139" t="inlineStr">
        <is>
          <t>VÄRMLANDS LÄN</t>
        </is>
      </c>
      <c r="E4139" t="inlineStr">
        <is>
          <t>SÄFFLE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23510-2025</t>
        </is>
      </c>
      <c r="B4140" s="1" t="n">
        <v>45792</v>
      </c>
      <c r="C4140" s="1" t="n">
        <v>45932</v>
      </c>
      <c r="D4140" t="inlineStr">
        <is>
          <t>VÄRMLANDS LÄN</t>
        </is>
      </c>
      <c r="E4140" t="inlineStr">
        <is>
          <t>KRISTINEHAMN</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25629-2024</t>
        </is>
      </c>
      <c r="B4141" s="1" t="n">
        <v>45463</v>
      </c>
      <c r="C4141" s="1" t="n">
        <v>45932</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40487-2022</t>
        </is>
      </c>
      <c r="B4142" s="1" t="n">
        <v>44819</v>
      </c>
      <c r="C4142" s="1" t="n">
        <v>45932</v>
      </c>
      <c r="D4142" t="inlineStr">
        <is>
          <t>VÄRMLANDS LÄN</t>
        </is>
      </c>
      <c r="E4142" t="inlineStr">
        <is>
          <t>SÄFFLE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52799-2023</t>
        </is>
      </c>
      <c r="B4143" s="1" t="n">
        <v>45219</v>
      </c>
      <c r="C4143" s="1" t="n">
        <v>45932</v>
      </c>
      <c r="D4143" t="inlineStr">
        <is>
          <t>VÄRMLANDS LÄN</t>
        </is>
      </c>
      <c r="E4143" t="inlineStr">
        <is>
          <t>KARLSTAD</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15406-2024</t>
        </is>
      </c>
      <c r="B4144" s="1" t="n">
        <v>45401.34318287037</v>
      </c>
      <c r="C4144" s="1" t="n">
        <v>45932</v>
      </c>
      <c r="D4144" t="inlineStr">
        <is>
          <t>VÄRMLANDS LÄN</t>
        </is>
      </c>
      <c r="E4144" t="inlineStr">
        <is>
          <t>KRISTINEHAMN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18622-2025</t>
        </is>
      </c>
      <c r="B4145" s="1" t="n">
        <v>45763</v>
      </c>
      <c r="C4145" s="1" t="n">
        <v>45932</v>
      </c>
      <c r="D4145" t="inlineStr">
        <is>
          <t>VÄRMLANDS LÄN</t>
        </is>
      </c>
      <c r="E4145" t="inlineStr">
        <is>
          <t>SÄFFLE</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18642-2025</t>
        </is>
      </c>
      <c r="B4146" s="1" t="n">
        <v>45763</v>
      </c>
      <c r="C4146" s="1" t="n">
        <v>45932</v>
      </c>
      <c r="D4146" t="inlineStr">
        <is>
          <t>VÄRMLANDS LÄN</t>
        </is>
      </c>
      <c r="E4146" t="inlineStr">
        <is>
          <t>EDA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42455-2024</t>
        </is>
      </c>
      <c r="B4147" s="1" t="n">
        <v>45565</v>
      </c>
      <c r="C4147" s="1" t="n">
        <v>45932</v>
      </c>
      <c r="D4147" t="inlineStr">
        <is>
          <t>VÄRMLANDS LÄN</t>
        </is>
      </c>
      <c r="E4147" t="inlineStr">
        <is>
          <t>ÅRJÄNG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18419-2024</t>
        </is>
      </c>
      <c r="B4148" s="1" t="n">
        <v>45425</v>
      </c>
      <c r="C4148" s="1" t="n">
        <v>45932</v>
      </c>
      <c r="D4148" t="inlineStr">
        <is>
          <t>VÄRMLANDS LÄN</t>
        </is>
      </c>
      <c r="E4148" t="inlineStr">
        <is>
          <t>SÄFFLE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59061-2023</t>
        </is>
      </c>
      <c r="B4149" s="1" t="n">
        <v>45252</v>
      </c>
      <c r="C4149" s="1" t="n">
        <v>45932</v>
      </c>
      <c r="D4149" t="inlineStr">
        <is>
          <t>VÄRMLANDS LÄN</t>
        </is>
      </c>
      <c r="E4149" t="inlineStr">
        <is>
          <t>KIL</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15570-2025</t>
        </is>
      </c>
      <c r="B4150" s="1" t="n">
        <v>45747</v>
      </c>
      <c r="C4150" s="1" t="n">
        <v>45932</v>
      </c>
      <c r="D4150" t="inlineStr">
        <is>
          <t>VÄRMLANDS LÄN</t>
        </is>
      </c>
      <c r="E4150" t="inlineStr">
        <is>
          <t>ÅRJÄNG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15572-2025</t>
        </is>
      </c>
      <c r="B4151" s="1" t="n">
        <v>45747</v>
      </c>
      <c r="C4151" s="1" t="n">
        <v>45932</v>
      </c>
      <c r="D4151" t="inlineStr">
        <is>
          <t>VÄRMLANDS LÄN</t>
        </is>
      </c>
      <c r="E4151" t="inlineStr">
        <is>
          <t>ÅRJÄNG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59639-2021</t>
        </is>
      </c>
      <c r="B4152" s="1" t="n">
        <v>44493</v>
      </c>
      <c r="C4152" s="1" t="n">
        <v>45932</v>
      </c>
      <c r="D4152" t="inlineStr">
        <is>
          <t>VÄRMLANDS LÄN</t>
        </is>
      </c>
      <c r="E4152" t="inlineStr">
        <is>
          <t>KARLSTAD</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909-2025</t>
        </is>
      </c>
      <c r="B4153" s="1" t="n">
        <v>45664</v>
      </c>
      <c r="C4153" s="1" t="n">
        <v>45932</v>
      </c>
      <c r="D4153" t="inlineStr">
        <is>
          <t>VÄRMLANDS LÄN</t>
        </is>
      </c>
      <c r="E4153" t="inlineStr">
        <is>
          <t>GRUMS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39492-2023</t>
        </is>
      </c>
      <c r="B4154" s="1" t="n">
        <v>45166</v>
      </c>
      <c r="C4154" s="1" t="n">
        <v>45932</v>
      </c>
      <c r="D4154" t="inlineStr">
        <is>
          <t>VÄRMLANDS LÄN</t>
        </is>
      </c>
      <c r="E4154" t="inlineStr">
        <is>
          <t>KIL</t>
        </is>
      </c>
      <c r="F4154" t="inlineStr">
        <is>
          <t>Kyrkan</t>
        </is>
      </c>
      <c r="G4154" t="n">
        <v>24.9</v>
      </c>
      <c r="H4154" t="n">
        <v>0</v>
      </c>
      <c r="I4154" t="n">
        <v>0</v>
      </c>
      <c r="J4154" t="n">
        <v>0</v>
      </c>
      <c r="K4154" t="n">
        <v>0</v>
      </c>
      <c r="L4154" t="n">
        <v>0</v>
      </c>
      <c r="M4154" t="n">
        <v>0</v>
      </c>
      <c r="N4154" t="n">
        <v>0</v>
      </c>
      <c r="O4154" t="n">
        <v>0</v>
      </c>
      <c r="P4154" t="n">
        <v>0</v>
      </c>
      <c r="Q4154" t="n">
        <v>0</v>
      </c>
      <c r="R4154" s="2" t="inlineStr"/>
    </row>
    <row r="4155" ht="15" customHeight="1">
      <c r="A4155" t="inlineStr">
        <is>
          <t>A 925-2025</t>
        </is>
      </c>
      <c r="B4155" s="1" t="n">
        <v>45665.82885416667</v>
      </c>
      <c r="C4155" s="1" t="n">
        <v>45932</v>
      </c>
      <c r="D4155" t="inlineStr">
        <is>
          <t>VÄRMLANDS LÄN</t>
        </is>
      </c>
      <c r="E4155" t="inlineStr">
        <is>
          <t>ARVIKA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927-2025</t>
        </is>
      </c>
      <c r="B4156" s="1" t="n">
        <v>45665.83350694444</v>
      </c>
      <c r="C4156" s="1" t="n">
        <v>45932</v>
      </c>
      <c r="D4156" t="inlineStr">
        <is>
          <t>VÄRMLANDS LÄN</t>
        </is>
      </c>
      <c r="E4156" t="inlineStr">
        <is>
          <t>ARVIKA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32147-2023</t>
        </is>
      </c>
      <c r="B4157" s="1" t="n">
        <v>45107</v>
      </c>
      <c r="C4157" s="1" t="n">
        <v>45932</v>
      </c>
      <c r="D4157" t="inlineStr">
        <is>
          <t>VÄRMLANDS LÄN</t>
        </is>
      </c>
      <c r="E4157" t="inlineStr">
        <is>
          <t>HAGFORS</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33725-2021</t>
        </is>
      </c>
      <c r="B4158" s="1" t="n">
        <v>44378</v>
      </c>
      <c r="C4158" s="1" t="n">
        <v>45932</v>
      </c>
      <c r="D4158" t="inlineStr">
        <is>
          <t>VÄRMLANDS LÄN</t>
        </is>
      </c>
      <c r="E4158" t="inlineStr">
        <is>
          <t>SÄFFLE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33728-2021</t>
        </is>
      </c>
      <c r="B4159" s="1" t="n">
        <v>44378.47640046296</v>
      </c>
      <c r="C4159" s="1" t="n">
        <v>45932</v>
      </c>
      <c r="D4159" t="inlineStr">
        <is>
          <t>VÄRMLANDS LÄN</t>
        </is>
      </c>
      <c r="E4159" t="inlineStr">
        <is>
          <t>ÅRJÄNG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62357-2021</t>
        </is>
      </c>
      <c r="B4160" s="1" t="n">
        <v>44503.45271990741</v>
      </c>
      <c r="C4160" s="1" t="n">
        <v>45932</v>
      </c>
      <c r="D4160" t="inlineStr">
        <is>
          <t>VÄRMLANDS LÄN</t>
        </is>
      </c>
      <c r="E4160" t="inlineStr">
        <is>
          <t>ÅRJÄNG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31594-2021</t>
        </is>
      </c>
      <c r="B4161" s="1" t="n">
        <v>44369</v>
      </c>
      <c r="C4161" s="1" t="n">
        <v>45932</v>
      </c>
      <c r="D4161" t="inlineStr">
        <is>
          <t>VÄRMLANDS LÄN</t>
        </is>
      </c>
      <c r="E4161" t="inlineStr">
        <is>
          <t>SUNNE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31601-2021</t>
        </is>
      </c>
      <c r="B4162" s="1" t="n">
        <v>44369</v>
      </c>
      <c r="C4162" s="1" t="n">
        <v>45932</v>
      </c>
      <c r="D4162" t="inlineStr">
        <is>
          <t>VÄRMLANDS LÄN</t>
        </is>
      </c>
      <c r="E4162" t="inlineStr">
        <is>
          <t>SUNNE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23715-2025</t>
        </is>
      </c>
      <c r="B4163" s="1" t="n">
        <v>45793.38957175926</v>
      </c>
      <c r="C4163" s="1" t="n">
        <v>45932</v>
      </c>
      <c r="D4163" t="inlineStr">
        <is>
          <t>VÄRMLANDS LÄN</t>
        </is>
      </c>
      <c r="E4163" t="inlineStr">
        <is>
          <t>SUNNE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62957-2023</t>
        </is>
      </c>
      <c r="B4164" s="1" t="n">
        <v>45271</v>
      </c>
      <c r="C4164" s="1" t="n">
        <v>45932</v>
      </c>
      <c r="D4164" t="inlineStr">
        <is>
          <t>VÄRMLANDS LÄN</t>
        </is>
      </c>
      <c r="E4164" t="inlineStr">
        <is>
          <t>TORSBY</t>
        </is>
      </c>
      <c r="F4164" t="inlineStr">
        <is>
          <t>Övriga statliga verk och myndigheter</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23525-2025</t>
        </is>
      </c>
      <c r="B4165" s="1" t="n">
        <v>45792.52019675926</v>
      </c>
      <c r="C4165" s="1" t="n">
        <v>45932</v>
      </c>
      <c r="D4165" t="inlineStr">
        <is>
          <t>VÄRMLANDS LÄN</t>
        </is>
      </c>
      <c r="E4165" t="inlineStr">
        <is>
          <t>HAGFORS</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1397-2021</t>
        </is>
      </c>
      <c r="B4166" s="1" t="n">
        <v>44208</v>
      </c>
      <c r="C4166" s="1" t="n">
        <v>45932</v>
      </c>
      <c r="D4166" t="inlineStr">
        <is>
          <t>VÄRMLANDS LÄN</t>
        </is>
      </c>
      <c r="E4166" t="inlineStr">
        <is>
          <t>ARVIKA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15578-2025</t>
        </is>
      </c>
      <c r="B4167" s="1" t="n">
        <v>45747</v>
      </c>
      <c r="C4167" s="1" t="n">
        <v>45932</v>
      </c>
      <c r="D4167" t="inlineStr">
        <is>
          <t>VÄRMLANDS LÄN</t>
        </is>
      </c>
      <c r="E4167" t="inlineStr">
        <is>
          <t>ÅRJÄNG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16778-2025</t>
        </is>
      </c>
      <c r="B4168" s="1" t="n">
        <v>45754.58761574074</v>
      </c>
      <c r="C4168" s="1" t="n">
        <v>45932</v>
      </c>
      <c r="D4168" t="inlineStr">
        <is>
          <t>VÄRMLANDS LÄN</t>
        </is>
      </c>
      <c r="E4168" t="inlineStr">
        <is>
          <t>ARVIKA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2386-2024</t>
        </is>
      </c>
      <c r="B4169" s="1" t="n">
        <v>45310</v>
      </c>
      <c r="C4169" s="1" t="n">
        <v>45932</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9062-2025</t>
        </is>
      </c>
      <c r="B4170" s="1" t="n">
        <v>45713.64682870371</v>
      </c>
      <c r="C4170" s="1" t="n">
        <v>45932</v>
      </c>
      <c r="D4170" t="inlineStr">
        <is>
          <t>VÄRMLANDS LÄN</t>
        </is>
      </c>
      <c r="E4170" t="inlineStr">
        <is>
          <t>FILIPSTAD</t>
        </is>
      </c>
      <c r="F4170" t="inlineStr">
        <is>
          <t>Bergvik skog väst AB</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63282-2023</t>
        </is>
      </c>
      <c r="B4171" s="1" t="n">
        <v>45273.89483796297</v>
      </c>
      <c r="C4171" s="1" t="n">
        <v>45932</v>
      </c>
      <c r="D4171" t="inlineStr">
        <is>
          <t>VÄRMLANDS LÄN</t>
        </is>
      </c>
      <c r="E4171" t="inlineStr">
        <is>
          <t>KARLSTAD</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18872-2025</t>
        </is>
      </c>
      <c r="B4172" s="1" t="n">
        <v>45764</v>
      </c>
      <c r="C4172" s="1" t="n">
        <v>45932</v>
      </c>
      <c r="D4172" t="inlineStr">
        <is>
          <t>VÄRMLANDS LÄN</t>
        </is>
      </c>
      <c r="E4172" t="inlineStr">
        <is>
          <t>SUNNE</t>
        </is>
      </c>
      <c r="F4172" t="inlineStr">
        <is>
          <t>Bergvik skog väst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57125-2023</t>
        </is>
      </c>
      <c r="B4173" s="1" t="n">
        <v>45245</v>
      </c>
      <c r="C4173" s="1" t="n">
        <v>45932</v>
      </c>
      <c r="D4173" t="inlineStr">
        <is>
          <t>VÄRMLANDS LÄN</t>
        </is>
      </c>
      <c r="E4173" t="inlineStr">
        <is>
          <t>EDA</t>
        </is>
      </c>
      <c r="F4173" t="inlineStr">
        <is>
          <t>Övriga Aktiebolag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1700-2024</t>
        </is>
      </c>
      <c r="B4174" s="1" t="n">
        <v>45307.37347222222</v>
      </c>
      <c r="C4174" s="1" t="n">
        <v>45932</v>
      </c>
      <c r="D4174" t="inlineStr">
        <is>
          <t>VÄRMLANDS LÄN</t>
        </is>
      </c>
      <c r="E4174" t="inlineStr">
        <is>
          <t>TORSBY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40011-2022</t>
        </is>
      </c>
      <c r="B4175" s="1" t="n">
        <v>44820</v>
      </c>
      <c r="C4175" s="1" t="n">
        <v>45932</v>
      </c>
      <c r="D4175" t="inlineStr">
        <is>
          <t>VÄRMLANDS LÄN</t>
        </is>
      </c>
      <c r="E4175" t="inlineStr">
        <is>
          <t>ARVIKA</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19324-2022</t>
        </is>
      </c>
      <c r="B4176" s="1" t="n">
        <v>44692.5990625</v>
      </c>
      <c r="C4176" s="1" t="n">
        <v>45932</v>
      </c>
      <c r="D4176" t="inlineStr">
        <is>
          <t>VÄRMLANDS LÄN</t>
        </is>
      </c>
      <c r="E4176" t="inlineStr">
        <is>
          <t>STORFORS</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26672-2024</t>
        </is>
      </c>
      <c r="B4177" s="1" t="n">
        <v>45470</v>
      </c>
      <c r="C4177" s="1" t="n">
        <v>45932</v>
      </c>
      <c r="D4177" t="inlineStr">
        <is>
          <t>VÄRMLANDS LÄN</t>
        </is>
      </c>
      <c r="E4177" t="inlineStr">
        <is>
          <t>SUNNE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47273-2024</t>
        </is>
      </c>
      <c r="B4178" s="1" t="n">
        <v>45586.87646990741</v>
      </c>
      <c r="C4178" s="1" t="n">
        <v>45932</v>
      </c>
      <c r="D4178" t="inlineStr">
        <is>
          <t>VÄRMLANDS LÄN</t>
        </is>
      </c>
      <c r="E4178" t="inlineStr">
        <is>
          <t>SUNNE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4948-2024</t>
        </is>
      </c>
      <c r="B4179" s="1" t="n">
        <v>45329.56855324074</v>
      </c>
      <c r="C4179" s="1" t="n">
        <v>45932</v>
      </c>
      <c r="D4179" t="inlineStr">
        <is>
          <t>VÄRMLANDS LÄN</t>
        </is>
      </c>
      <c r="E4179" t="inlineStr">
        <is>
          <t>ARVIKA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38760-2023</t>
        </is>
      </c>
      <c r="B4180" s="1" t="n">
        <v>45163</v>
      </c>
      <c r="C4180" s="1" t="n">
        <v>45932</v>
      </c>
      <c r="D4180" t="inlineStr">
        <is>
          <t>VÄRMLANDS LÄN</t>
        </is>
      </c>
      <c r="E4180" t="inlineStr">
        <is>
          <t>KIL</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64425-2023</t>
        </is>
      </c>
      <c r="B4181" s="1" t="n">
        <v>45280.66472222222</v>
      </c>
      <c r="C4181" s="1" t="n">
        <v>45932</v>
      </c>
      <c r="D4181" t="inlineStr">
        <is>
          <t>VÄRMLANDS LÄN</t>
        </is>
      </c>
      <c r="E4181" t="inlineStr">
        <is>
          <t>SUNNE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27210-2022</t>
        </is>
      </c>
      <c r="B4182" s="1" t="n">
        <v>44741.62621527778</v>
      </c>
      <c r="C4182" s="1" t="n">
        <v>45932</v>
      </c>
      <c r="D4182" t="inlineStr">
        <is>
          <t>VÄRMLANDS LÄN</t>
        </is>
      </c>
      <c r="E4182" t="inlineStr">
        <is>
          <t>KRISTINEHAMN</t>
        </is>
      </c>
      <c r="F4182" t="inlineStr">
        <is>
          <t>Bergvik skog väst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40630-2022</t>
        </is>
      </c>
      <c r="B4183" s="1" t="n">
        <v>44823</v>
      </c>
      <c r="C4183" s="1" t="n">
        <v>45932</v>
      </c>
      <c r="D4183" t="inlineStr">
        <is>
          <t>VÄRMLANDS LÄN</t>
        </is>
      </c>
      <c r="E4183" t="inlineStr">
        <is>
          <t>SÄFFLE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460-2022</t>
        </is>
      </c>
      <c r="B4184" s="1" t="n">
        <v>44566</v>
      </c>
      <c r="C4184" s="1" t="n">
        <v>45932</v>
      </c>
      <c r="D4184" t="inlineStr">
        <is>
          <t>VÄRMLANDS LÄN</t>
        </is>
      </c>
      <c r="E4184" t="inlineStr">
        <is>
          <t>KARLSTAD</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10578-2023</t>
        </is>
      </c>
      <c r="B4185" s="1" t="n">
        <v>44988.3599537037</v>
      </c>
      <c r="C4185" s="1" t="n">
        <v>45932</v>
      </c>
      <c r="D4185" t="inlineStr">
        <is>
          <t>VÄRMLANDS LÄN</t>
        </is>
      </c>
      <c r="E4185" t="inlineStr">
        <is>
          <t>ARVIKA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3766-2025</t>
        </is>
      </c>
      <c r="B4186" s="1" t="n">
        <v>45681.60017361111</v>
      </c>
      <c r="C4186" s="1" t="n">
        <v>45932</v>
      </c>
      <c r="D4186" t="inlineStr">
        <is>
          <t>VÄRMLANDS LÄN</t>
        </is>
      </c>
      <c r="E4186" t="inlineStr">
        <is>
          <t>EDA</t>
        </is>
      </c>
      <c r="F4186" t="inlineStr">
        <is>
          <t>Kommuner</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3864-2025</t>
        </is>
      </c>
      <c r="B4187" s="1" t="n">
        <v>45684</v>
      </c>
      <c r="C4187" s="1" t="n">
        <v>45932</v>
      </c>
      <c r="D4187" t="inlineStr">
        <is>
          <t>VÄRMLANDS LÄN</t>
        </is>
      </c>
      <c r="E4187" t="inlineStr">
        <is>
          <t>TORSBY</t>
        </is>
      </c>
      <c r="F4187" t="inlineStr">
        <is>
          <t>Bergvik skog väst AB</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41580-2022</t>
        </is>
      </c>
      <c r="B4188" s="1" t="n">
        <v>44827</v>
      </c>
      <c r="C4188" s="1" t="n">
        <v>45932</v>
      </c>
      <c r="D4188" t="inlineStr">
        <is>
          <t>VÄRMLANDS LÄN</t>
        </is>
      </c>
      <c r="E4188" t="inlineStr">
        <is>
          <t>ARVIKA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55250-2022</t>
        </is>
      </c>
      <c r="B4189" s="1" t="n">
        <v>44887</v>
      </c>
      <c r="C4189" s="1" t="n">
        <v>45932</v>
      </c>
      <c r="D4189" t="inlineStr">
        <is>
          <t>VÄRMLANDS LÄN</t>
        </is>
      </c>
      <c r="E4189" t="inlineStr">
        <is>
          <t>KARLSTAD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61687-2020</t>
        </is>
      </c>
      <c r="B4190" s="1" t="n">
        <v>44158</v>
      </c>
      <c r="C4190" s="1" t="n">
        <v>45932</v>
      </c>
      <c r="D4190" t="inlineStr">
        <is>
          <t>VÄRMLANDS LÄN</t>
        </is>
      </c>
      <c r="E4190" t="inlineStr">
        <is>
          <t>KARLSTAD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28085-2022</t>
        </is>
      </c>
      <c r="B4191" s="1" t="n">
        <v>44746</v>
      </c>
      <c r="C4191" s="1" t="n">
        <v>45932</v>
      </c>
      <c r="D4191" t="inlineStr">
        <is>
          <t>VÄRMLANDS LÄN</t>
        </is>
      </c>
      <c r="E4191" t="inlineStr">
        <is>
          <t>EDA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18356-2023</t>
        </is>
      </c>
      <c r="B4192" s="1" t="n">
        <v>45041.89753472222</v>
      </c>
      <c r="C4192" s="1" t="n">
        <v>45932</v>
      </c>
      <c r="D4192" t="inlineStr">
        <is>
          <t>VÄRMLANDS LÄN</t>
        </is>
      </c>
      <c r="E4192" t="inlineStr">
        <is>
          <t>KARLSTAD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58586-2023</t>
        </is>
      </c>
      <c r="B4193" s="1" t="n">
        <v>45251</v>
      </c>
      <c r="C4193" s="1" t="n">
        <v>45932</v>
      </c>
      <c r="D4193" t="inlineStr">
        <is>
          <t>VÄRMLANDS LÄN</t>
        </is>
      </c>
      <c r="E4193" t="inlineStr">
        <is>
          <t>ARVIKA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49766-2023</t>
        </is>
      </c>
      <c r="B4194" s="1" t="n">
        <v>45212.56666666667</v>
      </c>
      <c r="C4194" s="1" t="n">
        <v>45932</v>
      </c>
      <c r="D4194" t="inlineStr">
        <is>
          <t>VÄRMLANDS LÄN</t>
        </is>
      </c>
      <c r="E4194" t="inlineStr">
        <is>
          <t>HAGFORS</t>
        </is>
      </c>
      <c r="F4194" t="inlineStr">
        <is>
          <t>Bergvik skog väst AB</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5448-2022</t>
        </is>
      </c>
      <c r="B4195" s="1" t="n">
        <v>44594</v>
      </c>
      <c r="C4195" s="1" t="n">
        <v>45932</v>
      </c>
      <c r="D4195" t="inlineStr">
        <is>
          <t>VÄRMLANDS LÄN</t>
        </is>
      </c>
      <c r="E4195" t="inlineStr">
        <is>
          <t>KARLSTAD</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23694-2025</t>
        </is>
      </c>
      <c r="B4196" s="1" t="n">
        <v>45793.3491087963</v>
      </c>
      <c r="C4196" s="1" t="n">
        <v>45932</v>
      </c>
      <c r="D4196" t="inlineStr">
        <is>
          <t>VÄRMLANDS LÄN</t>
        </is>
      </c>
      <c r="E4196" t="inlineStr">
        <is>
          <t>KARLSTAD</t>
        </is>
      </c>
      <c r="F4196" t="inlineStr">
        <is>
          <t>Bergvik skog väst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19395-2025</t>
        </is>
      </c>
      <c r="B4197" s="1" t="n">
        <v>45769</v>
      </c>
      <c r="C4197" s="1" t="n">
        <v>45932</v>
      </c>
      <c r="D4197" t="inlineStr">
        <is>
          <t>VÄRMLANDS LÄN</t>
        </is>
      </c>
      <c r="E4197" t="inlineStr">
        <is>
          <t>KARLSTAD</t>
        </is>
      </c>
      <c r="F4197" t="inlineStr">
        <is>
          <t>Bergvik skog väst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23498-2025</t>
        </is>
      </c>
      <c r="B4198" s="1" t="n">
        <v>45792.47974537037</v>
      </c>
      <c r="C4198" s="1" t="n">
        <v>45932</v>
      </c>
      <c r="D4198" t="inlineStr">
        <is>
          <t>VÄRMLANDS LÄN</t>
        </is>
      </c>
      <c r="E4198" t="inlineStr">
        <is>
          <t>KRISTINEHAMN</t>
        </is>
      </c>
      <c r="F4198" t="inlineStr">
        <is>
          <t>Sveaskog</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23501-2025</t>
        </is>
      </c>
      <c r="B4199" s="1" t="n">
        <v>45792</v>
      </c>
      <c r="C4199" s="1" t="n">
        <v>45932</v>
      </c>
      <c r="D4199" t="inlineStr">
        <is>
          <t>VÄRMLANDS LÄN</t>
        </is>
      </c>
      <c r="E4199" t="inlineStr">
        <is>
          <t>KRISTINEHAMN</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23511-2025</t>
        </is>
      </c>
      <c r="B4200" s="1" t="n">
        <v>45792.4915625</v>
      </c>
      <c r="C4200" s="1" t="n">
        <v>45932</v>
      </c>
      <c r="D4200" t="inlineStr">
        <is>
          <t>VÄRMLANDS LÄN</t>
        </is>
      </c>
      <c r="E4200" t="inlineStr">
        <is>
          <t>KRISTINEHAMN</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23674-2025</t>
        </is>
      </c>
      <c r="B4201" s="1" t="n">
        <v>45793.30849537037</v>
      </c>
      <c r="C4201" s="1" t="n">
        <v>45932</v>
      </c>
      <c r="D4201" t="inlineStr">
        <is>
          <t>VÄRMLANDS LÄN</t>
        </is>
      </c>
      <c r="E4201" t="inlineStr">
        <is>
          <t>HAGFORS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44869-2023</t>
        </is>
      </c>
      <c r="B4202" s="1" t="n">
        <v>45190.5977199074</v>
      </c>
      <c r="C4202" s="1" t="n">
        <v>45932</v>
      </c>
      <c r="D4202" t="inlineStr">
        <is>
          <t>VÄRMLANDS LÄN</t>
        </is>
      </c>
      <c r="E4202" t="inlineStr">
        <is>
          <t>SUNNE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3995-2022</t>
        </is>
      </c>
      <c r="B4203" s="1" t="n">
        <v>44587</v>
      </c>
      <c r="C4203" s="1" t="n">
        <v>45932</v>
      </c>
      <c r="D4203" t="inlineStr">
        <is>
          <t>VÄRMLANDS LÄN</t>
        </is>
      </c>
      <c r="E4203" t="inlineStr">
        <is>
          <t>SUNNE</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46340-2023</t>
        </is>
      </c>
      <c r="B4204" s="1" t="n">
        <v>45197</v>
      </c>
      <c r="C4204" s="1" t="n">
        <v>45932</v>
      </c>
      <c r="D4204" t="inlineStr">
        <is>
          <t>VÄRMLANDS LÄN</t>
        </is>
      </c>
      <c r="E4204" t="inlineStr">
        <is>
          <t>EDA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67172-2021</t>
        </is>
      </c>
      <c r="B4205" s="1" t="n">
        <v>44523.4271875</v>
      </c>
      <c r="C4205" s="1" t="n">
        <v>45932</v>
      </c>
      <c r="D4205" t="inlineStr">
        <is>
          <t>VÄRMLANDS LÄN</t>
        </is>
      </c>
      <c r="E4205" t="inlineStr">
        <is>
          <t>TORSBY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18183-2023</t>
        </is>
      </c>
      <c r="B4206" s="1" t="n">
        <v>45041.35148148148</v>
      </c>
      <c r="C4206" s="1" t="n">
        <v>45932</v>
      </c>
      <c r="D4206" t="inlineStr">
        <is>
          <t>VÄRMLANDS LÄN</t>
        </is>
      </c>
      <c r="E4206" t="inlineStr">
        <is>
          <t>SUNNE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53099-2024</t>
        </is>
      </c>
      <c r="B4207" s="1" t="n">
        <v>45611.54206018519</v>
      </c>
      <c r="C4207" s="1" t="n">
        <v>45932</v>
      </c>
      <c r="D4207" t="inlineStr">
        <is>
          <t>VÄRMLANDS LÄN</t>
        </is>
      </c>
      <c r="E4207" t="inlineStr">
        <is>
          <t>TORSBY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27569-2024</t>
        </is>
      </c>
      <c r="B4208" s="1" t="n">
        <v>45474.64391203703</v>
      </c>
      <c r="C4208" s="1" t="n">
        <v>45932</v>
      </c>
      <c r="D4208" t="inlineStr">
        <is>
          <t>VÄRMLANDS LÄN</t>
        </is>
      </c>
      <c r="E4208" t="inlineStr">
        <is>
          <t>KARLSTAD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2933-2023</t>
        </is>
      </c>
      <c r="B4209" s="1" t="n">
        <v>44945</v>
      </c>
      <c r="C4209" s="1" t="n">
        <v>45932</v>
      </c>
      <c r="D4209" t="inlineStr">
        <is>
          <t>VÄRMLANDS LÄN</t>
        </is>
      </c>
      <c r="E4209" t="inlineStr">
        <is>
          <t>SÄFFLE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23677-2025</t>
        </is>
      </c>
      <c r="B4210" s="1" t="n">
        <v>45793.31969907408</v>
      </c>
      <c r="C4210" s="1" t="n">
        <v>45932</v>
      </c>
      <c r="D4210" t="inlineStr">
        <is>
          <t>VÄRMLANDS LÄN</t>
        </is>
      </c>
      <c r="E4210" t="inlineStr">
        <is>
          <t>TORSBY</t>
        </is>
      </c>
      <c r="F4210" t="inlineStr">
        <is>
          <t>Kyrkan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23697-2025</t>
        </is>
      </c>
      <c r="B4211" s="1" t="n">
        <v>45793.35398148148</v>
      </c>
      <c r="C4211" s="1" t="n">
        <v>45932</v>
      </c>
      <c r="D4211" t="inlineStr">
        <is>
          <t>VÄRMLANDS LÄN</t>
        </is>
      </c>
      <c r="E4211" t="inlineStr">
        <is>
          <t>SUNNE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23702-2025</t>
        </is>
      </c>
      <c r="B4212" s="1" t="n">
        <v>45793.36170138889</v>
      </c>
      <c r="C4212" s="1" t="n">
        <v>45932</v>
      </c>
      <c r="D4212" t="inlineStr">
        <is>
          <t>VÄRMLANDS LÄN</t>
        </is>
      </c>
      <c r="E4212" t="inlineStr">
        <is>
          <t>SUNNE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23707-2025</t>
        </is>
      </c>
      <c r="B4213" s="1" t="n">
        <v>45793.37181712963</v>
      </c>
      <c r="C4213" s="1" t="n">
        <v>45932</v>
      </c>
      <c r="D4213" t="inlineStr">
        <is>
          <t>VÄRMLANDS LÄN</t>
        </is>
      </c>
      <c r="E4213" t="inlineStr">
        <is>
          <t>SUNNE</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23720-2025</t>
        </is>
      </c>
      <c r="B4214" s="1" t="n">
        <v>45793.40462962963</v>
      </c>
      <c r="C4214" s="1" t="n">
        <v>45932</v>
      </c>
      <c r="D4214" t="inlineStr">
        <is>
          <t>VÄRMLANDS LÄN</t>
        </is>
      </c>
      <c r="E4214" t="inlineStr">
        <is>
          <t>SUNNE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23733-2025</t>
        </is>
      </c>
      <c r="B4215" s="1" t="n">
        <v>45793</v>
      </c>
      <c r="C4215" s="1" t="n">
        <v>45932</v>
      </c>
      <c r="D4215" t="inlineStr">
        <is>
          <t>VÄRMLANDS LÄN</t>
        </is>
      </c>
      <c r="E4215" t="inlineStr">
        <is>
          <t>FORSHAGA</t>
        </is>
      </c>
      <c r="F4215" t="inlineStr">
        <is>
          <t>Bergvik skog väst AB</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13233-2025</t>
        </is>
      </c>
      <c r="B4216" s="1" t="n">
        <v>45735.46873842592</v>
      </c>
      <c r="C4216" s="1" t="n">
        <v>45932</v>
      </c>
      <c r="D4216" t="inlineStr">
        <is>
          <t>VÄRMLANDS LÄN</t>
        </is>
      </c>
      <c r="E4216" t="inlineStr">
        <is>
          <t>ARVIKA</t>
        </is>
      </c>
      <c r="F4216" t="inlineStr">
        <is>
          <t>Bergvik skog väst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23741-2025</t>
        </is>
      </c>
      <c r="B4217" s="1" t="n">
        <v>45793</v>
      </c>
      <c r="C4217" s="1" t="n">
        <v>45932</v>
      </c>
      <c r="D4217" t="inlineStr">
        <is>
          <t>VÄRMLANDS LÄN</t>
        </is>
      </c>
      <c r="E4217" t="inlineStr">
        <is>
          <t>TORSBY</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23775-2025</t>
        </is>
      </c>
      <c r="B4218" s="1" t="n">
        <v>45793</v>
      </c>
      <c r="C4218" s="1" t="n">
        <v>45932</v>
      </c>
      <c r="D4218" t="inlineStr">
        <is>
          <t>VÄRMLANDS LÄN</t>
        </is>
      </c>
      <c r="E4218" t="inlineStr">
        <is>
          <t>FILIPSTAD</t>
        </is>
      </c>
      <c r="F4218" t="inlineStr">
        <is>
          <t>Bergvik skog väst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13286-2025</t>
        </is>
      </c>
      <c r="B4219" s="1" t="n">
        <v>45735.56118055555</v>
      </c>
      <c r="C4219" s="1" t="n">
        <v>45932</v>
      </c>
      <c r="D4219" t="inlineStr">
        <is>
          <t>VÄRMLANDS LÄN</t>
        </is>
      </c>
      <c r="E4219" t="inlineStr">
        <is>
          <t>ARVIKA</t>
        </is>
      </c>
      <c r="F4219" t="inlineStr">
        <is>
          <t>Bergvik skog väst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13305-2025</t>
        </is>
      </c>
      <c r="B4220" s="1" t="n">
        <v>45735.57909722222</v>
      </c>
      <c r="C4220" s="1" t="n">
        <v>45932</v>
      </c>
      <c r="D4220" t="inlineStr">
        <is>
          <t>VÄRMLANDS LÄN</t>
        </is>
      </c>
      <c r="E4220" t="inlineStr">
        <is>
          <t>SUNNE</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13306-2025</t>
        </is>
      </c>
      <c r="B4221" s="1" t="n">
        <v>45735.57915509259</v>
      </c>
      <c r="C4221" s="1" t="n">
        <v>45932</v>
      </c>
      <c r="D4221" t="inlineStr">
        <is>
          <t>VÄRMLANDS LÄN</t>
        </is>
      </c>
      <c r="E4221" t="inlineStr">
        <is>
          <t>SUNNE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23712-2025</t>
        </is>
      </c>
      <c r="B4222" s="1" t="n">
        <v>45793</v>
      </c>
      <c r="C4222" s="1" t="n">
        <v>45932</v>
      </c>
      <c r="D4222" t="inlineStr">
        <is>
          <t>VÄRMLANDS LÄN</t>
        </is>
      </c>
      <c r="E4222" t="inlineStr">
        <is>
          <t>HAGFORS</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23718-2025</t>
        </is>
      </c>
      <c r="B4223" s="1" t="n">
        <v>45793.39702546296</v>
      </c>
      <c r="C4223" s="1" t="n">
        <v>45932</v>
      </c>
      <c r="D4223" t="inlineStr">
        <is>
          <t>VÄRMLANDS LÄN</t>
        </is>
      </c>
      <c r="E4223" t="inlineStr">
        <is>
          <t>SUNNE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23721-2025</t>
        </is>
      </c>
      <c r="B4224" s="1" t="n">
        <v>45793.40519675926</v>
      </c>
      <c r="C4224" s="1" t="n">
        <v>45932</v>
      </c>
      <c r="D4224" t="inlineStr">
        <is>
          <t>VÄRMLANDS LÄN</t>
        </is>
      </c>
      <c r="E4224" t="inlineStr">
        <is>
          <t>SUNNE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4078-2024</t>
        </is>
      </c>
      <c r="B4225" s="1" t="n">
        <v>45323</v>
      </c>
      <c r="C4225" s="1" t="n">
        <v>45932</v>
      </c>
      <c r="D4225" t="inlineStr">
        <is>
          <t>VÄRMLANDS LÄN</t>
        </is>
      </c>
      <c r="E4225" t="inlineStr">
        <is>
          <t>TORSBY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3269-2025</t>
        </is>
      </c>
      <c r="B4226" s="1" t="n">
        <v>45679.58148148148</v>
      </c>
      <c r="C4226" s="1" t="n">
        <v>45932</v>
      </c>
      <c r="D4226" t="inlineStr">
        <is>
          <t>VÄRMLANDS LÄN</t>
        </is>
      </c>
      <c r="E4226" t="inlineStr">
        <is>
          <t>TORSBY</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12484-2022</t>
        </is>
      </c>
      <c r="B4227" s="1" t="n">
        <v>44638</v>
      </c>
      <c r="C4227" s="1" t="n">
        <v>45932</v>
      </c>
      <c r="D4227" t="inlineStr">
        <is>
          <t>VÄRMLANDS LÄN</t>
        </is>
      </c>
      <c r="E4227" t="inlineStr">
        <is>
          <t>FORSHAGA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1257-2025</t>
        </is>
      </c>
      <c r="B4228" s="1" t="n">
        <v>45667.47105324074</v>
      </c>
      <c r="C4228" s="1" t="n">
        <v>45932</v>
      </c>
      <c r="D4228" t="inlineStr">
        <is>
          <t>VÄRMLANDS LÄN</t>
        </is>
      </c>
      <c r="E4228" t="inlineStr">
        <is>
          <t>ARVIKA</t>
        </is>
      </c>
      <c r="F4228" t="inlineStr">
        <is>
          <t>Bergvik skog väst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1279-2025</t>
        </is>
      </c>
      <c r="B4229" s="1" t="n">
        <v>45667.48987268518</v>
      </c>
      <c r="C4229" s="1" t="n">
        <v>45932</v>
      </c>
      <c r="D4229" t="inlineStr">
        <is>
          <t>VÄRMLANDS LÄN</t>
        </is>
      </c>
      <c r="E4229" t="inlineStr">
        <is>
          <t>ÅRJÄNG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3455-2025</t>
        </is>
      </c>
      <c r="B4230" s="1" t="n">
        <v>45680.47734953704</v>
      </c>
      <c r="C4230" s="1" t="n">
        <v>45932</v>
      </c>
      <c r="D4230" t="inlineStr">
        <is>
          <t>VÄRMLANDS LÄN</t>
        </is>
      </c>
      <c r="E4230" t="inlineStr">
        <is>
          <t>STORFORS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62000-2023</t>
        </is>
      </c>
      <c r="B4231" s="1" t="n">
        <v>45266</v>
      </c>
      <c r="C4231" s="1" t="n">
        <v>45932</v>
      </c>
      <c r="D4231" t="inlineStr">
        <is>
          <t>VÄRMLANDS LÄN</t>
        </is>
      </c>
      <c r="E4231" t="inlineStr">
        <is>
          <t>SÄFFLE</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54487-2022</t>
        </is>
      </c>
      <c r="B4232" s="1" t="n">
        <v>44882</v>
      </c>
      <c r="C4232" s="1" t="n">
        <v>45932</v>
      </c>
      <c r="D4232" t="inlineStr">
        <is>
          <t>VÄRMLANDS LÄN</t>
        </is>
      </c>
      <c r="E4232" t="inlineStr">
        <is>
          <t>SUNNE</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55054-2024</t>
        </is>
      </c>
      <c r="B4233" s="1" t="n">
        <v>45621</v>
      </c>
      <c r="C4233" s="1" t="n">
        <v>45932</v>
      </c>
      <c r="D4233" t="inlineStr">
        <is>
          <t>VÄRMLANDS LÄN</t>
        </is>
      </c>
      <c r="E4233" t="inlineStr">
        <is>
          <t>SÄFFLE</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21593-2023</t>
        </is>
      </c>
      <c r="B4234" s="1" t="n">
        <v>45063.60222222222</v>
      </c>
      <c r="C4234" s="1" t="n">
        <v>45932</v>
      </c>
      <c r="D4234" t="inlineStr">
        <is>
          <t>VÄRMLANDS LÄN</t>
        </is>
      </c>
      <c r="E4234" t="inlineStr">
        <is>
          <t>FILIPSTAD</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46176-2024</t>
        </is>
      </c>
      <c r="B4235" s="1" t="n">
        <v>45581</v>
      </c>
      <c r="C4235" s="1" t="n">
        <v>45932</v>
      </c>
      <c r="D4235" t="inlineStr">
        <is>
          <t>VÄRMLANDS LÄN</t>
        </is>
      </c>
      <c r="E4235" t="inlineStr">
        <is>
          <t>KARLSTAD</t>
        </is>
      </c>
      <c r="F4235" t="inlineStr">
        <is>
          <t>Bergvik skog väst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46177-2024</t>
        </is>
      </c>
      <c r="B4236" s="1" t="n">
        <v>45581</v>
      </c>
      <c r="C4236" s="1" t="n">
        <v>45932</v>
      </c>
      <c r="D4236" t="inlineStr">
        <is>
          <t>VÄRMLANDS LÄN</t>
        </is>
      </c>
      <c r="E4236" t="inlineStr">
        <is>
          <t>SÄFFLE</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22505-2023</t>
        </is>
      </c>
      <c r="B4237" s="1" t="n">
        <v>45071</v>
      </c>
      <c r="C4237" s="1" t="n">
        <v>45932</v>
      </c>
      <c r="D4237" t="inlineStr">
        <is>
          <t>VÄRMLANDS LÄN</t>
        </is>
      </c>
      <c r="E4237" t="inlineStr">
        <is>
          <t>KARLSTAD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46241-2024</t>
        </is>
      </c>
      <c r="B4238" s="1" t="n">
        <v>45581</v>
      </c>
      <c r="C4238" s="1" t="n">
        <v>45932</v>
      </c>
      <c r="D4238" t="inlineStr">
        <is>
          <t>VÄRMLANDS LÄN</t>
        </is>
      </c>
      <c r="E4238" t="inlineStr">
        <is>
          <t>FILIPSTAD</t>
        </is>
      </c>
      <c r="F4238" t="inlineStr">
        <is>
          <t>Bergvik skog väst AB</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17774-2024</t>
        </is>
      </c>
      <c r="B4239" s="1" t="n">
        <v>45418.65559027778</v>
      </c>
      <c r="C4239" s="1" t="n">
        <v>45932</v>
      </c>
      <c r="D4239" t="inlineStr">
        <is>
          <t>VÄRMLANDS LÄN</t>
        </is>
      </c>
      <c r="E4239" t="inlineStr">
        <is>
          <t>HAGFORS</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17788-2024</t>
        </is>
      </c>
      <c r="B4240" s="1" t="n">
        <v>45418</v>
      </c>
      <c r="C4240" s="1" t="n">
        <v>45932</v>
      </c>
      <c r="D4240" t="inlineStr">
        <is>
          <t>VÄRMLANDS LÄN</t>
        </is>
      </c>
      <c r="E4240" t="inlineStr">
        <is>
          <t>FILIPSTAD</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20968-2024</t>
        </is>
      </c>
      <c r="B4241" s="1" t="n">
        <v>45439</v>
      </c>
      <c r="C4241" s="1" t="n">
        <v>45932</v>
      </c>
      <c r="D4241" t="inlineStr">
        <is>
          <t>VÄRMLANDS LÄN</t>
        </is>
      </c>
      <c r="E4241" t="inlineStr">
        <is>
          <t>TORSBY</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10599-2025</t>
        </is>
      </c>
      <c r="B4242" s="1" t="n">
        <v>45721</v>
      </c>
      <c r="C4242" s="1" t="n">
        <v>45932</v>
      </c>
      <c r="D4242" t="inlineStr">
        <is>
          <t>VÄRMLANDS LÄN</t>
        </is>
      </c>
      <c r="E4242" t="inlineStr">
        <is>
          <t>ARVIKA</t>
        </is>
      </c>
      <c r="F4242" t="inlineStr">
        <is>
          <t>Bergvik skog väst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5735-2025</t>
        </is>
      </c>
      <c r="B4243" s="1" t="n">
        <v>45694</v>
      </c>
      <c r="C4243" s="1" t="n">
        <v>45932</v>
      </c>
      <c r="D4243" t="inlineStr">
        <is>
          <t>VÄRMLANDS LÄN</t>
        </is>
      </c>
      <c r="E4243" t="inlineStr">
        <is>
          <t>EDA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56710-2022</t>
        </is>
      </c>
      <c r="B4244" s="1" t="n">
        <v>44893.83693287037</v>
      </c>
      <c r="C4244" s="1" t="n">
        <v>45932</v>
      </c>
      <c r="D4244" t="inlineStr">
        <is>
          <t>VÄRMLANDS LÄN</t>
        </is>
      </c>
      <c r="E4244" t="inlineStr">
        <is>
          <t>ARVIKA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23888-2025</t>
        </is>
      </c>
      <c r="B4245" s="1" t="n">
        <v>45793</v>
      </c>
      <c r="C4245" s="1" t="n">
        <v>45932</v>
      </c>
      <c r="D4245" t="inlineStr">
        <is>
          <t>VÄRMLANDS LÄN</t>
        </is>
      </c>
      <c r="E4245" t="inlineStr">
        <is>
          <t>HAGFORS</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23399-2025</t>
        </is>
      </c>
      <c r="B4246" s="1" t="n">
        <v>45792.31489583333</v>
      </c>
      <c r="C4246" s="1" t="n">
        <v>45932</v>
      </c>
      <c r="D4246" t="inlineStr">
        <is>
          <t>VÄRMLANDS LÄN</t>
        </is>
      </c>
      <c r="E4246" t="inlineStr">
        <is>
          <t>FILIPSTAD</t>
        </is>
      </c>
      <c r="F4246" t="inlineStr">
        <is>
          <t>Bergvik skog väst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21329-2025</t>
        </is>
      </c>
      <c r="B4247" s="1" t="n">
        <v>45782</v>
      </c>
      <c r="C4247" s="1" t="n">
        <v>45932</v>
      </c>
      <c r="D4247" t="inlineStr">
        <is>
          <t>VÄRMLANDS LÄN</t>
        </is>
      </c>
      <c r="E4247" t="inlineStr">
        <is>
          <t>ARVIKA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23475-2025</t>
        </is>
      </c>
      <c r="B4248" s="1" t="n">
        <v>45792</v>
      </c>
      <c r="C4248" s="1" t="n">
        <v>45932</v>
      </c>
      <c r="D4248" t="inlineStr">
        <is>
          <t>VÄRMLANDS LÄN</t>
        </is>
      </c>
      <c r="E4248" t="inlineStr">
        <is>
          <t>FILIPSTAD</t>
        </is>
      </c>
      <c r="F4248" t="inlineStr">
        <is>
          <t>Bergvik skog väst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23482-2025</t>
        </is>
      </c>
      <c r="B4249" s="1" t="n">
        <v>45792.46037037037</v>
      </c>
      <c r="C4249" s="1" t="n">
        <v>45932</v>
      </c>
      <c r="D4249" t="inlineStr">
        <is>
          <t>VÄRMLANDS LÄN</t>
        </is>
      </c>
      <c r="E4249" t="inlineStr">
        <is>
          <t>EDA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19069-2025</t>
        </is>
      </c>
      <c r="B4250" s="1" t="n">
        <v>45765</v>
      </c>
      <c r="C4250" s="1" t="n">
        <v>45932</v>
      </c>
      <c r="D4250" t="inlineStr">
        <is>
          <t>VÄRMLANDS LÄN</t>
        </is>
      </c>
      <c r="E4250" t="inlineStr">
        <is>
          <t>FORSHAGA</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19089-2025</t>
        </is>
      </c>
      <c r="B4251" s="1" t="n">
        <v>45767.39765046296</v>
      </c>
      <c r="C4251" s="1" t="n">
        <v>45932</v>
      </c>
      <c r="D4251" t="inlineStr">
        <is>
          <t>VÄRMLANDS LÄN</t>
        </is>
      </c>
      <c r="E4251" t="inlineStr">
        <is>
          <t>KARLSTAD</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19096-2025</t>
        </is>
      </c>
      <c r="B4252" s="1" t="n">
        <v>45767</v>
      </c>
      <c r="C4252" s="1" t="n">
        <v>45932</v>
      </c>
      <c r="D4252" t="inlineStr">
        <is>
          <t>VÄRMLANDS LÄN</t>
        </is>
      </c>
      <c r="E4252" t="inlineStr">
        <is>
          <t>FILIPSTAD</t>
        </is>
      </c>
      <c r="F4252" t="inlineStr">
        <is>
          <t>Bergvik skog väst AB</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19148-2025</t>
        </is>
      </c>
      <c r="B4253" s="1" t="n">
        <v>45769</v>
      </c>
      <c r="C4253" s="1" t="n">
        <v>45932</v>
      </c>
      <c r="D4253" t="inlineStr">
        <is>
          <t>VÄRMLANDS LÄN</t>
        </is>
      </c>
      <c r="E4253" t="inlineStr">
        <is>
          <t>TORSBY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36208-2024</t>
        </is>
      </c>
      <c r="B4254" s="1" t="n">
        <v>45534.44462962963</v>
      </c>
      <c r="C4254" s="1" t="n">
        <v>45932</v>
      </c>
      <c r="D4254" t="inlineStr">
        <is>
          <t>VÄRMLANDS LÄN</t>
        </is>
      </c>
      <c r="E4254" t="inlineStr">
        <is>
          <t>SÄFFLE</t>
        </is>
      </c>
      <c r="F4254" t="inlineStr">
        <is>
          <t>Kyrkan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5693-2025</t>
        </is>
      </c>
      <c r="B4255" s="1" t="n">
        <v>45694.38700231481</v>
      </c>
      <c r="C4255" s="1" t="n">
        <v>45932</v>
      </c>
      <c r="D4255" t="inlineStr">
        <is>
          <t>VÄRMLANDS LÄN</t>
        </is>
      </c>
      <c r="E4255" t="inlineStr">
        <is>
          <t>EDA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5709-2025</t>
        </is>
      </c>
      <c r="B4256" s="1" t="n">
        <v>45694.45340277778</v>
      </c>
      <c r="C4256" s="1" t="n">
        <v>45932</v>
      </c>
      <c r="D4256" t="inlineStr">
        <is>
          <t>VÄRMLANDS LÄN</t>
        </is>
      </c>
      <c r="E4256" t="inlineStr">
        <is>
          <t>SUNNE</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37824-2024</t>
        </is>
      </c>
      <c r="B4257" s="1" t="n">
        <v>45544</v>
      </c>
      <c r="C4257" s="1" t="n">
        <v>45932</v>
      </c>
      <c r="D4257" t="inlineStr">
        <is>
          <t>VÄRMLANDS LÄN</t>
        </is>
      </c>
      <c r="E4257" t="inlineStr">
        <is>
          <t>ARVIKA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51008-2023</t>
        </is>
      </c>
      <c r="B4258" s="1" t="n">
        <v>45218</v>
      </c>
      <c r="C4258" s="1" t="n">
        <v>45932</v>
      </c>
      <c r="D4258" t="inlineStr">
        <is>
          <t>VÄRMLANDS LÄN</t>
        </is>
      </c>
      <c r="E4258" t="inlineStr">
        <is>
          <t>HAMMARÖ</t>
        </is>
      </c>
      <c r="F4258" t="inlineStr">
        <is>
          <t>Kommuner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5741-2025</t>
        </is>
      </c>
      <c r="B4259" s="1" t="n">
        <v>45694.52100694444</v>
      </c>
      <c r="C4259" s="1" t="n">
        <v>45932</v>
      </c>
      <c r="D4259" t="inlineStr">
        <is>
          <t>VÄRMLANDS LÄN</t>
        </is>
      </c>
      <c r="E4259" t="inlineStr">
        <is>
          <t>ÅRJÄNG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37942-2024</t>
        </is>
      </c>
      <c r="B4260" s="1" t="n">
        <v>45544.49918981481</v>
      </c>
      <c r="C4260" s="1" t="n">
        <v>45932</v>
      </c>
      <c r="D4260" t="inlineStr">
        <is>
          <t>VÄRMLANDS LÄN</t>
        </is>
      </c>
      <c r="E4260" t="inlineStr">
        <is>
          <t>ARVIKA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10473-2025</t>
        </is>
      </c>
      <c r="B4261" s="1" t="n">
        <v>45720.92059027778</v>
      </c>
      <c r="C4261" s="1" t="n">
        <v>45932</v>
      </c>
      <c r="D4261" t="inlineStr">
        <is>
          <t>VÄRMLANDS LÄN</t>
        </is>
      </c>
      <c r="E4261" t="inlineStr">
        <is>
          <t>SÄFFLE</t>
        </is>
      </c>
      <c r="F4261" t="inlineStr">
        <is>
          <t>Kyrkan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12716-2025</t>
        </is>
      </c>
      <c r="B4262" s="1" t="n">
        <v>45733.47869212963</v>
      </c>
      <c r="C4262" s="1" t="n">
        <v>45932</v>
      </c>
      <c r="D4262" t="inlineStr">
        <is>
          <t>VÄRMLANDS LÄN</t>
        </is>
      </c>
      <c r="E4262" t="inlineStr">
        <is>
          <t>EDA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6968-2025</t>
        </is>
      </c>
      <c r="B4263" s="1" t="n">
        <v>45701.53253472222</v>
      </c>
      <c r="C4263" s="1" t="n">
        <v>45932</v>
      </c>
      <c r="D4263" t="inlineStr">
        <is>
          <t>VÄRMLANDS LÄN</t>
        </is>
      </c>
      <c r="E4263" t="inlineStr">
        <is>
          <t>TORSBY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9690-2025</t>
        </is>
      </c>
      <c r="B4264" s="1" t="n">
        <v>45716.36098379629</v>
      </c>
      <c r="C4264" s="1" t="n">
        <v>45932</v>
      </c>
      <c r="D4264" t="inlineStr">
        <is>
          <t>VÄRMLANDS LÄN</t>
        </is>
      </c>
      <c r="E4264" t="inlineStr">
        <is>
          <t>ARVIKA</t>
        </is>
      </c>
      <c r="F4264" t="inlineStr">
        <is>
          <t>Bergvik skog väst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9691-2025</t>
        </is>
      </c>
      <c r="B4265" s="1" t="n">
        <v>45716.36652777778</v>
      </c>
      <c r="C4265" s="1" t="n">
        <v>45932</v>
      </c>
      <c r="D4265" t="inlineStr">
        <is>
          <t>VÄRMLANDS LÄN</t>
        </is>
      </c>
      <c r="E4265" t="inlineStr">
        <is>
          <t>ARVIKA</t>
        </is>
      </c>
      <c r="F4265" t="inlineStr">
        <is>
          <t>Bergvik skog väst AB</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9729-2025</t>
        </is>
      </c>
      <c r="B4266" s="1" t="n">
        <v>45715</v>
      </c>
      <c r="C4266" s="1" t="n">
        <v>45932</v>
      </c>
      <c r="D4266" t="inlineStr">
        <is>
          <t>VÄRMLANDS LÄN</t>
        </is>
      </c>
      <c r="E4266" t="inlineStr">
        <is>
          <t>TORSBY</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36879-2024</t>
        </is>
      </c>
      <c r="B4267" s="1" t="n">
        <v>45538</v>
      </c>
      <c r="C4267" s="1" t="n">
        <v>45932</v>
      </c>
      <c r="D4267" t="inlineStr">
        <is>
          <t>VÄRMLANDS LÄN</t>
        </is>
      </c>
      <c r="E4267" t="inlineStr">
        <is>
          <t>TORSBY</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50504-2020</t>
        </is>
      </c>
      <c r="B4268" s="1" t="n">
        <v>44110</v>
      </c>
      <c r="C4268" s="1" t="n">
        <v>45932</v>
      </c>
      <c r="D4268" t="inlineStr">
        <is>
          <t>VÄRMLANDS LÄN</t>
        </is>
      </c>
      <c r="E4268" t="inlineStr">
        <is>
          <t>KRISTINEHAMN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61544-2023</t>
        </is>
      </c>
      <c r="B4269" s="1" t="n">
        <v>45265</v>
      </c>
      <c r="C4269" s="1" t="n">
        <v>45932</v>
      </c>
      <c r="D4269" t="inlineStr">
        <is>
          <t>VÄRMLANDS LÄN</t>
        </is>
      </c>
      <c r="E4269" t="inlineStr">
        <is>
          <t>ARVIKA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45399-2023</t>
        </is>
      </c>
      <c r="B4270" s="1" t="n">
        <v>45194</v>
      </c>
      <c r="C4270" s="1" t="n">
        <v>45932</v>
      </c>
      <c r="D4270" t="inlineStr">
        <is>
          <t>VÄRMLANDS LÄN</t>
        </is>
      </c>
      <c r="E4270" t="inlineStr">
        <is>
          <t>TORSBY</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17817-2025</t>
        </is>
      </c>
      <c r="B4271" s="1" t="n">
        <v>45758</v>
      </c>
      <c r="C4271" s="1" t="n">
        <v>45932</v>
      </c>
      <c r="D4271" t="inlineStr">
        <is>
          <t>VÄRMLANDS LÄN</t>
        </is>
      </c>
      <c r="E4271" t="inlineStr">
        <is>
          <t>SUNNE</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45405-2023</t>
        </is>
      </c>
      <c r="B4272" s="1" t="n">
        <v>45194.33592592592</v>
      </c>
      <c r="C4272" s="1" t="n">
        <v>45932</v>
      </c>
      <c r="D4272" t="inlineStr">
        <is>
          <t>VÄRMLANDS LÄN</t>
        </is>
      </c>
      <c r="E4272" t="inlineStr">
        <is>
          <t>ARVIKA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15319-2025</t>
        </is>
      </c>
      <c r="B4273" s="1" t="n">
        <v>45747.31423611111</v>
      </c>
      <c r="C4273" s="1" t="n">
        <v>45932</v>
      </c>
      <c r="D4273" t="inlineStr">
        <is>
          <t>VÄRMLANDS LÄN</t>
        </is>
      </c>
      <c r="E4273" t="inlineStr">
        <is>
          <t>SÄFFLE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15882-2025</t>
        </is>
      </c>
      <c r="B4274" s="1" t="n">
        <v>45749.39099537037</v>
      </c>
      <c r="C4274" s="1" t="n">
        <v>45932</v>
      </c>
      <c r="D4274" t="inlineStr">
        <is>
          <t>VÄRMLANDS LÄN</t>
        </is>
      </c>
      <c r="E4274" t="inlineStr">
        <is>
          <t>ARVIKA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21111-2025</t>
        </is>
      </c>
      <c r="B4275" s="1" t="n">
        <v>45777</v>
      </c>
      <c r="C4275" s="1" t="n">
        <v>45932</v>
      </c>
      <c r="D4275" t="inlineStr">
        <is>
          <t>VÄRMLANDS LÄN</t>
        </is>
      </c>
      <c r="E4275" t="inlineStr">
        <is>
          <t>STORFORS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61991-2023</t>
        </is>
      </c>
      <c r="B4276" s="1" t="n">
        <v>45266</v>
      </c>
      <c r="C4276" s="1" t="n">
        <v>45932</v>
      </c>
      <c r="D4276" t="inlineStr">
        <is>
          <t>VÄRMLANDS LÄN</t>
        </is>
      </c>
      <c r="E4276" t="inlineStr">
        <is>
          <t>SÄFFLE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23443-2025</t>
        </is>
      </c>
      <c r="B4277" s="1" t="n">
        <v>45792.37883101852</v>
      </c>
      <c r="C4277" s="1" t="n">
        <v>45932</v>
      </c>
      <c r="D4277" t="inlineStr">
        <is>
          <t>VÄRMLANDS LÄN</t>
        </is>
      </c>
      <c r="E4277" t="inlineStr">
        <is>
          <t>HAGFORS</t>
        </is>
      </c>
      <c r="F4277" t="inlineStr">
        <is>
          <t>Bergvik skog väst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8620-2025</t>
        </is>
      </c>
      <c r="B4278" s="1" t="n">
        <v>45711.44690972222</v>
      </c>
      <c r="C4278" s="1" t="n">
        <v>45932</v>
      </c>
      <c r="D4278" t="inlineStr">
        <is>
          <t>VÄRMLANDS LÄN</t>
        </is>
      </c>
      <c r="E4278" t="inlineStr">
        <is>
          <t>SÄFFLE</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8633-2025</t>
        </is>
      </c>
      <c r="B4279" s="1" t="n">
        <v>45711.74731481481</v>
      </c>
      <c r="C4279" s="1" t="n">
        <v>45932</v>
      </c>
      <c r="D4279" t="inlineStr">
        <is>
          <t>VÄRMLANDS LÄN</t>
        </is>
      </c>
      <c r="E4279" t="inlineStr">
        <is>
          <t>ARVIKA</t>
        </is>
      </c>
      <c r="F4279" t="inlineStr">
        <is>
          <t>Bergvik skog väst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8634-2025</t>
        </is>
      </c>
      <c r="B4280" s="1" t="n">
        <v>45711.75097222222</v>
      </c>
      <c r="C4280" s="1" t="n">
        <v>45932</v>
      </c>
      <c r="D4280" t="inlineStr">
        <is>
          <t>VÄRMLANDS LÄN</t>
        </is>
      </c>
      <c r="E4280" t="inlineStr">
        <is>
          <t>KARLSTAD</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14382-2023</t>
        </is>
      </c>
      <c r="B4281" s="1" t="n">
        <v>45012</v>
      </c>
      <c r="C4281" s="1" t="n">
        <v>45932</v>
      </c>
      <c r="D4281" t="inlineStr">
        <is>
          <t>VÄRMLANDS LÄN</t>
        </is>
      </c>
      <c r="E4281" t="inlineStr">
        <is>
          <t>FORSHAGA</t>
        </is>
      </c>
      <c r="F4281" t="inlineStr">
        <is>
          <t>Bergvik skog väst AB</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16433-2023</t>
        </is>
      </c>
      <c r="B4282" s="1" t="n">
        <v>45022</v>
      </c>
      <c r="C4282" s="1" t="n">
        <v>45932</v>
      </c>
      <c r="D4282" t="inlineStr">
        <is>
          <t>VÄRMLANDS LÄN</t>
        </is>
      </c>
      <c r="E4282" t="inlineStr">
        <is>
          <t>TORSBY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16512-2023</t>
        </is>
      </c>
      <c r="B4283" s="1" t="n">
        <v>45029.64783564815</v>
      </c>
      <c r="C4283" s="1" t="n">
        <v>45932</v>
      </c>
      <c r="D4283" t="inlineStr">
        <is>
          <t>VÄRMLANDS LÄN</t>
        </is>
      </c>
      <c r="E4283" t="inlineStr">
        <is>
          <t>EDA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61111-2023</t>
        </is>
      </c>
      <c r="B4284" s="1" t="n">
        <v>45260</v>
      </c>
      <c r="C4284" s="1" t="n">
        <v>45932</v>
      </c>
      <c r="D4284" t="inlineStr">
        <is>
          <t>VÄRMLANDS LÄN</t>
        </is>
      </c>
      <c r="E4284" t="inlineStr">
        <is>
          <t>KARLSTAD</t>
        </is>
      </c>
      <c r="G4284" t="n">
        <v>10.6</v>
      </c>
      <c r="H4284" t="n">
        <v>0</v>
      </c>
      <c r="I4284" t="n">
        <v>0</v>
      </c>
      <c r="J4284" t="n">
        <v>0</v>
      </c>
      <c r="K4284" t="n">
        <v>0</v>
      </c>
      <c r="L4284" t="n">
        <v>0</v>
      </c>
      <c r="M4284" t="n">
        <v>0</v>
      </c>
      <c r="N4284" t="n">
        <v>0</v>
      </c>
      <c r="O4284" t="n">
        <v>0</v>
      </c>
      <c r="P4284" t="n">
        <v>0</v>
      </c>
      <c r="Q4284" t="n">
        <v>0</v>
      </c>
      <c r="R4284" s="2" t="inlineStr"/>
    </row>
    <row r="4285" ht="15" customHeight="1">
      <c r="A4285" t="inlineStr">
        <is>
          <t>A 2-2024</t>
        </is>
      </c>
      <c r="B4285" s="1" t="n">
        <v>45292.54944444444</v>
      </c>
      <c r="C4285" s="1" t="n">
        <v>45932</v>
      </c>
      <c r="D4285" t="inlineStr">
        <is>
          <t>VÄRMLANDS LÄN</t>
        </is>
      </c>
      <c r="E4285" t="inlineStr">
        <is>
          <t>ÅRJÄNG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64073-2023</t>
        </is>
      </c>
      <c r="B4286" s="1" t="n">
        <v>45279</v>
      </c>
      <c r="C4286" s="1" t="n">
        <v>45932</v>
      </c>
      <c r="D4286" t="inlineStr">
        <is>
          <t>VÄRMLANDS LÄN</t>
        </is>
      </c>
      <c r="E4286" t="inlineStr">
        <is>
          <t>SÄFFLE</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33069-2022</t>
        </is>
      </c>
      <c r="B4287" s="1" t="n">
        <v>44785</v>
      </c>
      <c r="C4287" s="1" t="n">
        <v>45932</v>
      </c>
      <c r="D4287" t="inlineStr">
        <is>
          <t>VÄRMLANDS LÄN</t>
        </is>
      </c>
      <c r="E4287" t="inlineStr">
        <is>
          <t>TORSBY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492-2025</t>
        </is>
      </c>
      <c r="B4288" s="1" t="n">
        <v>45664.46337962963</v>
      </c>
      <c r="C4288" s="1" t="n">
        <v>45932</v>
      </c>
      <c r="D4288" t="inlineStr">
        <is>
          <t>VÄRMLANDS LÄN</t>
        </is>
      </c>
      <c r="E4288" t="inlineStr">
        <is>
          <t>TORSBY</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23455-2025</t>
        </is>
      </c>
      <c r="B4289" s="1" t="n">
        <v>45792.42520833333</v>
      </c>
      <c r="C4289" s="1" t="n">
        <v>45932</v>
      </c>
      <c r="D4289" t="inlineStr">
        <is>
          <t>VÄRMLANDS LÄN</t>
        </is>
      </c>
      <c r="E4289" t="inlineStr">
        <is>
          <t>TORSBY</t>
        </is>
      </c>
      <c r="F4289" t="inlineStr">
        <is>
          <t>Kyrkan</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23502-2025</t>
        </is>
      </c>
      <c r="B4290" s="1" t="n">
        <v>45792.48493055555</v>
      </c>
      <c r="C4290" s="1" t="n">
        <v>45932</v>
      </c>
      <c r="D4290" t="inlineStr">
        <is>
          <t>VÄRMLANDS LÄN</t>
        </is>
      </c>
      <c r="E4290" t="inlineStr">
        <is>
          <t>KRISTINEHAMN</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15637-2025</t>
        </is>
      </c>
      <c r="B4291" s="1" t="n">
        <v>45748.38106481481</v>
      </c>
      <c r="C4291" s="1" t="n">
        <v>45932</v>
      </c>
      <c r="D4291" t="inlineStr">
        <is>
          <t>VÄRMLANDS LÄN</t>
        </is>
      </c>
      <c r="E4291" t="inlineStr">
        <is>
          <t>HAGFORS</t>
        </is>
      </c>
      <c r="F4291" t="inlineStr">
        <is>
          <t>Kyrkan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58538-2023</t>
        </is>
      </c>
      <c r="B4292" s="1" t="n">
        <v>45251</v>
      </c>
      <c r="C4292" s="1" t="n">
        <v>45932</v>
      </c>
      <c r="D4292" t="inlineStr">
        <is>
          <t>VÄRMLANDS LÄN</t>
        </is>
      </c>
      <c r="E4292" t="inlineStr">
        <is>
          <t>ARVIKA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52411-2024</t>
        </is>
      </c>
      <c r="B4293" s="1" t="n">
        <v>45608</v>
      </c>
      <c r="C4293" s="1" t="n">
        <v>45932</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23267-2024</t>
        </is>
      </c>
      <c r="B4294" s="1" t="n">
        <v>45453</v>
      </c>
      <c r="C4294" s="1" t="n">
        <v>45932</v>
      </c>
      <c r="D4294" t="inlineStr">
        <is>
          <t>VÄRMLANDS LÄN</t>
        </is>
      </c>
      <c r="E4294" t="inlineStr">
        <is>
          <t>ARVIKA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42473-2023</t>
        </is>
      </c>
      <c r="B4295" s="1" t="n">
        <v>45180</v>
      </c>
      <c r="C4295" s="1" t="n">
        <v>45932</v>
      </c>
      <c r="D4295" t="inlineStr">
        <is>
          <t>VÄRMLANDS LÄN</t>
        </is>
      </c>
      <c r="E4295" t="inlineStr">
        <is>
          <t>TORSBY</t>
        </is>
      </c>
      <c r="F4295" t="inlineStr">
        <is>
          <t>Bergvik skog väst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53332-2023</t>
        </is>
      </c>
      <c r="B4296" s="1" t="n">
        <v>45229</v>
      </c>
      <c r="C4296" s="1" t="n">
        <v>45932</v>
      </c>
      <c r="D4296" t="inlineStr">
        <is>
          <t>VÄRMLANDS LÄN</t>
        </is>
      </c>
      <c r="E4296" t="inlineStr">
        <is>
          <t>ÅRJÄNG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28025-2023</t>
        </is>
      </c>
      <c r="B4297" s="1" t="n">
        <v>45098.9759837963</v>
      </c>
      <c r="C4297" s="1" t="n">
        <v>45932</v>
      </c>
      <c r="D4297" t="inlineStr">
        <is>
          <t>VÄRMLANDS LÄN</t>
        </is>
      </c>
      <c r="E4297" t="inlineStr">
        <is>
          <t>SUNNE</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24329-2023</t>
        </is>
      </c>
      <c r="B4298" s="1" t="n">
        <v>45081</v>
      </c>
      <c r="C4298" s="1" t="n">
        <v>45932</v>
      </c>
      <c r="D4298" t="inlineStr">
        <is>
          <t>VÄRMLANDS LÄN</t>
        </is>
      </c>
      <c r="E4298" t="inlineStr">
        <is>
          <t>ARVIKA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30993-2024</t>
        </is>
      </c>
      <c r="B4299" s="1" t="n">
        <v>45499</v>
      </c>
      <c r="C4299" s="1" t="n">
        <v>45932</v>
      </c>
      <c r="D4299" t="inlineStr">
        <is>
          <t>VÄRMLANDS LÄN</t>
        </is>
      </c>
      <c r="E4299" t="inlineStr">
        <is>
          <t>ÅRJÄNG</t>
        </is>
      </c>
      <c r="F4299" t="inlineStr">
        <is>
          <t>Kyrkan</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8712-2024</t>
        </is>
      </c>
      <c r="B4300" s="1" t="n">
        <v>45355</v>
      </c>
      <c r="C4300" s="1" t="n">
        <v>45932</v>
      </c>
      <c r="D4300" t="inlineStr">
        <is>
          <t>VÄRMLANDS LÄN</t>
        </is>
      </c>
      <c r="E4300" t="inlineStr">
        <is>
          <t>FILIPSTAD</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37152-2023</t>
        </is>
      </c>
      <c r="B4301" s="1" t="n">
        <v>45155.6027662037</v>
      </c>
      <c r="C4301" s="1" t="n">
        <v>45932</v>
      </c>
      <c r="D4301" t="inlineStr">
        <is>
          <t>VÄRMLANDS LÄN</t>
        </is>
      </c>
      <c r="E4301" t="inlineStr">
        <is>
          <t>HAGFORS</t>
        </is>
      </c>
      <c r="F4301" t="inlineStr">
        <is>
          <t>Bergvik skog väst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12458-2023</t>
        </is>
      </c>
      <c r="B4302" s="1" t="n">
        <v>44999</v>
      </c>
      <c r="C4302" s="1" t="n">
        <v>45932</v>
      </c>
      <c r="D4302" t="inlineStr">
        <is>
          <t>VÄRMLANDS LÄN</t>
        </is>
      </c>
      <c r="E4302" t="inlineStr">
        <is>
          <t>TORSBY</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9370-2023</t>
        </is>
      </c>
      <c r="B4303" s="1" t="n">
        <v>44981</v>
      </c>
      <c r="C4303" s="1" t="n">
        <v>45932</v>
      </c>
      <c r="D4303" t="inlineStr">
        <is>
          <t>VÄRMLANDS LÄN</t>
        </is>
      </c>
      <c r="E4303" t="inlineStr">
        <is>
          <t>FILIPSTAD</t>
        </is>
      </c>
      <c r="F4303" t="inlineStr">
        <is>
          <t>Bergvik skog väst AB</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4606-2024</t>
        </is>
      </c>
      <c r="B4304" s="1" t="n">
        <v>45328.3225</v>
      </c>
      <c r="C4304" s="1" t="n">
        <v>45932</v>
      </c>
      <c r="D4304" t="inlineStr">
        <is>
          <t>VÄRMLANDS LÄN</t>
        </is>
      </c>
      <c r="E4304" t="inlineStr">
        <is>
          <t>ÅRJÄNG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37420-2023</t>
        </is>
      </c>
      <c r="B4305" s="1" t="n">
        <v>45156</v>
      </c>
      <c r="C4305" s="1" t="n">
        <v>45932</v>
      </c>
      <c r="D4305" t="inlineStr">
        <is>
          <t>VÄRMLANDS LÄN</t>
        </is>
      </c>
      <c r="E4305" t="inlineStr">
        <is>
          <t>SÄFFLE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3885-2023</t>
        </is>
      </c>
      <c r="B4306" s="1" t="n">
        <v>44951</v>
      </c>
      <c r="C4306" s="1" t="n">
        <v>45932</v>
      </c>
      <c r="D4306" t="inlineStr">
        <is>
          <t>VÄRMLANDS LÄN</t>
        </is>
      </c>
      <c r="E4306" t="inlineStr">
        <is>
          <t>EDA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3980-2023</t>
        </is>
      </c>
      <c r="B4307" s="1" t="n">
        <v>44952.46194444445</v>
      </c>
      <c r="C4307" s="1" t="n">
        <v>45932</v>
      </c>
      <c r="D4307" t="inlineStr">
        <is>
          <t>VÄRMLANDS LÄN</t>
        </is>
      </c>
      <c r="E4307" t="inlineStr">
        <is>
          <t>ARVIKA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53638-2024</t>
        </is>
      </c>
      <c r="B4308" s="1" t="n">
        <v>45614</v>
      </c>
      <c r="C4308" s="1" t="n">
        <v>45932</v>
      </c>
      <c r="D4308" t="inlineStr">
        <is>
          <t>VÄRMLANDS LÄN</t>
        </is>
      </c>
      <c r="E4308" t="inlineStr">
        <is>
          <t>SUNNE</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30645-2024</t>
        </is>
      </c>
      <c r="B4309" s="1" t="n">
        <v>45495.58692129629</v>
      </c>
      <c r="C4309" s="1" t="n">
        <v>45932</v>
      </c>
      <c r="D4309" t="inlineStr">
        <is>
          <t>VÄRMLANDS LÄN</t>
        </is>
      </c>
      <c r="E4309" t="inlineStr">
        <is>
          <t>SUNNE</t>
        </is>
      </c>
      <c r="F4309" t="inlineStr">
        <is>
          <t>Bergvik skog väst AB</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27979-2022</t>
        </is>
      </c>
      <c r="B4310" s="1" t="n">
        <v>44745.53890046296</v>
      </c>
      <c r="C4310" s="1" t="n">
        <v>45932</v>
      </c>
      <c r="D4310" t="inlineStr">
        <is>
          <t>VÄRMLANDS LÄN</t>
        </is>
      </c>
      <c r="E4310" t="inlineStr">
        <is>
          <t>SÄFFLE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47460-2023</t>
        </is>
      </c>
      <c r="B4311" s="1" t="n">
        <v>45202.85592592593</v>
      </c>
      <c r="C4311" s="1" t="n">
        <v>45932</v>
      </c>
      <c r="D4311" t="inlineStr">
        <is>
          <t>VÄRMLANDS LÄN</t>
        </is>
      </c>
      <c r="E4311" t="inlineStr">
        <is>
          <t>SUNNE</t>
        </is>
      </c>
      <c r="G4311" t="n">
        <v>14.2</v>
      </c>
      <c r="H4311" t="n">
        <v>0</v>
      </c>
      <c r="I4311" t="n">
        <v>0</v>
      </c>
      <c r="J4311" t="n">
        <v>0</v>
      </c>
      <c r="K4311" t="n">
        <v>0</v>
      </c>
      <c r="L4311" t="n">
        <v>0</v>
      </c>
      <c r="M4311" t="n">
        <v>0</v>
      </c>
      <c r="N4311" t="n">
        <v>0</v>
      </c>
      <c r="O4311" t="n">
        <v>0</v>
      </c>
      <c r="P4311" t="n">
        <v>0</v>
      </c>
      <c r="Q4311" t="n">
        <v>0</v>
      </c>
      <c r="R4311" s="2" t="inlineStr"/>
    </row>
    <row r="4312" ht="15" customHeight="1">
      <c r="A4312" t="inlineStr">
        <is>
          <t>A 19791-2025</t>
        </is>
      </c>
      <c r="B4312" s="1" t="n">
        <v>45771.4452662037</v>
      </c>
      <c r="C4312" s="1" t="n">
        <v>45932</v>
      </c>
      <c r="D4312" t="inlineStr">
        <is>
          <t>VÄRMLANDS LÄN</t>
        </is>
      </c>
      <c r="E4312" t="inlineStr">
        <is>
          <t>TORSBY</t>
        </is>
      </c>
      <c r="F4312" t="inlineStr">
        <is>
          <t>Bergvik skog väst AB</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34017-2024</t>
        </is>
      </c>
      <c r="B4313" s="1" t="n">
        <v>45523</v>
      </c>
      <c r="C4313" s="1" t="n">
        <v>45932</v>
      </c>
      <c r="D4313" t="inlineStr">
        <is>
          <t>VÄRMLANDS LÄN</t>
        </is>
      </c>
      <c r="E4313" t="inlineStr">
        <is>
          <t>SUNNE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47516-2023</t>
        </is>
      </c>
      <c r="B4314" s="1" t="n">
        <v>45203.32716435185</v>
      </c>
      <c r="C4314" s="1" t="n">
        <v>45932</v>
      </c>
      <c r="D4314" t="inlineStr">
        <is>
          <t>VÄRMLANDS LÄN</t>
        </is>
      </c>
      <c r="E4314" t="inlineStr">
        <is>
          <t>HAGFORS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47536-2023</t>
        </is>
      </c>
      <c r="B4315" s="1" t="n">
        <v>45203.36576388889</v>
      </c>
      <c r="C4315" s="1" t="n">
        <v>45932</v>
      </c>
      <c r="D4315" t="inlineStr">
        <is>
          <t>VÄRMLANDS LÄN</t>
        </is>
      </c>
      <c r="E4315" t="inlineStr">
        <is>
          <t>FILIPSTAD</t>
        </is>
      </c>
      <c r="F4315" t="inlineStr">
        <is>
          <t>Bergvik skog väst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61203-2024</t>
        </is>
      </c>
      <c r="B4316" s="1" t="n">
        <v>45645.63922453704</v>
      </c>
      <c r="C4316" s="1" t="n">
        <v>45932</v>
      </c>
      <c r="D4316" t="inlineStr">
        <is>
          <t>VÄRMLANDS LÄN</t>
        </is>
      </c>
      <c r="E4316" t="inlineStr">
        <is>
          <t>ARVIKA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31932-2024</t>
        </is>
      </c>
      <c r="B4317" s="1" t="n">
        <v>45510.41027777778</v>
      </c>
      <c r="C4317" s="1" t="n">
        <v>45932</v>
      </c>
      <c r="D4317" t="inlineStr">
        <is>
          <t>VÄRMLANDS LÄN</t>
        </is>
      </c>
      <c r="E4317" t="inlineStr">
        <is>
          <t>EDA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61734-2020</t>
        </is>
      </c>
      <c r="B4318" s="1" t="n">
        <v>44158</v>
      </c>
      <c r="C4318" s="1" t="n">
        <v>45932</v>
      </c>
      <c r="D4318" t="inlineStr">
        <is>
          <t>VÄRMLANDS LÄN</t>
        </is>
      </c>
      <c r="E4318" t="inlineStr">
        <is>
          <t>ARVIKA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29893-2024</t>
        </is>
      </c>
      <c r="B4319" s="1" t="n">
        <v>45487</v>
      </c>
      <c r="C4319" s="1" t="n">
        <v>45932</v>
      </c>
      <c r="D4319" t="inlineStr">
        <is>
          <t>VÄRMLANDS LÄN</t>
        </is>
      </c>
      <c r="E4319" t="inlineStr">
        <is>
          <t>KARLSTAD</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13207-2022</t>
        </is>
      </c>
      <c r="B4320" s="1" t="n">
        <v>44644.56116898148</v>
      </c>
      <c r="C4320" s="1" t="n">
        <v>45932</v>
      </c>
      <c r="D4320" t="inlineStr">
        <is>
          <t>VÄRMLANDS LÄN</t>
        </is>
      </c>
      <c r="E4320" t="inlineStr">
        <is>
          <t>TORSBY</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43253-2023</t>
        </is>
      </c>
      <c r="B4321" s="1" t="n">
        <v>45183.49578703703</v>
      </c>
      <c r="C4321" s="1" t="n">
        <v>45932</v>
      </c>
      <c r="D4321" t="inlineStr">
        <is>
          <t>VÄRMLANDS LÄN</t>
        </is>
      </c>
      <c r="E4321" t="inlineStr">
        <is>
          <t>ÅRJÄNG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40324-2021</t>
        </is>
      </c>
      <c r="B4322" s="1" t="n">
        <v>44419.53694444444</v>
      </c>
      <c r="C4322" s="1" t="n">
        <v>45932</v>
      </c>
      <c r="D4322" t="inlineStr">
        <is>
          <t>VÄRMLANDS LÄN</t>
        </is>
      </c>
      <c r="E4322" t="inlineStr">
        <is>
          <t>SÄFFLE</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64518-2021</t>
        </is>
      </c>
      <c r="B4323" s="1" t="n">
        <v>44511.61383101852</v>
      </c>
      <c r="C4323" s="1" t="n">
        <v>45932</v>
      </c>
      <c r="D4323" t="inlineStr">
        <is>
          <t>VÄRMLANDS LÄN</t>
        </is>
      </c>
      <c r="E4323" t="inlineStr">
        <is>
          <t>KIL</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29582-2024</t>
        </is>
      </c>
      <c r="B4324" s="1" t="n">
        <v>45484</v>
      </c>
      <c r="C4324" s="1" t="n">
        <v>45932</v>
      </c>
      <c r="D4324" t="inlineStr">
        <is>
          <t>VÄRMLANDS LÄN</t>
        </is>
      </c>
      <c r="E4324" t="inlineStr">
        <is>
          <t>GRUMS</t>
        </is>
      </c>
      <c r="F4324" t="inlineStr">
        <is>
          <t>Bergvik skog väst AB</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54618-2024</t>
        </is>
      </c>
      <c r="B4325" s="1" t="n">
        <v>45617</v>
      </c>
      <c r="C4325" s="1" t="n">
        <v>45932</v>
      </c>
      <c r="D4325" t="inlineStr">
        <is>
          <t>VÄRMLANDS LÄN</t>
        </is>
      </c>
      <c r="E4325" t="inlineStr">
        <is>
          <t>TORSBY</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8702-2023</t>
        </is>
      </c>
      <c r="B4326" s="1" t="n">
        <v>44978.36069444445</v>
      </c>
      <c r="C4326" s="1" t="n">
        <v>45932</v>
      </c>
      <c r="D4326" t="inlineStr">
        <is>
          <t>VÄRMLANDS LÄN</t>
        </is>
      </c>
      <c r="E4326" t="inlineStr">
        <is>
          <t>ARVIKA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24488-2023</t>
        </is>
      </c>
      <c r="B4327" s="1" t="n">
        <v>45077</v>
      </c>
      <c r="C4327" s="1" t="n">
        <v>45932</v>
      </c>
      <c r="D4327" t="inlineStr">
        <is>
          <t>VÄRMLANDS LÄN</t>
        </is>
      </c>
      <c r="E4327" t="inlineStr">
        <is>
          <t>KARLSTAD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11713-2023</t>
        </is>
      </c>
      <c r="B4328" s="1" t="n">
        <v>44994.54960648148</v>
      </c>
      <c r="C4328" s="1" t="n">
        <v>45932</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62864-2023</t>
        </is>
      </c>
      <c r="B4329" s="1" t="n">
        <v>45272</v>
      </c>
      <c r="C4329" s="1" t="n">
        <v>45932</v>
      </c>
      <c r="D4329" t="inlineStr">
        <is>
          <t>VÄRMLANDS LÄN</t>
        </is>
      </c>
      <c r="E4329" t="inlineStr">
        <is>
          <t>KRISTINEHAMN</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62963-2023</t>
        </is>
      </c>
      <c r="B4330" s="1" t="n">
        <v>45271</v>
      </c>
      <c r="C4330" s="1" t="n">
        <v>45932</v>
      </c>
      <c r="D4330" t="inlineStr">
        <is>
          <t>VÄRMLANDS LÄN</t>
        </is>
      </c>
      <c r="E4330" t="inlineStr">
        <is>
          <t>ÅRJÄNG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25409-2024</t>
        </is>
      </c>
      <c r="B4331" s="1" t="n">
        <v>45463</v>
      </c>
      <c r="C4331" s="1" t="n">
        <v>45932</v>
      </c>
      <c r="D4331" t="inlineStr">
        <is>
          <t>VÄRMLANDS LÄN</t>
        </is>
      </c>
      <c r="E4331" t="inlineStr">
        <is>
          <t>KIL</t>
        </is>
      </c>
      <c r="F4331" t="inlineStr">
        <is>
          <t>Kyrkan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61952-2022</t>
        </is>
      </c>
      <c r="B4332" s="1" t="n">
        <v>44918</v>
      </c>
      <c r="C4332" s="1" t="n">
        <v>45932</v>
      </c>
      <c r="D4332" t="inlineStr">
        <is>
          <t>VÄRMLANDS LÄN</t>
        </is>
      </c>
      <c r="E4332" t="inlineStr">
        <is>
          <t>EDA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61942-2022</t>
        </is>
      </c>
      <c r="B4333" s="1" t="n">
        <v>44918</v>
      </c>
      <c r="C4333" s="1" t="n">
        <v>45932</v>
      </c>
      <c r="D4333" t="inlineStr">
        <is>
          <t>VÄRMLANDS LÄN</t>
        </is>
      </c>
      <c r="E4333" t="inlineStr">
        <is>
          <t>KRISTINEHAMN</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25468-2024</t>
        </is>
      </c>
      <c r="B4334" s="1" t="n">
        <v>45463</v>
      </c>
      <c r="C4334" s="1" t="n">
        <v>45932</v>
      </c>
      <c r="D4334" t="inlineStr">
        <is>
          <t>VÄRMLANDS LÄN</t>
        </is>
      </c>
      <c r="E4334" t="inlineStr">
        <is>
          <t>FILIPSTAD</t>
        </is>
      </c>
      <c r="G4334" t="n">
        <v>13.2</v>
      </c>
      <c r="H4334" t="n">
        <v>0</v>
      </c>
      <c r="I4334" t="n">
        <v>0</v>
      </c>
      <c r="J4334" t="n">
        <v>0</v>
      </c>
      <c r="K4334" t="n">
        <v>0</v>
      </c>
      <c r="L4334" t="n">
        <v>0</v>
      </c>
      <c r="M4334" t="n">
        <v>0</v>
      </c>
      <c r="N4334" t="n">
        <v>0</v>
      </c>
      <c r="O4334" t="n">
        <v>0</v>
      </c>
      <c r="P4334" t="n">
        <v>0</v>
      </c>
      <c r="Q4334" t="n">
        <v>0</v>
      </c>
      <c r="R4334" s="2" t="inlineStr"/>
    </row>
    <row r="4335" ht="15" customHeight="1">
      <c r="A4335" t="inlineStr">
        <is>
          <t>A 37852-2023</t>
        </is>
      </c>
      <c r="B4335" s="1" t="n">
        <v>45158</v>
      </c>
      <c r="C4335" s="1" t="n">
        <v>45932</v>
      </c>
      <c r="D4335" t="inlineStr">
        <is>
          <t>VÄRMLANDS LÄN</t>
        </is>
      </c>
      <c r="E4335" t="inlineStr">
        <is>
          <t>ARVIKA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54452-2022</t>
        </is>
      </c>
      <c r="B4336" s="1" t="n">
        <v>44880</v>
      </c>
      <c r="C4336" s="1" t="n">
        <v>45932</v>
      </c>
      <c r="D4336" t="inlineStr">
        <is>
          <t>VÄRMLANDS LÄN</t>
        </is>
      </c>
      <c r="E4336" t="inlineStr">
        <is>
          <t>TORSBY</t>
        </is>
      </c>
      <c r="F4336" t="inlineStr">
        <is>
          <t>Kyrkan</t>
        </is>
      </c>
      <c r="G4336" t="n">
        <v>10.6</v>
      </c>
      <c r="H4336" t="n">
        <v>0</v>
      </c>
      <c r="I4336" t="n">
        <v>0</v>
      </c>
      <c r="J4336" t="n">
        <v>0</v>
      </c>
      <c r="K4336" t="n">
        <v>0</v>
      </c>
      <c r="L4336" t="n">
        <v>0</v>
      </c>
      <c r="M4336" t="n">
        <v>0</v>
      </c>
      <c r="N4336" t="n">
        <v>0</v>
      </c>
      <c r="O4336" t="n">
        <v>0</v>
      </c>
      <c r="P4336" t="n">
        <v>0</v>
      </c>
      <c r="Q4336" t="n">
        <v>0</v>
      </c>
      <c r="R4336" s="2" t="inlineStr"/>
    </row>
    <row r="4337" ht="15" customHeight="1">
      <c r="A4337" t="inlineStr">
        <is>
          <t>A 61976-2022</t>
        </is>
      </c>
      <c r="B4337" s="1" t="n">
        <v>44918</v>
      </c>
      <c r="C4337" s="1" t="n">
        <v>45932</v>
      </c>
      <c r="D4337" t="inlineStr">
        <is>
          <t>VÄRMLANDS LÄN</t>
        </is>
      </c>
      <c r="E4337" t="inlineStr">
        <is>
          <t>EDA</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35288-2021</t>
        </is>
      </c>
      <c r="B4338" s="1" t="n">
        <v>44383</v>
      </c>
      <c r="C4338" s="1" t="n">
        <v>45932</v>
      </c>
      <c r="D4338" t="inlineStr">
        <is>
          <t>VÄRMLANDS LÄN</t>
        </is>
      </c>
      <c r="E4338" t="inlineStr">
        <is>
          <t>ARVIKA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2440-2022</t>
        </is>
      </c>
      <c r="B4339" s="1" t="n">
        <v>44579.55377314815</v>
      </c>
      <c r="C4339" s="1" t="n">
        <v>45932</v>
      </c>
      <c r="D4339" t="inlineStr">
        <is>
          <t>VÄRMLANDS LÄN</t>
        </is>
      </c>
      <c r="E4339" t="inlineStr">
        <is>
          <t>FILIPSTAD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47728-2023</t>
        </is>
      </c>
      <c r="B4340" s="1" t="n">
        <v>45203.68487268518</v>
      </c>
      <c r="C4340" s="1" t="n">
        <v>45932</v>
      </c>
      <c r="D4340" t="inlineStr">
        <is>
          <t>VÄRMLANDS LÄN</t>
        </is>
      </c>
      <c r="E4340" t="inlineStr">
        <is>
          <t>STORFORS</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4214-2025</t>
        </is>
      </c>
      <c r="B4341" s="1" t="n">
        <v>45685</v>
      </c>
      <c r="C4341" s="1" t="n">
        <v>45932</v>
      </c>
      <c r="D4341" t="inlineStr">
        <is>
          <t>VÄRMLANDS LÄN</t>
        </is>
      </c>
      <c r="E4341" t="inlineStr">
        <is>
          <t>ARVIKA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975-2025</t>
        </is>
      </c>
      <c r="B4342" s="1" t="n">
        <v>45665</v>
      </c>
      <c r="C4342" s="1" t="n">
        <v>45932</v>
      </c>
      <c r="D4342" t="inlineStr">
        <is>
          <t>VÄRMLANDS LÄN</t>
        </is>
      </c>
      <c r="E4342" t="inlineStr">
        <is>
          <t>GRUMS</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2322-2025</t>
        </is>
      </c>
      <c r="B4343" s="1" t="n">
        <v>45673</v>
      </c>
      <c r="C4343" s="1" t="n">
        <v>45932</v>
      </c>
      <c r="D4343" t="inlineStr">
        <is>
          <t>VÄRMLANDS LÄN</t>
        </is>
      </c>
      <c r="E4343" t="inlineStr">
        <is>
          <t>ARVIKA</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59854-2023</t>
        </is>
      </c>
      <c r="B4344" s="1" t="n">
        <v>45253</v>
      </c>
      <c r="C4344" s="1" t="n">
        <v>45932</v>
      </c>
      <c r="D4344" t="inlineStr">
        <is>
          <t>VÄRMLANDS LÄN</t>
        </is>
      </c>
      <c r="E4344" t="inlineStr">
        <is>
          <t>KRISTINEHAMN</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19114-2025</t>
        </is>
      </c>
      <c r="B4345" s="1" t="n">
        <v>45768</v>
      </c>
      <c r="C4345" s="1" t="n">
        <v>45932</v>
      </c>
      <c r="D4345" t="inlineStr">
        <is>
          <t>VÄRMLANDS LÄN</t>
        </is>
      </c>
      <c r="E4345" t="inlineStr">
        <is>
          <t>SÄFFLE</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19158-2025</t>
        </is>
      </c>
      <c r="B4346" s="1" t="n">
        <v>45769</v>
      </c>
      <c r="C4346" s="1" t="n">
        <v>45932</v>
      </c>
      <c r="D4346" t="inlineStr">
        <is>
          <t>VÄRMLANDS LÄN</t>
        </is>
      </c>
      <c r="E4346" t="inlineStr">
        <is>
          <t>ARVIKA</t>
        </is>
      </c>
      <c r="F4346" t="inlineStr">
        <is>
          <t>Bergvik skog väst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43365-2023</t>
        </is>
      </c>
      <c r="B4347" s="1" t="n">
        <v>45183.7125</v>
      </c>
      <c r="C4347" s="1" t="n">
        <v>45932</v>
      </c>
      <c r="D4347" t="inlineStr">
        <is>
          <t>VÄRMLANDS LÄN</t>
        </is>
      </c>
      <c r="E4347" t="inlineStr">
        <is>
          <t>ARVIKA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2605-2025</t>
        </is>
      </c>
      <c r="B4348" s="1" t="n">
        <v>45674.76526620371</v>
      </c>
      <c r="C4348" s="1" t="n">
        <v>45932</v>
      </c>
      <c r="D4348" t="inlineStr">
        <is>
          <t>VÄRMLANDS LÄN</t>
        </is>
      </c>
      <c r="E4348" t="inlineStr">
        <is>
          <t>ARVIKA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54008-2024</t>
        </is>
      </c>
      <c r="B4349" s="1" t="n">
        <v>45615</v>
      </c>
      <c r="C4349" s="1" t="n">
        <v>45932</v>
      </c>
      <c r="D4349" t="inlineStr">
        <is>
          <t>VÄRMLANDS LÄN</t>
        </is>
      </c>
      <c r="E4349" t="inlineStr">
        <is>
          <t>HAGFORS</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11427-2025</t>
        </is>
      </c>
      <c r="B4350" s="1" t="n">
        <v>45726</v>
      </c>
      <c r="C4350" s="1" t="n">
        <v>45932</v>
      </c>
      <c r="D4350" t="inlineStr">
        <is>
          <t>VÄRMLANDS LÄN</t>
        </is>
      </c>
      <c r="E4350" t="inlineStr">
        <is>
          <t>TORSBY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23939-2025</t>
        </is>
      </c>
      <c r="B4351" s="1" t="n">
        <v>45796.2993287037</v>
      </c>
      <c r="C4351" s="1" t="n">
        <v>45932</v>
      </c>
      <c r="D4351" t="inlineStr">
        <is>
          <t>VÄRMLANDS LÄN</t>
        </is>
      </c>
      <c r="E4351" t="inlineStr">
        <is>
          <t>ARVIKA</t>
        </is>
      </c>
      <c r="F4351" t="inlineStr">
        <is>
          <t>Bergvik skog väst AB</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16425-2022</t>
        </is>
      </c>
      <c r="B4352" s="1" t="n">
        <v>44671</v>
      </c>
      <c r="C4352" s="1" t="n">
        <v>45932</v>
      </c>
      <c r="D4352" t="inlineStr">
        <is>
          <t>VÄRMLANDS LÄN</t>
        </is>
      </c>
      <c r="E4352" t="inlineStr">
        <is>
          <t>TORSBY</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61940-2023</t>
        </is>
      </c>
      <c r="B4353" s="1" t="n">
        <v>45266.55052083333</v>
      </c>
      <c r="C4353" s="1" t="n">
        <v>45932</v>
      </c>
      <c r="D4353" t="inlineStr">
        <is>
          <t>VÄRMLANDS LÄN</t>
        </is>
      </c>
      <c r="E4353" t="inlineStr">
        <is>
          <t>SÄFFLE</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43442-2023</t>
        </is>
      </c>
      <c r="B4354" s="1" t="n">
        <v>45184</v>
      </c>
      <c r="C4354" s="1" t="n">
        <v>45932</v>
      </c>
      <c r="D4354" t="inlineStr">
        <is>
          <t>VÄRMLANDS LÄN</t>
        </is>
      </c>
      <c r="E4354" t="inlineStr">
        <is>
          <t>EDA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23940-2025</t>
        </is>
      </c>
      <c r="B4355" s="1" t="n">
        <v>45796.31008101852</v>
      </c>
      <c r="C4355" s="1" t="n">
        <v>45932</v>
      </c>
      <c r="D4355" t="inlineStr">
        <is>
          <t>VÄRMLANDS LÄN</t>
        </is>
      </c>
      <c r="E4355" t="inlineStr">
        <is>
          <t>ARVIKA</t>
        </is>
      </c>
      <c r="F4355" t="inlineStr">
        <is>
          <t>Bergvik skog väst AB</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23951-2025</t>
        </is>
      </c>
      <c r="B4356" s="1" t="n">
        <v>45796.36059027778</v>
      </c>
      <c r="C4356" s="1" t="n">
        <v>45932</v>
      </c>
      <c r="D4356" t="inlineStr">
        <is>
          <t>VÄRMLANDS LÄN</t>
        </is>
      </c>
      <c r="E4356" t="inlineStr">
        <is>
          <t>HAGFORS</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19183-2024</t>
        </is>
      </c>
      <c r="B4357" s="1" t="n">
        <v>45428</v>
      </c>
      <c r="C4357" s="1" t="n">
        <v>45932</v>
      </c>
      <c r="D4357" t="inlineStr">
        <is>
          <t>VÄRMLANDS LÄN</t>
        </is>
      </c>
      <c r="E4357" t="inlineStr">
        <is>
          <t>SUNNE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37577-2023</t>
        </is>
      </c>
      <c r="B4358" s="1" t="n">
        <v>45159.38371527778</v>
      </c>
      <c r="C4358" s="1" t="n">
        <v>45932</v>
      </c>
      <c r="D4358" t="inlineStr">
        <is>
          <t>VÄRMLANDS LÄN</t>
        </is>
      </c>
      <c r="E4358" t="inlineStr">
        <is>
          <t>FILIPSTAD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69340-2021</t>
        </is>
      </c>
      <c r="B4359" s="1" t="n">
        <v>44531</v>
      </c>
      <c r="C4359" s="1" t="n">
        <v>45932</v>
      </c>
      <c r="D4359" t="inlineStr">
        <is>
          <t>VÄRMLANDS LÄN</t>
        </is>
      </c>
      <c r="E4359" t="inlineStr">
        <is>
          <t>ARVIKA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24216-2025</t>
        </is>
      </c>
      <c r="B4360" s="1" t="n">
        <v>45797.35528935185</v>
      </c>
      <c r="C4360" s="1" t="n">
        <v>45932</v>
      </c>
      <c r="D4360" t="inlineStr">
        <is>
          <t>VÄRMLANDS LÄN</t>
        </is>
      </c>
      <c r="E4360" t="inlineStr">
        <is>
          <t>ARVIKA</t>
        </is>
      </c>
      <c r="F4360" t="inlineStr">
        <is>
          <t>Bergvik skog väst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60207-2023</t>
        </is>
      </c>
      <c r="B4361" s="1" t="n">
        <v>45257</v>
      </c>
      <c r="C4361" s="1" t="n">
        <v>45932</v>
      </c>
      <c r="D4361" t="inlineStr">
        <is>
          <t>VÄRMLANDS LÄN</t>
        </is>
      </c>
      <c r="E4361" t="inlineStr">
        <is>
          <t>ÅRJÄNG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53957-2024</t>
        </is>
      </c>
      <c r="B4362" s="1" t="n">
        <v>45616</v>
      </c>
      <c r="C4362" s="1" t="n">
        <v>45932</v>
      </c>
      <c r="D4362" t="inlineStr">
        <is>
          <t>VÄRMLANDS LÄN</t>
        </is>
      </c>
      <c r="E4362" t="inlineStr">
        <is>
          <t>KIL</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53961-2024</t>
        </is>
      </c>
      <c r="B4363" s="1" t="n">
        <v>45616.3125</v>
      </c>
      <c r="C4363" s="1" t="n">
        <v>45932</v>
      </c>
      <c r="D4363" t="inlineStr">
        <is>
          <t>VÄRMLANDS LÄN</t>
        </is>
      </c>
      <c r="E4363" t="inlineStr">
        <is>
          <t>EDA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25041-2024</t>
        </is>
      </c>
      <c r="B4364" s="1" t="n">
        <v>45462.30476851852</v>
      </c>
      <c r="C4364" s="1" t="n">
        <v>45932</v>
      </c>
      <c r="D4364" t="inlineStr">
        <is>
          <t>VÄRMLANDS LÄN</t>
        </is>
      </c>
      <c r="E4364" t="inlineStr">
        <is>
          <t>EDA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23048-2024</t>
        </is>
      </c>
      <c r="B4365" s="1" t="n">
        <v>45450.42488425926</v>
      </c>
      <c r="C4365" s="1" t="n">
        <v>45932</v>
      </c>
      <c r="D4365" t="inlineStr">
        <is>
          <t>VÄRMLANDS LÄN</t>
        </is>
      </c>
      <c r="E4365" t="inlineStr">
        <is>
          <t>ÅRJÄNG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8129-2024</t>
        </is>
      </c>
      <c r="B4366" s="1" t="n">
        <v>45351</v>
      </c>
      <c r="C4366" s="1" t="n">
        <v>45932</v>
      </c>
      <c r="D4366" t="inlineStr">
        <is>
          <t>VÄRMLANDS LÄN</t>
        </is>
      </c>
      <c r="E4366" t="inlineStr">
        <is>
          <t>HAGFORS</t>
        </is>
      </c>
      <c r="F4366" t="inlineStr">
        <is>
          <t>Kyrkan</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11453-2025</t>
        </is>
      </c>
      <c r="B4367" s="1" t="n">
        <v>45726.64355324074</v>
      </c>
      <c r="C4367" s="1" t="n">
        <v>45932</v>
      </c>
      <c r="D4367" t="inlineStr">
        <is>
          <t>VÄRMLANDS LÄN</t>
        </is>
      </c>
      <c r="E4367" t="inlineStr">
        <is>
          <t>FILIPSTAD</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55764-2022</t>
        </is>
      </c>
      <c r="B4368" s="1" t="n">
        <v>44888</v>
      </c>
      <c r="C4368" s="1" t="n">
        <v>45932</v>
      </c>
      <c r="D4368" t="inlineStr">
        <is>
          <t>VÄRMLANDS LÄN</t>
        </is>
      </c>
      <c r="E4368" t="inlineStr">
        <is>
          <t>KARLSTAD</t>
        </is>
      </c>
      <c r="G4368" t="n">
        <v>3.1</v>
      </c>
      <c r="H4368" t="n">
        <v>0</v>
      </c>
      <c r="I4368" t="n">
        <v>0</v>
      </c>
      <c r="J4368" t="n">
        <v>0</v>
      </c>
      <c r="K4368" t="n">
        <v>0</v>
      </c>
      <c r="L4368" t="n">
        <v>0</v>
      </c>
      <c r="M4368" t="n">
        <v>0</v>
      </c>
      <c r="N4368" t="n">
        <v>0</v>
      </c>
      <c r="O4368" t="n">
        <v>0</v>
      </c>
      <c r="P4368" t="n">
        <v>0</v>
      </c>
      <c r="Q4368" t="n">
        <v>0</v>
      </c>
      <c r="R4368" s="2" t="inlineStr"/>
      <c r="U4368">
        <f>HYPERLINK("https://klasma.github.io/Logging_1780/knärot/A 55764-2022 karta knärot.png", "A 55764-2022")</f>
        <v/>
      </c>
      <c r="V4368">
        <f>HYPERLINK("https://klasma.github.io/Logging_1780/klagomål/A 55764-2022 FSC-klagomål.docx", "A 55764-2022")</f>
        <v/>
      </c>
      <c r="W4368">
        <f>HYPERLINK("https://klasma.github.io/Logging_1780/klagomålsmail/A 55764-2022 FSC-klagomål mail.docx", "A 55764-2022")</f>
        <v/>
      </c>
      <c r="X4368">
        <f>HYPERLINK("https://klasma.github.io/Logging_1780/tillsyn/A 55764-2022 tillsynsbegäran.docx", "A 55764-2022")</f>
        <v/>
      </c>
      <c r="Y4368">
        <f>HYPERLINK("https://klasma.github.io/Logging_1780/tillsynsmail/A 55764-2022 tillsynsbegäran mail.docx", "A 55764-2022")</f>
        <v/>
      </c>
    </row>
    <row r="4369" ht="15" customHeight="1">
      <c r="A4369" t="inlineStr">
        <is>
          <t>A 10878-2023</t>
        </is>
      </c>
      <c r="B4369" s="1" t="n">
        <v>44991.42932870371</v>
      </c>
      <c r="C4369" s="1" t="n">
        <v>45932</v>
      </c>
      <c r="D4369" t="inlineStr">
        <is>
          <t>VÄRMLANDS LÄN</t>
        </is>
      </c>
      <c r="E4369" t="inlineStr">
        <is>
          <t>EDA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70461-2021</t>
        </is>
      </c>
      <c r="B4370" s="1" t="n">
        <v>44536</v>
      </c>
      <c r="C4370" s="1" t="n">
        <v>45932</v>
      </c>
      <c r="D4370" t="inlineStr">
        <is>
          <t>VÄRMLANDS LÄN</t>
        </is>
      </c>
      <c r="E4370" t="inlineStr">
        <is>
          <t>ÅRJÄNG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31657-2024</t>
        </is>
      </c>
      <c r="B4371" s="1" t="n">
        <v>45506.69709490741</v>
      </c>
      <c r="C4371" s="1" t="n">
        <v>45932</v>
      </c>
      <c r="D4371" t="inlineStr">
        <is>
          <t>VÄRMLANDS LÄN</t>
        </is>
      </c>
      <c r="E4371" t="inlineStr">
        <is>
          <t>HAGFORS</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41376-2024</t>
        </is>
      </c>
      <c r="B4372" s="1" t="n">
        <v>45559</v>
      </c>
      <c r="C4372" s="1" t="n">
        <v>45932</v>
      </c>
      <c r="D4372" t="inlineStr">
        <is>
          <t>VÄRMLANDS LÄN</t>
        </is>
      </c>
      <c r="E4372" t="inlineStr">
        <is>
          <t>KARLSTAD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62901-2021</t>
        </is>
      </c>
      <c r="B4373" s="1" t="n">
        <v>44504</v>
      </c>
      <c r="C4373" s="1" t="n">
        <v>45932</v>
      </c>
      <c r="D4373" t="inlineStr">
        <is>
          <t>VÄRMLANDS LÄN</t>
        </is>
      </c>
      <c r="E4373" t="inlineStr">
        <is>
          <t>ÅRJÄNG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58234-2022</t>
        </is>
      </c>
      <c r="B4374" s="1" t="n">
        <v>44901.39585648148</v>
      </c>
      <c r="C4374" s="1" t="n">
        <v>45932</v>
      </c>
      <c r="D4374" t="inlineStr">
        <is>
          <t>VÄRMLANDS LÄN</t>
        </is>
      </c>
      <c r="E4374" t="inlineStr">
        <is>
          <t>EDA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26840-2023</t>
        </is>
      </c>
      <c r="B4375" s="1" t="n">
        <v>45093.5540625</v>
      </c>
      <c r="C4375" s="1" t="n">
        <v>45932</v>
      </c>
      <c r="D4375" t="inlineStr">
        <is>
          <t>VÄRMLANDS LÄN</t>
        </is>
      </c>
      <c r="E4375" t="inlineStr">
        <is>
          <t>GRUMS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41843-2023</t>
        </is>
      </c>
      <c r="B4376" s="1" t="n">
        <v>45176.60533564815</v>
      </c>
      <c r="C4376" s="1" t="n">
        <v>45932</v>
      </c>
      <c r="D4376" t="inlineStr">
        <is>
          <t>VÄRMLANDS LÄN</t>
        </is>
      </c>
      <c r="E4376" t="inlineStr">
        <is>
          <t>TORSBY</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41857-2023</t>
        </is>
      </c>
      <c r="B4377" s="1" t="n">
        <v>45176</v>
      </c>
      <c r="C4377" s="1" t="n">
        <v>45932</v>
      </c>
      <c r="D4377" t="inlineStr">
        <is>
          <t>VÄRMLANDS LÄN</t>
        </is>
      </c>
      <c r="E4377" t="inlineStr">
        <is>
          <t>KRISTINEHAMN</t>
        </is>
      </c>
      <c r="F4377" t="inlineStr">
        <is>
          <t>Naturvårdsverket</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28382-2022</t>
        </is>
      </c>
      <c r="B4378" s="1" t="n">
        <v>44747</v>
      </c>
      <c r="C4378" s="1" t="n">
        <v>45932</v>
      </c>
      <c r="D4378" t="inlineStr">
        <is>
          <t>VÄRMLANDS LÄN</t>
        </is>
      </c>
      <c r="E4378" t="inlineStr">
        <is>
          <t>ÅRJÄNG</t>
        </is>
      </c>
      <c r="F4378" t="inlineStr">
        <is>
          <t>Naturvårdsverket</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61403-2023</t>
        </is>
      </c>
      <c r="B4379" s="1" t="n">
        <v>45264</v>
      </c>
      <c r="C4379" s="1" t="n">
        <v>45932</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57666-2024</t>
        </is>
      </c>
      <c r="B4380" s="1" t="n">
        <v>45630</v>
      </c>
      <c r="C4380" s="1" t="n">
        <v>45932</v>
      </c>
      <c r="D4380" t="inlineStr">
        <is>
          <t>VÄRMLANDS LÄN</t>
        </is>
      </c>
      <c r="E4380" t="inlineStr">
        <is>
          <t>SUNNE</t>
        </is>
      </c>
      <c r="F4380" t="inlineStr">
        <is>
          <t>Kyrkan</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18341-2025</t>
        </is>
      </c>
      <c r="B4381" s="1" t="n">
        <v>45762.51554398148</v>
      </c>
      <c r="C4381" s="1" t="n">
        <v>45932</v>
      </c>
      <c r="D4381" t="inlineStr">
        <is>
          <t>VÄRMLANDS LÄN</t>
        </is>
      </c>
      <c r="E4381" t="inlineStr">
        <is>
          <t>GRUMS</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28439-2022</t>
        </is>
      </c>
      <c r="B4382" s="1" t="n">
        <v>44747</v>
      </c>
      <c r="C4382" s="1" t="n">
        <v>45932</v>
      </c>
      <c r="D4382" t="inlineStr">
        <is>
          <t>VÄRMLANDS LÄN</t>
        </is>
      </c>
      <c r="E4382" t="inlineStr">
        <is>
          <t>ÅRJÄNG</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58367-2021</t>
        </is>
      </c>
      <c r="B4383" s="1" t="n">
        <v>44488</v>
      </c>
      <c r="C4383" s="1" t="n">
        <v>45932</v>
      </c>
      <c r="D4383" t="inlineStr">
        <is>
          <t>VÄRMLANDS LÄN</t>
        </is>
      </c>
      <c r="E4383" t="inlineStr">
        <is>
          <t>SUNNE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41264-2022</t>
        </is>
      </c>
      <c r="B4384" s="1" t="n">
        <v>44823</v>
      </c>
      <c r="C4384" s="1" t="n">
        <v>45932</v>
      </c>
      <c r="D4384" t="inlineStr">
        <is>
          <t>VÄRMLANDS LÄN</t>
        </is>
      </c>
      <c r="E4384" t="inlineStr">
        <is>
          <t>TORSBY</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4916-2021</t>
        </is>
      </c>
      <c r="B4385" s="1" t="n">
        <v>44226</v>
      </c>
      <c r="C4385" s="1" t="n">
        <v>45932</v>
      </c>
      <c r="D4385" t="inlineStr">
        <is>
          <t>VÄRMLANDS LÄN</t>
        </is>
      </c>
      <c r="E4385" t="inlineStr">
        <is>
          <t>SUNNE</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19245-2024</t>
        </is>
      </c>
      <c r="B4386" s="1" t="n">
        <v>45428</v>
      </c>
      <c r="C4386" s="1" t="n">
        <v>45932</v>
      </c>
      <c r="D4386" t="inlineStr">
        <is>
          <t>VÄRMLANDS LÄN</t>
        </is>
      </c>
      <c r="E4386" t="inlineStr">
        <is>
          <t>ÅRJÄNG</t>
        </is>
      </c>
      <c r="F4386" t="inlineStr">
        <is>
          <t>Bergvik skog väst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59438-2023</t>
        </is>
      </c>
      <c r="B4387" s="1" t="n">
        <v>45253</v>
      </c>
      <c r="C4387" s="1" t="n">
        <v>45932</v>
      </c>
      <c r="D4387" t="inlineStr">
        <is>
          <t>VÄRMLANDS LÄN</t>
        </is>
      </c>
      <c r="E4387" t="inlineStr">
        <is>
          <t>SÄFFLE</t>
        </is>
      </c>
      <c r="G4387" t="n">
        <v>19.9</v>
      </c>
      <c r="H4387" t="n">
        <v>0</v>
      </c>
      <c r="I4387" t="n">
        <v>0</v>
      </c>
      <c r="J4387" t="n">
        <v>0</v>
      </c>
      <c r="K4387" t="n">
        <v>0</v>
      </c>
      <c r="L4387" t="n">
        <v>0</v>
      </c>
      <c r="M4387" t="n">
        <v>0</v>
      </c>
      <c r="N4387" t="n">
        <v>0</v>
      </c>
      <c r="O4387" t="n">
        <v>0</v>
      </c>
      <c r="P4387" t="n">
        <v>0</v>
      </c>
      <c r="Q4387" t="n">
        <v>0</v>
      </c>
      <c r="R4387" s="2" t="inlineStr"/>
    </row>
    <row r="4388" ht="15" customHeight="1">
      <c r="A4388" t="inlineStr">
        <is>
          <t>A 44879-2022</t>
        </is>
      </c>
      <c r="B4388" s="1" t="n">
        <v>44839</v>
      </c>
      <c r="C4388" s="1" t="n">
        <v>45932</v>
      </c>
      <c r="D4388" t="inlineStr">
        <is>
          <t>VÄRMLANDS LÄN</t>
        </is>
      </c>
      <c r="E4388" t="inlineStr">
        <is>
          <t>TORSBY</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46898-2024</t>
        </is>
      </c>
      <c r="B4389" s="1" t="n">
        <v>45583</v>
      </c>
      <c r="C4389" s="1" t="n">
        <v>45932</v>
      </c>
      <c r="D4389" t="inlineStr">
        <is>
          <t>VÄRMLANDS LÄN</t>
        </is>
      </c>
      <c r="E4389" t="inlineStr">
        <is>
          <t>KARLSTAD</t>
        </is>
      </c>
      <c r="F4389" t="inlineStr">
        <is>
          <t>Kommuner</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19586-2025</t>
        </is>
      </c>
      <c r="B4390" s="1" t="n">
        <v>45770.5678587963</v>
      </c>
      <c r="C4390" s="1" t="n">
        <v>45932</v>
      </c>
      <c r="D4390" t="inlineStr">
        <is>
          <t>VÄRMLANDS LÄN</t>
        </is>
      </c>
      <c r="E4390" t="inlineStr">
        <is>
          <t>ARVIKA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19591-2025</t>
        </is>
      </c>
      <c r="B4391" s="1" t="n">
        <v>45770.57542824074</v>
      </c>
      <c r="C4391" s="1" t="n">
        <v>45932</v>
      </c>
      <c r="D4391" t="inlineStr">
        <is>
          <t>VÄRMLANDS LÄN</t>
        </is>
      </c>
      <c r="E4391" t="inlineStr">
        <is>
          <t>ARVIKA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17015-2023</t>
        </is>
      </c>
      <c r="B4392" s="1" t="n">
        <v>45030</v>
      </c>
      <c r="C4392" s="1" t="n">
        <v>45932</v>
      </c>
      <c r="D4392" t="inlineStr">
        <is>
          <t>VÄRMLANDS LÄN</t>
        </is>
      </c>
      <c r="E4392" t="inlineStr">
        <is>
          <t>ÅRJÄNG</t>
        </is>
      </c>
      <c r="F4392" t="inlineStr">
        <is>
          <t>Övriga Aktiebolag</t>
        </is>
      </c>
      <c r="G4392" t="n">
        <v>13.9</v>
      </c>
      <c r="H4392" t="n">
        <v>0</v>
      </c>
      <c r="I4392" t="n">
        <v>0</v>
      </c>
      <c r="J4392" t="n">
        <v>0</v>
      </c>
      <c r="K4392" t="n">
        <v>0</v>
      </c>
      <c r="L4392" t="n">
        <v>0</v>
      </c>
      <c r="M4392" t="n">
        <v>0</v>
      </c>
      <c r="N4392" t="n">
        <v>0</v>
      </c>
      <c r="O4392" t="n">
        <v>0</v>
      </c>
      <c r="P4392" t="n">
        <v>0</v>
      </c>
      <c r="Q4392" t="n">
        <v>0</v>
      </c>
      <c r="R4392" s="2" t="inlineStr"/>
    </row>
    <row r="4393" ht="15" customHeight="1">
      <c r="A4393" t="inlineStr">
        <is>
          <t>A 46917-2024</t>
        </is>
      </c>
      <c r="B4393" s="1" t="n">
        <v>45583</v>
      </c>
      <c r="C4393" s="1" t="n">
        <v>45932</v>
      </c>
      <c r="D4393" t="inlineStr">
        <is>
          <t>VÄRMLANDS LÄN</t>
        </is>
      </c>
      <c r="E4393" t="inlineStr">
        <is>
          <t>TORSBY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64902-2021</t>
        </is>
      </c>
      <c r="B4394" s="1" t="n">
        <v>44512.64336805556</v>
      </c>
      <c r="C4394" s="1" t="n">
        <v>45932</v>
      </c>
      <c r="D4394" t="inlineStr">
        <is>
          <t>VÄRMLANDS LÄN</t>
        </is>
      </c>
      <c r="E4394" t="inlineStr">
        <is>
          <t>TORSBY</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15747-2022</t>
        </is>
      </c>
      <c r="B4395" s="1" t="n">
        <v>44663.55354166667</v>
      </c>
      <c r="C4395" s="1" t="n">
        <v>45932</v>
      </c>
      <c r="D4395" t="inlineStr">
        <is>
          <t>VÄRMLANDS LÄN</t>
        </is>
      </c>
      <c r="E4395" t="inlineStr">
        <is>
          <t>SUNNE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28733-2024</t>
        </is>
      </c>
      <c r="B4396" s="1" t="n">
        <v>45478</v>
      </c>
      <c r="C4396" s="1" t="n">
        <v>45932</v>
      </c>
      <c r="D4396" t="inlineStr">
        <is>
          <t>VÄRMLANDS LÄN</t>
        </is>
      </c>
      <c r="E4396" t="inlineStr">
        <is>
          <t>ÅRJÄNG</t>
        </is>
      </c>
      <c r="F4396" t="inlineStr">
        <is>
          <t>Bergvik skog väst AB</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42667-2023</t>
        </is>
      </c>
      <c r="B4397" s="1" t="n">
        <v>45176</v>
      </c>
      <c r="C4397" s="1" t="n">
        <v>45932</v>
      </c>
      <c r="D4397" t="inlineStr">
        <is>
          <t>VÄRMLANDS LÄN</t>
        </is>
      </c>
      <c r="E4397" t="inlineStr">
        <is>
          <t>ÅRJÄNG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17806-2023</t>
        </is>
      </c>
      <c r="B4398" s="1" t="n">
        <v>45037.57375</v>
      </c>
      <c r="C4398" s="1" t="n">
        <v>45932</v>
      </c>
      <c r="D4398" t="inlineStr">
        <is>
          <t>VÄRMLANDS LÄN</t>
        </is>
      </c>
      <c r="E4398" t="inlineStr">
        <is>
          <t>KIL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36642-2021</t>
        </is>
      </c>
      <c r="B4399" s="1" t="n">
        <v>44392</v>
      </c>
      <c r="C4399" s="1" t="n">
        <v>45932</v>
      </c>
      <c r="D4399" t="inlineStr">
        <is>
          <t>VÄRMLANDS LÄN</t>
        </is>
      </c>
      <c r="E4399" t="inlineStr">
        <is>
          <t>ÅRJÄNG</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24386-2025</t>
        </is>
      </c>
      <c r="B4400" s="1" t="n">
        <v>45797.63240740741</v>
      </c>
      <c r="C4400" s="1" t="n">
        <v>45932</v>
      </c>
      <c r="D4400" t="inlineStr">
        <is>
          <t>VÄRMLANDS LÄN</t>
        </is>
      </c>
      <c r="E4400" t="inlineStr">
        <is>
          <t>FILIPSTAD</t>
        </is>
      </c>
      <c r="F4400" t="inlineStr">
        <is>
          <t>Bergvik skog väst AB</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44904-2021</t>
        </is>
      </c>
      <c r="B4401" s="1" t="n">
        <v>44438</v>
      </c>
      <c r="C4401" s="1" t="n">
        <v>45932</v>
      </c>
      <c r="D4401" t="inlineStr">
        <is>
          <t>VÄRMLANDS LÄN</t>
        </is>
      </c>
      <c r="E4401" t="inlineStr">
        <is>
          <t>SUNNE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10562-2022</t>
        </is>
      </c>
      <c r="B4402" s="1" t="n">
        <v>44623</v>
      </c>
      <c r="C4402" s="1" t="n">
        <v>45932</v>
      </c>
      <c r="D4402" t="inlineStr">
        <is>
          <t>VÄRMLANDS LÄN</t>
        </is>
      </c>
      <c r="E4402" t="inlineStr">
        <is>
          <t>SUNNE</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24069-2025</t>
        </is>
      </c>
      <c r="B4403" s="1" t="n">
        <v>45796.53997685185</v>
      </c>
      <c r="C4403" s="1" t="n">
        <v>45932</v>
      </c>
      <c r="D4403" t="inlineStr">
        <is>
          <t>VÄRMLANDS LÄN</t>
        </is>
      </c>
      <c r="E4403" t="inlineStr">
        <is>
          <t>TORSBY</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38707-2023</t>
        </is>
      </c>
      <c r="B4404" s="1" t="n">
        <v>45163.34018518519</v>
      </c>
      <c r="C4404" s="1" t="n">
        <v>45932</v>
      </c>
      <c r="D4404" t="inlineStr">
        <is>
          <t>VÄRMLANDS LÄN</t>
        </is>
      </c>
      <c r="E4404" t="inlineStr">
        <is>
          <t>ÅRJÄNG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72118-2021</t>
        </is>
      </c>
      <c r="B4405" s="1" t="n">
        <v>44543</v>
      </c>
      <c r="C4405" s="1" t="n">
        <v>45932</v>
      </c>
      <c r="D4405" t="inlineStr">
        <is>
          <t>VÄRMLANDS LÄN</t>
        </is>
      </c>
      <c r="E4405" t="inlineStr">
        <is>
          <t>FILIPSTAD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66133-2021</t>
        </is>
      </c>
      <c r="B4406" s="1" t="n">
        <v>44517</v>
      </c>
      <c r="C4406" s="1" t="n">
        <v>45932</v>
      </c>
      <c r="D4406" t="inlineStr">
        <is>
          <t>VÄRMLANDS LÄN</t>
        </is>
      </c>
      <c r="E4406" t="inlineStr">
        <is>
          <t>TORSBY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55081-2024</t>
        </is>
      </c>
      <c r="B4407" s="1" t="n">
        <v>45621</v>
      </c>
      <c r="C4407" s="1" t="n">
        <v>45932</v>
      </c>
      <c r="D4407" t="inlineStr">
        <is>
          <t>VÄRMLANDS LÄN</t>
        </is>
      </c>
      <c r="E4407" t="inlineStr">
        <is>
          <t>KARLSTAD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45511-2024</t>
        </is>
      </c>
      <c r="B4408" s="1" t="n">
        <v>45578</v>
      </c>
      <c r="C4408" s="1" t="n">
        <v>45932</v>
      </c>
      <c r="D4408" t="inlineStr">
        <is>
          <t>VÄRMLANDS LÄN</t>
        </is>
      </c>
      <c r="E4408" t="inlineStr">
        <is>
          <t>FILIPSTAD</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19379-2025</t>
        </is>
      </c>
      <c r="B4409" s="1" t="n">
        <v>45769.65373842593</v>
      </c>
      <c r="C4409" s="1" t="n">
        <v>45932</v>
      </c>
      <c r="D4409" t="inlineStr">
        <is>
          <t>VÄRMLANDS LÄN</t>
        </is>
      </c>
      <c r="E4409" t="inlineStr">
        <is>
          <t>ARVIKA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24279-2025</t>
        </is>
      </c>
      <c r="B4410" s="1" t="n">
        <v>45796</v>
      </c>
      <c r="C4410" s="1" t="n">
        <v>45932</v>
      </c>
      <c r="D4410" t="inlineStr">
        <is>
          <t>VÄRMLANDS LÄN</t>
        </is>
      </c>
      <c r="E4410" t="inlineStr">
        <is>
          <t>SUNNE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16798-2025</t>
        </is>
      </c>
      <c r="B4411" s="1" t="n">
        <v>45754</v>
      </c>
      <c r="C4411" s="1" t="n">
        <v>45932</v>
      </c>
      <c r="D4411" t="inlineStr">
        <is>
          <t>VÄRMLANDS LÄN</t>
        </is>
      </c>
      <c r="E4411" t="inlineStr">
        <is>
          <t>HAGFORS</t>
        </is>
      </c>
      <c r="F4411" t="inlineStr">
        <is>
          <t>Bergvik skog väst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19390-2025</t>
        </is>
      </c>
      <c r="B4412" s="1" t="n">
        <v>45769</v>
      </c>
      <c r="C4412" s="1" t="n">
        <v>45932</v>
      </c>
      <c r="D4412" t="inlineStr">
        <is>
          <t>VÄRMLANDS LÄN</t>
        </is>
      </c>
      <c r="E4412" t="inlineStr">
        <is>
          <t>ARVIKA</t>
        </is>
      </c>
      <c r="F4412" t="inlineStr">
        <is>
          <t>Bergvik skog väst AB</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61546-2024</t>
        </is>
      </c>
      <c r="B4413" s="1" t="n">
        <v>45645</v>
      </c>
      <c r="C4413" s="1" t="n">
        <v>45932</v>
      </c>
      <c r="D4413" t="inlineStr">
        <is>
          <t>VÄRMLANDS LÄN</t>
        </is>
      </c>
      <c r="E4413" t="inlineStr">
        <is>
          <t>TORSBY</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15396-2025</t>
        </is>
      </c>
      <c r="B4414" s="1" t="n">
        <v>45747.44082175926</v>
      </c>
      <c r="C4414" s="1" t="n">
        <v>45932</v>
      </c>
      <c r="D4414" t="inlineStr">
        <is>
          <t>VÄRMLANDS LÄN</t>
        </is>
      </c>
      <c r="E4414" t="inlineStr">
        <is>
          <t>FILIPSTAD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52940-2024</t>
        </is>
      </c>
      <c r="B4415" s="1" t="n">
        <v>45610</v>
      </c>
      <c r="C4415" s="1" t="n">
        <v>45932</v>
      </c>
      <c r="D4415" t="inlineStr">
        <is>
          <t>VÄRMLANDS LÄN</t>
        </is>
      </c>
      <c r="E4415" t="inlineStr">
        <is>
          <t>TORSBY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41479-2024</t>
        </is>
      </c>
      <c r="B4416" s="1" t="n">
        <v>45560</v>
      </c>
      <c r="C4416" s="1" t="n">
        <v>45932</v>
      </c>
      <c r="D4416" t="inlineStr">
        <is>
          <t>VÄRMLANDS LÄN</t>
        </is>
      </c>
      <c r="E4416" t="inlineStr">
        <is>
          <t>STORFORS</t>
        </is>
      </c>
      <c r="F4416" t="inlineStr">
        <is>
          <t>Naturvårdsverket</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52081-2022</t>
        </is>
      </c>
      <c r="B4417" s="1" t="n">
        <v>44868</v>
      </c>
      <c r="C4417" s="1" t="n">
        <v>45932</v>
      </c>
      <c r="D4417" t="inlineStr">
        <is>
          <t>VÄRMLANDS LÄN</t>
        </is>
      </c>
      <c r="E4417" t="inlineStr">
        <is>
          <t>SÄFFLE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21925-2023</t>
        </is>
      </c>
      <c r="B4418" s="1" t="n">
        <v>45068</v>
      </c>
      <c r="C4418" s="1" t="n">
        <v>45932</v>
      </c>
      <c r="D4418" t="inlineStr">
        <is>
          <t>VÄRMLANDS LÄN</t>
        </is>
      </c>
      <c r="E4418" t="inlineStr">
        <is>
          <t>SUNNE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21943-2023</t>
        </is>
      </c>
      <c r="B4419" s="1" t="n">
        <v>45068</v>
      </c>
      <c r="C4419" s="1" t="n">
        <v>45932</v>
      </c>
      <c r="D4419" t="inlineStr">
        <is>
          <t>VÄRMLANDS LÄN</t>
        </is>
      </c>
      <c r="E4419" t="inlineStr">
        <is>
          <t>KARLSTAD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41504-2024</t>
        </is>
      </c>
      <c r="B4420" s="1" t="n">
        <v>45560</v>
      </c>
      <c r="C4420" s="1" t="n">
        <v>45932</v>
      </c>
      <c r="D4420" t="inlineStr">
        <is>
          <t>VÄRMLANDS LÄN</t>
        </is>
      </c>
      <c r="E4420" t="inlineStr">
        <is>
          <t>TORSBY</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41518-2024</t>
        </is>
      </c>
      <c r="B4421" s="1" t="n">
        <v>45560</v>
      </c>
      <c r="C4421" s="1" t="n">
        <v>45932</v>
      </c>
      <c r="D4421" t="inlineStr">
        <is>
          <t>VÄRMLANDS LÄN</t>
        </is>
      </c>
      <c r="E4421" t="inlineStr">
        <is>
          <t>TORSBY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14696-2025</t>
        </is>
      </c>
      <c r="B4422" s="1" t="n">
        <v>45742.59262731481</v>
      </c>
      <c r="C4422" s="1" t="n">
        <v>45932</v>
      </c>
      <c r="D4422" t="inlineStr">
        <is>
          <t>VÄRMLANDS LÄN</t>
        </is>
      </c>
      <c r="E4422" t="inlineStr">
        <is>
          <t>FILIPSTAD</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24172-2023</t>
        </is>
      </c>
      <c r="B4423" s="1" t="n">
        <v>45079</v>
      </c>
      <c r="C4423" s="1" t="n">
        <v>45932</v>
      </c>
      <c r="D4423" t="inlineStr">
        <is>
          <t>VÄRMLANDS LÄN</t>
        </is>
      </c>
      <c r="E4423" t="inlineStr">
        <is>
          <t>SUNNE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14710-2025</t>
        </is>
      </c>
      <c r="B4424" s="1" t="n">
        <v>45742.60868055555</v>
      </c>
      <c r="C4424" s="1" t="n">
        <v>45932</v>
      </c>
      <c r="D4424" t="inlineStr">
        <is>
          <t>VÄRMLANDS LÄN</t>
        </is>
      </c>
      <c r="E4424" t="inlineStr">
        <is>
          <t>ÅRJÄNG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55173-2020</t>
        </is>
      </c>
      <c r="B4425" s="1" t="n">
        <v>44130</v>
      </c>
      <c r="C4425" s="1" t="n">
        <v>45932</v>
      </c>
      <c r="D4425" t="inlineStr">
        <is>
          <t>VÄRMLANDS LÄN</t>
        </is>
      </c>
      <c r="E4425" t="inlineStr">
        <is>
          <t>SÄFFLE</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12197-2025</t>
        </is>
      </c>
      <c r="B4426" s="1" t="n">
        <v>45729.47384259259</v>
      </c>
      <c r="C4426" s="1" t="n">
        <v>45932</v>
      </c>
      <c r="D4426" t="inlineStr">
        <is>
          <t>VÄRMLANDS LÄN</t>
        </is>
      </c>
      <c r="E4426" t="inlineStr">
        <is>
          <t>HAGFORS</t>
        </is>
      </c>
      <c r="F4426" t="inlineStr">
        <is>
          <t>Bergvik skog väst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11365-2023</t>
        </is>
      </c>
      <c r="B4427" s="1" t="n">
        <v>44993.43474537037</v>
      </c>
      <c r="C4427" s="1" t="n">
        <v>45932</v>
      </c>
      <c r="D4427" t="inlineStr">
        <is>
          <t>VÄRMLANDS LÄN</t>
        </is>
      </c>
      <c r="E4427" t="inlineStr">
        <is>
          <t>SÄFFLE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12777-2025</t>
        </is>
      </c>
      <c r="B4428" s="1" t="n">
        <v>45733.59439814815</v>
      </c>
      <c r="C4428" s="1" t="n">
        <v>45932</v>
      </c>
      <c r="D4428" t="inlineStr">
        <is>
          <t>VÄRMLANDS LÄN</t>
        </is>
      </c>
      <c r="E4428" t="inlineStr">
        <is>
          <t>SÄFFLE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49437-2024</t>
        </is>
      </c>
      <c r="B4429" s="1" t="n">
        <v>45595.86496527777</v>
      </c>
      <c r="C4429" s="1" t="n">
        <v>45932</v>
      </c>
      <c r="D4429" t="inlineStr">
        <is>
          <t>VÄRMLANDS LÄN</t>
        </is>
      </c>
      <c r="E4429" t="inlineStr">
        <is>
          <t>SUNNE</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12824-2025</t>
        </is>
      </c>
      <c r="B4430" s="1" t="n">
        <v>45733</v>
      </c>
      <c r="C4430" s="1" t="n">
        <v>45932</v>
      </c>
      <c r="D4430" t="inlineStr">
        <is>
          <t>VÄRMLANDS LÄN</t>
        </is>
      </c>
      <c r="E4430" t="inlineStr">
        <is>
          <t>STORFORS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35021-2024</t>
        </is>
      </c>
      <c r="B4431" s="1" t="n">
        <v>45527.59814814815</v>
      </c>
      <c r="C4431" s="1" t="n">
        <v>45932</v>
      </c>
      <c r="D4431" t="inlineStr">
        <is>
          <t>VÄRMLANDS LÄN</t>
        </is>
      </c>
      <c r="E4431" t="inlineStr">
        <is>
          <t>HAGFORS</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62166-2024</t>
        </is>
      </c>
      <c r="B4432" s="1" t="n">
        <v>45657.43004629629</v>
      </c>
      <c r="C4432" s="1" t="n">
        <v>45932</v>
      </c>
      <c r="D4432" t="inlineStr">
        <is>
          <t>VÄRMLANDS LÄN</t>
        </is>
      </c>
      <c r="E4432" t="inlineStr">
        <is>
          <t>SUNNE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62169-2024</t>
        </is>
      </c>
      <c r="B4433" s="1" t="n">
        <v>45657.61693287037</v>
      </c>
      <c r="C4433" s="1" t="n">
        <v>45932</v>
      </c>
      <c r="D4433" t="inlineStr">
        <is>
          <t>VÄRMLANDS LÄN</t>
        </is>
      </c>
      <c r="E4433" t="inlineStr">
        <is>
          <t>ARVIKA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2263-2023</t>
        </is>
      </c>
      <c r="B4434" s="1" t="n">
        <v>44941</v>
      </c>
      <c r="C4434" s="1" t="n">
        <v>45932</v>
      </c>
      <c r="D4434" t="inlineStr">
        <is>
          <t>VÄRMLANDS LÄN</t>
        </is>
      </c>
      <c r="E4434" t="inlineStr">
        <is>
          <t>KIL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276-2024</t>
        </is>
      </c>
      <c r="B4435" s="1" t="n">
        <v>45295</v>
      </c>
      <c r="C4435" s="1" t="n">
        <v>45932</v>
      </c>
      <c r="D4435" t="inlineStr">
        <is>
          <t>VÄRMLANDS LÄN</t>
        </is>
      </c>
      <c r="E4435" t="inlineStr">
        <is>
          <t>TORSBY</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62517-2022</t>
        </is>
      </c>
      <c r="B4436" s="1" t="n">
        <v>44917</v>
      </c>
      <c r="C4436" s="1" t="n">
        <v>45932</v>
      </c>
      <c r="D4436" t="inlineStr">
        <is>
          <t>VÄRMLANDS LÄN</t>
        </is>
      </c>
      <c r="E4436" t="inlineStr">
        <is>
          <t>KRISTINEHAMN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62550-2022</t>
        </is>
      </c>
      <c r="B4437" s="1" t="n">
        <v>44924.74262731482</v>
      </c>
      <c r="C4437" s="1" t="n">
        <v>45932</v>
      </c>
      <c r="D4437" t="inlineStr">
        <is>
          <t>VÄRMLANDS LÄN</t>
        </is>
      </c>
      <c r="E4437" t="inlineStr">
        <is>
          <t>SÄFFLE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62557-2022</t>
        </is>
      </c>
      <c r="B4438" s="1" t="n">
        <v>44924.77230324074</v>
      </c>
      <c r="C4438" s="1" t="n">
        <v>45932</v>
      </c>
      <c r="D4438" t="inlineStr">
        <is>
          <t>VÄRMLANDS LÄN</t>
        </is>
      </c>
      <c r="E4438" t="inlineStr">
        <is>
          <t>GRUMS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57565-2023</t>
        </is>
      </c>
      <c r="B4439" s="1" t="n">
        <v>45246.49946759259</v>
      </c>
      <c r="C4439" s="1" t="n">
        <v>45932</v>
      </c>
      <c r="D4439" t="inlineStr">
        <is>
          <t>VÄRMLANDS LÄN</t>
        </is>
      </c>
      <c r="E4439" t="inlineStr">
        <is>
          <t>KRISTINEHAMN</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57599-2023</t>
        </is>
      </c>
      <c r="B4440" s="1" t="n">
        <v>45246</v>
      </c>
      <c r="C4440" s="1" t="n">
        <v>45932</v>
      </c>
      <c r="D4440" t="inlineStr">
        <is>
          <t>VÄRMLANDS LÄN</t>
        </is>
      </c>
      <c r="E4440" t="inlineStr">
        <is>
          <t>EDA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13895-2024</t>
        </is>
      </c>
      <c r="B4441" s="1" t="n">
        <v>45391</v>
      </c>
      <c r="C4441" s="1" t="n">
        <v>45932</v>
      </c>
      <c r="D4441" t="inlineStr">
        <is>
          <t>VÄRMLANDS LÄN</t>
        </is>
      </c>
      <c r="E4441" t="inlineStr">
        <is>
          <t>GRUMS</t>
        </is>
      </c>
      <c r="F4441" t="inlineStr">
        <is>
          <t>Bergvik skog väst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32202-2022</t>
        </is>
      </c>
      <c r="B4442" s="1" t="n">
        <v>44781</v>
      </c>
      <c r="C4442" s="1" t="n">
        <v>45932</v>
      </c>
      <c r="D4442" t="inlineStr">
        <is>
          <t>VÄRMLANDS LÄN</t>
        </is>
      </c>
      <c r="E4442" t="inlineStr">
        <is>
          <t>SUNNE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66322-2021</t>
        </is>
      </c>
      <c r="B4443" s="1" t="n">
        <v>44518</v>
      </c>
      <c r="C4443" s="1" t="n">
        <v>45932</v>
      </c>
      <c r="D4443" t="inlineStr">
        <is>
          <t>VÄRMLANDS LÄN</t>
        </is>
      </c>
      <c r="E4443" t="inlineStr">
        <is>
          <t>KARLSTAD</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35729-2023</t>
        </is>
      </c>
      <c r="B4444" s="1" t="n">
        <v>45147.80305555555</v>
      </c>
      <c r="C4444" s="1" t="n">
        <v>45932</v>
      </c>
      <c r="D4444" t="inlineStr">
        <is>
          <t>VÄRMLANDS LÄN</t>
        </is>
      </c>
      <c r="E4444" t="inlineStr">
        <is>
          <t>SÄFFLE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45233-2023</t>
        </is>
      </c>
      <c r="B4445" s="1" t="n">
        <v>45191.59171296296</v>
      </c>
      <c r="C4445" s="1" t="n">
        <v>45932</v>
      </c>
      <c r="D4445" t="inlineStr">
        <is>
          <t>VÄRMLANDS LÄN</t>
        </is>
      </c>
      <c r="E4445" t="inlineStr">
        <is>
          <t>SÄFFLE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3085-2024</t>
        </is>
      </c>
      <c r="B4446" s="1" t="n">
        <v>45316.43939814815</v>
      </c>
      <c r="C4446" s="1" t="n">
        <v>45932</v>
      </c>
      <c r="D4446" t="inlineStr">
        <is>
          <t>VÄRMLANDS LÄN</t>
        </is>
      </c>
      <c r="E4446" t="inlineStr">
        <is>
          <t>SUNNE</t>
        </is>
      </c>
      <c r="F4446" t="inlineStr">
        <is>
          <t>Kommuner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60975-2022</t>
        </is>
      </c>
      <c r="B4447" s="1" t="n">
        <v>44914</v>
      </c>
      <c r="C4447" s="1" t="n">
        <v>45932</v>
      </c>
      <c r="D4447" t="inlineStr">
        <is>
          <t>VÄRMLANDS LÄN</t>
        </is>
      </c>
      <c r="E4447" t="inlineStr">
        <is>
          <t>ÅRJÄNG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30207-2023</t>
        </is>
      </c>
      <c r="B4448" s="1" t="n">
        <v>45110</v>
      </c>
      <c r="C4448" s="1" t="n">
        <v>45932</v>
      </c>
      <c r="D4448" t="inlineStr">
        <is>
          <t>VÄRMLANDS LÄN</t>
        </is>
      </c>
      <c r="E4448" t="inlineStr">
        <is>
          <t>SUNNE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2849-2023</t>
        </is>
      </c>
      <c r="B4449" s="1" t="n">
        <v>44945.38209490741</v>
      </c>
      <c r="C4449" s="1" t="n">
        <v>45932</v>
      </c>
      <c r="D4449" t="inlineStr">
        <is>
          <t>VÄRMLANDS LÄN</t>
        </is>
      </c>
      <c r="E4449" t="inlineStr">
        <is>
          <t>ARVIKA</t>
        </is>
      </c>
      <c r="F4449" t="inlineStr">
        <is>
          <t>Bergvik skog väst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57062-2022</t>
        </is>
      </c>
      <c r="B4450" s="1" t="n">
        <v>44895.40797453704</v>
      </c>
      <c r="C4450" s="1" t="n">
        <v>45932</v>
      </c>
      <c r="D4450" t="inlineStr">
        <is>
          <t>VÄRMLANDS LÄN</t>
        </is>
      </c>
      <c r="E4450" t="inlineStr">
        <is>
          <t>ÅRJÄNG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57071-2022</t>
        </is>
      </c>
      <c r="B4451" s="1" t="n">
        <v>44895.42334490741</v>
      </c>
      <c r="C4451" s="1" t="n">
        <v>45932</v>
      </c>
      <c r="D4451" t="inlineStr">
        <is>
          <t>VÄRMLANDS LÄN</t>
        </is>
      </c>
      <c r="E4451" t="inlineStr">
        <is>
          <t>TORSBY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35306-2022</t>
        </is>
      </c>
      <c r="B4452" s="1" t="n">
        <v>44798.44091435185</v>
      </c>
      <c r="C4452" s="1" t="n">
        <v>45932</v>
      </c>
      <c r="D4452" t="inlineStr">
        <is>
          <t>VÄRMLANDS LÄN</t>
        </is>
      </c>
      <c r="E4452" t="inlineStr">
        <is>
          <t>EDA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45122-2022</t>
        </is>
      </c>
      <c r="B4453" s="1" t="n">
        <v>44843</v>
      </c>
      <c r="C4453" s="1" t="n">
        <v>45932</v>
      </c>
      <c r="D4453" t="inlineStr">
        <is>
          <t>VÄRMLANDS LÄN</t>
        </is>
      </c>
      <c r="E4453" t="inlineStr">
        <is>
          <t>KRISTINEHAMN</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6609-2025</t>
        </is>
      </c>
      <c r="B4454" s="1" t="n">
        <v>45700.34417824074</v>
      </c>
      <c r="C4454" s="1" t="n">
        <v>45932</v>
      </c>
      <c r="D4454" t="inlineStr">
        <is>
          <t>VÄRMLANDS LÄN</t>
        </is>
      </c>
      <c r="E4454" t="inlineStr">
        <is>
          <t>KRISTINEHAMN</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14232-2025</t>
        </is>
      </c>
      <c r="B4455" s="1" t="n">
        <v>45740</v>
      </c>
      <c r="C4455" s="1" t="n">
        <v>45932</v>
      </c>
      <c r="D4455" t="inlineStr">
        <is>
          <t>VÄRMLANDS LÄN</t>
        </is>
      </c>
      <c r="E4455" t="inlineStr">
        <is>
          <t>SÄFFLE</t>
        </is>
      </c>
      <c r="F4455" t="inlineStr">
        <is>
          <t>Bergvik skog väst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9236-2023</t>
        </is>
      </c>
      <c r="B4456" s="1" t="n">
        <v>44980.54678240741</v>
      </c>
      <c r="C4456" s="1" t="n">
        <v>45932</v>
      </c>
      <c r="D4456" t="inlineStr">
        <is>
          <t>VÄRMLANDS LÄN</t>
        </is>
      </c>
      <c r="E4456" t="inlineStr">
        <is>
          <t>ARVIKA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23247-2024</t>
        </is>
      </c>
      <c r="B4457" s="1" t="n">
        <v>45453.35074074074</v>
      </c>
      <c r="C4457" s="1" t="n">
        <v>45932</v>
      </c>
      <c r="D4457" t="inlineStr">
        <is>
          <t>VÄRMLANDS LÄN</t>
        </is>
      </c>
      <c r="E4457" t="inlineStr">
        <is>
          <t>HAGFORS</t>
        </is>
      </c>
      <c r="F4457" t="inlineStr">
        <is>
          <t>Bergvik skog väst AB</t>
        </is>
      </c>
      <c r="G4457" t="n">
        <v>26.3</v>
      </c>
      <c r="H4457" t="n">
        <v>0</v>
      </c>
      <c r="I4457" t="n">
        <v>0</v>
      </c>
      <c r="J4457" t="n">
        <v>0</v>
      </c>
      <c r="K4457" t="n">
        <v>0</v>
      </c>
      <c r="L4457" t="n">
        <v>0</v>
      </c>
      <c r="M4457" t="n">
        <v>0</v>
      </c>
      <c r="N4457" t="n">
        <v>0</v>
      </c>
      <c r="O4457" t="n">
        <v>0</v>
      </c>
      <c r="P4457" t="n">
        <v>0</v>
      </c>
      <c r="Q4457" t="n">
        <v>0</v>
      </c>
      <c r="R4457" s="2" t="inlineStr"/>
    </row>
    <row r="4458" ht="15" customHeight="1">
      <c r="A4458" t="inlineStr">
        <is>
          <t>A 45401-2024</t>
        </is>
      </c>
      <c r="B4458" s="1" t="n">
        <v>45576</v>
      </c>
      <c r="C4458" s="1" t="n">
        <v>45932</v>
      </c>
      <c r="D4458" t="inlineStr">
        <is>
          <t>VÄRMLANDS LÄN</t>
        </is>
      </c>
      <c r="E4458" t="inlineStr">
        <is>
          <t>EDA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8678-2022</t>
        </is>
      </c>
      <c r="B4459" s="1" t="n">
        <v>44613.68043981482</v>
      </c>
      <c r="C4459" s="1" t="n">
        <v>45932</v>
      </c>
      <c r="D4459" t="inlineStr">
        <is>
          <t>VÄRMLANDS LÄN</t>
        </is>
      </c>
      <c r="E4459" t="inlineStr">
        <is>
          <t>ÅRJÄNG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30267-2023</t>
        </is>
      </c>
      <c r="B4460" s="1" t="n">
        <v>45110.75915509259</v>
      </c>
      <c r="C4460" s="1" t="n">
        <v>45932</v>
      </c>
      <c r="D4460" t="inlineStr">
        <is>
          <t>VÄRMLANDS LÄN</t>
        </is>
      </c>
      <c r="E4460" t="inlineStr">
        <is>
          <t>TORSBY</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30269-2023</t>
        </is>
      </c>
      <c r="B4461" s="1" t="n">
        <v>45110.76082175926</v>
      </c>
      <c r="C4461" s="1" t="n">
        <v>45932</v>
      </c>
      <c r="D4461" t="inlineStr">
        <is>
          <t>VÄRMLANDS LÄN</t>
        </is>
      </c>
      <c r="E4461" t="inlineStr">
        <is>
          <t>TORSBY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3027-2022</t>
        </is>
      </c>
      <c r="B4462" s="1" t="n">
        <v>44581</v>
      </c>
      <c r="C4462" s="1" t="n">
        <v>45932</v>
      </c>
      <c r="D4462" t="inlineStr">
        <is>
          <t>VÄRMLANDS LÄN</t>
        </is>
      </c>
      <c r="E4462" t="inlineStr">
        <is>
          <t>EDA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1289-2025</t>
        </is>
      </c>
      <c r="B4463" s="1" t="n">
        <v>45667.51412037037</v>
      </c>
      <c r="C4463" s="1" t="n">
        <v>45932</v>
      </c>
      <c r="D4463" t="inlineStr">
        <is>
          <t>VÄRMLANDS LÄN</t>
        </is>
      </c>
      <c r="E4463" t="inlineStr">
        <is>
          <t>ÅRJÄNG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60844-2024</t>
        </is>
      </c>
      <c r="B4464" s="1" t="n">
        <v>45644.65472222222</v>
      </c>
      <c r="C4464" s="1" t="n">
        <v>45932</v>
      </c>
      <c r="D4464" t="inlineStr">
        <is>
          <t>VÄRMLANDS LÄN</t>
        </is>
      </c>
      <c r="E4464" t="inlineStr">
        <is>
          <t>ARVIKA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53959-2024</t>
        </is>
      </c>
      <c r="B4465" s="1" t="n">
        <v>45616</v>
      </c>
      <c r="C4465" s="1" t="n">
        <v>45932</v>
      </c>
      <c r="D4465" t="inlineStr">
        <is>
          <t>VÄRMLANDS LÄN</t>
        </is>
      </c>
      <c r="E4465" t="inlineStr">
        <is>
          <t>KIL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56137-2024</t>
        </is>
      </c>
      <c r="B4466" s="1" t="n">
        <v>45624.48733796296</v>
      </c>
      <c r="C4466" s="1" t="n">
        <v>45932</v>
      </c>
      <c r="D4466" t="inlineStr">
        <is>
          <t>VÄRMLANDS LÄN</t>
        </is>
      </c>
      <c r="E4466" t="inlineStr">
        <is>
          <t>ARVIKA</t>
        </is>
      </c>
      <c r="F4466" t="inlineStr">
        <is>
          <t>Bergvik skog väst AB</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4493-2025</t>
        </is>
      </c>
      <c r="B4467" s="1" t="n">
        <v>45686</v>
      </c>
      <c r="C4467" s="1" t="n">
        <v>45932</v>
      </c>
      <c r="D4467" t="inlineStr">
        <is>
          <t>VÄRMLANDS LÄN</t>
        </is>
      </c>
      <c r="E4467" t="inlineStr">
        <is>
          <t>KRISTINEHAMN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65174-2021</t>
        </is>
      </c>
      <c r="B4468" s="1" t="n">
        <v>44515</v>
      </c>
      <c r="C4468" s="1" t="n">
        <v>45932</v>
      </c>
      <c r="D4468" t="inlineStr">
        <is>
          <t>VÄRMLANDS LÄN</t>
        </is>
      </c>
      <c r="E4468" t="inlineStr">
        <is>
          <t>FILIPSTAD</t>
        </is>
      </c>
      <c r="G4468" t="n">
        <v>8</v>
      </c>
      <c r="H4468" t="n">
        <v>0</v>
      </c>
      <c r="I4468" t="n">
        <v>0</v>
      </c>
      <c r="J4468" t="n">
        <v>0</v>
      </c>
      <c r="K4468" t="n">
        <v>0</v>
      </c>
      <c r="L4468" t="n">
        <v>0</v>
      </c>
      <c r="M4468" t="n">
        <v>0</v>
      </c>
      <c r="N4468" t="n">
        <v>0</v>
      </c>
      <c r="O4468" t="n">
        <v>0</v>
      </c>
      <c r="P4468" t="n">
        <v>0</v>
      </c>
      <c r="Q4468" t="n">
        <v>0</v>
      </c>
      <c r="R4468" s="2" t="inlineStr"/>
    </row>
    <row r="4469" ht="15" customHeight="1">
      <c r="A4469" t="inlineStr">
        <is>
          <t>A 56168-2024</t>
        </is>
      </c>
      <c r="B4469" s="1" t="n">
        <v>45623</v>
      </c>
      <c r="C4469" s="1" t="n">
        <v>45932</v>
      </c>
      <c r="D4469" t="inlineStr">
        <is>
          <t>VÄRMLANDS LÄN</t>
        </is>
      </c>
      <c r="E4469" t="inlineStr">
        <is>
          <t>ÅRJÄNG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11135-2024</t>
        </is>
      </c>
      <c r="B4470" s="1" t="n">
        <v>45371</v>
      </c>
      <c r="C4470" s="1" t="n">
        <v>45932</v>
      </c>
      <c r="D4470" t="inlineStr">
        <is>
          <t>VÄRMLANDS LÄN</t>
        </is>
      </c>
      <c r="E4470" t="inlineStr">
        <is>
          <t>TORSBY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29002-2023</t>
        </is>
      </c>
      <c r="B4471" s="1" t="n">
        <v>45104.64762731481</v>
      </c>
      <c r="C4471" s="1" t="n">
        <v>45932</v>
      </c>
      <c r="D4471" t="inlineStr">
        <is>
          <t>VÄRMLANDS LÄN</t>
        </is>
      </c>
      <c r="E4471" t="inlineStr">
        <is>
          <t>STORFORS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3844-2023</t>
        </is>
      </c>
      <c r="B4472" s="1" t="n">
        <v>44951.66170138889</v>
      </c>
      <c r="C4472" s="1" t="n">
        <v>45932</v>
      </c>
      <c r="D4472" t="inlineStr">
        <is>
          <t>VÄRMLANDS LÄN</t>
        </is>
      </c>
      <c r="E4472" t="inlineStr">
        <is>
          <t>FILIPSTAD</t>
        </is>
      </c>
      <c r="F4472" t="inlineStr">
        <is>
          <t>Bergvik skog väst AB</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3846-2023</t>
        </is>
      </c>
      <c r="B4473" s="1" t="n">
        <v>44951</v>
      </c>
      <c r="C4473" s="1" t="n">
        <v>45932</v>
      </c>
      <c r="D4473" t="inlineStr">
        <is>
          <t>VÄRMLANDS LÄN</t>
        </is>
      </c>
      <c r="E4473" t="inlineStr">
        <is>
          <t>HAGFORS</t>
        </is>
      </c>
      <c r="F4473" t="inlineStr">
        <is>
          <t>Kommuner</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4784-2023</t>
        </is>
      </c>
      <c r="B4474" s="1" t="n">
        <v>44957.59476851852</v>
      </c>
      <c r="C4474" s="1" t="n">
        <v>45932</v>
      </c>
      <c r="D4474" t="inlineStr">
        <is>
          <t>VÄRMLANDS LÄN</t>
        </is>
      </c>
      <c r="E4474" t="inlineStr">
        <is>
          <t>ÅRJÄNG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57179-2023</t>
        </is>
      </c>
      <c r="B4475" s="1" t="n">
        <v>45239</v>
      </c>
      <c r="C4475" s="1" t="n">
        <v>45932</v>
      </c>
      <c r="D4475" t="inlineStr">
        <is>
          <t>VÄRMLANDS LÄN</t>
        </is>
      </c>
      <c r="E4475" t="inlineStr">
        <is>
          <t>SÄFFLE</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45599-2023</t>
        </is>
      </c>
      <c r="B4476" s="1" t="n">
        <v>45194.64255787037</v>
      </c>
      <c r="C4476" s="1" t="n">
        <v>45932</v>
      </c>
      <c r="D4476" t="inlineStr">
        <is>
          <t>VÄRMLANDS LÄN</t>
        </is>
      </c>
      <c r="E4476" t="inlineStr">
        <is>
          <t>KIL</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42169-2024</t>
        </is>
      </c>
      <c r="B4477" s="1" t="n">
        <v>45562.46731481481</v>
      </c>
      <c r="C4477" s="1" t="n">
        <v>45932</v>
      </c>
      <c r="D4477" t="inlineStr">
        <is>
          <t>VÄRMLANDS LÄN</t>
        </is>
      </c>
      <c r="E4477" t="inlineStr">
        <is>
          <t>HAGFORS</t>
        </is>
      </c>
      <c r="F4477" t="inlineStr">
        <is>
          <t>Bergvik skog väst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42173-2024</t>
        </is>
      </c>
      <c r="B4478" s="1" t="n">
        <v>45562.46958333333</v>
      </c>
      <c r="C4478" s="1" t="n">
        <v>45932</v>
      </c>
      <c r="D4478" t="inlineStr">
        <is>
          <t>VÄRMLANDS LÄN</t>
        </is>
      </c>
      <c r="E4478" t="inlineStr">
        <is>
          <t>HAGFORS</t>
        </is>
      </c>
      <c r="F4478" t="inlineStr">
        <is>
          <t>Bergvik skog väst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42178-2024</t>
        </is>
      </c>
      <c r="B4479" s="1" t="n">
        <v>45562.47201388889</v>
      </c>
      <c r="C4479" s="1" t="n">
        <v>45932</v>
      </c>
      <c r="D4479" t="inlineStr">
        <is>
          <t>VÄRMLANDS LÄN</t>
        </is>
      </c>
      <c r="E4479" t="inlineStr">
        <is>
          <t>HAGFORS</t>
        </is>
      </c>
      <c r="F4479" t="inlineStr">
        <is>
          <t>Bergvik skog väst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42241-2024</t>
        </is>
      </c>
      <c r="B4480" s="1" t="n">
        <v>45562</v>
      </c>
      <c r="C4480" s="1" t="n">
        <v>45932</v>
      </c>
      <c r="D4480" t="inlineStr">
        <is>
          <t>VÄRMLANDS LÄN</t>
        </is>
      </c>
      <c r="E4480" t="inlineStr">
        <is>
          <t>ÅRJÄNG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32845-2024</t>
        </is>
      </c>
      <c r="B4481" s="1" t="n">
        <v>45516.62422453704</v>
      </c>
      <c r="C4481" s="1" t="n">
        <v>45932</v>
      </c>
      <c r="D4481" t="inlineStr">
        <is>
          <t>VÄRMLANDS LÄN</t>
        </is>
      </c>
      <c r="E4481" t="inlineStr">
        <is>
          <t>TORSBY</t>
        </is>
      </c>
      <c r="F4481" t="inlineStr">
        <is>
          <t>Bergvik skog väst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56875-2022</t>
        </is>
      </c>
      <c r="B4482" s="1" t="n">
        <v>44894.54332175926</v>
      </c>
      <c r="C4482" s="1" t="n">
        <v>45932</v>
      </c>
      <c r="D4482" t="inlineStr">
        <is>
          <t>VÄRMLANDS LÄN</t>
        </is>
      </c>
      <c r="E4482" t="inlineStr">
        <is>
          <t>KRISTINEHAMN</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35724-2022</t>
        </is>
      </c>
      <c r="B4483" s="1" t="n">
        <v>44799</v>
      </c>
      <c r="C4483" s="1" t="n">
        <v>45932</v>
      </c>
      <c r="D4483" t="inlineStr">
        <is>
          <t>VÄRMLANDS LÄN</t>
        </is>
      </c>
      <c r="E4483" t="inlineStr">
        <is>
          <t>TORSBY</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58064-2024</t>
        </is>
      </c>
      <c r="B4484" s="1" t="n">
        <v>45631</v>
      </c>
      <c r="C4484" s="1" t="n">
        <v>45932</v>
      </c>
      <c r="D4484" t="inlineStr">
        <is>
          <t>VÄRMLANDS LÄN</t>
        </is>
      </c>
      <c r="E4484" t="inlineStr">
        <is>
          <t>ARVIKA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3144-2024</t>
        </is>
      </c>
      <c r="B4485" s="1" t="n">
        <v>45316</v>
      </c>
      <c r="C4485" s="1" t="n">
        <v>45932</v>
      </c>
      <c r="D4485" t="inlineStr">
        <is>
          <t>VÄRMLANDS LÄN</t>
        </is>
      </c>
      <c r="E4485" t="inlineStr">
        <is>
          <t>ARVIKA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59874-2023</t>
        </is>
      </c>
      <c r="B4486" s="1" t="n">
        <v>45257.58802083333</v>
      </c>
      <c r="C4486" s="1" t="n">
        <v>45932</v>
      </c>
      <c r="D4486" t="inlineStr">
        <is>
          <t>VÄRMLANDS LÄN</t>
        </is>
      </c>
      <c r="E4486" t="inlineStr">
        <is>
          <t>HAGFORS</t>
        </is>
      </c>
      <c r="F4486" t="inlineStr">
        <is>
          <t>Bergvik skog väst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51086-2021</t>
        </is>
      </c>
      <c r="B4487" s="1" t="n">
        <v>44461.37099537037</v>
      </c>
      <c r="C4487" s="1" t="n">
        <v>45932</v>
      </c>
      <c r="D4487" t="inlineStr">
        <is>
          <t>VÄRMLANDS LÄN</t>
        </is>
      </c>
      <c r="E4487" t="inlineStr">
        <is>
          <t>KARLSTAD</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16427-2024</t>
        </is>
      </c>
      <c r="B4488" s="1" t="n">
        <v>45407</v>
      </c>
      <c r="C4488" s="1" t="n">
        <v>45932</v>
      </c>
      <c r="D4488" t="inlineStr">
        <is>
          <t>VÄRMLANDS LÄN</t>
        </is>
      </c>
      <c r="E4488" t="inlineStr">
        <is>
          <t>KRISTINEHAMN</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73662-2021</t>
        </is>
      </c>
      <c r="B4489" s="1" t="n">
        <v>44552.4565162037</v>
      </c>
      <c r="C4489" s="1" t="n">
        <v>45932</v>
      </c>
      <c r="D4489" t="inlineStr">
        <is>
          <t>VÄRMLANDS LÄN</t>
        </is>
      </c>
      <c r="E4489" t="inlineStr">
        <is>
          <t>SÄFFLE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60341-2022</t>
        </is>
      </c>
      <c r="B4490" s="1" t="n">
        <v>44910.61255787037</v>
      </c>
      <c r="C4490" s="1" t="n">
        <v>45932</v>
      </c>
      <c r="D4490" t="inlineStr">
        <is>
          <t>VÄRMLANDS LÄN</t>
        </is>
      </c>
      <c r="E4490" t="inlineStr">
        <is>
          <t>FORSHAGA</t>
        </is>
      </c>
      <c r="F4490" t="inlineStr">
        <is>
          <t>Bergvik skog väst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29724-2023</t>
        </is>
      </c>
      <c r="B4491" s="1" t="n">
        <v>45107</v>
      </c>
      <c r="C4491" s="1" t="n">
        <v>45932</v>
      </c>
      <c r="D4491" t="inlineStr">
        <is>
          <t>VÄRMLANDS LÄN</t>
        </is>
      </c>
      <c r="E4491" t="inlineStr">
        <is>
          <t>GRUMS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64936-2023</t>
        </is>
      </c>
      <c r="B4492" s="1" t="n">
        <v>45282</v>
      </c>
      <c r="C4492" s="1" t="n">
        <v>45932</v>
      </c>
      <c r="D4492" t="inlineStr">
        <is>
          <t>VÄRMLANDS LÄN</t>
        </is>
      </c>
      <c r="E4492" t="inlineStr">
        <is>
          <t>HAGFORS</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21866-2024</t>
        </is>
      </c>
      <c r="B4493" s="1" t="n">
        <v>45443.31096064814</v>
      </c>
      <c r="C4493" s="1" t="n">
        <v>45932</v>
      </c>
      <c r="D4493" t="inlineStr">
        <is>
          <t>VÄRMLANDS LÄN</t>
        </is>
      </c>
      <c r="E4493" t="inlineStr">
        <is>
          <t>ARVIKA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21523-2023</t>
        </is>
      </c>
      <c r="B4494" s="1" t="n">
        <v>45063</v>
      </c>
      <c r="C4494" s="1" t="n">
        <v>45932</v>
      </c>
      <c r="D4494" t="inlineStr">
        <is>
          <t>VÄRMLANDS LÄN</t>
        </is>
      </c>
      <c r="E4494" t="inlineStr">
        <is>
          <t>ARVIKA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37985-2022</t>
        </is>
      </c>
      <c r="B4495" s="1" t="n">
        <v>44811</v>
      </c>
      <c r="C4495" s="1" t="n">
        <v>45932</v>
      </c>
      <c r="D4495" t="inlineStr">
        <is>
          <t>VÄRMLANDS LÄN</t>
        </is>
      </c>
      <c r="E4495" t="inlineStr">
        <is>
          <t>TORSBY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14624-2023</t>
        </is>
      </c>
      <c r="B4496" s="1" t="n">
        <v>45013</v>
      </c>
      <c r="C4496" s="1" t="n">
        <v>45932</v>
      </c>
      <c r="D4496" t="inlineStr">
        <is>
          <t>VÄRMLANDS LÄN</t>
        </is>
      </c>
      <c r="E4496" t="inlineStr">
        <is>
          <t>TORSBY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21177-2023</t>
        </is>
      </c>
      <c r="B4497" s="1" t="n">
        <v>45062</v>
      </c>
      <c r="C4497" s="1" t="n">
        <v>45932</v>
      </c>
      <c r="D4497" t="inlineStr">
        <is>
          <t>VÄRMLANDS LÄN</t>
        </is>
      </c>
      <c r="E4497" t="inlineStr">
        <is>
          <t>ÅRJÄNG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21184-2023</t>
        </is>
      </c>
      <c r="B4498" s="1" t="n">
        <v>45062.46313657407</v>
      </c>
      <c r="C4498" s="1" t="n">
        <v>45932</v>
      </c>
      <c r="D4498" t="inlineStr">
        <is>
          <t>VÄRMLANDS LÄN</t>
        </is>
      </c>
      <c r="E4498" t="inlineStr">
        <is>
          <t>SÄFFLE</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21258-2023</t>
        </is>
      </c>
      <c r="B4499" s="1" t="n">
        <v>45058</v>
      </c>
      <c r="C4499" s="1" t="n">
        <v>45932</v>
      </c>
      <c r="D4499" t="inlineStr">
        <is>
          <t>VÄRMLANDS LÄN</t>
        </is>
      </c>
      <c r="E4499" t="inlineStr">
        <is>
          <t>TORSBY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14605-2024</t>
        </is>
      </c>
      <c r="B4500" s="1" t="n">
        <v>45396</v>
      </c>
      <c r="C4500" s="1" t="n">
        <v>45932</v>
      </c>
      <c r="D4500" t="inlineStr">
        <is>
          <t>VÄRMLANDS LÄN</t>
        </is>
      </c>
      <c r="E4500" t="inlineStr">
        <is>
          <t>STORFORS</t>
        </is>
      </c>
      <c r="F4500" t="inlineStr">
        <is>
          <t>Bergvik skog väst AB</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24204-2025</t>
        </is>
      </c>
      <c r="B4501" s="1" t="n">
        <v>45797.31824074074</v>
      </c>
      <c r="C4501" s="1" t="n">
        <v>45932</v>
      </c>
      <c r="D4501" t="inlineStr">
        <is>
          <t>VÄRMLANDS LÄN</t>
        </is>
      </c>
      <c r="E4501" t="inlineStr">
        <is>
          <t>TORSBY</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53988-2022</t>
        </is>
      </c>
      <c r="B4502" s="1" t="n">
        <v>44876</v>
      </c>
      <c r="C4502" s="1" t="n">
        <v>45932</v>
      </c>
      <c r="D4502" t="inlineStr">
        <is>
          <t>VÄRMLANDS LÄN</t>
        </is>
      </c>
      <c r="E4502" t="inlineStr">
        <is>
          <t>TORSBY</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52099-2021</t>
        </is>
      </c>
      <c r="B4503" s="1" t="n">
        <v>44463.44508101852</v>
      </c>
      <c r="C4503" s="1" t="n">
        <v>45932</v>
      </c>
      <c r="D4503" t="inlineStr">
        <is>
          <t>VÄRMLANDS LÄN</t>
        </is>
      </c>
      <c r="E4503" t="inlineStr">
        <is>
          <t>SÄFFLE</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63318-2023</t>
        </is>
      </c>
      <c r="B4504" s="1" t="n">
        <v>45274</v>
      </c>
      <c r="C4504" s="1" t="n">
        <v>45932</v>
      </c>
      <c r="D4504" t="inlineStr">
        <is>
          <t>VÄRMLANDS LÄN</t>
        </is>
      </c>
      <c r="E4504" t="inlineStr">
        <is>
          <t>FORSHAGA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61128-2022</t>
        </is>
      </c>
      <c r="B4505" s="1" t="n">
        <v>44915.4455787037</v>
      </c>
      <c r="C4505" s="1" t="n">
        <v>45932</v>
      </c>
      <c r="D4505" t="inlineStr">
        <is>
          <t>VÄRMLANDS LÄN</t>
        </is>
      </c>
      <c r="E4505" t="inlineStr">
        <is>
          <t>TORSBY</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7712-2024</t>
        </is>
      </c>
      <c r="B4506" s="1" t="n">
        <v>45349.37353009259</v>
      </c>
      <c r="C4506" s="1" t="n">
        <v>45932</v>
      </c>
      <c r="D4506" t="inlineStr">
        <is>
          <t>VÄRMLANDS LÄN</t>
        </is>
      </c>
      <c r="E4506" t="inlineStr">
        <is>
          <t>SUNNE</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46758-2023</t>
        </is>
      </c>
      <c r="B4507" s="1" t="n">
        <v>45198</v>
      </c>
      <c r="C4507" s="1" t="n">
        <v>45932</v>
      </c>
      <c r="D4507" t="inlineStr">
        <is>
          <t>VÄRMLANDS LÄN</t>
        </is>
      </c>
      <c r="E4507" t="inlineStr">
        <is>
          <t>ARVIKA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27170-2024</t>
        </is>
      </c>
      <c r="B4508" s="1" t="n">
        <v>45471</v>
      </c>
      <c r="C4508" s="1" t="n">
        <v>45932</v>
      </c>
      <c r="D4508" t="inlineStr">
        <is>
          <t>VÄRMLANDS LÄN</t>
        </is>
      </c>
      <c r="E4508" t="inlineStr">
        <is>
          <t>ARVIKA</t>
        </is>
      </c>
      <c r="F4508" t="inlineStr">
        <is>
          <t>Bergvik skog väst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49214-2023</t>
        </is>
      </c>
      <c r="B4509" s="1" t="n">
        <v>45210.60864583333</v>
      </c>
      <c r="C4509" s="1" t="n">
        <v>45932</v>
      </c>
      <c r="D4509" t="inlineStr">
        <is>
          <t>VÄRMLANDS LÄN</t>
        </is>
      </c>
      <c r="E4509" t="inlineStr">
        <is>
          <t>SUNNE</t>
        </is>
      </c>
      <c r="F4509" t="inlineStr">
        <is>
          <t>Kommuner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6321-2024</t>
        </is>
      </c>
      <c r="B4510" s="1" t="n">
        <v>45338</v>
      </c>
      <c r="C4510" s="1" t="n">
        <v>45932</v>
      </c>
      <c r="D4510" t="inlineStr">
        <is>
          <t>VÄRMLANDS LÄN</t>
        </is>
      </c>
      <c r="E4510" t="inlineStr">
        <is>
          <t>EDA</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53726-2021</t>
        </is>
      </c>
      <c r="B4511" s="1" t="n">
        <v>44469.51079861111</v>
      </c>
      <c r="C4511" s="1" t="n">
        <v>45932</v>
      </c>
      <c r="D4511" t="inlineStr">
        <is>
          <t>VÄRMLANDS LÄN</t>
        </is>
      </c>
      <c r="E4511" t="inlineStr">
        <is>
          <t>ÅRJÄNG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49222-2023</t>
        </is>
      </c>
      <c r="B4512" s="1" t="n">
        <v>45210.61785879629</v>
      </c>
      <c r="C4512" s="1" t="n">
        <v>45932</v>
      </c>
      <c r="D4512" t="inlineStr">
        <is>
          <t>VÄRMLANDS LÄN</t>
        </is>
      </c>
      <c r="E4512" t="inlineStr">
        <is>
          <t>EDA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61295-2022</t>
        </is>
      </c>
      <c r="B4513" s="1" t="n">
        <v>44915</v>
      </c>
      <c r="C4513" s="1" t="n">
        <v>45932</v>
      </c>
      <c r="D4513" t="inlineStr">
        <is>
          <t>VÄRMLANDS LÄN</t>
        </is>
      </c>
      <c r="E4513" t="inlineStr">
        <is>
          <t>ÅRJÄNG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28327-2022</t>
        </is>
      </c>
      <c r="B4514" s="1" t="n">
        <v>44747</v>
      </c>
      <c r="C4514" s="1" t="n">
        <v>45932</v>
      </c>
      <c r="D4514" t="inlineStr">
        <is>
          <t>VÄRMLANDS LÄN</t>
        </is>
      </c>
      <c r="E4514" t="inlineStr">
        <is>
          <t>FORSHAGA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29494-2024</t>
        </is>
      </c>
      <c r="B4515" s="1" t="n">
        <v>45484.36981481482</v>
      </c>
      <c r="C4515" s="1" t="n">
        <v>45932</v>
      </c>
      <c r="D4515" t="inlineStr">
        <is>
          <t>VÄRMLANDS LÄN</t>
        </is>
      </c>
      <c r="E4515" t="inlineStr">
        <is>
          <t>ARVIKA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57348-2022</t>
        </is>
      </c>
      <c r="B4516" s="1" t="n">
        <v>44896</v>
      </c>
      <c r="C4516" s="1" t="n">
        <v>45932</v>
      </c>
      <c r="D4516" t="inlineStr">
        <is>
          <t>VÄRMLANDS LÄN</t>
        </is>
      </c>
      <c r="E4516" t="inlineStr">
        <is>
          <t>EDA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36377-2023</t>
        </is>
      </c>
      <c r="B4517" s="1" t="n">
        <v>45152.51186342593</v>
      </c>
      <c r="C4517" s="1" t="n">
        <v>45932</v>
      </c>
      <c r="D4517" t="inlineStr">
        <is>
          <t>VÄRMLANDS LÄN</t>
        </is>
      </c>
      <c r="E4517" t="inlineStr">
        <is>
          <t>FILIPSTAD</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55363-2023</t>
        </is>
      </c>
      <c r="B4518" s="1" t="n">
        <v>45238</v>
      </c>
      <c r="C4518" s="1" t="n">
        <v>45932</v>
      </c>
      <c r="D4518" t="inlineStr">
        <is>
          <t>VÄRMLANDS LÄN</t>
        </is>
      </c>
      <c r="E4518" t="inlineStr">
        <is>
          <t>KRISTINEHAMN</t>
        </is>
      </c>
      <c r="F4518" t="inlineStr">
        <is>
          <t>Kommuner</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21390-2023</t>
        </is>
      </c>
      <c r="B4519" s="1" t="n">
        <v>45063</v>
      </c>
      <c r="C4519" s="1" t="n">
        <v>45932</v>
      </c>
      <c r="D4519" t="inlineStr">
        <is>
          <t>VÄRMLANDS LÄN</t>
        </is>
      </c>
      <c r="E4519" t="inlineStr">
        <is>
          <t>TORSBY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3996-2025</t>
        </is>
      </c>
      <c r="B4520" s="1" t="n">
        <v>45684</v>
      </c>
      <c r="C4520" s="1" t="n">
        <v>45932</v>
      </c>
      <c r="D4520" t="inlineStr">
        <is>
          <t>VÄRMLANDS LÄN</t>
        </is>
      </c>
      <c r="E4520" t="inlineStr">
        <is>
          <t>HAGFORS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31939-2024</t>
        </is>
      </c>
      <c r="B4521" s="1" t="n">
        <v>45510.42471064815</v>
      </c>
      <c r="C4521" s="1" t="n">
        <v>45932</v>
      </c>
      <c r="D4521" t="inlineStr">
        <is>
          <t>VÄRMLANDS LÄN</t>
        </is>
      </c>
      <c r="E4521" t="inlineStr">
        <is>
          <t>EDA</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24109-2025</t>
        </is>
      </c>
      <c r="B4522" s="1" t="n">
        <v>45796</v>
      </c>
      <c r="C4522" s="1" t="n">
        <v>45932</v>
      </c>
      <c r="D4522" t="inlineStr">
        <is>
          <t>VÄRMLANDS LÄN</t>
        </is>
      </c>
      <c r="E4522" t="inlineStr">
        <is>
          <t>SÄFFLE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24112-2025</t>
        </is>
      </c>
      <c r="B4523" s="1" t="n">
        <v>45796</v>
      </c>
      <c r="C4523" s="1" t="n">
        <v>45932</v>
      </c>
      <c r="D4523" t="inlineStr">
        <is>
          <t>VÄRMLANDS LÄN</t>
        </is>
      </c>
      <c r="E4523" t="inlineStr">
        <is>
          <t>TORSBY</t>
        </is>
      </c>
      <c r="F4523" t="inlineStr">
        <is>
          <t>Bergvik skog väst AB</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4035-2025</t>
        </is>
      </c>
      <c r="B4524" s="1" t="n">
        <v>45684.59967592593</v>
      </c>
      <c r="C4524" s="1" t="n">
        <v>45932</v>
      </c>
      <c r="D4524" t="inlineStr">
        <is>
          <t>VÄRMLANDS LÄN</t>
        </is>
      </c>
      <c r="E4524" t="inlineStr">
        <is>
          <t>SUNNE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56552-2022</t>
        </is>
      </c>
      <c r="B4525" s="1" t="n">
        <v>44887</v>
      </c>
      <c r="C4525" s="1" t="n">
        <v>45932</v>
      </c>
      <c r="D4525" t="inlineStr">
        <is>
          <t>VÄRMLANDS LÄN</t>
        </is>
      </c>
      <c r="E4525" t="inlineStr">
        <is>
          <t>GRUMS</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31081-2023</t>
        </is>
      </c>
      <c r="B4526" s="1" t="n">
        <v>45113.64356481482</v>
      </c>
      <c r="C4526" s="1" t="n">
        <v>45932</v>
      </c>
      <c r="D4526" t="inlineStr">
        <is>
          <t>VÄRMLANDS LÄN</t>
        </is>
      </c>
      <c r="E4526" t="inlineStr">
        <is>
          <t>SÄFFLE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17329-2025</t>
        </is>
      </c>
      <c r="B4527" s="1" t="n">
        <v>45756.64131944445</v>
      </c>
      <c r="C4527" s="1" t="n">
        <v>45932</v>
      </c>
      <c r="D4527" t="inlineStr">
        <is>
          <t>VÄRMLANDS LÄN</t>
        </is>
      </c>
      <c r="E4527" t="inlineStr">
        <is>
          <t>KIL</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56666-2023</t>
        </is>
      </c>
      <c r="B4528" s="1" t="n">
        <v>45243.86833333333</v>
      </c>
      <c r="C4528" s="1" t="n">
        <v>45932</v>
      </c>
      <c r="D4528" t="inlineStr">
        <is>
          <t>VÄRMLANDS LÄN</t>
        </is>
      </c>
      <c r="E4528" t="inlineStr">
        <is>
          <t>KRISTINEHAMN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56667-2023</t>
        </is>
      </c>
      <c r="B4529" s="1" t="n">
        <v>45243.87045138889</v>
      </c>
      <c r="C4529" s="1" t="n">
        <v>45932</v>
      </c>
      <c r="D4529" t="inlineStr">
        <is>
          <t>VÄRMLANDS LÄN</t>
        </is>
      </c>
      <c r="E4529" t="inlineStr">
        <is>
          <t>KRISTINEHAMN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56673-2023</t>
        </is>
      </c>
      <c r="B4530" s="1" t="n">
        <v>45243.89939814815</v>
      </c>
      <c r="C4530" s="1" t="n">
        <v>45932</v>
      </c>
      <c r="D4530" t="inlineStr">
        <is>
          <t>VÄRMLANDS LÄN</t>
        </is>
      </c>
      <c r="E4530" t="inlineStr">
        <is>
          <t>KRISTINEHAMN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50461-2024</t>
        </is>
      </c>
      <c r="B4531" s="1" t="n">
        <v>45601.45766203704</v>
      </c>
      <c r="C4531" s="1" t="n">
        <v>45932</v>
      </c>
      <c r="D4531" t="inlineStr">
        <is>
          <t>VÄRMLANDS LÄN</t>
        </is>
      </c>
      <c r="E4531" t="inlineStr">
        <is>
          <t>KIL</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60965-2024</t>
        </is>
      </c>
      <c r="B4532" s="1" t="n">
        <v>45644</v>
      </c>
      <c r="C4532" s="1" t="n">
        <v>45932</v>
      </c>
      <c r="D4532" t="inlineStr">
        <is>
          <t>VÄRMLANDS LÄN</t>
        </is>
      </c>
      <c r="E4532" t="inlineStr">
        <is>
          <t>SÄFFLE</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50462-2024</t>
        </is>
      </c>
      <c r="B4533" s="1" t="n">
        <v>45601</v>
      </c>
      <c r="C4533" s="1" t="n">
        <v>45932</v>
      </c>
      <c r="D4533" t="inlineStr">
        <is>
          <t>VÄRMLANDS LÄN</t>
        </is>
      </c>
      <c r="E4533" t="inlineStr">
        <is>
          <t>ARVIKA</t>
        </is>
      </c>
      <c r="F4533" t="inlineStr">
        <is>
          <t>Bergvik skog väst AB</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55899-2024</t>
        </is>
      </c>
      <c r="B4534" s="1" t="n">
        <v>45623</v>
      </c>
      <c r="C4534" s="1" t="n">
        <v>45932</v>
      </c>
      <c r="D4534" t="inlineStr">
        <is>
          <t>VÄRMLANDS LÄN</t>
        </is>
      </c>
      <c r="E4534" t="inlineStr">
        <is>
          <t>EDA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8129-2025</t>
        </is>
      </c>
      <c r="B4535" s="1" t="n">
        <v>45707</v>
      </c>
      <c r="C4535" s="1" t="n">
        <v>45932</v>
      </c>
      <c r="D4535" t="inlineStr">
        <is>
          <t>VÄRMLANDS LÄN</t>
        </is>
      </c>
      <c r="E4535" t="inlineStr">
        <is>
          <t>SÄFFLE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59385-2023</t>
        </is>
      </c>
      <c r="B4536" s="1" t="n">
        <v>45253</v>
      </c>
      <c r="C4536" s="1" t="n">
        <v>45932</v>
      </c>
      <c r="D4536" t="inlineStr">
        <is>
          <t>VÄRMLANDS LÄN</t>
        </is>
      </c>
      <c r="E4536" t="inlineStr">
        <is>
          <t>ÅRJÄNG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51143-2024</t>
        </is>
      </c>
      <c r="B4537" s="1" t="n">
        <v>45603</v>
      </c>
      <c r="C4537" s="1" t="n">
        <v>45932</v>
      </c>
      <c r="D4537" t="inlineStr">
        <is>
          <t>VÄRMLANDS LÄN</t>
        </is>
      </c>
      <c r="E4537" t="inlineStr">
        <is>
          <t>EDA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24260-2025</t>
        </is>
      </c>
      <c r="B4538" s="1" t="n">
        <v>45797</v>
      </c>
      <c r="C4538" s="1" t="n">
        <v>45932</v>
      </c>
      <c r="D4538" t="inlineStr">
        <is>
          <t>VÄRMLANDS LÄN</t>
        </is>
      </c>
      <c r="E4538" t="inlineStr">
        <is>
          <t>TORSBY</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4466-2025</t>
        </is>
      </c>
      <c r="B4539" s="1" t="n">
        <v>45686</v>
      </c>
      <c r="C4539" s="1" t="n">
        <v>45932</v>
      </c>
      <c r="D4539" t="inlineStr">
        <is>
          <t>VÄRMLANDS LÄN</t>
        </is>
      </c>
      <c r="E4539" t="inlineStr">
        <is>
          <t>ARVIKA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4495-2025</t>
        </is>
      </c>
      <c r="B4540" s="1" t="n">
        <v>45686</v>
      </c>
      <c r="C4540" s="1" t="n">
        <v>45932</v>
      </c>
      <c r="D4540" t="inlineStr">
        <is>
          <t>VÄRMLANDS LÄN</t>
        </is>
      </c>
      <c r="E4540" t="inlineStr">
        <is>
          <t>KRISTINEHAMN</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59224-2021</t>
        </is>
      </c>
      <c r="B4541" s="1" t="n">
        <v>44490.6284837963</v>
      </c>
      <c r="C4541" s="1" t="n">
        <v>45932</v>
      </c>
      <c r="D4541" t="inlineStr">
        <is>
          <t>VÄRMLANDS LÄN</t>
        </is>
      </c>
      <c r="E4541" t="inlineStr">
        <is>
          <t>SÄFFLE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10184-2021</t>
        </is>
      </c>
      <c r="B4542" s="1" t="n">
        <v>44256</v>
      </c>
      <c r="C4542" s="1" t="n">
        <v>45932</v>
      </c>
      <c r="D4542" t="inlineStr">
        <is>
          <t>VÄRMLANDS LÄN</t>
        </is>
      </c>
      <c r="E4542" t="inlineStr">
        <is>
          <t>KRISTINEHAMN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62170-2024</t>
        </is>
      </c>
      <c r="B4543" s="1" t="n">
        <v>45657.62571759259</v>
      </c>
      <c r="C4543" s="1" t="n">
        <v>45932</v>
      </c>
      <c r="D4543" t="inlineStr">
        <is>
          <t>VÄRMLANDS LÄN</t>
        </is>
      </c>
      <c r="E4543" t="inlineStr">
        <is>
          <t>ARVIKA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213-2025</t>
        </is>
      </c>
      <c r="B4544" s="1" t="n">
        <v>45660</v>
      </c>
      <c r="C4544" s="1" t="n">
        <v>45932</v>
      </c>
      <c r="D4544" t="inlineStr">
        <is>
          <t>VÄRMLANDS LÄN</t>
        </is>
      </c>
      <c r="E4544" t="inlineStr">
        <is>
          <t>STORFORS</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24247-2025</t>
        </is>
      </c>
      <c r="B4545" s="1" t="n">
        <v>45797.39939814815</v>
      </c>
      <c r="C4545" s="1" t="n">
        <v>45932</v>
      </c>
      <c r="D4545" t="inlineStr">
        <is>
          <t>VÄRMLANDS LÄN</t>
        </is>
      </c>
      <c r="E4545" t="inlineStr">
        <is>
          <t>KIL</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29492-2024</t>
        </is>
      </c>
      <c r="B4546" s="1" t="n">
        <v>45484</v>
      </c>
      <c r="C4546" s="1" t="n">
        <v>45932</v>
      </c>
      <c r="D4546" t="inlineStr">
        <is>
          <t>VÄRMLANDS LÄN</t>
        </is>
      </c>
      <c r="E4546" t="inlineStr">
        <is>
          <t>HAGFORS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20682-2024</t>
        </is>
      </c>
      <c r="B4547" s="1" t="n">
        <v>45436.58063657407</v>
      </c>
      <c r="C4547" s="1" t="n">
        <v>45932</v>
      </c>
      <c r="D4547" t="inlineStr">
        <is>
          <t>VÄRMLANDS LÄN</t>
        </is>
      </c>
      <c r="E4547" t="inlineStr">
        <is>
          <t>HAGFORS</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2356-2025</t>
        </is>
      </c>
      <c r="B4548" s="1" t="n">
        <v>45673</v>
      </c>
      <c r="C4548" s="1" t="n">
        <v>45932</v>
      </c>
      <c r="D4548" t="inlineStr">
        <is>
          <t>VÄRMLANDS LÄN</t>
        </is>
      </c>
      <c r="E4548" t="inlineStr">
        <is>
          <t>ARVIKA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34643-2024</t>
        </is>
      </c>
      <c r="B4549" s="1" t="n">
        <v>45526</v>
      </c>
      <c r="C4549" s="1" t="n">
        <v>45932</v>
      </c>
      <c r="D4549" t="inlineStr">
        <is>
          <t>VÄRMLANDS LÄN</t>
        </is>
      </c>
      <c r="E4549" t="inlineStr">
        <is>
          <t>ÅRJÄNG</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15697-2024</t>
        </is>
      </c>
      <c r="B4550" s="1" t="n">
        <v>45404.46048611111</v>
      </c>
      <c r="C4550" s="1" t="n">
        <v>45932</v>
      </c>
      <c r="D4550" t="inlineStr">
        <is>
          <t>VÄRMLANDS LÄN</t>
        </is>
      </c>
      <c r="E4550" t="inlineStr">
        <is>
          <t>ARVIKA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45929-2024</t>
        </is>
      </c>
      <c r="B4551" s="1" t="n">
        <v>45580</v>
      </c>
      <c r="C4551" s="1" t="n">
        <v>45932</v>
      </c>
      <c r="D4551" t="inlineStr">
        <is>
          <t>VÄRMLANDS LÄN</t>
        </is>
      </c>
      <c r="E4551" t="inlineStr">
        <is>
          <t>ÅRJÄNG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3-2023</t>
        </is>
      </c>
      <c r="B4552" s="1" t="n">
        <v>44927</v>
      </c>
      <c r="C4552" s="1" t="n">
        <v>45932</v>
      </c>
      <c r="D4552" t="inlineStr">
        <is>
          <t>VÄRMLANDS LÄN</t>
        </is>
      </c>
      <c r="E4552" t="inlineStr">
        <is>
          <t>KIL</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61546-2023</t>
        </is>
      </c>
      <c r="B4553" s="1" t="n">
        <v>45265.41182870371</v>
      </c>
      <c r="C4553" s="1" t="n">
        <v>45932</v>
      </c>
      <c r="D4553" t="inlineStr">
        <is>
          <t>VÄRMLANDS LÄN</t>
        </is>
      </c>
      <c r="E4553" t="inlineStr">
        <is>
          <t>EDA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658-2022</t>
        </is>
      </c>
      <c r="B4554" s="1" t="n">
        <v>44566</v>
      </c>
      <c r="C4554" s="1" t="n">
        <v>45932</v>
      </c>
      <c r="D4554" t="inlineStr">
        <is>
          <t>VÄRMLANDS LÄN</t>
        </is>
      </c>
      <c r="E4554" t="inlineStr">
        <is>
          <t>HAGFORS</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24425-2025</t>
        </is>
      </c>
      <c r="B4555" s="1" t="n">
        <v>45797</v>
      </c>
      <c r="C4555" s="1" t="n">
        <v>45932</v>
      </c>
      <c r="D4555" t="inlineStr">
        <is>
          <t>VÄRMLANDS LÄN</t>
        </is>
      </c>
      <c r="E4555" t="inlineStr">
        <is>
          <t>TORSBY</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74375-2021</t>
        </is>
      </c>
      <c r="B4556" s="1" t="n">
        <v>44559.71840277778</v>
      </c>
      <c r="C4556" s="1" t="n">
        <v>45932</v>
      </c>
      <c r="D4556" t="inlineStr">
        <is>
          <t>VÄRMLANDS LÄN</t>
        </is>
      </c>
      <c r="E4556" t="inlineStr">
        <is>
          <t>TORSBY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29619-2022</t>
        </is>
      </c>
      <c r="B4557" s="1" t="n">
        <v>44754.56717592593</v>
      </c>
      <c r="C4557" s="1" t="n">
        <v>45932</v>
      </c>
      <c r="D4557" t="inlineStr">
        <is>
          <t>VÄRMLANDS LÄN</t>
        </is>
      </c>
      <c r="E4557" t="inlineStr">
        <is>
          <t>ARVIKA</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13340-2025</t>
        </is>
      </c>
      <c r="B4558" s="1" t="n">
        <v>45735.62614583333</v>
      </c>
      <c r="C4558" s="1" t="n">
        <v>45932</v>
      </c>
      <c r="D4558" t="inlineStr">
        <is>
          <t>VÄRMLANDS LÄN</t>
        </is>
      </c>
      <c r="E4558" t="inlineStr">
        <is>
          <t>HAGFORS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60281-2024</t>
        </is>
      </c>
      <c r="B4559" s="1" t="n">
        <v>45642</v>
      </c>
      <c r="C4559" s="1" t="n">
        <v>45932</v>
      </c>
      <c r="D4559" t="inlineStr">
        <is>
          <t>VÄRMLANDS LÄN</t>
        </is>
      </c>
      <c r="E4559" t="inlineStr">
        <is>
          <t>KARLSTAD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24110-2025</t>
        </is>
      </c>
      <c r="B4560" s="1" t="n">
        <v>45796.60744212963</v>
      </c>
      <c r="C4560" s="1" t="n">
        <v>45932</v>
      </c>
      <c r="D4560" t="inlineStr">
        <is>
          <t>VÄRMLANDS LÄN</t>
        </is>
      </c>
      <c r="E4560" t="inlineStr">
        <is>
          <t>MUNKFORS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24143-2025</t>
        </is>
      </c>
      <c r="B4561" s="1" t="n">
        <v>45796.64369212963</v>
      </c>
      <c r="C4561" s="1" t="n">
        <v>45932</v>
      </c>
      <c r="D4561" t="inlineStr">
        <is>
          <t>VÄRMLANDS LÄN</t>
        </is>
      </c>
      <c r="E4561" t="inlineStr">
        <is>
          <t>FILIPSTAD</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55730-2024</t>
        </is>
      </c>
      <c r="B4562" s="1" t="n">
        <v>45622</v>
      </c>
      <c r="C4562" s="1" t="n">
        <v>45932</v>
      </c>
      <c r="D4562" t="inlineStr">
        <is>
          <t>VÄRMLANDS LÄN</t>
        </is>
      </c>
      <c r="E4562" t="inlineStr">
        <is>
          <t>ARVIKA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2406-2025</t>
        </is>
      </c>
      <c r="B4563" s="1" t="n">
        <v>45674</v>
      </c>
      <c r="C4563" s="1" t="n">
        <v>45932</v>
      </c>
      <c r="D4563" t="inlineStr">
        <is>
          <t>VÄRMLANDS LÄN</t>
        </is>
      </c>
      <c r="E4563" t="inlineStr">
        <is>
          <t>KRISTINEHAMN</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14467-2022</t>
        </is>
      </c>
      <c r="B4564" s="1" t="n">
        <v>44654.66222222222</v>
      </c>
      <c r="C4564" s="1" t="n">
        <v>45932</v>
      </c>
      <c r="D4564" t="inlineStr">
        <is>
          <t>VÄRMLANDS LÄN</t>
        </is>
      </c>
      <c r="E4564" t="inlineStr">
        <is>
          <t>KARLSTAD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10338-2024</t>
        </is>
      </c>
      <c r="B4565" s="1" t="n">
        <v>45365.58712962963</v>
      </c>
      <c r="C4565" s="1" t="n">
        <v>45932</v>
      </c>
      <c r="D4565" t="inlineStr">
        <is>
          <t>VÄRMLANDS LÄN</t>
        </is>
      </c>
      <c r="E4565" t="inlineStr">
        <is>
          <t>ÅRJÄNG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48453-2023</t>
        </is>
      </c>
      <c r="B4566" s="1" t="n">
        <v>45206.4346412037</v>
      </c>
      <c r="C4566" s="1" t="n">
        <v>45932</v>
      </c>
      <c r="D4566" t="inlineStr">
        <is>
          <t>VÄRMLANDS LÄN</t>
        </is>
      </c>
      <c r="E4566" t="inlineStr">
        <is>
          <t>ÅRJÄNG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24026-2025</t>
        </is>
      </c>
      <c r="B4567" s="1" t="n">
        <v>45796.46841435185</v>
      </c>
      <c r="C4567" s="1" t="n">
        <v>45932</v>
      </c>
      <c r="D4567" t="inlineStr">
        <is>
          <t>VÄRMLANDS LÄN</t>
        </is>
      </c>
      <c r="E4567" t="inlineStr">
        <is>
          <t>TORSBY</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27001-2021</t>
        </is>
      </c>
      <c r="B4568" s="1" t="n">
        <v>44350.35271990741</v>
      </c>
      <c r="C4568" s="1" t="n">
        <v>45932</v>
      </c>
      <c r="D4568" t="inlineStr">
        <is>
          <t>VÄRMLANDS LÄN</t>
        </is>
      </c>
      <c r="E4568" t="inlineStr">
        <is>
          <t>ÅRJÄNG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12689-2024</t>
        </is>
      </c>
      <c r="B4569" s="1" t="n">
        <v>45384</v>
      </c>
      <c r="C4569" s="1" t="n">
        <v>45932</v>
      </c>
      <c r="D4569" t="inlineStr">
        <is>
          <t>VÄRMLANDS LÄN</t>
        </is>
      </c>
      <c r="E4569" t="inlineStr">
        <is>
          <t>ARVIKA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24092-2025</t>
        </is>
      </c>
      <c r="B4570" s="1" t="n">
        <v>45796.57221064815</v>
      </c>
      <c r="C4570" s="1" t="n">
        <v>45932</v>
      </c>
      <c r="D4570" t="inlineStr">
        <is>
          <t>VÄRMLANDS LÄN</t>
        </is>
      </c>
      <c r="E4570" t="inlineStr">
        <is>
          <t>SUNNE</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24098-2025</t>
        </is>
      </c>
      <c r="B4571" s="1" t="n">
        <v>45796.58342592593</v>
      </c>
      <c r="C4571" s="1" t="n">
        <v>45932</v>
      </c>
      <c r="D4571" t="inlineStr">
        <is>
          <t>VÄRMLANDS LÄN</t>
        </is>
      </c>
      <c r="E4571" t="inlineStr">
        <is>
          <t>ARVIKA</t>
        </is>
      </c>
      <c r="F4571" t="inlineStr">
        <is>
          <t>Bergvik skog väst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24111-2025</t>
        </is>
      </c>
      <c r="B4572" s="1" t="n">
        <v>45796.60822916667</v>
      </c>
      <c r="C4572" s="1" t="n">
        <v>45932</v>
      </c>
      <c r="D4572" t="inlineStr">
        <is>
          <t>VÄRMLANDS LÄN</t>
        </is>
      </c>
      <c r="E4572" t="inlineStr">
        <is>
          <t>TORSBY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14651-2024</t>
        </is>
      </c>
      <c r="B4573" s="1" t="n">
        <v>45397</v>
      </c>
      <c r="C4573" s="1" t="n">
        <v>45932</v>
      </c>
      <c r="D4573" t="inlineStr">
        <is>
          <t>VÄRMLANDS LÄN</t>
        </is>
      </c>
      <c r="E4573" t="inlineStr">
        <is>
          <t>KIL</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30094-2023</t>
        </is>
      </c>
      <c r="B4574" s="1" t="n">
        <v>45110</v>
      </c>
      <c r="C4574" s="1" t="n">
        <v>45932</v>
      </c>
      <c r="D4574" t="inlineStr">
        <is>
          <t>VÄRMLANDS LÄN</t>
        </is>
      </c>
      <c r="E4574" t="inlineStr">
        <is>
          <t>KARLSTAD</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1565-2023</t>
        </is>
      </c>
      <c r="B4575" s="1" t="n">
        <v>44937.6058449074</v>
      </c>
      <c r="C4575" s="1" t="n">
        <v>45932</v>
      </c>
      <c r="D4575" t="inlineStr">
        <is>
          <t>VÄRMLANDS LÄN</t>
        </is>
      </c>
      <c r="E4575" t="inlineStr">
        <is>
          <t>EDA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52042-2023</t>
        </is>
      </c>
      <c r="B4576" s="1" t="n">
        <v>45223</v>
      </c>
      <c r="C4576" s="1" t="n">
        <v>45932</v>
      </c>
      <c r="D4576" t="inlineStr">
        <is>
          <t>VÄRMLANDS LÄN</t>
        </is>
      </c>
      <c r="E4576" t="inlineStr">
        <is>
          <t>SUNNE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32950-2024</t>
        </is>
      </c>
      <c r="B4577" s="1" t="n">
        <v>45517.36038194445</v>
      </c>
      <c r="C4577" s="1" t="n">
        <v>45932</v>
      </c>
      <c r="D4577" t="inlineStr">
        <is>
          <t>VÄRMLANDS LÄN</t>
        </is>
      </c>
      <c r="E4577" t="inlineStr">
        <is>
          <t>ÅRJÄNG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32980-2024</t>
        </is>
      </c>
      <c r="B4578" s="1" t="n">
        <v>45517</v>
      </c>
      <c r="C4578" s="1" t="n">
        <v>45932</v>
      </c>
      <c r="D4578" t="inlineStr">
        <is>
          <t>VÄRMLANDS LÄN</t>
        </is>
      </c>
      <c r="E4578" t="inlineStr">
        <is>
          <t>SUNNE</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64803-2021</t>
        </is>
      </c>
      <c r="B4579" s="1" t="n">
        <v>44512</v>
      </c>
      <c r="C4579" s="1" t="n">
        <v>45932</v>
      </c>
      <c r="D4579" t="inlineStr">
        <is>
          <t>VÄRMLANDS LÄN</t>
        </is>
      </c>
      <c r="E4579" t="inlineStr">
        <is>
          <t>SÄFFLE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3426-2023</t>
        </is>
      </c>
      <c r="B4580" s="1" t="n">
        <v>44949</v>
      </c>
      <c r="C4580" s="1" t="n">
        <v>45932</v>
      </c>
      <c r="D4580" t="inlineStr">
        <is>
          <t>VÄRMLANDS LÄN</t>
        </is>
      </c>
      <c r="E4580" t="inlineStr">
        <is>
          <t>HAGFORS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12141-2023</t>
        </is>
      </c>
      <c r="B4581" s="1" t="n">
        <v>44998</v>
      </c>
      <c r="C4581" s="1" t="n">
        <v>45932</v>
      </c>
      <c r="D4581" t="inlineStr">
        <is>
          <t>VÄRMLANDS LÄN</t>
        </is>
      </c>
      <c r="E4581" t="inlineStr">
        <is>
          <t>EDA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34840-2023</t>
        </is>
      </c>
      <c r="B4582" s="1" t="n">
        <v>45141</v>
      </c>
      <c r="C4582" s="1" t="n">
        <v>45932</v>
      </c>
      <c r="D4582" t="inlineStr">
        <is>
          <t>VÄRMLANDS LÄN</t>
        </is>
      </c>
      <c r="E4582" t="inlineStr">
        <is>
          <t>ARVIKA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68907-2020</t>
        </is>
      </c>
      <c r="B4583" s="1" t="n">
        <v>44187</v>
      </c>
      <c r="C4583" s="1" t="n">
        <v>45932</v>
      </c>
      <c r="D4583" t="inlineStr">
        <is>
          <t>VÄRMLANDS LÄN</t>
        </is>
      </c>
      <c r="E4583" t="inlineStr">
        <is>
          <t>SUNNE</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61229-2022</t>
        </is>
      </c>
      <c r="B4584" s="1" t="n">
        <v>44915.56481481482</v>
      </c>
      <c r="C4584" s="1" t="n">
        <v>45932</v>
      </c>
      <c r="D4584" t="inlineStr">
        <is>
          <t>VÄRMLANDS LÄN</t>
        </is>
      </c>
      <c r="E4584" t="inlineStr">
        <is>
          <t>KIL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61231-2022</t>
        </is>
      </c>
      <c r="B4585" s="1" t="n">
        <v>44915</v>
      </c>
      <c r="C4585" s="1" t="n">
        <v>45932</v>
      </c>
      <c r="D4585" t="inlineStr">
        <is>
          <t>VÄRMLANDS LÄN</t>
        </is>
      </c>
      <c r="E4585" t="inlineStr">
        <is>
          <t>FORSHAGA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23793-2023</t>
        </is>
      </c>
      <c r="B4586" s="1" t="n">
        <v>45078</v>
      </c>
      <c r="C4586" s="1" t="n">
        <v>45932</v>
      </c>
      <c r="D4586" t="inlineStr">
        <is>
          <t>VÄRMLANDS LÄN</t>
        </is>
      </c>
      <c r="E4586" t="inlineStr">
        <is>
          <t>SUNNE</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24287-2025</t>
        </is>
      </c>
      <c r="B4587" s="1" t="n">
        <v>45796</v>
      </c>
      <c r="C4587" s="1" t="n">
        <v>45932</v>
      </c>
      <c r="D4587" t="inlineStr">
        <is>
          <t>VÄRMLANDS LÄN</t>
        </is>
      </c>
      <c r="E4587" t="inlineStr">
        <is>
          <t>SÄFFLE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5931-2023</t>
        </is>
      </c>
      <c r="B4588" s="1" t="n">
        <v>44963</v>
      </c>
      <c r="C4588" s="1" t="n">
        <v>45932</v>
      </c>
      <c r="D4588" t="inlineStr">
        <is>
          <t>VÄRMLANDS LÄN</t>
        </is>
      </c>
      <c r="E4588" t="inlineStr">
        <is>
          <t>ÅRJÄNG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57469-2024</t>
        </is>
      </c>
      <c r="B4589" s="1" t="n">
        <v>45630</v>
      </c>
      <c r="C4589" s="1" t="n">
        <v>45932</v>
      </c>
      <c r="D4589" t="inlineStr">
        <is>
          <t>VÄRMLANDS LÄN</t>
        </is>
      </c>
      <c r="E4589" t="inlineStr">
        <is>
          <t>TORSBY</t>
        </is>
      </c>
      <c r="F4589" t="inlineStr">
        <is>
          <t>Bergvik skog väst AB</t>
        </is>
      </c>
      <c r="G4589" t="n">
        <v>12.8</v>
      </c>
      <c r="H4589" t="n">
        <v>0</v>
      </c>
      <c r="I4589" t="n">
        <v>0</v>
      </c>
      <c r="J4589" t="n">
        <v>0</v>
      </c>
      <c r="K4589" t="n">
        <v>0</v>
      </c>
      <c r="L4589" t="n">
        <v>0</v>
      </c>
      <c r="M4589" t="n">
        <v>0</v>
      </c>
      <c r="N4589" t="n">
        <v>0</v>
      </c>
      <c r="O4589" t="n">
        <v>0</v>
      </c>
      <c r="P4589" t="n">
        <v>0</v>
      </c>
      <c r="Q4589" t="n">
        <v>0</v>
      </c>
      <c r="R4589" s="2" t="inlineStr"/>
    </row>
    <row r="4590" ht="15" customHeight="1">
      <c r="A4590" t="inlineStr">
        <is>
          <t>A 57531-2024</t>
        </is>
      </c>
      <c r="B4590" s="1" t="n">
        <v>45630</v>
      </c>
      <c r="C4590" s="1" t="n">
        <v>45932</v>
      </c>
      <c r="D4590" t="inlineStr">
        <is>
          <t>VÄRMLANDS LÄN</t>
        </is>
      </c>
      <c r="E4590" t="inlineStr">
        <is>
          <t>FILIPSTAD</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57554-2024</t>
        </is>
      </c>
      <c r="B4591" s="1" t="n">
        <v>45630</v>
      </c>
      <c r="C4591" s="1" t="n">
        <v>45932</v>
      </c>
      <c r="D4591" t="inlineStr">
        <is>
          <t>VÄRMLANDS LÄN</t>
        </is>
      </c>
      <c r="E4591" t="inlineStr">
        <is>
          <t>ARVIKA</t>
        </is>
      </c>
      <c r="F4591" t="inlineStr">
        <is>
          <t>Bergvik skog väst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7215-2025</t>
        </is>
      </c>
      <c r="B4592" s="1" t="n">
        <v>45702</v>
      </c>
      <c r="C4592" s="1" t="n">
        <v>45932</v>
      </c>
      <c r="D4592" t="inlineStr">
        <is>
          <t>VÄRMLANDS LÄN</t>
        </is>
      </c>
      <c r="E4592" t="inlineStr">
        <is>
          <t>TORSBY</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13208-2023</t>
        </is>
      </c>
      <c r="B4593" s="1" t="n">
        <v>45002</v>
      </c>
      <c r="C4593" s="1" t="n">
        <v>45932</v>
      </c>
      <c r="D4593" t="inlineStr">
        <is>
          <t>VÄRMLANDS LÄN</t>
        </is>
      </c>
      <c r="E4593" t="inlineStr">
        <is>
          <t>FORSHAGA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57379-2022</t>
        </is>
      </c>
      <c r="B4594" s="1" t="n">
        <v>44896</v>
      </c>
      <c r="C4594" s="1" t="n">
        <v>45932</v>
      </c>
      <c r="D4594" t="inlineStr">
        <is>
          <t>VÄRMLANDS LÄN</t>
        </is>
      </c>
      <c r="E4594" t="inlineStr">
        <is>
          <t>HAGFORS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1266-2024</t>
        </is>
      </c>
      <c r="B4595" s="1" t="n">
        <v>45302.89086805555</v>
      </c>
      <c r="C4595" s="1" t="n">
        <v>45932</v>
      </c>
      <c r="D4595" t="inlineStr">
        <is>
          <t>VÄRMLANDS LÄN</t>
        </is>
      </c>
      <c r="E4595" t="inlineStr">
        <is>
          <t>KRISTINEHAMN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69628-2020</t>
        </is>
      </c>
      <c r="B4596" s="1" t="n">
        <v>44195</v>
      </c>
      <c r="C4596" s="1" t="n">
        <v>45932</v>
      </c>
      <c r="D4596" t="inlineStr">
        <is>
          <t>VÄRMLANDS LÄN</t>
        </is>
      </c>
      <c r="E4596" t="inlineStr">
        <is>
          <t>TORSBY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12930-2025</t>
        </is>
      </c>
      <c r="B4597" s="1" t="n">
        <v>45734</v>
      </c>
      <c r="C4597" s="1" t="n">
        <v>45932</v>
      </c>
      <c r="D4597" t="inlineStr">
        <is>
          <t>VÄRMLANDS LÄN</t>
        </is>
      </c>
      <c r="E4597" t="inlineStr">
        <is>
          <t>KIL</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26348-2024</t>
        </is>
      </c>
      <c r="B4598" s="1" t="n">
        <v>45469.35829861111</v>
      </c>
      <c r="C4598" s="1" t="n">
        <v>45932</v>
      </c>
      <c r="D4598" t="inlineStr">
        <is>
          <t>VÄRMLANDS LÄN</t>
        </is>
      </c>
      <c r="E4598" t="inlineStr">
        <is>
          <t>HAGFORS</t>
        </is>
      </c>
      <c r="F4598" t="inlineStr">
        <is>
          <t>Bergvik skog väst AB</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33782-2023</t>
        </is>
      </c>
      <c r="B4599" s="1" t="n">
        <v>45120</v>
      </c>
      <c r="C4599" s="1" t="n">
        <v>45932</v>
      </c>
      <c r="D4599" t="inlineStr">
        <is>
          <t>VÄRMLANDS LÄN</t>
        </is>
      </c>
      <c r="E4599" t="inlineStr">
        <is>
          <t>TORSBY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2818-2022</t>
        </is>
      </c>
      <c r="B4600" s="1" t="n">
        <v>44581.41297453704</v>
      </c>
      <c r="C4600" s="1" t="n">
        <v>45932</v>
      </c>
      <c r="D4600" t="inlineStr">
        <is>
          <t>VÄRMLANDS LÄN</t>
        </is>
      </c>
      <c r="E4600" t="inlineStr">
        <is>
          <t>FORSHAGA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63785-2023</t>
        </is>
      </c>
      <c r="B4601" s="1" t="n">
        <v>45278</v>
      </c>
      <c r="C4601" s="1" t="n">
        <v>45932</v>
      </c>
      <c r="D4601" t="inlineStr">
        <is>
          <t>VÄRMLANDS LÄN</t>
        </is>
      </c>
      <c r="E4601" t="inlineStr">
        <is>
          <t>SÄFFLE</t>
        </is>
      </c>
      <c r="F4601" t="inlineStr">
        <is>
          <t>Kommuner</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63803-2023</t>
        </is>
      </c>
      <c r="B4602" s="1" t="n">
        <v>45278.42649305556</v>
      </c>
      <c r="C4602" s="1" t="n">
        <v>45932</v>
      </c>
      <c r="D4602" t="inlineStr">
        <is>
          <t>VÄRMLANDS LÄN</t>
        </is>
      </c>
      <c r="E4602" t="inlineStr">
        <is>
          <t>SÄFFLE</t>
        </is>
      </c>
      <c r="F4602" t="inlineStr">
        <is>
          <t>Kommuner</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60595-2022</t>
        </is>
      </c>
      <c r="B4603" s="1" t="n">
        <v>44906</v>
      </c>
      <c r="C4603" s="1" t="n">
        <v>45932</v>
      </c>
      <c r="D4603" t="inlineStr">
        <is>
          <t>VÄRMLANDS LÄN</t>
        </is>
      </c>
      <c r="E4603" t="inlineStr">
        <is>
          <t>ARVIKA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60607-2022</t>
        </is>
      </c>
      <c r="B4604" s="1" t="n">
        <v>44906</v>
      </c>
      <c r="C4604" s="1" t="n">
        <v>45932</v>
      </c>
      <c r="D4604" t="inlineStr">
        <is>
          <t>VÄRMLANDS LÄN</t>
        </is>
      </c>
      <c r="E4604" t="inlineStr">
        <is>
          <t>ARVIKA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64525-2023</t>
        </is>
      </c>
      <c r="B4605" s="1" t="n">
        <v>45281.34885416667</v>
      </c>
      <c r="C4605" s="1" t="n">
        <v>45932</v>
      </c>
      <c r="D4605" t="inlineStr">
        <is>
          <t>VÄRMLANDS LÄN</t>
        </is>
      </c>
      <c r="E4605" t="inlineStr">
        <is>
          <t>KARLSTAD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15720-2022</t>
        </is>
      </c>
      <c r="B4606" s="1" t="n">
        <v>44663</v>
      </c>
      <c r="C4606" s="1" t="n">
        <v>45932</v>
      </c>
      <c r="D4606" t="inlineStr">
        <is>
          <t>VÄRMLANDS LÄN</t>
        </is>
      </c>
      <c r="E4606" t="inlineStr">
        <is>
          <t>ARVIKA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23704-2022</t>
        </is>
      </c>
      <c r="B4607" s="1" t="n">
        <v>44722</v>
      </c>
      <c r="C4607" s="1" t="n">
        <v>45932</v>
      </c>
      <c r="D4607" t="inlineStr">
        <is>
          <t>VÄRMLANDS LÄN</t>
        </is>
      </c>
      <c r="E4607" t="inlineStr">
        <is>
          <t>KRISTINEHAMN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23706-2022</t>
        </is>
      </c>
      <c r="B4608" s="1" t="n">
        <v>44722</v>
      </c>
      <c r="C4608" s="1" t="n">
        <v>45932</v>
      </c>
      <c r="D4608" t="inlineStr">
        <is>
          <t>VÄRMLANDS LÄN</t>
        </is>
      </c>
      <c r="E4608" t="inlineStr">
        <is>
          <t>KRISTINEHAMN</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4231-2024</t>
        </is>
      </c>
      <c r="B4609" s="1" t="n">
        <v>45324.42771990741</v>
      </c>
      <c r="C4609" s="1" t="n">
        <v>45932</v>
      </c>
      <c r="D4609" t="inlineStr">
        <is>
          <t>VÄRMLANDS LÄN</t>
        </is>
      </c>
      <c r="E4609" t="inlineStr">
        <is>
          <t>TORSBY</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37220-2024</t>
        </is>
      </c>
      <c r="B4610" s="1" t="n">
        <v>45539.84837962963</v>
      </c>
      <c r="C4610" s="1" t="n">
        <v>45932</v>
      </c>
      <c r="D4610" t="inlineStr">
        <is>
          <t>VÄRMLANDS LÄN</t>
        </is>
      </c>
      <c r="E4610" t="inlineStr">
        <is>
          <t>ÅRJÄNG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37227-2024</t>
        </is>
      </c>
      <c r="B4611" s="1" t="n">
        <v>45539.90851851852</v>
      </c>
      <c r="C4611" s="1" t="n">
        <v>45932</v>
      </c>
      <c r="D4611" t="inlineStr">
        <is>
          <t>VÄRMLANDS LÄN</t>
        </is>
      </c>
      <c r="E4611" t="inlineStr">
        <is>
          <t>ARVIKA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37238-2024</t>
        </is>
      </c>
      <c r="B4612" s="1" t="n">
        <v>45540</v>
      </c>
      <c r="C4612" s="1" t="n">
        <v>45932</v>
      </c>
      <c r="D4612" t="inlineStr">
        <is>
          <t>VÄRMLANDS LÄN</t>
        </is>
      </c>
      <c r="E4612" t="inlineStr">
        <is>
          <t>TORSBY</t>
        </is>
      </c>
      <c r="F4612" t="inlineStr">
        <is>
          <t>Bergvik skog väst AB</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56101-2024</t>
        </is>
      </c>
      <c r="B4613" s="1" t="n">
        <v>45624</v>
      </c>
      <c r="C4613" s="1" t="n">
        <v>45932</v>
      </c>
      <c r="D4613" t="inlineStr">
        <is>
          <t>VÄRMLANDS LÄN</t>
        </is>
      </c>
      <c r="E4613" t="inlineStr">
        <is>
          <t>TORSBY</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56115-2024</t>
        </is>
      </c>
      <c r="B4614" s="1" t="n">
        <v>45624.45351851852</v>
      </c>
      <c r="C4614" s="1" t="n">
        <v>45932</v>
      </c>
      <c r="D4614" t="inlineStr">
        <is>
          <t>VÄRMLANDS LÄN</t>
        </is>
      </c>
      <c r="E4614" t="inlineStr">
        <is>
          <t>ÅRJÄNG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56116-2024</t>
        </is>
      </c>
      <c r="B4615" s="1" t="n">
        <v>45624.45506944445</v>
      </c>
      <c r="C4615" s="1" t="n">
        <v>45932</v>
      </c>
      <c r="D4615" t="inlineStr">
        <is>
          <t>VÄRMLANDS LÄN</t>
        </is>
      </c>
      <c r="E4615" t="inlineStr">
        <is>
          <t>ÅRJÄNG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36763-2021</t>
        </is>
      </c>
      <c r="B4616" s="1" t="n">
        <v>44392</v>
      </c>
      <c r="C4616" s="1" t="n">
        <v>45932</v>
      </c>
      <c r="D4616" t="inlineStr">
        <is>
          <t>VÄRMLANDS LÄN</t>
        </is>
      </c>
      <c r="E4616" t="inlineStr">
        <is>
          <t>SÄFFLE</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2135-2022</t>
        </is>
      </c>
      <c r="B4617" s="1" t="n">
        <v>44578.38391203704</v>
      </c>
      <c r="C4617" s="1" t="n">
        <v>45932</v>
      </c>
      <c r="D4617" t="inlineStr">
        <is>
          <t>VÄRMLANDS LÄN</t>
        </is>
      </c>
      <c r="E4617" t="inlineStr">
        <is>
          <t>KARLSTAD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8820-2024</t>
        </is>
      </c>
      <c r="B4618" s="1" t="n">
        <v>45356</v>
      </c>
      <c r="C4618" s="1" t="n">
        <v>45932</v>
      </c>
      <c r="D4618" t="inlineStr">
        <is>
          <t>VÄRMLANDS LÄN</t>
        </is>
      </c>
      <c r="E4618" t="inlineStr">
        <is>
          <t>HAGFORS</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11176-2023</t>
        </is>
      </c>
      <c r="B4619" s="1" t="n">
        <v>44987</v>
      </c>
      <c r="C4619" s="1" t="n">
        <v>45932</v>
      </c>
      <c r="D4619" t="inlineStr">
        <is>
          <t>VÄRMLANDS LÄN</t>
        </is>
      </c>
      <c r="E4619" t="inlineStr">
        <is>
          <t>ÅRJÄNG</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30132-2022</t>
        </is>
      </c>
      <c r="B4620" s="1" t="n">
        <v>44757</v>
      </c>
      <c r="C4620" s="1" t="n">
        <v>45932</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6121-2021</t>
        </is>
      </c>
      <c r="B4621" s="1" t="n">
        <v>44232</v>
      </c>
      <c r="C4621" s="1" t="n">
        <v>45932</v>
      </c>
      <c r="D4621" t="inlineStr">
        <is>
          <t>VÄRMLANDS LÄN</t>
        </is>
      </c>
      <c r="E4621" t="inlineStr">
        <is>
          <t>TORSBY</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52083-2024</t>
        </is>
      </c>
      <c r="B4622" s="1" t="n">
        <v>45608.38739583334</v>
      </c>
      <c r="C4622" s="1" t="n">
        <v>45932</v>
      </c>
      <c r="D4622" t="inlineStr">
        <is>
          <t>VÄRMLANDS LÄN</t>
        </is>
      </c>
      <c r="E4622" t="inlineStr">
        <is>
          <t>HAGFORS</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44125-2021</t>
        </is>
      </c>
      <c r="B4623" s="1" t="n">
        <v>44434</v>
      </c>
      <c r="C4623" s="1" t="n">
        <v>45932</v>
      </c>
      <c r="D4623" t="inlineStr">
        <is>
          <t>VÄRMLANDS LÄN</t>
        </is>
      </c>
      <c r="E4623" t="inlineStr">
        <is>
          <t>HAGFORS</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24182-2024</t>
        </is>
      </c>
      <c r="B4624" s="1" t="n">
        <v>45456</v>
      </c>
      <c r="C4624" s="1" t="n">
        <v>45932</v>
      </c>
      <c r="D4624" t="inlineStr">
        <is>
          <t>VÄRMLANDS LÄN</t>
        </is>
      </c>
      <c r="E4624" t="inlineStr">
        <is>
          <t>TORSBY</t>
        </is>
      </c>
      <c r="F4624" t="inlineStr">
        <is>
          <t>Bergvik skog väst AB</t>
        </is>
      </c>
      <c r="G4624" t="n">
        <v>28.9</v>
      </c>
      <c r="H4624" t="n">
        <v>0</v>
      </c>
      <c r="I4624" t="n">
        <v>0</v>
      </c>
      <c r="J4624" t="n">
        <v>0</v>
      </c>
      <c r="K4624" t="n">
        <v>0</v>
      </c>
      <c r="L4624" t="n">
        <v>0</v>
      </c>
      <c r="M4624" t="n">
        <v>0</v>
      </c>
      <c r="N4624" t="n">
        <v>0</v>
      </c>
      <c r="O4624" t="n">
        <v>0</v>
      </c>
      <c r="P4624" t="n">
        <v>0</v>
      </c>
      <c r="Q4624" t="n">
        <v>0</v>
      </c>
      <c r="R4624" s="2" t="inlineStr"/>
    </row>
    <row r="4625" ht="15" customHeight="1">
      <c r="A4625" t="inlineStr">
        <is>
          <t>A 41208-2023</t>
        </is>
      </c>
      <c r="B4625" s="1" t="n">
        <v>45174</v>
      </c>
      <c r="C4625" s="1" t="n">
        <v>45932</v>
      </c>
      <c r="D4625" t="inlineStr">
        <is>
          <t>VÄRMLANDS LÄN</t>
        </is>
      </c>
      <c r="E4625" t="inlineStr">
        <is>
          <t>SUNNE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21745-2024</t>
        </is>
      </c>
      <c r="B4626" s="1" t="n">
        <v>45442</v>
      </c>
      <c r="C4626" s="1" t="n">
        <v>45932</v>
      </c>
      <c r="D4626" t="inlineStr">
        <is>
          <t>VÄRMLANDS LÄN</t>
        </is>
      </c>
      <c r="E4626" t="inlineStr">
        <is>
          <t>FORSHAGA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21821-2022</t>
        </is>
      </c>
      <c r="B4627" s="1" t="n">
        <v>44709.56806712963</v>
      </c>
      <c r="C4627" s="1" t="n">
        <v>45932</v>
      </c>
      <c r="D4627" t="inlineStr">
        <is>
          <t>VÄRMLANDS LÄN</t>
        </is>
      </c>
      <c r="E4627" t="inlineStr">
        <is>
          <t>SÄFFLE</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24270-2024</t>
        </is>
      </c>
      <c r="B4628" s="1" t="n">
        <v>45457</v>
      </c>
      <c r="C4628" s="1" t="n">
        <v>45932</v>
      </c>
      <c r="D4628" t="inlineStr">
        <is>
          <t>VÄRMLANDS LÄN</t>
        </is>
      </c>
      <c r="E4628" t="inlineStr">
        <is>
          <t>KARLSTAD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33844-2024</t>
        </is>
      </c>
      <c r="B4629" s="1" t="n">
        <v>45520</v>
      </c>
      <c r="C4629" s="1" t="n">
        <v>45932</v>
      </c>
      <c r="D4629" t="inlineStr">
        <is>
          <t>VÄRMLANDS LÄN</t>
        </is>
      </c>
      <c r="E4629" t="inlineStr">
        <is>
          <t>FILIPSTAD</t>
        </is>
      </c>
      <c r="F4629" t="inlineStr">
        <is>
          <t>Bergvik skog väst AB</t>
        </is>
      </c>
      <c r="G4629" t="n">
        <v>8.199999999999999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71399-2021</t>
        </is>
      </c>
      <c r="B4630" s="1" t="n">
        <v>44540.35973379629</v>
      </c>
      <c r="C4630" s="1" t="n">
        <v>45932</v>
      </c>
      <c r="D4630" t="inlineStr">
        <is>
          <t>VÄRMLANDS LÄN</t>
        </is>
      </c>
      <c r="E4630" t="inlineStr">
        <is>
          <t>ARVIKA</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40808-2023</t>
        </is>
      </c>
      <c r="B4631" s="1" t="n">
        <v>45171.36037037037</v>
      </c>
      <c r="C4631" s="1" t="n">
        <v>45932</v>
      </c>
      <c r="D4631" t="inlineStr">
        <is>
          <t>VÄRMLANDS LÄN</t>
        </is>
      </c>
      <c r="E4631" t="inlineStr">
        <is>
          <t>SÄFFLE</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34857-2022</t>
        </is>
      </c>
      <c r="B4632" s="1" t="n">
        <v>44796</v>
      </c>
      <c r="C4632" s="1" t="n">
        <v>45932</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24262-2025</t>
        </is>
      </c>
      <c r="B4633" s="1" t="n">
        <v>45797.42086805555</v>
      </c>
      <c r="C4633" s="1" t="n">
        <v>45932</v>
      </c>
      <c r="D4633" t="inlineStr">
        <is>
          <t>VÄRMLANDS LÄN</t>
        </is>
      </c>
      <c r="E4633" t="inlineStr">
        <is>
          <t>KIL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24318-2025</t>
        </is>
      </c>
      <c r="B4634" s="1" t="n">
        <v>45797.54879629629</v>
      </c>
      <c r="C4634" s="1" t="n">
        <v>45932</v>
      </c>
      <c r="D4634" t="inlineStr">
        <is>
          <t>VÄRMLANDS LÄN</t>
        </is>
      </c>
      <c r="E4634" t="inlineStr">
        <is>
          <t>TORSBY</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521-2025</t>
        </is>
      </c>
      <c r="B4635" s="1" t="n">
        <v>45664.48826388889</v>
      </c>
      <c r="C4635" s="1" t="n">
        <v>45932</v>
      </c>
      <c r="D4635" t="inlineStr">
        <is>
          <t>VÄRMLANDS LÄN</t>
        </is>
      </c>
      <c r="E4635" t="inlineStr">
        <is>
          <t>ÅRJÄNG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65055-2023</t>
        </is>
      </c>
      <c r="B4636" s="1" t="n">
        <v>45282</v>
      </c>
      <c r="C4636" s="1" t="n">
        <v>45932</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40061-2024</t>
        </is>
      </c>
      <c r="B4637" s="1" t="n">
        <v>45553.92016203704</v>
      </c>
      <c r="C4637" s="1" t="n">
        <v>45932</v>
      </c>
      <c r="D4637" t="inlineStr">
        <is>
          <t>VÄRMLANDS LÄN</t>
        </is>
      </c>
      <c r="E4637" t="inlineStr">
        <is>
          <t>SUNNE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12151-2024</t>
        </is>
      </c>
      <c r="B4638" s="1" t="n">
        <v>45377</v>
      </c>
      <c r="C4638" s="1" t="n">
        <v>45932</v>
      </c>
      <c r="D4638" t="inlineStr">
        <is>
          <t>VÄRMLANDS LÄN</t>
        </is>
      </c>
      <c r="E4638" t="inlineStr">
        <is>
          <t>ARVIKA</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20844-2024</t>
        </is>
      </c>
      <c r="B4639" s="1" t="n">
        <v>45439</v>
      </c>
      <c r="C4639" s="1" t="n">
        <v>45932</v>
      </c>
      <c r="D4639" t="inlineStr">
        <is>
          <t>VÄRMLANDS LÄN</t>
        </is>
      </c>
      <c r="E4639" t="inlineStr">
        <is>
          <t>FILIPSTAD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24251-2025</t>
        </is>
      </c>
      <c r="B4640" s="1" t="n">
        <v>45797</v>
      </c>
      <c r="C4640" s="1" t="n">
        <v>45932</v>
      </c>
      <c r="D4640" t="inlineStr">
        <is>
          <t>VÄRMLANDS LÄN</t>
        </is>
      </c>
      <c r="E4640" t="inlineStr">
        <is>
          <t>TORSBY</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24252-2025</t>
        </is>
      </c>
      <c r="B4641" s="1" t="n">
        <v>45797.40376157407</v>
      </c>
      <c r="C4641" s="1" t="n">
        <v>45932</v>
      </c>
      <c r="D4641" t="inlineStr">
        <is>
          <t>VÄRMLANDS LÄN</t>
        </is>
      </c>
      <c r="E4641" t="inlineStr">
        <is>
          <t>ÅRJÄNG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24052-2025</t>
        </is>
      </c>
      <c r="B4642" s="1" t="n">
        <v>45796.50158564815</v>
      </c>
      <c r="C4642" s="1" t="n">
        <v>45932</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24121-2025</t>
        </is>
      </c>
      <c r="B4643" s="1" t="n">
        <v>45796.61950231482</v>
      </c>
      <c r="C4643" s="1" t="n">
        <v>45932</v>
      </c>
      <c r="D4643" t="inlineStr">
        <is>
          <t>VÄRMLANDS LÄN</t>
        </is>
      </c>
      <c r="E4643" t="inlineStr">
        <is>
          <t>ARVIKA</t>
        </is>
      </c>
      <c r="F4643" t="inlineStr">
        <is>
          <t>Bergvik skog väst AB</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36419-2024</t>
        </is>
      </c>
      <c r="B4644" s="1" t="n">
        <v>45536.58380787037</v>
      </c>
      <c r="C4644" s="1" t="n">
        <v>45932</v>
      </c>
      <c r="D4644" t="inlineStr">
        <is>
          <t>VÄRMLANDS LÄN</t>
        </is>
      </c>
      <c r="E4644" t="inlineStr">
        <is>
          <t>TORSBY</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18576-2025</t>
        </is>
      </c>
      <c r="B4645" s="1" t="n">
        <v>45763</v>
      </c>
      <c r="C4645" s="1" t="n">
        <v>45932</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18584-2025</t>
        </is>
      </c>
      <c r="B4646" s="1" t="n">
        <v>45763.46973379629</v>
      </c>
      <c r="C4646" s="1" t="n">
        <v>45932</v>
      </c>
      <c r="D4646" t="inlineStr">
        <is>
          <t>VÄRMLANDS LÄN</t>
        </is>
      </c>
      <c r="E4646" t="inlineStr">
        <is>
          <t>TORSBY</t>
        </is>
      </c>
      <c r="F4646" t="inlineStr">
        <is>
          <t>Kyrkan</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58728-2021</t>
        </is>
      </c>
      <c r="B4647" s="1" t="n">
        <v>44489</v>
      </c>
      <c r="C4647" s="1" t="n">
        <v>45932</v>
      </c>
      <c r="D4647" t="inlineStr">
        <is>
          <t>VÄRMLANDS LÄN</t>
        </is>
      </c>
      <c r="E4647" t="inlineStr">
        <is>
          <t>TORSBY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17763-2025</t>
        </is>
      </c>
      <c r="B4648" s="1" t="n">
        <v>45758</v>
      </c>
      <c r="C4648" s="1" t="n">
        <v>45932</v>
      </c>
      <c r="D4648" t="inlineStr">
        <is>
          <t>VÄRMLANDS LÄN</t>
        </is>
      </c>
      <c r="E4648" t="inlineStr">
        <is>
          <t>FILIPSTAD</t>
        </is>
      </c>
      <c r="F4648" t="inlineStr">
        <is>
          <t>Bergvik skog väst AB</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45849-2024</t>
        </is>
      </c>
      <c r="B4649" s="1" t="n">
        <v>45580</v>
      </c>
      <c r="C4649" s="1" t="n">
        <v>45932</v>
      </c>
      <c r="D4649" t="inlineStr">
        <is>
          <t>VÄRMLANDS LÄN</t>
        </is>
      </c>
      <c r="E4649" t="inlineStr">
        <is>
          <t>TORSBY</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46445-2024</t>
        </is>
      </c>
      <c r="B4650" s="1" t="n">
        <v>45582.49783564815</v>
      </c>
      <c r="C4650" s="1" t="n">
        <v>45932</v>
      </c>
      <c r="D4650" t="inlineStr">
        <is>
          <t>VÄRMLANDS LÄN</t>
        </is>
      </c>
      <c r="E4650" t="inlineStr">
        <is>
          <t>KIL</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46288-2022</t>
        </is>
      </c>
      <c r="B4651" s="1" t="n">
        <v>44847.71168981482</v>
      </c>
      <c r="C4651" s="1" t="n">
        <v>45932</v>
      </c>
      <c r="D4651" t="inlineStr">
        <is>
          <t>VÄRMLANDS LÄN</t>
        </is>
      </c>
      <c r="E4651" t="inlineStr">
        <is>
          <t>KIL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46290-2022</t>
        </is>
      </c>
      <c r="B4652" s="1" t="n">
        <v>44847</v>
      </c>
      <c r="C4652" s="1" t="n">
        <v>45932</v>
      </c>
      <c r="D4652" t="inlineStr">
        <is>
          <t>VÄRMLANDS LÄN</t>
        </is>
      </c>
      <c r="E4652" t="inlineStr">
        <is>
          <t>KIL</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11146-2022</t>
        </is>
      </c>
      <c r="B4653" s="1" t="n">
        <v>44629</v>
      </c>
      <c r="C4653" s="1" t="n">
        <v>45932</v>
      </c>
      <c r="D4653" t="inlineStr">
        <is>
          <t>VÄRMLANDS LÄN</t>
        </is>
      </c>
      <c r="E4653" t="inlineStr">
        <is>
          <t>EDA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22031-2023</t>
        </is>
      </c>
      <c r="B4654" s="1" t="n">
        <v>45069</v>
      </c>
      <c r="C4654" s="1" t="n">
        <v>45932</v>
      </c>
      <c r="D4654" t="inlineStr">
        <is>
          <t>VÄRMLANDS LÄN</t>
        </is>
      </c>
      <c r="E4654" t="inlineStr">
        <is>
          <t>HAGFORS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17808-2025</t>
        </is>
      </c>
      <c r="B4655" s="1" t="n">
        <v>45758.55665509259</v>
      </c>
      <c r="C4655" s="1" t="n">
        <v>45932</v>
      </c>
      <c r="D4655" t="inlineStr">
        <is>
          <t>VÄRMLANDS LÄN</t>
        </is>
      </c>
      <c r="E4655" t="inlineStr">
        <is>
          <t>SÄFFLE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41781-2022</t>
        </is>
      </c>
      <c r="B4656" s="1" t="n">
        <v>44827.70537037037</v>
      </c>
      <c r="C4656" s="1" t="n">
        <v>45932</v>
      </c>
      <c r="D4656" t="inlineStr">
        <is>
          <t>VÄRMLANDS LÄN</t>
        </is>
      </c>
      <c r="E4656" t="inlineStr">
        <is>
          <t>TORSBY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55049-2024</t>
        </is>
      </c>
      <c r="B4657" s="1" t="n">
        <v>45621.39585648148</v>
      </c>
      <c r="C4657" s="1" t="n">
        <v>45932</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4238-2025</t>
        </is>
      </c>
      <c r="B4658" s="1" t="n">
        <v>45685</v>
      </c>
      <c r="C4658" s="1" t="n">
        <v>45932</v>
      </c>
      <c r="D4658" t="inlineStr">
        <is>
          <t>VÄRMLANDS LÄN</t>
        </is>
      </c>
      <c r="E4658" t="inlineStr">
        <is>
          <t>ARVIKA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4249-2025</t>
        </is>
      </c>
      <c r="B4659" s="1" t="n">
        <v>45685</v>
      </c>
      <c r="C4659" s="1" t="n">
        <v>45932</v>
      </c>
      <c r="D4659" t="inlineStr">
        <is>
          <t>VÄRMLANDS LÄN</t>
        </is>
      </c>
      <c r="E4659" t="inlineStr">
        <is>
          <t>SÄFFLE</t>
        </is>
      </c>
      <c r="G4659" t="n">
        <v>6.6</v>
      </c>
      <c r="H4659" t="n">
        <v>0</v>
      </c>
      <c r="I4659" t="n">
        <v>0</v>
      </c>
      <c r="J4659" t="n">
        <v>0</v>
      </c>
      <c r="K4659" t="n">
        <v>0</v>
      </c>
      <c r="L4659" t="n">
        <v>0</v>
      </c>
      <c r="M4659" t="n">
        <v>0</v>
      </c>
      <c r="N4659" t="n">
        <v>0</v>
      </c>
      <c r="O4659" t="n">
        <v>0</v>
      </c>
      <c r="P4659" t="n">
        <v>0</v>
      </c>
      <c r="Q4659" t="n">
        <v>0</v>
      </c>
      <c r="R4659" s="2" t="inlineStr"/>
    </row>
    <row r="4660" ht="15" customHeight="1">
      <c r="A4660" t="inlineStr">
        <is>
          <t>A 64583-2023</t>
        </is>
      </c>
      <c r="B4660" s="1" t="n">
        <v>45281.46321759259</v>
      </c>
      <c r="C4660" s="1" t="n">
        <v>45932</v>
      </c>
      <c r="D4660" t="inlineStr">
        <is>
          <t>VÄRMLANDS LÄN</t>
        </is>
      </c>
      <c r="E4660" t="inlineStr">
        <is>
          <t>ARVIKA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64585-2023</t>
        </is>
      </c>
      <c r="B4661" s="1" t="n">
        <v>45281.46854166667</v>
      </c>
      <c r="C4661" s="1" t="n">
        <v>45932</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45908-2022</t>
        </is>
      </c>
      <c r="B4662" s="1" t="n">
        <v>44846</v>
      </c>
      <c r="C4662" s="1" t="n">
        <v>45932</v>
      </c>
      <c r="D4662" t="inlineStr">
        <is>
          <t>VÄRMLANDS LÄN</t>
        </is>
      </c>
      <c r="E4662" t="inlineStr">
        <is>
          <t>ARVIKA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31615-2023</t>
        </is>
      </c>
      <c r="B4663" s="1" t="n">
        <v>45117.5430787037</v>
      </c>
      <c r="C4663" s="1" t="n">
        <v>45932</v>
      </c>
      <c r="D4663" t="inlineStr">
        <is>
          <t>VÄRMLANDS LÄN</t>
        </is>
      </c>
      <c r="E4663" t="inlineStr">
        <is>
          <t>ARVIKA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17490-2024</t>
        </is>
      </c>
      <c r="B4664" s="1" t="n">
        <v>45415.49917824074</v>
      </c>
      <c r="C4664" s="1" t="n">
        <v>45932</v>
      </c>
      <c r="D4664" t="inlineStr">
        <is>
          <t>VÄRMLANDS LÄN</t>
        </is>
      </c>
      <c r="E4664" t="inlineStr">
        <is>
          <t>EDA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3387-2025</t>
        </is>
      </c>
      <c r="B4665" s="1" t="n">
        <v>45680</v>
      </c>
      <c r="C4665" s="1" t="n">
        <v>45932</v>
      </c>
      <c r="D4665" t="inlineStr">
        <is>
          <t>VÄRMLANDS LÄN</t>
        </is>
      </c>
      <c r="E4665" t="inlineStr">
        <is>
          <t>TORSBY</t>
        </is>
      </c>
      <c r="F4665" t="inlineStr">
        <is>
          <t>Kommuner</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3390-2025</t>
        </is>
      </c>
      <c r="B4666" s="1" t="n">
        <v>45680.35740740741</v>
      </c>
      <c r="C4666" s="1" t="n">
        <v>45932</v>
      </c>
      <c r="D4666" t="inlineStr">
        <is>
          <t>VÄRMLANDS LÄN</t>
        </is>
      </c>
      <c r="E4666" t="inlineStr">
        <is>
          <t>SUNNE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13021-2023</t>
        </is>
      </c>
      <c r="B4667" s="1" t="n">
        <v>45002</v>
      </c>
      <c r="C4667" s="1" t="n">
        <v>45932</v>
      </c>
      <c r="D4667" t="inlineStr">
        <is>
          <t>VÄRMLANDS LÄN</t>
        </is>
      </c>
      <c r="E4667" t="inlineStr">
        <is>
          <t>KRISTINEHAMN</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46152-2024</t>
        </is>
      </c>
      <c r="B4668" s="1" t="n">
        <v>45581</v>
      </c>
      <c r="C4668" s="1" t="n">
        <v>45932</v>
      </c>
      <c r="D4668" t="inlineStr">
        <is>
          <t>VÄRMLANDS LÄN</t>
        </is>
      </c>
      <c r="E4668" t="inlineStr">
        <is>
          <t>TORSBY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45372-2022</t>
        </is>
      </c>
      <c r="B4669" s="1" t="n">
        <v>44844.64200231482</v>
      </c>
      <c r="C4669" s="1" t="n">
        <v>45932</v>
      </c>
      <c r="D4669" t="inlineStr">
        <is>
          <t>VÄRMLANDS LÄN</t>
        </is>
      </c>
      <c r="E4669" t="inlineStr">
        <is>
          <t>FILIPSTAD</t>
        </is>
      </c>
      <c r="F4669" t="inlineStr">
        <is>
          <t>Bergvik skog väst AB</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24104-2025</t>
        </is>
      </c>
      <c r="B4670" s="1" t="n">
        <v>45796.60010416667</v>
      </c>
      <c r="C4670" s="1" t="n">
        <v>45932</v>
      </c>
      <c r="D4670" t="inlineStr">
        <is>
          <t>VÄRMLANDS LÄN</t>
        </is>
      </c>
      <c r="E4670" t="inlineStr">
        <is>
          <t>KARLSTAD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30327-2022</t>
        </is>
      </c>
      <c r="B4671" s="1" t="n">
        <v>44760.45733796297</v>
      </c>
      <c r="C4671" s="1" t="n">
        <v>45932</v>
      </c>
      <c r="D4671" t="inlineStr">
        <is>
          <t>VÄRMLANDS LÄN</t>
        </is>
      </c>
      <c r="E4671" t="inlineStr">
        <is>
          <t>HAGFORS</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4093-2024</t>
        </is>
      </c>
      <c r="B4672" s="1" t="n">
        <v>45323</v>
      </c>
      <c r="C4672" s="1" t="n">
        <v>45932</v>
      </c>
      <c r="D4672" t="inlineStr">
        <is>
          <t>VÄRMLANDS LÄN</t>
        </is>
      </c>
      <c r="E4672" t="inlineStr">
        <is>
          <t>SÄFFLE</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11868-2025</t>
        </is>
      </c>
      <c r="B4673" s="1" t="n">
        <v>45728.4225</v>
      </c>
      <c r="C4673" s="1" t="n">
        <v>45932</v>
      </c>
      <c r="D4673" t="inlineStr">
        <is>
          <t>VÄRMLANDS LÄN</t>
        </is>
      </c>
      <c r="E4673" t="inlineStr">
        <is>
          <t>TORSBY</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45634-2023</t>
        </is>
      </c>
      <c r="B4674" s="1" t="n">
        <v>45194</v>
      </c>
      <c r="C4674" s="1" t="n">
        <v>45932</v>
      </c>
      <c r="D4674" t="inlineStr">
        <is>
          <t>VÄRMLANDS LÄN</t>
        </is>
      </c>
      <c r="E4674" t="inlineStr">
        <is>
          <t>ÅRJÄNG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45643-2023</t>
        </is>
      </c>
      <c r="B4675" s="1" t="n">
        <v>45194.69827546296</v>
      </c>
      <c r="C4675" s="1" t="n">
        <v>45932</v>
      </c>
      <c r="D4675" t="inlineStr">
        <is>
          <t>VÄRMLANDS LÄN</t>
        </is>
      </c>
      <c r="E4675" t="inlineStr">
        <is>
          <t>ÅRJÄNG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71886-2021</t>
        </is>
      </c>
      <c r="B4676" s="1" t="n">
        <v>44543</v>
      </c>
      <c r="C4676" s="1" t="n">
        <v>45932</v>
      </c>
      <c r="D4676" t="inlineStr">
        <is>
          <t>VÄRMLANDS LÄN</t>
        </is>
      </c>
      <c r="E4676" t="inlineStr">
        <is>
          <t>ARVIKA</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51455-2020</t>
        </is>
      </c>
      <c r="B4677" s="1" t="n">
        <v>44113</v>
      </c>
      <c r="C4677" s="1" t="n">
        <v>45932</v>
      </c>
      <c r="D4677" t="inlineStr">
        <is>
          <t>VÄRMLANDS LÄN</t>
        </is>
      </c>
      <c r="E4677" t="inlineStr">
        <is>
          <t>ÅRJÄNG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70785-2021</t>
        </is>
      </c>
      <c r="B4678" s="1" t="n">
        <v>44537</v>
      </c>
      <c r="C4678" s="1" t="n">
        <v>45932</v>
      </c>
      <c r="D4678" t="inlineStr">
        <is>
          <t>VÄRMLANDS LÄN</t>
        </is>
      </c>
      <c r="E4678" t="inlineStr">
        <is>
          <t>TORSBY</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23948-2022</t>
        </is>
      </c>
      <c r="B4679" s="1" t="n">
        <v>44722.65894675926</v>
      </c>
      <c r="C4679" s="1" t="n">
        <v>45932</v>
      </c>
      <c r="D4679" t="inlineStr">
        <is>
          <t>VÄRMLANDS LÄN</t>
        </is>
      </c>
      <c r="E4679" t="inlineStr">
        <is>
          <t>KRISTINEHAMN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34093-2024</t>
        </is>
      </c>
      <c r="B4680" s="1" t="n">
        <v>45523</v>
      </c>
      <c r="C4680" s="1" t="n">
        <v>45932</v>
      </c>
      <c r="D4680" t="inlineStr">
        <is>
          <t>VÄRMLANDS LÄN</t>
        </is>
      </c>
      <c r="E4680" t="inlineStr">
        <is>
          <t>TORSBY</t>
        </is>
      </c>
      <c r="F4680" t="inlineStr">
        <is>
          <t>Bergvik skog väst AB</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30699-2021</t>
        </is>
      </c>
      <c r="B4681" s="1" t="n">
        <v>44365.42443287037</v>
      </c>
      <c r="C4681" s="1" t="n">
        <v>45932</v>
      </c>
      <c r="D4681" t="inlineStr">
        <is>
          <t>VÄRMLANDS LÄN</t>
        </is>
      </c>
      <c r="E4681" t="inlineStr">
        <is>
          <t>ÅRJÄNG</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42067-2022</t>
        </is>
      </c>
      <c r="B4682" s="1" t="n">
        <v>44830</v>
      </c>
      <c r="C4682" s="1" t="n">
        <v>45932</v>
      </c>
      <c r="D4682" t="inlineStr">
        <is>
          <t>VÄRMLANDS LÄN</t>
        </is>
      </c>
      <c r="E4682" t="inlineStr">
        <is>
          <t>SÄFFLE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54746-2024</t>
        </is>
      </c>
      <c r="B4683" s="1" t="n">
        <v>45618.44652777778</v>
      </c>
      <c r="C4683" s="1" t="n">
        <v>45932</v>
      </c>
      <c r="D4683" t="inlineStr">
        <is>
          <t>VÄRMLANDS LÄN</t>
        </is>
      </c>
      <c r="E4683" t="inlineStr">
        <is>
          <t>HAGFORS</t>
        </is>
      </c>
      <c r="F4683" t="inlineStr">
        <is>
          <t>Bergvik skog väst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42377-2023</t>
        </is>
      </c>
      <c r="B4684" s="1" t="n">
        <v>45180.56244212963</v>
      </c>
      <c r="C4684" s="1" t="n">
        <v>45932</v>
      </c>
      <c r="D4684" t="inlineStr">
        <is>
          <t>VÄRMLANDS LÄN</t>
        </is>
      </c>
      <c r="E4684" t="inlineStr">
        <is>
          <t>SUNNE</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45327-2021</t>
        </is>
      </c>
      <c r="B4685" s="1" t="n">
        <v>44439.78618055556</v>
      </c>
      <c r="C4685" s="1" t="n">
        <v>45932</v>
      </c>
      <c r="D4685" t="inlineStr">
        <is>
          <t>VÄRMLANDS LÄN</t>
        </is>
      </c>
      <c r="E4685" t="inlineStr">
        <is>
          <t>SUNNE</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37139-2022</t>
        </is>
      </c>
      <c r="B4686" s="1" t="n">
        <v>44806.56332175926</v>
      </c>
      <c r="C4686" s="1" t="n">
        <v>45932</v>
      </c>
      <c r="D4686" t="inlineStr">
        <is>
          <t>VÄRMLANDS LÄN</t>
        </is>
      </c>
      <c r="E4686" t="inlineStr">
        <is>
          <t>ARVIKA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15152-2022</t>
        </is>
      </c>
      <c r="B4687" s="1" t="n">
        <v>44658.46916666667</v>
      </c>
      <c r="C4687" s="1" t="n">
        <v>45932</v>
      </c>
      <c r="D4687" t="inlineStr">
        <is>
          <t>VÄRMLANDS LÄN</t>
        </is>
      </c>
      <c r="E4687" t="inlineStr">
        <is>
          <t>STORFORS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8741-2023</t>
        </is>
      </c>
      <c r="B4688" s="1" t="n">
        <v>44972</v>
      </c>
      <c r="C4688" s="1" t="n">
        <v>45932</v>
      </c>
      <c r="D4688" t="inlineStr">
        <is>
          <t>VÄRMLANDS LÄN</t>
        </is>
      </c>
      <c r="E4688" t="inlineStr">
        <is>
          <t>ARVIKA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6438-2022</t>
        </is>
      </c>
      <c r="B4689" s="1" t="n">
        <v>44601.32209490741</v>
      </c>
      <c r="C4689" s="1" t="n">
        <v>45932</v>
      </c>
      <c r="D4689" t="inlineStr">
        <is>
          <t>VÄRMLANDS LÄN</t>
        </is>
      </c>
      <c r="E4689" t="inlineStr">
        <is>
          <t>TORSBY</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48357-2023</t>
        </is>
      </c>
      <c r="B4690" s="1" t="n">
        <v>45202</v>
      </c>
      <c r="C4690" s="1" t="n">
        <v>45932</v>
      </c>
      <c r="D4690" t="inlineStr">
        <is>
          <t>VÄRMLANDS LÄN</t>
        </is>
      </c>
      <c r="E4690" t="inlineStr">
        <is>
          <t>ÅRJÄNG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58459-2022</t>
        </is>
      </c>
      <c r="B4691" s="1" t="n">
        <v>44902</v>
      </c>
      <c r="C4691" s="1" t="n">
        <v>45932</v>
      </c>
      <c r="D4691" t="inlineStr">
        <is>
          <t>VÄRMLANDS LÄN</t>
        </is>
      </c>
      <c r="E4691" t="inlineStr">
        <is>
          <t>KARLSTAD</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58514-2022</t>
        </is>
      </c>
      <c r="B4692" s="1" t="n">
        <v>44902.40304398148</v>
      </c>
      <c r="C4692" s="1" t="n">
        <v>45932</v>
      </c>
      <c r="D4692" t="inlineStr">
        <is>
          <t>VÄRMLANDS LÄN</t>
        </is>
      </c>
      <c r="E4692" t="inlineStr">
        <is>
          <t>GRUMS</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5736-2025</t>
        </is>
      </c>
      <c r="B4693" s="1" t="n">
        <v>45694.50721064815</v>
      </c>
      <c r="C4693" s="1" t="n">
        <v>45932</v>
      </c>
      <c r="D4693" t="inlineStr">
        <is>
          <t>VÄRMLANDS LÄN</t>
        </is>
      </c>
      <c r="E4693" t="inlineStr">
        <is>
          <t>EDA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30254-2023</t>
        </is>
      </c>
      <c r="B4694" s="1" t="n">
        <v>45110.70349537037</v>
      </c>
      <c r="C4694" s="1" t="n">
        <v>45932</v>
      </c>
      <c r="D4694" t="inlineStr">
        <is>
          <t>VÄRMLANDS LÄN</t>
        </is>
      </c>
      <c r="E4694" t="inlineStr">
        <is>
          <t>EDA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24411-2025</t>
        </is>
      </c>
      <c r="B4695" s="1" t="n">
        <v>45797</v>
      </c>
      <c r="C4695" s="1" t="n">
        <v>45932</v>
      </c>
      <c r="D4695" t="inlineStr">
        <is>
          <t>VÄRMLANDS LÄN</t>
        </is>
      </c>
      <c r="E4695" t="inlineStr">
        <is>
          <t>TORSBY</t>
        </is>
      </c>
      <c r="F4695" t="inlineStr">
        <is>
          <t>Övriga statliga verk och myndigheter</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3979-2024</t>
        </is>
      </c>
      <c r="B4696" s="1" t="n">
        <v>45322</v>
      </c>
      <c r="C4696" s="1" t="n">
        <v>45932</v>
      </c>
      <c r="D4696" t="inlineStr">
        <is>
          <t>VÄRMLANDS LÄN</t>
        </is>
      </c>
      <c r="E4696" t="inlineStr">
        <is>
          <t>FILIPSTAD</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4172-2022</t>
        </is>
      </c>
      <c r="B4697" s="1" t="n">
        <v>44588</v>
      </c>
      <c r="C4697" s="1" t="n">
        <v>45932</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5945-2025</t>
        </is>
      </c>
      <c r="B4698" s="1" t="n">
        <v>45695</v>
      </c>
      <c r="C4698" s="1" t="n">
        <v>45932</v>
      </c>
      <c r="D4698" t="inlineStr">
        <is>
          <t>VÄRMLANDS LÄN</t>
        </is>
      </c>
      <c r="E4698" t="inlineStr">
        <is>
          <t>ARVIKA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15643-2024</t>
        </is>
      </c>
      <c r="B4699" s="1" t="n">
        <v>45404.31303240741</v>
      </c>
      <c r="C4699" s="1" t="n">
        <v>45932</v>
      </c>
      <c r="D4699" t="inlineStr">
        <is>
          <t>VÄRMLANDS LÄN</t>
        </is>
      </c>
      <c r="E4699" t="inlineStr">
        <is>
          <t>HAGFORS</t>
        </is>
      </c>
      <c r="F4699" t="inlineStr">
        <is>
          <t>Bergvik skog väst AB</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9173-2023</t>
        </is>
      </c>
      <c r="B4700" s="1" t="n">
        <v>44980</v>
      </c>
      <c r="C4700" s="1" t="n">
        <v>45932</v>
      </c>
      <c r="D4700" t="inlineStr">
        <is>
          <t>VÄRMLANDS LÄN</t>
        </is>
      </c>
      <c r="E4700" t="inlineStr">
        <is>
          <t>SUNNE</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9183-2023</t>
        </is>
      </c>
      <c r="B4701" s="1" t="n">
        <v>44980</v>
      </c>
      <c r="C4701" s="1" t="n">
        <v>45932</v>
      </c>
      <c r="D4701" t="inlineStr">
        <is>
          <t>VÄRMLANDS LÄN</t>
        </is>
      </c>
      <c r="E4701" t="inlineStr">
        <is>
          <t>EDA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8952-2024</t>
        </is>
      </c>
      <c r="B4702" s="1" t="n">
        <v>45355</v>
      </c>
      <c r="C4702" s="1" t="n">
        <v>45932</v>
      </c>
      <c r="D4702" t="inlineStr">
        <is>
          <t>VÄRMLANDS LÄN</t>
        </is>
      </c>
      <c r="E4702" t="inlineStr">
        <is>
          <t>FORSHAGA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55522-2023</t>
        </is>
      </c>
      <c r="B4703" s="1" t="n">
        <v>45238</v>
      </c>
      <c r="C4703" s="1" t="n">
        <v>45932</v>
      </c>
      <c r="D4703" t="inlineStr">
        <is>
          <t>VÄRMLANDS LÄN</t>
        </is>
      </c>
      <c r="E4703" t="inlineStr">
        <is>
          <t>TORSBY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47534-2024</t>
        </is>
      </c>
      <c r="B4704" s="1" t="n">
        <v>45587</v>
      </c>
      <c r="C4704" s="1" t="n">
        <v>45932</v>
      </c>
      <c r="D4704" t="inlineStr">
        <is>
          <t>VÄRMLANDS LÄN</t>
        </is>
      </c>
      <c r="E4704" t="inlineStr">
        <is>
          <t>ARVIKA</t>
        </is>
      </c>
      <c r="F4704" t="inlineStr">
        <is>
          <t>Bergvik skog väst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24000-2025</t>
        </is>
      </c>
      <c r="B4705" s="1" t="n">
        <v>45796.42369212963</v>
      </c>
      <c r="C4705" s="1" t="n">
        <v>45932</v>
      </c>
      <c r="D4705" t="inlineStr">
        <is>
          <t>VÄRMLANDS LÄN</t>
        </is>
      </c>
      <c r="E4705" t="inlineStr">
        <is>
          <t>HAGFORS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59632-2024</t>
        </is>
      </c>
      <c r="B4706" s="1" t="n">
        <v>45638</v>
      </c>
      <c r="C4706" s="1" t="n">
        <v>45932</v>
      </c>
      <c r="D4706" t="inlineStr">
        <is>
          <t>VÄRMLANDS LÄN</t>
        </is>
      </c>
      <c r="E4706" t="inlineStr">
        <is>
          <t>SÄFFLE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24929-2025</t>
        </is>
      </c>
      <c r="B4707" s="1" t="n">
        <v>45799.55447916667</v>
      </c>
      <c r="C4707" s="1" t="n">
        <v>45932</v>
      </c>
      <c r="D4707" t="inlineStr">
        <is>
          <t>VÄRMLANDS LÄN</t>
        </is>
      </c>
      <c r="E4707" t="inlineStr">
        <is>
          <t>HAGFORS</t>
        </is>
      </c>
      <c r="F4707" t="inlineStr">
        <is>
          <t>Bergvik skog väst AB</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19475-2024</t>
        </is>
      </c>
      <c r="B4708" s="1" t="n">
        <v>45429.53825231481</v>
      </c>
      <c r="C4708" s="1" t="n">
        <v>45932</v>
      </c>
      <c r="D4708" t="inlineStr">
        <is>
          <t>VÄRMLANDS LÄN</t>
        </is>
      </c>
      <c r="E4708" t="inlineStr">
        <is>
          <t>EDA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56506-2023</t>
        </is>
      </c>
      <c r="B4709" s="1" t="n">
        <v>45237</v>
      </c>
      <c r="C4709" s="1" t="n">
        <v>45932</v>
      </c>
      <c r="D4709" t="inlineStr">
        <is>
          <t>VÄRMLANDS LÄN</t>
        </is>
      </c>
      <c r="E4709" t="inlineStr">
        <is>
          <t>SÄFFLE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5332-2025</t>
        </is>
      </c>
      <c r="B4710" s="1" t="n">
        <v>45692.53978009259</v>
      </c>
      <c r="C4710" s="1" t="n">
        <v>45932</v>
      </c>
      <c r="D4710" t="inlineStr">
        <is>
          <t>VÄRMLANDS LÄN</t>
        </is>
      </c>
      <c r="E4710" t="inlineStr">
        <is>
          <t>ÅRJÄNG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24773-2025</t>
        </is>
      </c>
      <c r="B4711" s="1" t="n">
        <v>45799.40483796296</v>
      </c>
      <c r="C4711" s="1" t="n">
        <v>45932</v>
      </c>
      <c r="D4711" t="inlineStr">
        <is>
          <t>VÄRMLANDS LÄN</t>
        </is>
      </c>
      <c r="E4711" t="inlineStr">
        <is>
          <t>STORFORS</t>
        </is>
      </c>
      <c r="F4711" t="inlineStr">
        <is>
          <t>Bergvik skog väst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45056-2022</t>
        </is>
      </c>
      <c r="B4712" s="1" t="n">
        <v>44841.72731481482</v>
      </c>
      <c r="C4712" s="1" t="n">
        <v>45932</v>
      </c>
      <c r="D4712" t="inlineStr">
        <is>
          <t>VÄRMLANDS LÄN</t>
        </is>
      </c>
      <c r="E4712" t="inlineStr">
        <is>
          <t>TORSBY</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7919-2023</t>
        </is>
      </c>
      <c r="B4713" s="1" t="n">
        <v>44973</v>
      </c>
      <c r="C4713" s="1" t="n">
        <v>45932</v>
      </c>
      <c r="D4713" t="inlineStr">
        <is>
          <t>VÄRMLANDS LÄN</t>
        </is>
      </c>
      <c r="E4713" t="inlineStr">
        <is>
          <t>FORSHAGA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24726-2025</t>
        </is>
      </c>
      <c r="B4714" s="1" t="n">
        <v>45799.32805555555</v>
      </c>
      <c r="C4714" s="1" t="n">
        <v>45932</v>
      </c>
      <c r="D4714" t="inlineStr">
        <is>
          <t>VÄRMLANDS LÄN</t>
        </is>
      </c>
      <c r="E4714" t="inlineStr">
        <is>
          <t>TORSBY</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50831-2022</t>
        </is>
      </c>
      <c r="B4715" s="1" t="n">
        <v>44867</v>
      </c>
      <c r="C4715" s="1" t="n">
        <v>45932</v>
      </c>
      <c r="D4715" t="inlineStr">
        <is>
          <t>VÄRMLANDS LÄN</t>
        </is>
      </c>
      <c r="E4715" t="inlineStr">
        <is>
          <t>EDA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26824-2023</t>
        </is>
      </c>
      <c r="B4716" s="1" t="n">
        <v>45090</v>
      </c>
      <c r="C4716" s="1" t="n">
        <v>45932</v>
      </c>
      <c r="D4716" t="inlineStr">
        <is>
          <t>VÄRMLANDS LÄN</t>
        </is>
      </c>
      <c r="E4716" t="inlineStr">
        <is>
          <t>EDA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11359-2023</t>
        </is>
      </c>
      <c r="B4717" s="1" t="n">
        <v>44985</v>
      </c>
      <c r="C4717" s="1" t="n">
        <v>45932</v>
      </c>
      <c r="D4717" t="inlineStr">
        <is>
          <t>VÄRMLANDS LÄN</t>
        </is>
      </c>
      <c r="E4717" t="inlineStr">
        <is>
          <t>KARLSTAD</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3074-2024</t>
        </is>
      </c>
      <c r="B4718" s="1" t="n">
        <v>45316.42628472222</v>
      </c>
      <c r="C4718" s="1" t="n">
        <v>45932</v>
      </c>
      <c r="D4718" t="inlineStr">
        <is>
          <t>VÄRMLANDS LÄN</t>
        </is>
      </c>
      <c r="E4718" t="inlineStr">
        <is>
          <t>SUNNE</t>
        </is>
      </c>
      <c r="F4718" t="inlineStr">
        <is>
          <t>Kommuner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3082-2024</t>
        </is>
      </c>
      <c r="B4719" s="1" t="n">
        <v>45316.43537037037</v>
      </c>
      <c r="C4719" s="1" t="n">
        <v>45932</v>
      </c>
      <c r="D4719" t="inlineStr">
        <is>
          <t>VÄRMLANDS LÄN</t>
        </is>
      </c>
      <c r="E4719" t="inlineStr">
        <is>
          <t>SUNNE</t>
        </is>
      </c>
      <c r="F4719" t="inlineStr">
        <is>
          <t>Kommuner</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42200-2021</t>
        </is>
      </c>
      <c r="B4720" s="1" t="n">
        <v>44426</v>
      </c>
      <c r="C4720" s="1" t="n">
        <v>45932</v>
      </c>
      <c r="D4720" t="inlineStr">
        <is>
          <t>VÄRMLANDS LÄN</t>
        </is>
      </c>
      <c r="E4720" t="inlineStr">
        <is>
          <t>EDA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50856-2022</t>
        </is>
      </c>
      <c r="B4721" s="1" t="n">
        <v>44867</v>
      </c>
      <c r="C4721" s="1" t="n">
        <v>45932</v>
      </c>
      <c r="D4721" t="inlineStr">
        <is>
          <t>VÄRMLANDS LÄN</t>
        </is>
      </c>
      <c r="E4721" t="inlineStr">
        <is>
          <t>FILIPSTAD</t>
        </is>
      </c>
      <c r="F4721" t="inlineStr">
        <is>
          <t>Bergvik skog väst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37290-2022</t>
        </is>
      </c>
      <c r="B4722" s="1" t="n">
        <v>44808</v>
      </c>
      <c r="C4722" s="1" t="n">
        <v>45932</v>
      </c>
      <c r="D4722" t="inlineStr">
        <is>
          <t>VÄRMLANDS LÄN</t>
        </is>
      </c>
      <c r="E4722" t="inlineStr">
        <is>
          <t>SUNNE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42957-2023</t>
        </is>
      </c>
      <c r="B4723" s="1" t="n">
        <v>45182</v>
      </c>
      <c r="C4723" s="1" t="n">
        <v>45932</v>
      </c>
      <c r="D4723" t="inlineStr">
        <is>
          <t>VÄRMLANDS LÄN</t>
        </is>
      </c>
      <c r="E4723" t="inlineStr">
        <is>
          <t>HAMMARÖ</t>
        </is>
      </c>
      <c r="F4723" t="inlineStr">
        <is>
          <t>Övriga Aktiebolag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4560-2025</t>
        </is>
      </c>
      <c r="B4724" s="1" t="n">
        <v>45687</v>
      </c>
      <c r="C4724" s="1" t="n">
        <v>45932</v>
      </c>
      <c r="D4724" t="inlineStr">
        <is>
          <t>VÄRMLANDS LÄN</t>
        </is>
      </c>
      <c r="E4724" t="inlineStr">
        <is>
          <t>FILIPSTAD</t>
        </is>
      </c>
      <c r="G4724" t="n">
        <v>13.6</v>
      </c>
      <c r="H4724" t="n">
        <v>0</v>
      </c>
      <c r="I4724" t="n">
        <v>0</v>
      </c>
      <c r="J4724" t="n">
        <v>0</v>
      </c>
      <c r="K4724" t="n">
        <v>0</v>
      </c>
      <c r="L4724" t="n">
        <v>0</v>
      </c>
      <c r="M4724" t="n">
        <v>0</v>
      </c>
      <c r="N4724" t="n">
        <v>0</v>
      </c>
      <c r="O4724" t="n">
        <v>0</v>
      </c>
      <c r="P4724" t="n">
        <v>0</v>
      </c>
      <c r="Q4724" t="n">
        <v>0</v>
      </c>
      <c r="R4724" s="2" t="inlineStr"/>
    </row>
    <row r="4725" ht="15" customHeight="1">
      <c r="A4725" t="inlineStr">
        <is>
          <t>A 35558-2023</t>
        </is>
      </c>
      <c r="B4725" s="1" t="n">
        <v>45147</v>
      </c>
      <c r="C4725" s="1" t="n">
        <v>45932</v>
      </c>
      <c r="D4725" t="inlineStr">
        <is>
          <t>VÄRMLANDS LÄN</t>
        </is>
      </c>
      <c r="E4725" t="inlineStr">
        <is>
          <t>SUNNE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35572-2023</t>
        </is>
      </c>
      <c r="B4726" s="1" t="n">
        <v>45147</v>
      </c>
      <c r="C4726" s="1" t="n">
        <v>45932</v>
      </c>
      <c r="D4726" t="inlineStr">
        <is>
          <t>VÄRMLANDS LÄN</t>
        </is>
      </c>
      <c r="E4726" t="inlineStr">
        <is>
          <t>FORSHAGA</t>
        </is>
      </c>
      <c r="F4726" t="inlineStr">
        <is>
          <t>Kommuner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24576-2025</t>
        </is>
      </c>
      <c r="B4727" s="1" t="n">
        <v>45798</v>
      </c>
      <c r="C4727" s="1" t="n">
        <v>45932</v>
      </c>
      <c r="D4727" t="inlineStr">
        <is>
          <t>VÄRMLANDS LÄN</t>
        </is>
      </c>
      <c r="E4727" t="inlineStr">
        <is>
          <t>TORSBY</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21402-2024</t>
        </is>
      </c>
      <c r="B4728" s="1" t="n">
        <v>45441</v>
      </c>
      <c r="C4728" s="1" t="n">
        <v>45932</v>
      </c>
      <c r="D4728" t="inlineStr">
        <is>
          <t>VÄRMLANDS LÄN</t>
        </is>
      </c>
      <c r="E4728" t="inlineStr">
        <is>
          <t>GRUMS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12826-2023</t>
        </is>
      </c>
      <c r="B4729" s="1" t="n">
        <v>45000</v>
      </c>
      <c r="C4729" s="1" t="n">
        <v>45932</v>
      </c>
      <c r="D4729" t="inlineStr">
        <is>
          <t>VÄRMLANDS LÄN</t>
        </is>
      </c>
      <c r="E4729" t="inlineStr">
        <is>
          <t>ARVIKA</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55137-2024</t>
        </is>
      </c>
      <c r="B4730" s="1" t="n">
        <v>45621.4802199074</v>
      </c>
      <c r="C4730" s="1" t="n">
        <v>45932</v>
      </c>
      <c r="D4730" t="inlineStr">
        <is>
          <t>VÄRMLANDS LÄN</t>
        </is>
      </c>
      <c r="E4730" t="inlineStr">
        <is>
          <t>HAGFORS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31561-2023</t>
        </is>
      </c>
      <c r="B4731" s="1" t="n">
        <v>45117.39696759259</v>
      </c>
      <c r="C4731" s="1" t="n">
        <v>45932</v>
      </c>
      <c r="D4731" t="inlineStr">
        <is>
          <t>VÄRMLANDS LÄN</t>
        </is>
      </c>
      <c r="E4731" t="inlineStr">
        <is>
          <t>GRUMS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4069-2025</t>
        </is>
      </c>
      <c r="B4732" s="1" t="n">
        <v>45684</v>
      </c>
      <c r="C4732" s="1" t="n">
        <v>45932</v>
      </c>
      <c r="D4732" t="inlineStr">
        <is>
          <t>VÄRMLANDS LÄN</t>
        </is>
      </c>
      <c r="E4732" t="inlineStr">
        <is>
          <t>KIL</t>
        </is>
      </c>
      <c r="F4732" t="inlineStr">
        <is>
          <t>Kommuner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48607-2024</t>
        </is>
      </c>
      <c r="B4733" s="1" t="n">
        <v>45593</v>
      </c>
      <c r="C4733" s="1" t="n">
        <v>45932</v>
      </c>
      <c r="D4733" t="inlineStr">
        <is>
          <t>VÄRMLANDS LÄN</t>
        </is>
      </c>
      <c r="E4733" t="inlineStr">
        <is>
          <t>ARVIKA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24462-2025</t>
        </is>
      </c>
      <c r="B4734" s="1" t="n">
        <v>45798.35246527778</v>
      </c>
      <c r="C4734" s="1" t="n">
        <v>45932</v>
      </c>
      <c r="D4734" t="inlineStr">
        <is>
          <t>VÄRMLANDS LÄN</t>
        </is>
      </c>
      <c r="E4734" t="inlineStr">
        <is>
          <t>EDA</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24486-2025</t>
        </is>
      </c>
      <c r="B4735" s="1" t="n">
        <v>45798.38451388889</v>
      </c>
      <c r="C4735" s="1" t="n">
        <v>45932</v>
      </c>
      <c r="D4735" t="inlineStr">
        <is>
          <t>VÄRMLANDS LÄN</t>
        </is>
      </c>
      <c r="E4735" t="inlineStr">
        <is>
          <t>SÄFFLE</t>
        </is>
      </c>
      <c r="F4735" t="inlineStr">
        <is>
          <t>Bergvik skog väst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17110-2022</t>
        </is>
      </c>
      <c r="B4736" s="1" t="n">
        <v>44677</v>
      </c>
      <c r="C4736" s="1" t="n">
        <v>45932</v>
      </c>
      <c r="D4736" t="inlineStr">
        <is>
          <t>VÄRMLANDS LÄN</t>
        </is>
      </c>
      <c r="E4736" t="inlineStr">
        <is>
          <t>KRISTINEHAMN</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44659-2024</t>
        </is>
      </c>
      <c r="B4737" s="1" t="n">
        <v>45574</v>
      </c>
      <c r="C4737" s="1" t="n">
        <v>45932</v>
      </c>
      <c r="D4737" t="inlineStr">
        <is>
          <t>VÄRMLANDS LÄN</t>
        </is>
      </c>
      <c r="E4737" t="inlineStr">
        <is>
          <t>TORSBY</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44660-2024</t>
        </is>
      </c>
      <c r="B4738" s="1" t="n">
        <v>45574</v>
      </c>
      <c r="C4738" s="1" t="n">
        <v>45932</v>
      </c>
      <c r="D4738" t="inlineStr">
        <is>
          <t>VÄRMLANDS LÄN</t>
        </is>
      </c>
      <c r="E4738" t="inlineStr">
        <is>
          <t>KIL</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44666-2024</t>
        </is>
      </c>
      <c r="B4739" s="1" t="n">
        <v>45574.53435185185</v>
      </c>
      <c r="C4739" s="1" t="n">
        <v>45932</v>
      </c>
      <c r="D4739" t="inlineStr">
        <is>
          <t>VÄRMLANDS LÄN</t>
        </is>
      </c>
      <c r="E4739" t="inlineStr">
        <is>
          <t>KIL</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13121-2023</t>
        </is>
      </c>
      <c r="B4740" s="1" t="n">
        <v>45002</v>
      </c>
      <c r="C4740" s="1" t="n">
        <v>45932</v>
      </c>
      <c r="D4740" t="inlineStr">
        <is>
          <t>VÄRMLANDS LÄN</t>
        </is>
      </c>
      <c r="E4740" t="inlineStr">
        <is>
          <t>GRUMS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7360-2022</t>
        </is>
      </c>
      <c r="B4741" s="1" t="n">
        <v>44606</v>
      </c>
      <c r="C4741" s="1" t="n">
        <v>45932</v>
      </c>
      <c r="D4741" t="inlineStr">
        <is>
          <t>VÄRMLANDS LÄN</t>
        </is>
      </c>
      <c r="E4741" t="inlineStr">
        <is>
          <t>SUNNE</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7410-2022</t>
        </is>
      </c>
      <c r="B4742" s="1" t="n">
        <v>44606</v>
      </c>
      <c r="C4742" s="1" t="n">
        <v>45932</v>
      </c>
      <c r="D4742" t="inlineStr">
        <is>
          <t>VÄRMLANDS LÄN</t>
        </is>
      </c>
      <c r="E4742" t="inlineStr">
        <is>
          <t>SÄFFLE</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45218-2021</t>
        </is>
      </c>
      <c r="B4743" s="1" t="n">
        <v>44439</v>
      </c>
      <c r="C4743" s="1" t="n">
        <v>45932</v>
      </c>
      <c r="D4743" t="inlineStr">
        <is>
          <t>VÄRMLANDS LÄN</t>
        </is>
      </c>
      <c r="E4743" t="inlineStr">
        <is>
          <t>HAGFORS</t>
        </is>
      </c>
      <c r="F4743" t="inlineStr">
        <is>
          <t>Bergvik skog väst AB</t>
        </is>
      </c>
      <c r="G4743" t="n">
        <v>49.5</v>
      </c>
      <c r="H4743" t="n">
        <v>0</v>
      </c>
      <c r="I4743" t="n">
        <v>0</v>
      </c>
      <c r="J4743" t="n">
        <v>0</v>
      </c>
      <c r="K4743" t="n">
        <v>0</v>
      </c>
      <c r="L4743" t="n">
        <v>0</v>
      </c>
      <c r="M4743" t="n">
        <v>0</v>
      </c>
      <c r="N4743" t="n">
        <v>0</v>
      </c>
      <c r="O4743" t="n">
        <v>0</v>
      </c>
      <c r="P4743" t="n">
        <v>0</v>
      </c>
      <c r="Q4743" t="n">
        <v>0</v>
      </c>
      <c r="R4743" s="2" t="inlineStr"/>
    </row>
    <row r="4744" ht="15" customHeight="1">
      <c r="A4744" t="inlineStr">
        <is>
          <t>A 26166-2024</t>
        </is>
      </c>
      <c r="B4744" s="1" t="n">
        <v>45468.55357638889</v>
      </c>
      <c r="C4744" s="1" t="n">
        <v>45932</v>
      </c>
      <c r="D4744" t="inlineStr">
        <is>
          <t>VÄRMLANDS LÄN</t>
        </is>
      </c>
      <c r="E4744" t="inlineStr">
        <is>
          <t>TORSBY</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15730-2023</t>
        </is>
      </c>
      <c r="B4745" s="1" t="n">
        <v>45021</v>
      </c>
      <c r="C4745" s="1" t="n">
        <v>45932</v>
      </c>
      <c r="D4745" t="inlineStr">
        <is>
          <t>VÄRMLANDS LÄN</t>
        </is>
      </c>
      <c r="E4745" t="inlineStr">
        <is>
          <t>ÅRJÄNG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61956-2020</t>
        </is>
      </c>
      <c r="B4746" s="1" t="n">
        <v>44159</v>
      </c>
      <c r="C4746" s="1" t="n">
        <v>45932</v>
      </c>
      <c r="D4746" t="inlineStr">
        <is>
          <t>VÄRMLANDS LÄN</t>
        </is>
      </c>
      <c r="E4746" t="inlineStr">
        <is>
          <t>TORSBY</t>
        </is>
      </c>
      <c r="F4746" t="inlineStr">
        <is>
          <t>Kommuner</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46109-2024</t>
        </is>
      </c>
      <c r="B4747" s="1" t="n">
        <v>45581.37975694444</v>
      </c>
      <c r="C4747" s="1" t="n">
        <v>45932</v>
      </c>
      <c r="D4747" t="inlineStr">
        <is>
          <t>VÄRMLANDS LÄN</t>
        </is>
      </c>
      <c r="E4747" t="inlineStr">
        <is>
          <t>KARLSTAD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32433-2023</t>
        </is>
      </c>
      <c r="B4748" s="1" t="n">
        <v>45120</v>
      </c>
      <c r="C4748" s="1" t="n">
        <v>45932</v>
      </c>
      <c r="D4748" t="inlineStr">
        <is>
          <t>VÄRMLANDS LÄN</t>
        </is>
      </c>
      <c r="E4748" t="inlineStr">
        <is>
          <t>KARLSTAD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46133-2024</t>
        </is>
      </c>
      <c r="B4749" s="1" t="n">
        <v>45581</v>
      </c>
      <c r="C4749" s="1" t="n">
        <v>45932</v>
      </c>
      <c r="D4749" t="inlineStr">
        <is>
          <t>VÄRMLANDS LÄN</t>
        </is>
      </c>
      <c r="E4749" t="inlineStr">
        <is>
          <t>KRISTINEHAMN</t>
        </is>
      </c>
      <c r="F4749" t="inlineStr">
        <is>
          <t>Sveaskog</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46139-2024</t>
        </is>
      </c>
      <c r="B4750" s="1" t="n">
        <v>45581.45054398148</v>
      </c>
      <c r="C4750" s="1" t="n">
        <v>45932</v>
      </c>
      <c r="D4750" t="inlineStr">
        <is>
          <t>VÄRMLANDS LÄN</t>
        </is>
      </c>
      <c r="E4750" t="inlineStr">
        <is>
          <t>KRISTINEHAMN</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46166-2024</t>
        </is>
      </c>
      <c r="B4751" s="1" t="n">
        <v>45581</v>
      </c>
      <c r="C4751" s="1" t="n">
        <v>45932</v>
      </c>
      <c r="D4751" t="inlineStr">
        <is>
          <t>VÄRMLANDS LÄN</t>
        </is>
      </c>
      <c r="E4751" t="inlineStr">
        <is>
          <t>TORSBY</t>
        </is>
      </c>
      <c r="G4751" t="n">
        <v>9.5</v>
      </c>
      <c r="H4751" t="n">
        <v>0</v>
      </c>
      <c r="I4751" t="n">
        <v>0</v>
      </c>
      <c r="J4751" t="n">
        <v>0</v>
      </c>
      <c r="K4751" t="n">
        <v>0</v>
      </c>
      <c r="L4751" t="n">
        <v>0</v>
      </c>
      <c r="M4751" t="n">
        <v>0</v>
      </c>
      <c r="N4751" t="n">
        <v>0</v>
      </c>
      <c r="O4751" t="n">
        <v>0</v>
      </c>
      <c r="P4751" t="n">
        <v>0</v>
      </c>
      <c r="Q4751" t="n">
        <v>0</v>
      </c>
      <c r="R4751" s="2" t="inlineStr"/>
    </row>
    <row r="4752" ht="15" customHeight="1">
      <c r="A4752" t="inlineStr">
        <is>
          <t>A 24434-2025</t>
        </is>
      </c>
      <c r="B4752" s="1" t="n">
        <v>45797.75887731482</v>
      </c>
      <c r="C4752" s="1" t="n">
        <v>45932</v>
      </c>
      <c r="D4752" t="inlineStr">
        <is>
          <t>VÄRMLANDS LÄN</t>
        </is>
      </c>
      <c r="E4752" t="inlineStr">
        <is>
          <t>HAGFORS</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31974-2023</t>
        </is>
      </c>
      <c r="B4753" s="1" t="n">
        <v>45107</v>
      </c>
      <c r="C4753" s="1" t="n">
        <v>45932</v>
      </c>
      <c r="D4753" t="inlineStr">
        <is>
          <t>VÄRMLANDS LÄN</t>
        </is>
      </c>
      <c r="E4753" t="inlineStr">
        <is>
          <t>GRUMS</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16309-2023</t>
        </is>
      </c>
      <c r="B4754" s="1" t="n">
        <v>45028.58873842593</v>
      </c>
      <c r="C4754" s="1" t="n">
        <v>45932</v>
      </c>
      <c r="D4754" t="inlineStr">
        <is>
          <t>VÄRMLANDS LÄN</t>
        </is>
      </c>
      <c r="E4754" t="inlineStr">
        <is>
          <t>TORSBY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13848-2024</t>
        </is>
      </c>
      <c r="B4755" s="1" t="n">
        <v>45390</v>
      </c>
      <c r="C4755" s="1" t="n">
        <v>45932</v>
      </c>
      <c r="D4755" t="inlineStr">
        <is>
          <t>VÄRMLANDS LÄN</t>
        </is>
      </c>
      <c r="E4755" t="inlineStr">
        <is>
          <t>TORSBY</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3410-2025</t>
        </is>
      </c>
      <c r="B4756" s="1" t="n">
        <v>45679</v>
      </c>
      <c r="C4756" s="1" t="n">
        <v>45932</v>
      </c>
      <c r="D4756" t="inlineStr">
        <is>
          <t>VÄRMLANDS LÄN</t>
        </is>
      </c>
      <c r="E4756" t="inlineStr">
        <is>
          <t>KARLSTAD</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46456-2024</t>
        </is>
      </c>
      <c r="B4757" s="1" t="n">
        <v>45582</v>
      </c>
      <c r="C4757" s="1" t="n">
        <v>45932</v>
      </c>
      <c r="D4757" t="inlineStr">
        <is>
          <t>VÄRMLANDS LÄN</t>
        </is>
      </c>
      <c r="E4757" t="inlineStr">
        <is>
          <t>TORSBY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33222-2023</t>
        </is>
      </c>
      <c r="B4758" s="1" t="n">
        <v>45127</v>
      </c>
      <c r="C4758" s="1" t="n">
        <v>45932</v>
      </c>
      <c r="D4758" t="inlineStr">
        <is>
          <t>VÄRMLANDS LÄN</t>
        </is>
      </c>
      <c r="E4758" t="inlineStr">
        <is>
          <t>FORSHAGA</t>
        </is>
      </c>
      <c r="F4758" t="inlineStr">
        <is>
          <t>Kommuner</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33229-2023</t>
        </is>
      </c>
      <c r="B4759" s="1" t="n">
        <v>45127</v>
      </c>
      <c r="C4759" s="1" t="n">
        <v>45932</v>
      </c>
      <c r="D4759" t="inlineStr">
        <is>
          <t>VÄRMLANDS LÄN</t>
        </is>
      </c>
      <c r="E4759" t="inlineStr">
        <is>
          <t>FORSHAGA</t>
        </is>
      </c>
      <c r="F4759" t="inlineStr">
        <is>
          <t>Kommuner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24646-2025</t>
        </is>
      </c>
      <c r="B4760" s="1" t="n">
        <v>45798.63496527778</v>
      </c>
      <c r="C4760" s="1" t="n">
        <v>45932</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24651-2025</t>
        </is>
      </c>
      <c r="B4761" s="1" t="n">
        <v>45798.6374537037</v>
      </c>
      <c r="C4761" s="1" t="n">
        <v>45932</v>
      </c>
      <c r="D4761" t="inlineStr">
        <is>
          <t>VÄRMLANDS LÄN</t>
        </is>
      </c>
      <c r="E4761" t="inlineStr">
        <is>
          <t>KRISTINEHAMN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44178-2021</t>
        </is>
      </c>
      <c r="B4762" s="1" t="n">
        <v>44434.67637731481</v>
      </c>
      <c r="C4762" s="1" t="n">
        <v>45932</v>
      </c>
      <c r="D4762" t="inlineStr">
        <is>
          <t>VÄRMLANDS LÄN</t>
        </is>
      </c>
      <c r="E4762" t="inlineStr">
        <is>
          <t>FILIPSTAD</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21069-2022</t>
        </is>
      </c>
      <c r="B4763" s="1" t="n">
        <v>44704.50037037037</v>
      </c>
      <c r="C4763" s="1" t="n">
        <v>45932</v>
      </c>
      <c r="D4763" t="inlineStr">
        <is>
          <t>VÄRMLANDS LÄN</t>
        </is>
      </c>
      <c r="E4763" t="inlineStr">
        <is>
          <t>ARVIKA</t>
        </is>
      </c>
      <c r="F4763" t="inlineStr">
        <is>
          <t>Bergvik skog väst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6828-2024</t>
        </is>
      </c>
      <c r="B4764" s="1" t="n">
        <v>45342</v>
      </c>
      <c r="C4764" s="1" t="n">
        <v>45932</v>
      </c>
      <c r="D4764" t="inlineStr">
        <is>
          <t>VÄRMLANDS LÄN</t>
        </is>
      </c>
      <c r="E4764" t="inlineStr">
        <is>
          <t>TORSBY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7073-2023</t>
        </is>
      </c>
      <c r="B4765" s="1" t="n">
        <v>44970</v>
      </c>
      <c r="C4765" s="1" t="n">
        <v>45932</v>
      </c>
      <c r="D4765" t="inlineStr">
        <is>
          <t>VÄRMLANDS LÄN</t>
        </is>
      </c>
      <c r="E4765" t="inlineStr">
        <is>
          <t>SUNNE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43283-2021</t>
        </is>
      </c>
      <c r="B4766" s="1" t="n">
        <v>44432.39476851852</v>
      </c>
      <c r="C4766" s="1" t="n">
        <v>45932</v>
      </c>
      <c r="D4766" t="inlineStr">
        <is>
          <t>VÄRMLANDS LÄN</t>
        </is>
      </c>
      <c r="E4766" t="inlineStr">
        <is>
          <t>SUNNE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20745-2024</t>
        </is>
      </c>
      <c r="B4767" s="1" t="n">
        <v>45436</v>
      </c>
      <c r="C4767" s="1" t="n">
        <v>45932</v>
      </c>
      <c r="D4767" t="inlineStr">
        <is>
          <t>VÄRMLANDS LÄN</t>
        </is>
      </c>
      <c r="E4767" t="inlineStr">
        <is>
          <t>KIL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7602-2024</t>
        </is>
      </c>
      <c r="B4768" s="1" t="n">
        <v>45348</v>
      </c>
      <c r="C4768" s="1" t="n">
        <v>45932</v>
      </c>
      <c r="D4768" t="inlineStr">
        <is>
          <t>VÄRMLANDS LÄN</t>
        </is>
      </c>
      <c r="E4768" t="inlineStr">
        <is>
          <t>SÄFFLE</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10494-2021</t>
        </is>
      </c>
      <c r="B4769" s="1" t="n">
        <v>44258</v>
      </c>
      <c r="C4769" s="1" t="n">
        <v>45932</v>
      </c>
      <c r="D4769" t="inlineStr">
        <is>
          <t>VÄRMLANDS LÄN</t>
        </is>
      </c>
      <c r="E4769" t="inlineStr">
        <is>
          <t>KRISTINEHAMN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53573-2024</t>
        </is>
      </c>
      <c r="B4770" s="1" t="n">
        <v>45614</v>
      </c>
      <c r="C4770" s="1" t="n">
        <v>45932</v>
      </c>
      <c r="D4770" t="inlineStr">
        <is>
          <t>VÄRMLANDS LÄN</t>
        </is>
      </c>
      <c r="E4770" t="inlineStr">
        <is>
          <t>FORSHAGA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22091-2021</t>
        </is>
      </c>
      <c r="B4771" s="1" t="n">
        <v>44323.64538194444</v>
      </c>
      <c r="C4771" s="1" t="n">
        <v>45932</v>
      </c>
      <c r="D4771" t="inlineStr">
        <is>
          <t>VÄRMLANDS LÄN</t>
        </is>
      </c>
      <c r="E4771" t="inlineStr">
        <is>
          <t>KARLSTAD</t>
        </is>
      </c>
      <c r="F4771" t="inlineStr">
        <is>
          <t>Övriga statliga verk och myndigheter</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13974-2024</t>
        </is>
      </c>
      <c r="B4772" s="1" t="n">
        <v>45392</v>
      </c>
      <c r="C4772" s="1" t="n">
        <v>45932</v>
      </c>
      <c r="D4772" t="inlineStr">
        <is>
          <t>VÄRMLANDS LÄN</t>
        </is>
      </c>
      <c r="E4772" t="inlineStr">
        <is>
          <t>SÄFFLE</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34387-2023</t>
        </is>
      </c>
      <c r="B4773" s="1" t="n">
        <v>45139.50744212963</v>
      </c>
      <c r="C4773" s="1" t="n">
        <v>45932</v>
      </c>
      <c r="D4773" t="inlineStr">
        <is>
          <t>VÄRMLANDS LÄN</t>
        </is>
      </c>
      <c r="E4773" t="inlineStr">
        <is>
          <t>ÅRJÄNG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53912-2022</t>
        </is>
      </c>
      <c r="B4774" s="1" t="n">
        <v>44880.85837962963</v>
      </c>
      <c r="C4774" s="1" t="n">
        <v>45932</v>
      </c>
      <c r="D4774" t="inlineStr">
        <is>
          <t>VÄRMLANDS LÄN</t>
        </is>
      </c>
      <c r="E4774" t="inlineStr">
        <is>
          <t>FORSHAGA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2203-2025</t>
        </is>
      </c>
      <c r="B4775" s="1" t="n">
        <v>45672</v>
      </c>
      <c r="C4775" s="1" t="n">
        <v>45932</v>
      </c>
      <c r="D4775" t="inlineStr">
        <is>
          <t>VÄRMLANDS LÄN</t>
        </is>
      </c>
      <c r="E4775" t="inlineStr">
        <is>
          <t>TORSBY</t>
        </is>
      </c>
      <c r="G4775" t="n">
        <v>11.3</v>
      </c>
      <c r="H4775" t="n">
        <v>0</v>
      </c>
      <c r="I4775" t="n">
        <v>0</v>
      </c>
      <c r="J4775" t="n">
        <v>0</v>
      </c>
      <c r="K4775" t="n">
        <v>0</v>
      </c>
      <c r="L4775" t="n">
        <v>0</v>
      </c>
      <c r="M4775" t="n">
        <v>0</v>
      </c>
      <c r="N4775" t="n">
        <v>0</v>
      </c>
      <c r="O4775" t="n">
        <v>0</v>
      </c>
      <c r="P4775" t="n">
        <v>0</v>
      </c>
      <c r="Q4775" t="n">
        <v>0</v>
      </c>
      <c r="R4775" s="2" t="inlineStr"/>
    </row>
    <row r="4776" ht="15" customHeight="1">
      <c r="A4776" t="inlineStr">
        <is>
          <t>A 16023-2024</t>
        </is>
      </c>
      <c r="B4776" s="1" t="n">
        <v>45405.68177083333</v>
      </c>
      <c r="C4776" s="1" t="n">
        <v>45932</v>
      </c>
      <c r="D4776" t="inlineStr">
        <is>
          <t>VÄRMLANDS LÄN</t>
        </is>
      </c>
      <c r="E4776" t="inlineStr">
        <is>
          <t>SÄFFLE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57611-2024</t>
        </is>
      </c>
      <c r="B4777" s="1" t="n">
        <v>45630</v>
      </c>
      <c r="C4777" s="1" t="n">
        <v>45932</v>
      </c>
      <c r="D4777" t="inlineStr">
        <is>
          <t>VÄRMLANDS LÄN</t>
        </is>
      </c>
      <c r="E4777" t="inlineStr">
        <is>
          <t>KARLSTAD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19313-2023</t>
        </is>
      </c>
      <c r="B4778" s="1" t="n">
        <v>45049</v>
      </c>
      <c r="C4778" s="1" t="n">
        <v>45932</v>
      </c>
      <c r="D4778" t="inlineStr">
        <is>
          <t>VÄRMLANDS LÄN</t>
        </is>
      </c>
      <c r="E4778" t="inlineStr">
        <is>
          <t>ÅRJÄNG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56811-2023</t>
        </is>
      </c>
      <c r="B4779" s="1" t="n">
        <v>45244</v>
      </c>
      <c r="C4779" s="1" t="n">
        <v>45932</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13671-2025</t>
        </is>
      </c>
      <c r="B4780" s="1" t="n">
        <v>45736</v>
      </c>
      <c r="C4780" s="1" t="n">
        <v>45932</v>
      </c>
      <c r="D4780" t="inlineStr">
        <is>
          <t>VÄRMLANDS LÄN</t>
        </is>
      </c>
      <c r="E4780" t="inlineStr">
        <is>
          <t>ARVIKA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14120-2025</t>
        </is>
      </c>
      <c r="B4781" s="1" t="n">
        <v>45740</v>
      </c>
      <c r="C4781" s="1" t="n">
        <v>45932</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14151-2025</t>
        </is>
      </c>
      <c r="B4782" s="1" t="n">
        <v>45740</v>
      </c>
      <c r="C4782" s="1" t="n">
        <v>45932</v>
      </c>
      <c r="D4782" t="inlineStr">
        <is>
          <t>VÄRMLANDS LÄN</t>
        </is>
      </c>
      <c r="E4782" t="inlineStr">
        <is>
          <t>SÄFFLE</t>
        </is>
      </c>
      <c r="F4782" t="inlineStr">
        <is>
          <t>Bergvik skog väst AB</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34410-2023</t>
        </is>
      </c>
      <c r="B4783" s="1" t="n">
        <v>45139.56870370371</v>
      </c>
      <c r="C4783" s="1" t="n">
        <v>45932</v>
      </c>
      <c r="D4783" t="inlineStr">
        <is>
          <t>VÄRMLANDS LÄN</t>
        </is>
      </c>
      <c r="E4783" t="inlineStr">
        <is>
          <t>ÅRJÄNG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13737-2025</t>
        </is>
      </c>
      <c r="B4784" s="1" t="n">
        <v>45737.40064814815</v>
      </c>
      <c r="C4784" s="1" t="n">
        <v>45932</v>
      </c>
      <c r="D4784" t="inlineStr">
        <is>
          <t>VÄRMLANDS LÄN</t>
        </is>
      </c>
      <c r="E4784" t="inlineStr">
        <is>
          <t>EDA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13747-2025</t>
        </is>
      </c>
      <c r="B4785" s="1" t="n">
        <v>45737.40975694444</v>
      </c>
      <c r="C4785" s="1" t="n">
        <v>45932</v>
      </c>
      <c r="D4785" t="inlineStr">
        <is>
          <t>VÄRMLANDS LÄN</t>
        </is>
      </c>
      <c r="E4785" t="inlineStr">
        <is>
          <t>EDA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47424-2023</t>
        </is>
      </c>
      <c r="B4786" s="1" t="n">
        <v>45202.66186342593</v>
      </c>
      <c r="C4786" s="1" t="n">
        <v>45932</v>
      </c>
      <c r="D4786" t="inlineStr">
        <is>
          <t>VÄRMLANDS LÄN</t>
        </is>
      </c>
      <c r="E4786" t="inlineStr">
        <is>
          <t>KRISTINEHAMN</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47383-2023</t>
        </is>
      </c>
      <c r="B4787" s="1" t="n">
        <v>45202.62162037037</v>
      </c>
      <c r="C4787" s="1" t="n">
        <v>45932</v>
      </c>
      <c r="D4787" t="inlineStr">
        <is>
          <t>VÄRMLANDS LÄN</t>
        </is>
      </c>
      <c r="E4787" t="inlineStr">
        <is>
          <t>ARVIKA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34889-2022</t>
        </is>
      </c>
      <c r="B4788" s="1" t="n">
        <v>44796</v>
      </c>
      <c r="C4788" s="1" t="n">
        <v>45932</v>
      </c>
      <c r="D4788" t="inlineStr">
        <is>
          <t>VÄRMLANDS LÄN</t>
        </is>
      </c>
      <c r="E4788" t="inlineStr">
        <is>
          <t>ÅRJÄNG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47398-2023</t>
        </is>
      </c>
      <c r="B4789" s="1" t="n">
        <v>45202.63612268519</v>
      </c>
      <c r="C4789" s="1" t="n">
        <v>45932</v>
      </c>
      <c r="D4789" t="inlineStr">
        <is>
          <t>VÄRMLANDS LÄN</t>
        </is>
      </c>
      <c r="E4789" t="inlineStr">
        <is>
          <t>KRISTINEHAMN</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33268-2023</t>
        </is>
      </c>
      <c r="B4790" s="1" t="n">
        <v>45127.58094907407</v>
      </c>
      <c r="C4790" s="1" t="n">
        <v>45932</v>
      </c>
      <c r="D4790" t="inlineStr">
        <is>
          <t>VÄRMLANDS LÄN</t>
        </is>
      </c>
      <c r="E4790" t="inlineStr">
        <is>
          <t>TORSBY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57605-2020</t>
        </is>
      </c>
      <c r="B4791" s="1" t="n">
        <v>44140</v>
      </c>
      <c r="C4791" s="1" t="n">
        <v>45932</v>
      </c>
      <c r="D4791" t="inlineStr">
        <is>
          <t>VÄRMLANDS LÄN</t>
        </is>
      </c>
      <c r="E4791" t="inlineStr">
        <is>
          <t>ÅRJÄNG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50445-2023</t>
        </is>
      </c>
      <c r="B4792" s="1" t="n">
        <v>45216</v>
      </c>
      <c r="C4792" s="1" t="n">
        <v>45932</v>
      </c>
      <c r="D4792" t="inlineStr">
        <is>
          <t>VÄRMLANDS LÄN</t>
        </is>
      </c>
      <c r="E4792" t="inlineStr">
        <is>
          <t>TORSBY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50455-2023</t>
        </is>
      </c>
      <c r="B4793" s="1" t="n">
        <v>45216.81375</v>
      </c>
      <c r="C4793" s="1" t="n">
        <v>45932</v>
      </c>
      <c r="D4793" t="inlineStr">
        <is>
          <t>VÄRMLANDS LÄN</t>
        </is>
      </c>
      <c r="E4793" t="inlineStr">
        <is>
          <t>SUNNE</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55377-2024</t>
        </is>
      </c>
      <c r="B4794" s="1" t="n">
        <v>45621.9885300926</v>
      </c>
      <c r="C4794" s="1" t="n">
        <v>45932</v>
      </c>
      <c r="D4794" t="inlineStr">
        <is>
          <t>VÄRMLANDS LÄN</t>
        </is>
      </c>
      <c r="E4794" t="inlineStr">
        <is>
          <t>ÅRJÄNG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12023-2021</t>
        </is>
      </c>
      <c r="B4795" s="1" t="n">
        <v>44266.45105324074</v>
      </c>
      <c r="C4795" s="1" t="n">
        <v>45932</v>
      </c>
      <c r="D4795" t="inlineStr">
        <is>
          <t>VÄRMLANDS LÄN</t>
        </is>
      </c>
      <c r="E4795" t="inlineStr">
        <is>
          <t>STORFORS</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48911-2024</t>
        </is>
      </c>
      <c r="B4796" s="1" t="n">
        <v>45594.36512731481</v>
      </c>
      <c r="C4796" s="1" t="n">
        <v>45932</v>
      </c>
      <c r="D4796" t="inlineStr">
        <is>
          <t>VÄRMLANDS LÄN</t>
        </is>
      </c>
      <c r="E4796" t="inlineStr">
        <is>
          <t>ÅRJÄNG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15553-2022</t>
        </is>
      </c>
      <c r="B4797" s="1" t="n">
        <v>44662</v>
      </c>
      <c r="C4797" s="1" t="n">
        <v>45932</v>
      </c>
      <c r="D4797" t="inlineStr">
        <is>
          <t>VÄRMLANDS LÄN</t>
        </is>
      </c>
      <c r="E4797" t="inlineStr">
        <is>
          <t>FORSHAGA</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1431-2025</t>
        </is>
      </c>
      <c r="B4798" s="1" t="n">
        <v>45669</v>
      </c>
      <c r="C4798" s="1" t="n">
        <v>45932</v>
      </c>
      <c r="D4798" t="inlineStr">
        <is>
          <t>VÄRMLANDS LÄN</t>
        </is>
      </c>
      <c r="E4798" t="inlineStr">
        <is>
          <t>STORFORS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1923-2024</t>
        </is>
      </c>
      <c r="B4799" s="1" t="n">
        <v>45308.43929398148</v>
      </c>
      <c r="C4799" s="1" t="n">
        <v>45932</v>
      </c>
      <c r="D4799" t="inlineStr">
        <is>
          <t>VÄRMLANDS LÄN</t>
        </is>
      </c>
      <c r="E4799" t="inlineStr">
        <is>
          <t>EDA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1963-2024</t>
        </is>
      </c>
      <c r="B4800" s="1" t="n">
        <v>45308</v>
      </c>
      <c r="C4800" s="1" t="n">
        <v>45932</v>
      </c>
      <c r="D4800" t="inlineStr">
        <is>
          <t>VÄRMLANDS LÄN</t>
        </is>
      </c>
      <c r="E4800" t="inlineStr">
        <is>
          <t>SUNNE</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56107-2024</t>
        </is>
      </c>
      <c r="B4801" s="1" t="n">
        <v>45624.44055555556</v>
      </c>
      <c r="C4801" s="1" t="n">
        <v>45932</v>
      </c>
      <c r="D4801" t="inlineStr">
        <is>
          <t>VÄRMLANDS LÄN</t>
        </is>
      </c>
      <c r="E4801" t="inlineStr">
        <is>
          <t>TORSBY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23871-2023</t>
        </is>
      </c>
      <c r="B4802" s="1" t="n">
        <v>45078</v>
      </c>
      <c r="C4802" s="1" t="n">
        <v>45932</v>
      </c>
      <c r="D4802" t="inlineStr">
        <is>
          <t>VÄRMLANDS LÄN</t>
        </is>
      </c>
      <c r="E4802" t="inlineStr">
        <is>
          <t>ÅRJÄNG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12588-2023</t>
        </is>
      </c>
      <c r="B4803" s="1" t="n">
        <v>45000.41804398148</v>
      </c>
      <c r="C4803" s="1" t="n">
        <v>45932</v>
      </c>
      <c r="D4803" t="inlineStr">
        <is>
          <t>VÄRMLANDS LÄN</t>
        </is>
      </c>
      <c r="E4803" t="inlineStr">
        <is>
          <t>MUNKFORS</t>
        </is>
      </c>
      <c r="F4803" t="inlineStr">
        <is>
          <t>Bergvik skog väst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12527-2021</t>
        </is>
      </c>
      <c r="B4804" s="1" t="n">
        <v>44269</v>
      </c>
      <c r="C4804" s="1" t="n">
        <v>45932</v>
      </c>
      <c r="D4804" t="inlineStr">
        <is>
          <t>VÄRMLANDS LÄN</t>
        </is>
      </c>
      <c r="E4804" t="inlineStr">
        <is>
          <t>FORSHAGA</t>
        </is>
      </c>
      <c r="F4804" t="inlineStr">
        <is>
          <t>Bergvik skog väst AB</t>
        </is>
      </c>
      <c r="G4804" t="n">
        <v>18.8</v>
      </c>
      <c r="H4804" t="n">
        <v>0</v>
      </c>
      <c r="I4804" t="n">
        <v>0</v>
      </c>
      <c r="J4804" t="n">
        <v>0</v>
      </c>
      <c r="K4804" t="n">
        <v>0</v>
      </c>
      <c r="L4804" t="n">
        <v>0</v>
      </c>
      <c r="M4804" t="n">
        <v>0</v>
      </c>
      <c r="N4804" t="n">
        <v>0</v>
      </c>
      <c r="O4804" t="n">
        <v>0</v>
      </c>
      <c r="P4804" t="n">
        <v>0</v>
      </c>
      <c r="Q4804" t="n">
        <v>0</v>
      </c>
      <c r="R4804" s="2" t="inlineStr"/>
    </row>
    <row r="4805" ht="15" customHeight="1">
      <c r="A4805" t="inlineStr">
        <is>
          <t>A 19554-2023</t>
        </is>
      </c>
      <c r="B4805" s="1" t="n">
        <v>45050</v>
      </c>
      <c r="C4805" s="1" t="n">
        <v>45932</v>
      </c>
      <c r="D4805" t="inlineStr">
        <is>
          <t>VÄRMLANDS LÄN</t>
        </is>
      </c>
      <c r="E4805" t="inlineStr">
        <is>
          <t>SUNNE</t>
        </is>
      </c>
      <c r="F4805" t="inlineStr">
        <is>
          <t>Övriga Aktiebolag</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15298-2023</t>
        </is>
      </c>
      <c r="B4806" s="1" t="n">
        <v>45019.45804398148</v>
      </c>
      <c r="C4806" s="1" t="n">
        <v>45932</v>
      </c>
      <c r="D4806" t="inlineStr">
        <is>
          <t>VÄRMLANDS LÄN</t>
        </is>
      </c>
      <c r="E4806" t="inlineStr">
        <is>
          <t>SUNNE</t>
        </is>
      </c>
      <c r="F4806" t="inlineStr">
        <is>
          <t>Bergvik skog väst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9441-2021</t>
        </is>
      </c>
      <c r="B4807" s="1" t="n">
        <v>44251</v>
      </c>
      <c r="C4807" s="1" t="n">
        <v>45932</v>
      </c>
      <c r="D4807" t="inlineStr">
        <is>
          <t>VÄRMLANDS LÄN</t>
        </is>
      </c>
      <c r="E4807" t="inlineStr">
        <is>
          <t>ÅRJÄNG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19583-2023</t>
        </is>
      </c>
      <c r="B4808" s="1" t="n">
        <v>45050</v>
      </c>
      <c r="C4808" s="1" t="n">
        <v>45932</v>
      </c>
      <c r="D4808" t="inlineStr">
        <is>
          <t>VÄRMLANDS LÄN</t>
        </is>
      </c>
      <c r="E4808" t="inlineStr">
        <is>
          <t>HAGFORS</t>
        </is>
      </c>
      <c r="F4808" t="inlineStr">
        <is>
          <t>Kommuner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43285-2024</t>
        </is>
      </c>
      <c r="B4809" s="1" t="n">
        <v>45568</v>
      </c>
      <c r="C4809" s="1" t="n">
        <v>45932</v>
      </c>
      <c r="D4809" t="inlineStr">
        <is>
          <t>VÄRMLANDS LÄN</t>
        </is>
      </c>
      <c r="E4809" t="inlineStr">
        <is>
          <t>KIL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58437-2023</t>
        </is>
      </c>
      <c r="B4810" s="1" t="n">
        <v>45250</v>
      </c>
      <c r="C4810" s="1" t="n">
        <v>45932</v>
      </c>
      <c r="D4810" t="inlineStr">
        <is>
          <t>VÄRMLANDS LÄN</t>
        </is>
      </c>
      <c r="E4810" t="inlineStr">
        <is>
          <t>HAGFORS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15413-2023</t>
        </is>
      </c>
      <c r="B4811" s="1" t="n">
        <v>45019</v>
      </c>
      <c r="C4811" s="1" t="n">
        <v>45932</v>
      </c>
      <c r="D4811" t="inlineStr">
        <is>
          <t>VÄRMLANDS LÄN</t>
        </is>
      </c>
      <c r="E4811" t="inlineStr">
        <is>
          <t>TORSBY</t>
        </is>
      </c>
      <c r="G4811" t="n">
        <v>17.1</v>
      </c>
      <c r="H4811" t="n">
        <v>0</v>
      </c>
      <c r="I4811" t="n">
        <v>0</v>
      </c>
      <c r="J4811" t="n">
        <v>0</v>
      </c>
      <c r="K4811" t="n">
        <v>0</v>
      </c>
      <c r="L4811" t="n">
        <v>0</v>
      </c>
      <c r="M4811" t="n">
        <v>0</v>
      </c>
      <c r="N4811" t="n">
        <v>0</v>
      </c>
      <c r="O4811" t="n">
        <v>0</v>
      </c>
      <c r="P4811" t="n">
        <v>0</v>
      </c>
      <c r="Q4811" t="n">
        <v>0</v>
      </c>
      <c r="R4811" s="2" t="inlineStr"/>
    </row>
    <row r="4812" ht="15" customHeight="1">
      <c r="A4812" t="inlineStr">
        <is>
          <t>A 19802-2024</t>
        </is>
      </c>
      <c r="B4812" s="1" t="n">
        <v>45432</v>
      </c>
      <c r="C4812" s="1" t="n">
        <v>45932</v>
      </c>
      <c r="D4812" t="inlineStr">
        <is>
          <t>VÄRMLANDS LÄN</t>
        </is>
      </c>
      <c r="E4812" t="inlineStr">
        <is>
          <t>GRUMS</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44519-2023</t>
        </is>
      </c>
      <c r="B4813" s="1" t="n">
        <v>45189.47052083333</v>
      </c>
      <c r="C4813" s="1" t="n">
        <v>45932</v>
      </c>
      <c r="D4813" t="inlineStr">
        <is>
          <t>VÄRMLANDS LÄN</t>
        </is>
      </c>
      <c r="E4813" t="inlineStr">
        <is>
          <t>ARVIKA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6184-2021</t>
        </is>
      </c>
      <c r="B4814" s="1" t="n">
        <v>44233.49008101852</v>
      </c>
      <c r="C4814" s="1" t="n">
        <v>45932</v>
      </c>
      <c r="D4814" t="inlineStr">
        <is>
          <t>VÄRMLANDS LÄN</t>
        </is>
      </c>
      <c r="E4814" t="inlineStr">
        <is>
          <t>ARVIKA</t>
        </is>
      </c>
      <c r="G4814" t="n">
        <v>12.4</v>
      </c>
      <c r="H4814" t="n">
        <v>0</v>
      </c>
      <c r="I4814" t="n">
        <v>0</v>
      </c>
      <c r="J4814" t="n">
        <v>0</v>
      </c>
      <c r="K4814" t="n">
        <v>0</v>
      </c>
      <c r="L4814" t="n">
        <v>0</v>
      </c>
      <c r="M4814" t="n">
        <v>0</v>
      </c>
      <c r="N4814" t="n">
        <v>0</v>
      </c>
      <c r="O4814" t="n">
        <v>0</v>
      </c>
      <c r="P4814" t="n">
        <v>0</v>
      </c>
      <c r="Q4814" t="n">
        <v>0</v>
      </c>
      <c r="R4814" s="2" t="inlineStr"/>
    </row>
    <row r="4815" ht="15" customHeight="1">
      <c r="A4815" t="inlineStr">
        <is>
          <t>A 45239-2024</t>
        </is>
      </c>
      <c r="B4815" s="1" t="n">
        <v>45575</v>
      </c>
      <c r="C4815" s="1" t="n">
        <v>45932</v>
      </c>
      <c r="D4815" t="inlineStr">
        <is>
          <t>VÄRMLANDS LÄN</t>
        </is>
      </c>
      <c r="E4815" t="inlineStr">
        <is>
          <t>SÄFFLE</t>
        </is>
      </c>
      <c r="G4815" t="n">
        <v>11.4</v>
      </c>
      <c r="H4815" t="n">
        <v>0</v>
      </c>
      <c r="I4815" t="n">
        <v>0</v>
      </c>
      <c r="J4815" t="n">
        <v>0</v>
      </c>
      <c r="K4815" t="n">
        <v>0</v>
      </c>
      <c r="L4815" t="n">
        <v>0</v>
      </c>
      <c r="M4815" t="n">
        <v>0</v>
      </c>
      <c r="N4815" t="n">
        <v>0</v>
      </c>
      <c r="O4815" t="n">
        <v>0</v>
      </c>
      <c r="P4815" t="n">
        <v>0</v>
      </c>
      <c r="Q4815" t="n">
        <v>0</v>
      </c>
      <c r="R4815" s="2" t="inlineStr"/>
    </row>
    <row r="4816" ht="15" customHeight="1">
      <c r="A4816" t="inlineStr">
        <is>
          <t>A 6209-2021</t>
        </is>
      </c>
      <c r="B4816" s="1" t="n">
        <v>44235</v>
      </c>
      <c r="C4816" s="1" t="n">
        <v>45932</v>
      </c>
      <c r="D4816" t="inlineStr">
        <is>
          <t>VÄRMLANDS LÄN</t>
        </is>
      </c>
      <c r="E4816" t="inlineStr">
        <is>
          <t>SÄFFLE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6248-2021</t>
        </is>
      </c>
      <c r="B4817" s="1" t="n">
        <v>44235</v>
      </c>
      <c r="C4817" s="1" t="n">
        <v>45932</v>
      </c>
      <c r="D4817" t="inlineStr">
        <is>
          <t>VÄRMLANDS LÄN</t>
        </is>
      </c>
      <c r="E4817" t="inlineStr">
        <is>
          <t>ARVIKA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45516-2024</t>
        </is>
      </c>
      <c r="B4818" s="1" t="n">
        <v>45578</v>
      </c>
      <c r="C4818" s="1" t="n">
        <v>45932</v>
      </c>
      <c r="D4818" t="inlineStr">
        <is>
          <t>VÄRMLANDS LÄN</t>
        </is>
      </c>
      <c r="E4818" t="inlineStr">
        <is>
          <t>FILIPSTAD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2436-2021</t>
        </is>
      </c>
      <c r="B4819" s="1" t="n">
        <v>44214</v>
      </c>
      <c r="C4819" s="1" t="n">
        <v>45932</v>
      </c>
      <c r="D4819" t="inlineStr">
        <is>
          <t>VÄRMLANDS LÄN</t>
        </is>
      </c>
      <c r="E4819" t="inlineStr">
        <is>
          <t>HAGFORS</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22426-2024</t>
        </is>
      </c>
      <c r="B4820" s="1" t="n">
        <v>45446</v>
      </c>
      <c r="C4820" s="1" t="n">
        <v>45932</v>
      </c>
      <c r="D4820" t="inlineStr">
        <is>
          <t>VÄRMLANDS LÄN</t>
        </is>
      </c>
      <c r="E4820" t="inlineStr">
        <is>
          <t>TORSBY</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53398-2022</t>
        </is>
      </c>
      <c r="B4821" s="1" t="n">
        <v>44874</v>
      </c>
      <c r="C4821" s="1" t="n">
        <v>45932</v>
      </c>
      <c r="D4821" t="inlineStr">
        <is>
          <t>VÄRMLANDS LÄN</t>
        </is>
      </c>
      <c r="E4821" t="inlineStr">
        <is>
          <t>ARVIKA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13158-2023</t>
        </is>
      </c>
      <c r="B4822" s="1" t="n">
        <v>45002.56912037037</v>
      </c>
      <c r="C4822" s="1" t="n">
        <v>45932</v>
      </c>
      <c r="D4822" t="inlineStr">
        <is>
          <t>VÄRMLANDS LÄN</t>
        </is>
      </c>
      <c r="E4822" t="inlineStr">
        <is>
          <t>SUNNE</t>
        </is>
      </c>
      <c r="F4822" t="inlineStr">
        <is>
          <t>Bergvik skog väst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60073-2022</t>
        </is>
      </c>
      <c r="B4823" s="1" t="n">
        <v>44909.5743287037</v>
      </c>
      <c r="C4823" s="1" t="n">
        <v>45932</v>
      </c>
      <c r="D4823" t="inlineStr">
        <is>
          <t>VÄRMLANDS LÄN</t>
        </is>
      </c>
      <c r="E4823" t="inlineStr">
        <is>
          <t>SÄFFLE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2653-2021</t>
        </is>
      </c>
      <c r="B4824" s="1" t="n">
        <v>44215</v>
      </c>
      <c r="C4824" s="1" t="n">
        <v>45932</v>
      </c>
      <c r="D4824" t="inlineStr">
        <is>
          <t>VÄRMLANDS LÄN</t>
        </is>
      </c>
      <c r="E4824" t="inlineStr">
        <is>
          <t>SUNNE</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34574-2023</t>
        </is>
      </c>
      <c r="B4825" s="1" t="n">
        <v>45135</v>
      </c>
      <c r="C4825" s="1" t="n">
        <v>45932</v>
      </c>
      <c r="D4825" t="inlineStr">
        <is>
          <t>VÄRMLANDS LÄN</t>
        </is>
      </c>
      <c r="E4825" t="inlineStr">
        <is>
          <t>ÅRJÄNG</t>
        </is>
      </c>
      <c r="F4825" t="inlineStr">
        <is>
          <t>Övriga Aktiebolag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40863-2023</t>
        </is>
      </c>
      <c r="B4826" s="1" t="n">
        <v>45173</v>
      </c>
      <c r="C4826" s="1" t="n">
        <v>45932</v>
      </c>
      <c r="D4826" t="inlineStr">
        <is>
          <t>VÄRMLANDS LÄN</t>
        </is>
      </c>
      <c r="E4826" t="inlineStr">
        <is>
          <t>SÄFFLE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26387-2023</t>
        </is>
      </c>
      <c r="B4827" s="1" t="n">
        <v>45092.34506944445</v>
      </c>
      <c r="C4827" s="1" t="n">
        <v>45932</v>
      </c>
      <c r="D4827" t="inlineStr">
        <is>
          <t>VÄRMLANDS LÄN</t>
        </is>
      </c>
      <c r="E4827" t="inlineStr">
        <is>
          <t>SÄFFLE</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24528-2025</t>
        </is>
      </c>
      <c r="B4828" s="1" t="n">
        <v>45798.42680555556</v>
      </c>
      <c r="C4828" s="1" t="n">
        <v>45932</v>
      </c>
      <c r="D4828" t="inlineStr">
        <is>
          <t>VÄRMLANDS LÄN</t>
        </is>
      </c>
      <c r="E4828" t="inlineStr">
        <is>
          <t>TORSBY</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20386-2025</t>
        </is>
      </c>
      <c r="B4829" s="1" t="n">
        <v>45775</v>
      </c>
      <c r="C4829" s="1" t="n">
        <v>45932</v>
      </c>
      <c r="D4829" t="inlineStr">
        <is>
          <t>VÄRMLANDS LÄN</t>
        </is>
      </c>
      <c r="E4829" t="inlineStr">
        <is>
          <t>ARVIKA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49978-2021</t>
        </is>
      </c>
      <c r="B4830" s="1" t="n">
        <v>44456</v>
      </c>
      <c r="C4830" s="1" t="n">
        <v>45932</v>
      </c>
      <c r="D4830" t="inlineStr">
        <is>
          <t>VÄRMLANDS LÄN</t>
        </is>
      </c>
      <c r="E4830" t="inlineStr">
        <is>
          <t>SUNNE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24435-2025</t>
        </is>
      </c>
      <c r="B4831" s="1" t="n">
        <v>45797.77982638889</v>
      </c>
      <c r="C4831" s="1" t="n">
        <v>45932</v>
      </c>
      <c r="D4831" t="inlineStr">
        <is>
          <t>VÄRMLANDS LÄN</t>
        </is>
      </c>
      <c r="E4831" t="inlineStr">
        <is>
          <t>HAGFORS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26048-2023</t>
        </is>
      </c>
      <c r="B4832" s="1" t="n">
        <v>45091.34543981482</v>
      </c>
      <c r="C4832" s="1" t="n">
        <v>45932</v>
      </c>
      <c r="D4832" t="inlineStr">
        <is>
          <t>VÄRMLANDS LÄN</t>
        </is>
      </c>
      <c r="E4832" t="inlineStr">
        <is>
          <t>EDA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24438-2025</t>
        </is>
      </c>
      <c r="B4833" s="1" t="n">
        <v>45797.80165509259</v>
      </c>
      <c r="C4833" s="1" t="n">
        <v>45932</v>
      </c>
      <c r="D4833" t="inlineStr">
        <is>
          <t>VÄRMLANDS LÄN</t>
        </is>
      </c>
      <c r="E4833" t="inlineStr">
        <is>
          <t>HAGFORS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26672-2023</t>
        </is>
      </c>
      <c r="B4834" s="1" t="n">
        <v>45093</v>
      </c>
      <c r="C4834" s="1" t="n">
        <v>45932</v>
      </c>
      <c r="D4834" t="inlineStr">
        <is>
          <t>VÄRMLANDS LÄN</t>
        </is>
      </c>
      <c r="E4834" t="inlineStr">
        <is>
          <t>KARLSTAD</t>
        </is>
      </c>
      <c r="G4834" t="n">
        <v>22.7</v>
      </c>
      <c r="H4834" t="n">
        <v>0</v>
      </c>
      <c r="I4834" t="n">
        <v>0</v>
      </c>
      <c r="J4834" t="n">
        <v>0</v>
      </c>
      <c r="K4834" t="n">
        <v>0</v>
      </c>
      <c r="L4834" t="n">
        <v>0</v>
      </c>
      <c r="M4834" t="n">
        <v>0</v>
      </c>
      <c r="N4834" t="n">
        <v>0</v>
      </c>
      <c r="O4834" t="n">
        <v>0</v>
      </c>
      <c r="P4834" t="n">
        <v>0</v>
      </c>
      <c r="Q4834" t="n">
        <v>0</v>
      </c>
      <c r="R4834" s="2" t="inlineStr"/>
    </row>
    <row r="4835" ht="15" customHeight="1">
      <c r="A4835" t="inlineStr">
        <is>
          <t>A 24597-2025</t>
        </is>
      </c>
      <c r="B4835" s="1" t="n">
        <v>45798</v>
      </c>
      <c r="C4835" s="1" t="n">
        <v>45932</v>
      </c>
      <c r="D4835" t="inlineStr">
        <is>
          <t>VÄRMLANDS LÄN</t>
        </is>
      </c>
      <c r="E4835" t="inlineStr">
        <is>
          <t>TORSBY</t>
        </is>
      </c>
      <c r="F4835" t="inlineStr">
        <is>
          <t>Övriga statliga verk och myndigheter</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19166-2023</t>
        </is>
      </c>
      <c r="B4836" s="1" t="n">
        <v>45044</v>
      </c>
      <c r="C4836" s="1" t="n">
        <v>45932</v>
      </c>
      <c r="D4836" t="inlineStr">
        <is>
          <t>VÄRMLANDS LÄN</t>
        </is>
      </c>
      <c r="E4836" t="inlineStr">
        <is>
          <t>KARLSTAD</t>
        </is>
      </c>
      <c r="F4836" t="inlineStr">
        <is>
          <t>Övriga statliga verk och myndigheter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60454-2024</t>
        </is>
      </c>
      <c r="B4837" s="1" t="n">
        <v>45643</v>
      </c>
      <c r="C4837" s="1" t="n">
        <v>45932</v>
      </c>
      <c r="D4837" t="inlineStr">
        <is>
          <t>VÄRMLANDS LÄN</t>
        </is>
      </c>
      <c r="E4837" t="inlineStr">
        <is>
          <t>TORSBY</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24632-2025</t>
        </is>
      </c>
      <c r="B4838" s="1" t="n">
        <v>45798.60412037037</v>
      </c>
      <c r="C4838" s="1" t="n">
        <v>45932</v>
      </c>
      <c r="D4838" t="inlineStr">
        <is>
          <t>VÄRMLANDS LÄN</t>
        </is>
      </c>
      <c r="E4838" t="inlineStr">
        <is>
          <t>HAGFORS</t>
        </is>
      </c>
      <c r="F4838" t="inlineStr">
        <is>
          <t>Bergvik skog väst AB</t>
        </is>
      </c>
      <c r="G4838" t="n">
        <v>43.9</v>
      </c>
      <c r="H4838" t="n">
        <v>0</v>
      </c>
      <c r="I4838" t="n">
        <v>0</v>
      </c>
      <c r="J4838" t="n">
        <v>0</v>
      </c>
      <c r="K4838" t="n">
        <v>0</v>
      </c>
      <c r="L4838" t="n">
        <v>0</v>
      </c>
      <c r="M4838" t="n">
        <v>0</v>
      </c>
      <c r="N4838" t="n">
        <v>0</v>
      </c>
      <c r="O4838" t="n">
        <v>0</v>
      </c>
      <c r="P4838" t="n">
        <v>0</v>
      </c>
      <c r="Q4838" t="n">
        <v>0</v>
      </c>
      <c r="R4838" s="2" t="inlineStr"/>
    </row>
    <row r="4839" ht="15" customHeight="1">
      <c r="A4839" t="inlineStr">
        <is>
          <t>A 60458-2024</t>
        </is>
      </c>
      <c r="B4839" s="1" t="n">
        <v>45643</v>
      </c>
      <c r="C4839" s="1" t="n">
        <v>45932</v>
      </c>
      <c r="D4839" t="inlineStr">
        <is>
          <t>VÄRMLANDS LÄN</t>
        </is>
      </c>
      <c r="E4839" t="inlineStr">
        <is>
          <t>TORSBY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1501-2024</t>
        </is>
      </c>
      <c r="B4840" s="1" t="n">
        <v>45306</v>
      </c>
      <c r="C4840" s="1" t="n">
        <v>45932</v>
      </c>
      <c r="D4840" t="inlineStr">
        <is>
          <t>VÄRMLANDS LÄN</t>
        </is>
      </c>
      <c r="E4840" t="inlineStr">
        <is>
          <t>EDA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59731-2024</t>
        </is>
      </c>
      <c r="B4841" s="1" t="n">
        <v>45639.50815972222</v>
      </c>
      <c r="C4841" s="1" t="n">
        <v>45932</v>
      </c>
      <c r="D4841" t="inlineStr">
        <is>
          <t>VÄRMLANDS LÄN</t>
        </is>
      </c>
      <c r="E4841" t="inlineStr">
        <is>
          <t>SÄFFLE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59734-2024</t>
        </is>
      </c>
      <c r="B4842" s="1" t="n">
        <v>45639.51513888889</v>
      </c>
      <c r="C4842" s="1" t="n">
        <v>45932</v>
      </c>
      <c r="D4842" t="inlineStr">
        <is>
          <t>VÄRMLANDS LÄN</t>
        </is>
      </c>
      <c r="E4842" t="inlineStr">
        <is>
          <t>SÄFFLE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24970-2025</t>
        </is>
      </c>
      <c r="B4843" s="1" t="n">
        <v>45799.58790509259</v>
      </c>
      <c r="C4843" s="1" t="n">
        <v>45932</v>
      </c>
      <c r="D4843" t="inlineStr">
        <is>
          <t>VÄRMLANDS LÄN</t>
        </is>
      </c>
      <c r="E4843" t="inlineStr">
        <is>
          <t>KRISTINEHAMN</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24977-2025</t>
        </is>
      </c>
      <c r="B4844" s="1" t="n">
        <v>45799.59422453704</v>
      </c>
      <c r="C4844" s="1" t="n">
        <v>45932</v>
      </c>
      <c r="D4844" t="inlineStr">
        <is>
          <t>VÄRMLANDS LÄN</t>
        </is>
      </c>
      <c r="E4844" t="inlineStr">
        <is>
          <t>HAGFORS</t>
        </is>
      </c>
      <c r="F4844" t="inlineStr">
        <is>
          <t>Bergvik skog väst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24599-2025</t>
        </is>
      </c>
      <c r="B4845" s="1" t="n">
        <v>45798.56230324074</v>
      </c>
      <c r="C4845" s="1" t="n">
        <v>45932</v>
      </c>
      <c r="D4845" t="inlineStr">
        <is>
          <t>VÄRMLANDS LÄN</t>
        </is>
      </c>
      <c r="E4845" t="inlineStr">
        <is>
          <t>TORSBY</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42414-2024</t>
        </is>
      </c>
      <c r="B4846" s="1" t="n">
        <v>45565</v>
      </c>
      <c r="C4846" s="1" t="n">
        <v>45932</v>
      </c>
      <c r="D4846" t="inlineStr">
        <is>
          <t>VÄRMLANDS LÄN</t>
        </is>
      </c>
      <c r="E4846" t="inlineStr">
        <is>
          <t>TORSBY</t>
        </is>
      </c>
      <c r="F4846" t="inlineStr">
        <is>
          <t>Bergvik skog väst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24607-2025</t>
        </is>
      </c>
      <c r="B4847" s="1" t="n">
        <v>45798.57608796296</v>
      </c>
      <c r="C4847" s="1" t="n">
        <v>45932</v>
      </c>
      <c r="D4847" t="inlineStr">
        <is>
          <t>VÄRMLANDS LÄN</t>
        </is>
      </c>
      <c r="E4847" t="inlineStr">
        <is>
          <t>TORSBY</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19520-2022</t>
        </is>
      </c>
      <c r="B4848" s="1" t="n">
        <v>44693.58125</v>
      </c>
      <c r="C4848" s="1" t="n">
        <v>45932</v>
      </c>
      <c r="D4848" t="inlineStr">
        <is>
          <t>VÄRMLANDS LÄN</t>
        </is>
      </c>
      <c r="E4848" t="inlineStr">
        <is>
          <t>EDA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25186-2022</t>
        </is>
      </c>
      <c r="B4849" s="1" t="n">
        <v>44729.61496527777</v>
      </c>
      <c r="C4849" s="1" t="n">
        <v>45932</v>
      </c>
      <c r="D4849" t="inlineStr">
        <is>
          <t>VÄRMLANDS LÄN</t>
        </is>
      </c>
      <c r="E4849" t="inlineStr">
        <is>
          <t>ARVIKA</t>
        </is>
      </c>
      <c r="F4849" t="inlineStr">
        <is>
          <t>Bergvik skog väst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53209-2021</t>
        </is>
      </c>
      <c r="B4850" s="1" t="n">
        <v>44468</v>
      </c>
      <c r="C4850" s="1" t="n">
        <v>45932</v>
      </c>
      <c r="D4850" t="inlineStr">
        <is>
          <t>VÄRMLANDS LÄN</t>
        </is>
      </c>
      <c r="E4850" t="inlineStr">
        <is>
          <t>GRUMS</t>
        </is>
      </c>
      <c r="G4850" t="n">
        <v>11.6</v>
      </c>
      <c r="H4850" t="n">
        <v>0</v>
      </c>
      <c r="I4850" t="n">
        <v>0</v>
      </c>
      <c r="J4850" t="n">
        <v>0</v>
      </c>
      <c r="K4850" t="n">
        <v>0</v>
      </c>
      <c r="L4850" t="n">
        <v>0</v>
      </c>
      <c r="M4850" t="n">
        <v>0</v>
      </c>
      <c r="N4850" t="n">
        <v>0</v>
      </c>
      <c r="O4850" t="n">
        <v>0</v>
      </c>
      <c r="P4850" t="n">
        <v>0</v>
      </c>
      <c r="Q4850" t="n">
        <v>0</v>
      </c>
      <c r="R4850" s="2" t="inlineStr"/>
    </row>
    <row r="4851" ht="15" customHeight="1">
      <c r="A4851" t="inlineStr">
        <is>
          <t>A 26124-2024</t>
        </is>
      </c>
      <c r="B4851" s="1" t="n">
        <v>45468</v>
      </c>
      <c r="C4851" s="1" t="n">
        <v>45932</v>
      </c>
      <c r="D4851" t="inlineStr">
        <is>
          <t>VÄRMLANDS LÄN</t>
        </is>
      </c>
      <c r="E4851" t="inlineStr">
        <is>
          <t>TORSBY</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3852-2024</t>
        </is>
      </c>
      <c r="B4852" s="1" t="n">
        <v>45322</v>
      </c>
      <c r="C4852" s="1" t="n">
        <v>45932</v>
      </c>
      <c r="D4852" t="inlineStr">
        <is>
          <t>VÄRMLANDS LÄN</t>
        </is>
      </c>
      <c r="E4852" t="inlineStr">
        <is>
          <t>SUNNE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45012-2024</t>
        </is>
      </c>
      <c r="B4853" s="1" t="n">
        <v>45575</v>
      </c>
      <c r="C4853" s="1" t="n">
        <v>45932</v>
      </c>
      <c r="D4853" t="inlineStr">
        <is>
          <t>VÄRMLANDS LÄN</t>
        </is>
      </c>
      <c r="E4853" t="inlineStr">
        <is>
          <t>KRISTINEHAMN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55147-2022</t>
        </is>
      </c>
      <c r="B4854" s="1" t="n">
        <v>44886</v>
      </c>
      <c r="C4854" s="1" t="n">
        <v>45932</v>
      </c>
      <c r="D4854" t="inlineStr">
        <is>
          <t>VÄRMLANDS LÄN</t>
        </is>
      </c>
      <c r="E4854" t="inlineStr">
        <is>
          <t>SUNNE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47166-2024</t>
        </is>
      </c>
      <c r="B4855" s="1" t="n">
        <v>45586</v>
      </c>
      <c r="C4855" s="1" t="n">
        <v>45932</v>
      </c>
      <c r="D4855" t="inlineStr">
        <is>
          <t>VÄRMLANDS LÄN</t>
        </is>
      </c>
      <c r="E4855" t="inlineStr">
        <is>
          <t>SUNNE</t>
        </is>
      </c>
      <c r="F4855" t="inlineStr">
        <is>
          <t>Kommuner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15406-2025</t>
        </is>
      </c>
      <c r="B4856" s="1" t="n">
        <v>45747.44877314815</v>
      </c>
      <c r="C4856" s="1" t="n">
        <v>45932</v>
      </c>
      <c r="D4856" t="inlineStr">
        <is>
          <t>VÄRMLANDS LÄN</t>
        </is>
      </c>
      <c r="E4856" t="inlineStr">
        <is>
          <t>FILIPSTAD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1353-2025</t>
        </is>
      </c>
      <c r="B4857" s="1" t="n">
        <v>45667</v>
      </c>
      <c r="C4857" s="1" t="n">
        <v>45932</v>
      </c>
      <c r="D4857" t="inlineStr">
        <is>
          <t>VÄRMLANDS LÄN</t>
        </is>
      </c>
      <c r="E4857" t="inlineStr">
        <is>
          <t>SUNNE</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11841-2024</t>
        </is>
      </c>
      <c r="B4858" s="1" t="n">
        <v>45376</v>
      </c>
      <c r="C4858" s="1" t="n">
        <v>45932</v>
      </c>
      <c r="D4858" t="inlineStr">
        <is>
          <t>VÄRMLANDS LÄN</t>
        </is>
      </c>
      <c r="E4858" t="inlineStr">
        <is>
          <t>KARLSTAD</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55346-2023</t>
        </is>
      </c>
      <c r="B4859" s="1" t="n">
        <v>45238.30291666667</v>
      </c>
      <c r="C4859" s="1" t="n">
        <v>45932</v>
      </c>
      <c r="D4859" t="inlineStr">
        <is>
          <t>VÄRMLANDS LÄN</t>
        </is>
      </c>
      <c r="E4859" t="inlineStr">
        <is>
          <t>KARLSTAD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24724-2025</t>
        </is>
      </c>
      <c r="B4860" s="1" t="n">
        <v>45799.32064814815</v>
      </c>
      <c r="C4860" s="1" t="n">
        <v>45932</v>
      </c>
      <c r="D4860" t="inlineStr">
        <is>
          <t>VÄRMLANDS LÄN</t>
        </is>
      </c>
      <c r="E4860" t="inlineStr">
        <is>
          <t>FILIPSTAD</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19838-2025</t>
        </is>
      </c>
      <c r="B4861" s="1" t="n">
        <v>45771</v>
      </c>
      <c r="C4861" s="1" t="n">
        <v>45932</v>
      </c>
      <c r="D4861" t="inlineStr">
        <is>
          <t>VÄRMLANDS LÄN</t>
        </is>
      </c>
      <c r="E4861" t="inlineStr">
        <is>
          <t>SÄFFLE</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13524-2025</t>
        </is>
      </c>
      <c r="B4862" s="1" t="n">
        <v>45736</v>
      </c>
      <c r="C4862" s="1" t="n">
        <v>45932</v>
      </c>
      <c r="D4862" t="inlineStr">
        <is>
          <t>VÄRMLANDS LÄN</t>
        </is>
      </c>
      <c r="E4862" t="inlineStr">
        <is>
          <t>HAGFORS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35940-2024</t>
        </is>
      </c>
      <c r="B4863" s="1" t="n">
        <v>45533</v>
      </c>
      <c r="C4863" s="1" t="n">
        <v>45932</v>
      </c>
      <c r="D4863" t="inlineStr">
        <is>
          <t>VÄRMLANDS LÄN</t>
        </is>
      </c>
      <c r="E4863" t="inlineStr">
        <is>
          <t>FORSHAGA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24755-2025</t>
        </is>
      </c>
      <c r="B4864" s="1" t="n">
        <v>45799.37452546296</v>
      </c>
      <c r="C4864" s="1" t="n">
        <v>45932</v>
      </c>
      <c r="D4864" t="inlineStr">
        <is>
          <t>VÄRMLANDS LÄN</t>
        </is>
      </c>
      <c r="E4864" t="inlineStr">
        <is>
          <t>STORFORS</t>
        </is>
      </c>
      <c r="F4864" t="inlineStr">
        <is>
          <t>Bergvik skog väst AB</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11878-2024</t>
        </is>
      </c>
      <c r="B4865" s="1" t="n">
        <v>45376.47877314815</v>
      </c>
      <c r="C4865" s="1" t="n">
        <v>45932</v>
      </c>
      <c r="D4865" t="inlineStr">
        <is>
          <t>VÄRMLANDS LÄN</t>
        </is>
      </c>
      <c r="E4865" t="inlineStr">
        <is>
          <t>TORSBY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24826-2025</t>
        </is>
      </c>
      <c r="B4866" s="1" t="n">
        <v>45799.45670138889</v>
      </c>
      <c r="C4866" s="1" t="n">
        <v>45932</v>
      </c>
      <c r="D4866" t="inlineStr">
        <is>
          <t>VÄRMLANDS LÄN</t>
        </is>
      </c>
      <c r="E4866" t="inlineStr">
        <is>
          <t>STORFORS</t>
        </is>
      </c>
      <c r="F4866" t="inlineStr">
        <is>
          <t>Bergvik skog väst AB</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34380-2023</t>
        </is>
      </c>
      <c r="B4867" s="1" t="n">
        <v>45131</v>
      </c>
      <c r="C4867" s="1" t="n">
        <v>45932</v>
      </c>
      <c r="D4867" t="inlineStr">
        <is>
          <t>VÄRMLANDS LÄN</t>
        </is>
      </c>
      <c r="E4867" t="inlineStr">
        <is>
          <t>SUNNE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34431-2023</t>
        </is>
      </c>
      <c r="B4868" s="1" t="n">
        <v>45139</v>
      </c>
      <c r="C4868" s="1" t="n">
        <v>45932</v>
      </c>
      <c r="D4868" t="inlineStr">
        <is>
          <t>VÄRMLANDS LÄN</t>
        </is>
      </c>
      <c r="E4868" t="inlineStr">
        <is>
          <t>EDA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12020-2023</t>
        </is>
      </c>
      <c r="B4869" s="1" t="n">
        <v>44995</v>
      </c>
      <c r="C4869" s="1" t="n">
        <v>45932</v>
      </c>
      <c r="D4869" t="inlineStr">
        <is>
          <t>VÄRMLANDS LÄN</t>
        </is>
      </c>
      <c r="E4869" t="inlineStr">
        <is>
          <t>ARVIKA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12029-2023</t>
        </is>
      </c>
      <c r="B4870" s="1" t="n">
        <v>44995.87127314815</v>
      </c>
      <c r="C4870" s="1" t="n">
        <v>45932</v>
      </c>
      <c r="D4870" t="inlineStr">
        <is>
          <t>VÄRMLANDS LÄN</t>
        </is>
      </c>
      <c r="E4870" t="inlineStr">
        <is>
          <t>KARLSTAD</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21464-2023</t>
        </is>
      </c>
      <c r="B4871" s="1" t="n">
        <v>45063.46725694444</v>
      </c>
      <c r="C4871" s="1" t="n">
        <v>45932</v>
      </c>
      <c r="D4871" t="inlineStr">
        <is>
          <t>VÄRMLANDS LÄN</t>
        </is>
      </c>
      <c r="E4871" t="inlineStr">
        <is>
          <t>ARVIKA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65012-2021</t>
        </is>
      </c>
      <c r="B4872" s="1" t="n">
        <v>44514.96402777778</v>
      </c>
      <c r="C4872" s="1" t="n">
        <v>45932</v>
      </c>
      <c r="D4872" t="inlineStr">
        <is>
          <t>VÄRMLANDS LÄN</t>
        </is>
      </c>
      <c r="E4872" t="inlineStr">
        <is>
          <t>SUNNE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19869-2025</t>
        </is>
      </c>
      <c r="B4873" s="1" t="n">
        <v>45771</v>
      </c>
      <c r="C4873" s="1" t="n">
        <v>45932</v>
      </c>
      <c r="D4873" t="inlineStr">
        <is>
          <t>VÄRMLANDS LÄN</t>
        </is>
      </c>
      <c r="E4873" t="inlineStr">
        <is>
          <t>SÄFFLE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31576-2024</t>
        </is>
      </c>
      <c r="B4874" s="1" t="n">
        <v>45506</v>
      </c>
      <c r="C4874" s="1" t="n">
        <v>45932</v>
      </c>
      <c r="D4874" t="inlineStr">
        <is>
          <t>VÄRMLANDS LÄN</t>
        </is>
      </c>
      <c r="E4874" t="inlineStr">
        <is>
          <t>ARVIKA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32262-2023</t>
        </is>
      </c>
      <c r="B4875" s="1" t="n">
        <v>45120.30858796297</v>
      </c>
      <c r="C4875" s="1" t="n">
        <v>45932</v>
      </c>
      <c r="D4875" t="inlineStr">
        <is>
          <t>VÄRMLANDS LÄN</t>
        </is>
      </c>
      <c r="E4875" t="inlineStr">
        <is>
          <t>FILIPSTAD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11558-2025</t>
        </is>
      </c>
      <c r="B4876" s="1" t="n">
        <v>45727.35804398148</v>
      </c>
      <c r="C4876" s="1" t="n">
        <v>45932</v>
      </c>
      <c r="D4876" t="inlineStr">
        <is>
          <t>VÄRMLANDS LÄN</t>
        </is>
      </c>
      <c r="E4876" t="inlineStr">
        <is>
          <t>KIL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25051-2025</t>
        </is>
      </c>
      <c r="B4877" s="1" t="n">
        <v>45799.67479166666</v>
      </c>
      <c r="C4877" s="1" t="n">
        <v>45932</v>
      </c>
      <c r="D4877" t="inlineStr">
        <is>
          <t>VÄRMLANDS LÄN</t>
        </is>
      </c>
      <c r="E4877" t="inlineStr">
        <is>
          <t>HAGFORS</t>
        </is>
      </c>
      <c r="F4877" t="inlineStr">
        <is>
          <t>Bergvik skog väst AB</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57355-2022</t>
        </is>
      </c>
      <c r="B4878" s="1" t="n">
        <v>44896</v>
      </c>
      <c r="C4878" s="1" t="n">
        <v>45932</v>
      </c>
      <c r="D4878" t="inlineStr">
        <is>
          <t>VÄRMLANDS LÄN</t>
        </is>
      </c>
      <c r="E4878" t="inlineStr">
        <is>
          <t>EDA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42377-2024</t>
        </is>
      </c>
      <c r="B4879" s="1" t="n">
        <v>45564</v>
      </c>
      <c r="C4879" s="1" t="n">
        <v>45932</v>
      </c>
      <c r="D4879" t="inlineStr">
        <is>
          <t>VÄRMLANDS LÄN</t>
        </is>
      </c>
      <c r="E4879" t="inlineStr">
        <is>
          <t>SÄFFLE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61009-2022</t>
        </is>
      </c>
      <c r="B4880" s="1" t="n">
        <v>44914.7541550926</v>
      </c>
      <c r="C4880" s="1" t="n">
        <v>45932</v>
      </c>
      <c r="D4880" t="inlineStr">
        <is>
          <t>VÄRMLANDS LÄN</t>
        </is>
      </c>
      <c r="E4880" t="inlineStr">
        <is>
          <t>ÅRJÄNG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12164-2025</t>
        </is>
      </c>
      <c r="B4881" s="1" t="n">
        <v>45729.43119212963</v>
      </c>
      <c r="C4881" s="1" t="n">
        <v>45932</v>
      </c>
      <c r="D4881" t="inlineStr">
        <is>
          <t>VÄRMLANDS LÄN</t>
        </is>
      </c>
      <c r="E4881" t="inlineStr">
        <is>
          <t>ARVIKA</t>
        </is>
      </c>
      <c r="F4881" t="inlineStr">
        <is>
          <t>Bergvik skog väst AB</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12167-2025</t>
        </is>
      </c>
      <c r="B4882" s="1" t="n">
        <v>45729.43538194444</v>
      </c>
      <c r="C4882" s="1" t="n">
        <v>45932</v>
      </c>
      <c r="D4882" t="inlineStr">
        <is>
          <t>VÄRMLANDS LÄN</t>
        </is>
      </c>
      <c r="E4882" t="inlineStr">
        <is>
          <t>ARVIKA</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44975-2024</t>
        </is>
      </c>
      <c r="B4883" s="1" t="n">
        <v>45575</v>
      </c>
      <c r="C4883" s="1" t="n">
        <v>45932</v>
      </c>
      <c r="D4883" t="inlineStr">
        <is>
          <t>VÄRMLANDS LÄN</t>
        </is>
      </c>
      <c r="E4883" t="inlineStr">
        <is>
          <t>HAGFORS</t>
        </is>
      </c>
      <c r="F4883" t="inlineStr">
        <is>
          <t>Bergvik skog väst AB</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12769-2025</t>
        </is>
      </c>
      <c r="B4884" s="1" t="n">
        <v>45733.57960648148</v>
      </c>
      <c r="C4884" s="1" t="n">
        <v>45932</v>
      </c>
      <c r="D4884" t="inlineStr">
        <is>
          <t>VÄRMLANDS LÄN</t>
        </is>
      </c>
      <c r="E4884" t="inlineStr">
        <is>
          <t>EDA</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7443-2024</t>
        </is>
      </c>
      <c r="B4885" s="1" t="n">
        <v>45345.72207175926</v>
      </c>
      <c r="C4885" s="1" t="n">
        <v>45932</v>
      </c>
      <c r="D4885" t="inlineStr">
        <is>
          <t>VÄRMLANDS LÄN</t>
        </is>
      </c>
      <c r="E4885" t="inlineStr">
        <is>
          <t>ÅRJÄNG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15886-2022</t>
        </is>
      </c>
      <c r="B4886" s="1" t="n">
        <v>44664.50883101852</v>
      </c>
      <c r="C4886" s="1" t="n">
        <v>45932</v>
      </c>
      <c r="D4886" t="inlineStr">
        <is>
          <t>VÄRMLANDS LÄN</t>
        </is>
      </c>
      <c r="E4886" t="inlineStr">
        <is>
          <t>HAGFORS</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15903-2022</t>
        </is>
      </c>
      <c r="B4887" s="1" t="n">
        <v>44664.57841435185</v>
      </c>
      <c r="C4887" s="1" t="n">
        <v>45932</v>
      </c>
      <c r="D4887" t="inlineStr">
        <is>
          <t>VÄRMLANDS LÄN</t>
        </is>
      </c>
      <c r="E4887" t="inlineStr">
        <is>
          <t>ÅRJÄNG</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57172-2022</t>
        </is>
      </c>
      <c r="B4888" s="1" t="n">
        <v>44895</v>
      </c>
      <c r="C4888" s="1" t="n">
        <v>45932</v>
      </c>
      <c r="D4888" t="inlineStr">
        <is>
          <t>VÄRMLANDS LÄN</t>
        </is>
      </c>
      <c r="E4888" t="inlineStr">
        <is>
          <t>TORSBY</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12410-2024</t>
        </is>
      </c>
      <c r="B4889" s="1" t="n">
        <v>45379.406875</v>
      </c>
      <c r="C4889" s="1" t="n">
        <v>45932</v>
      </c>
      <c r="D4889" t="inlineStr">
        <is>
          <t>VÄRMLANDS LÄN</t>
        </is>
      </c>
      <c r="E4889" t="inlineStr">
        <is>
          <t>KARLSTAD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17750-2023</t>
        </is>
      </c>
      <c r="B4890" s="1" t="n">
        <v>45037</v>
      </c>
      <c r="C4890" s="1" t="n">
        <v>45932</v>
      </c>
      <c r="D4890" t="inlineStr">
        <is>
          <t>VÄRMLANDS LÄN</t>
        </is>
      </c>
      <c r="E4890" t="inlineStr">
        <is>
          <t>HAGFORS</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14483-2025</t>
        </is>
      </c>
      <c r="B4891" s="1" t="n">
        <v>45741</v>
      </c>
      <c r="C4891" s="1" t="n">
        <v>45932</v>
      </c>
      <c r="D4891" t="inlineStr">
        <is>
          <t>VÄRMLANDS LÄN</t>
        </is>
      </c>
      <c r="E4891" t="inlineStr">
        <is>
          <t>ARVIKA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47732-2024</t>
        </is>
      </c>
      <c r="B4892" s="1" t="n">
        <v>45588.50700231481</v>
      </c>
      <c r="C4892" s="1" t="n">
        <v>45932</v>
      </c>
      <c r="D4892" t="inlineStr">
        <is>
          <t>VÄRMLANDS LÄN</t>
        </is>
      </c>
      <c r="E4892" t="inlineStr">
        <is>
          <t>STORFORS</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55598-2024</t>
        </is>
      </c>
      <c r="B4893" s="1" t="n">
        <v>45622</v>
      </c>
      <c r="C4893" s="1" t="n">
        <v>45932</v>
      </c>
      <c r="D4893" t="inlineStr">
        <is>
          <t>VÄRMLANDS LÄN</t>
        </is>
      </c>
      <c r="E4893" t="inlineStr">
        <is>
          <t>FILIPSTAD</t>
        </is>
      </c>
      <c r="F4893" t="inlineStr">
        <is>
          <t>Bergvik skog väst AB</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16635-2024</t>
        </is>
      </c>
      <c r="B4894" s="1" t="n">
        <v>45408.59462962963</v>
      </c>
      <c r="C4894" s="1" t="n">
        <v>45932</v>
      </c>
      <c r="D4894" t="inlineStr">
        <is>
          <t>VÄRMLANDS LÄN</t>
        </is>
      </c>
      <c r="E4894" t="inlineStr">
        <is>
          <t>GRUMS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14507-2025</t>
        </is>
      </c>
      <c r="B4895" s="1" t="n">
        <v>45741</v>
      </c>
      <c r="C4895" s="1" t="n">
        <v>45932</v>
      </c>
      <c r="D4895" t="inlineStr">
        <is>
          <t>VÄRMLANDS LÄN</t>
        </is>
      </c>
      <c r="E4895" t="inlineStr">
        <is>
          <t>KIL</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3492-2024</t>
        </is>
      </c>
      <c r="B4896" s="1" t="n">
        <v>45317</v>
      </c>
      <c r="C4896" s="1" t="n">
        <v>45932</v>
      </c>
      <c r="D4896" t="inlineStr">
        <is>
          <t>VÄRMLANDS LÄN</t>
        </is>
      </c>
      <c r="E4896" t="inlineStr">
        <is>
          <t>ÅRJÄNG</t>
        </is>
      </c>
      <c r="G4896" t="n">
        <v>8.699999999999999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3536-2024</t>
        </is>
      </c>
      <c r="B4897" s="1" t="n">
        <v>45320</v>
      </c>
      <c r="C4897" s="1" t="n">
        <v>45932</v>
      </c>
      <c r="D4897" t="inlineStr">
        <is>
          <t>VÄRMLANDS LÄN</t>
        </is>
      </c>
      <c r="E4897" t="inlineStr">
        <is>
          <t>TORSBY</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3541-2024</t>
        </is>
      </c>
      <c r="B4898" s="1" t="n">
        <v>45320.57275462963</v>
      </c>
      <c r="C4898" s="1" t="n">
        <v>45932</v>
      </c>
      <c r="D4898" t="inlineStr">
        <is>
          <t>VÄRMLANDS LÄN</t>
        </is>
      </c>
      <c r="E4898" t="inlineStr">
        <is>
          <t>KARLSTAD</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46687-2023</t>
        </is>
      </c>
      <c r="B4899" s="1" t="n">
        <v>45198</v>
      </c>
      <c r="C4899" s="1" t="n">
        <v>45932</v>
      </c>
      <c r="D4899" t="inlineStr">
        <is>
          <t>VÄRMLANDS LÄN</t>
        </is>
      </c>
      <c r="E4899" t="inlineStr">
        <is>
          <t>ARVIKA</t>
        </is>
      </c>
      <c r="G4899" t="n">
        <v>14.9</v>
      </c>
      <c r="H4899" t="n">
        <v>0</v>
      </c>
      <c r="I4899" t="n">
        <v>0</v>
      </c>
      <c r="J4899" t="n">
        <v>0</v>
      </c>
      <c r="K4899" t="n">
        <v>0</v>
      </c>
      <c r="L4899" t="n">
        <v>0</v>
      </c>
      <c r="M4899" t="n">
        <v>0</v>
      </c>
      <c r="N4899" t="n">
        <v>0</v>
      </c>
      <c r="O4899" t="n">
        <v>0</v>
      </c>
      <c r="P4899" t="n">
        <v>0</v>
      </c>
      <c r="Q4899" t="n">
        <v>0</v>
      </c>
      <c r="R4899" s="2" t="inlineStr"/>
    </row>
    <row r="4900" ht="15" customHeight="1">
      <c r="A4900" t="inlineStr">
        <is>
          <t>A 11428-2023</t>
        </is>
      </c>
      <c r="B4900" s="1" t="n">
        <v>44993.54789351852</v>
      </c>
      <c r="C4900" s="1" t="n">
        <v>45932</v>
      </c>
      <c r="D4900" t="inlineStr">
        <is>
          <t>VÄRMLANDS LÄN</t>
        </is>
      </c>
      <c r="E4900" t="inlineStr">
        <is>
          <t>SUNNE</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24804-2025</t>
        </is>
      </c>
      <c r="B4901" s="1" t="n">
        <v>45799.44024305556</v>
      </c>
      <c r="C4901" s="1" t="n">
        <v>45932</v>
      </c>
      <c r="D4901" t="inlineStr">
        <is>
          <t>VÄRMLANDS LÄN</t>
        </is>
      </c>
      <c r="E4901" t="inlineStr">
        <is>
          <t>HAGFORS</t>
        </is>
      </c>
      <c r="F4901" t="inlineStr">
        <is>
          <t>Bergvik skog väst AB</t>
        </is>
      </c>
      <c r="G4901" t="n">
        <v>26.5</v>
      </c>
      <c r="H4901" t="n">
        <v>0</v>
      </c>
      <c r="I4901" t="n">
        <v>0</v>
      </c>
      <c r="J4901" t="n">
        <v>0</v>
      </c>
      <c r="K4901" t="n">
        <v>0</v>
      </c>
      <c r="L4901" t="n">
        <v>0</v>
      </c>
      <c r="M4901" t="n">
        <v>0</v>
      </c>
      <c r="N4901" t="n">
        <v>0</v>
      </c>
      <c r="O4901" t="n">
        <v>0</v>
      </c>
      <c r="P4901" t="n">
        <v>0</v>
      </c>
      <c r="Q4901" t="n">
        <v>0</v>
      </c>
      <c r="R4901" s="2" t="inlineStr"/>
    </row>
    <row r="4902" ht="15" customHeight="1">
      <c r="A4902" t="inlineStr">
        <is>
          <t>A 52460-2020</t>
        </is>
      </c>
      <c r="B4902" s="1" t="n">
        <v>44116</v>
      </c>
      <c r="C4902" s="1" t="n">
        <v>45932</v>
      </c>
      <c r="D4902" t="inlineStr">
        <is>
          <t>VÄRMLANDS LÄN</t>
        </is>
      </c>
      <c r="E4902" t="inlineStr">
        <is>
          <t>TORSBY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53381-2022</t>
        </is>
      </c>
      <c r="B4903" s="1" t="n">
        <v>44879</v>
      </c>
      <c r="C4903" s="1" t="n">
        <v>45932</v>
      </c>
      <c r="D4903" t="inlineStr">
        <is>
          <t>VÄRMLANDS LÄN</t>
        </is>
      </c>
      <c r="E4903" t="inlineStr">
        <is>
          <t>TORSBY</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53915-2023</t>
        </is>
      </c>
      <c r="B4904" s="1" t="n">
        <v>45231.56270833333</v>
      </c>
      <c r="C4904" s="1" t="n">
        <v>45932</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10513-2024</t>
        </is>
      </c>
      <c r="B4905" s="1" t="n">
        <v>45366</v>
      </c>
      <c r="C4905" s="1" t="n">
        <v>45932</v>
      </c>
      <c r="D4905" t="inlineStr">
        <is>
          <t>VÄRMLANDS LÄN</t>
        </is>
      </c>
      <c r="E4905" t="inlineStr">
        <is>
          <t>ARVIKA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53945-2023</t>
        </is>
      </c>
      <c r="B4906" s="1" t="n">
        <v>45231.6009837963</v>
      </c>
      <c r="C4906" s="1" t="n">
        <v>45932</v>
      </c>
      <c r="D4906" t="inlineStr">
        <is>
          <t>VÄRMLANDS LÄN</t>
        </is>
      </c>
      <c r="E4906" t="inlineStr">
        <is>
          <t>TORSBY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40340-2022</t>
        </is>
      </c>
      <c r="B4907" s="1" t="n">
        <v>44823.3628587963</v>
      </c>
      <c r="C4907" s="1" t="n">
        <v>45932</v>
      </c>
      <c r="D4907" t="inlineStr">
        <is>
          <t>VÄRMLANDS LÄN</t>
        </is>
      </c>
      <c r="E4907" t="inlineStr">
        <is>
          <t>SÄFFLE</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35799-2022</t>
        </is>
      </c>
      <c r="B4908" s="1" t="n">
        <v>44801.94767361111</v>
      </c>
      <c r="C4908" s="1" t="n">
        <v>45932</v>
      </c>
      <c r="D4908" t="inlineStr">
        <is>
          <t>VÄRMLANDS LÄN</t>
        </is>
      </c>
      <c r="E4908" t="inlineStr">
        <is>
          <t>FILIPSTAD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65773-2020</t>
        </is>
      </c>
      <c r="B4909" s="1" t="n">
        <v>44174</v>
      </c>
      <c r="C4909" s="1" t="n">
        <v>45932</v>
      </c>
      <c r="D4909" t="inlineStr">
        <is>
          <t>VÄRMLANDS LÄN</t>
        </is>
      </c>
      <c r="E4909" t="inlineStr">
        <is>
          <t>ÅRJÄNG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65781-2020</t>
        </is>
      </c>
      <c r="B4910" s="1" t="n">
        <v>44174</v>
      </c>
      <c r="C4910" s="1" t="n">
        <v>45932</v>
      </c>
      <c r="D4910" t="inlineStr">
        <is>
          <t>VÄRMLANDS LÄN</t>
        </is>
      </c>
      <c r="E4910" t="inlineStr">
        <is>
          <t>ÅRJÄNG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65818-2020</t>
        </is>
      </c>
      <c r="B4911" s="1" t="n">
        <v>44174</v>
      </c>
      <c r="C4911" s="1" t="n">
        <v>45932</v>
      </c>
      <c r="D4911" t="inlineStr">
        <is>
          <t>VÄRMLANDS LÄN</t>
        </is>
      </c>
      <c r="E4911" t="inlineStr">
        <is>
          <t>SUNNE</t>
        </is>
      </c>
      <c r="F4911" t="inlineStr">
        <is>
          <t>Övriga Aktiebolag</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27515-2023</t>
        </is>
      </c>
      <c r="B4912" s="1" t="n">
        <v>45097</v>
      </c>
      <c r="C4912" s="1" t="n">
        <v>45932</v>
      </c>
      <c r="D4912" t="inlineStr">
        <is>
          <t>VÄRMLANDS LÄN</t>
        </is>
      </c>
      <c r="E4912" t="inlineStr">
        <is>
          <t>KRISTINEHAMN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62600-2022</t>
        </is>
      </c>
      <c r="B4913" s="1" t="n">
        <v>44917</v>
      </c>
      <c r="C4913" s="1" t="n">
        <v>45932</v>
      </c>
      <c r="D4913" t="inlineStr">
        <is>
          <t>VÄRMLANDS LÄN</t>
        </is>
      </c>
      <c r="E4913" t="inlineStr">
        <is>
          <t>ARVIKA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24601-2025</t>
        </is>
      </c>
      <c r="B4914" s="1" t="n">
        <v>45798.5654050926</v>
      </c>
      <c r="C4914" s="1" t="n">
        <v>45932</v>
      </c>
      <c r="D4914" t="inlineStr">
        <is>
          <t>VÄRMLANDS LÄN</t>
        </is>
      </c>
      <c r="E4914" t="inlineStr">
        <is>
          <t>ARVIKA</t>
        </is>
      </c>
      <c r="F4914" t="inlineStr">
        <is>
          <t>Bergvik skog väst AB</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19457-2023</t>
        </is>
      </c>
      <c r="B4915" s="1" t="n">
        <v>45050</v>
      </c>
      <c r="C4915" s="1" t="n">
        <v>45932</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24574-2025</t>
        </is>
      </c>
      <c r="B4916" s="1" t="n">
        <v>45798.47412037037</v>
      </c>
      <c r="C4916" s="1" t="n">
        <v>45932</v>
      </c>
      <c r="D4916" t="inlineStr">
        <is>
          <t>VÄRMLANDS LÄN</t>
        </is>
      </c>
      <c r="E4916" t="inlineStr">
        <is>
          <t>SÄFFLE</t>
        </is>
      </c>
      <c r="F4916" t="inlineStr">
        <is>
          <t>Bergvik skog väst AB</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24598-2025</t>
        </is>
      </c>
      <c r="B4917" s="1" t="n">
        <v>45798.56194444445</v>
      </c>
      <c r="C4917" s="1" t="n">
        <v>45932</v>
      </c>
      <c r="D4917" t="inlineStr">
        <is>
          <t>VÄRMLANDS LÄN</t>
        </is>
      </c>
      <c r="E4917" t="inlineStr">
        <is>
          <t>HAGFORS</t>
        </is>
      </c>
      <c r="F4917" t="inlineStr">
        <is>
          <t>Bergvik skog väst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24772-2025</t>
        </is>
      </c>
      <c r="B4918" s="1" t="n">
        <v>45799.40452546296</v>
      </c>
      <c r="C4918" s="1" t="n">
        <v>45932</v>
      </c>
      <c r="D4918" t="inlineStr">
        <is>
          <t>VÄRMLANDS LÄN</t>
        </is>
      </c>
      <c r="E4918" t="inlineStr">
        <is>
          <t>KARLSTAD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24820-2025</t>
        </is>
      </c>
      <c r="B4919" s="1" t="n">
        <v>45799.45188657408</v>
      </c>
      <c r="C4919" s="1" t="n">
        <v>45932</v>
      </c>
      <c r="D4919" t="inlineStr">
        <is>
          <t>VÄRMLANDS LÄN</t>
        </is>
      </c>
      <c r="E4919" t="inlineStr">
        <is>
          <t>STORFORS</t>
        </is>
      </c>
      <c r="F4919" t="inlineStr">
        <is>
          <t>Bergvik skog väst AB</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10587-2024</t>
        </is>
      </c>
      <c r="B4920" s="1" t="n">
        <v>45366</v>
      </c>
      <c r="C4920" s="1" t="n">
        <v>45932</v>
      </c>
      <c r="D4920" t="inlineStr">
        <is>
          <t>VÄRMLANDS LÄN</t>
        </is>
      </c>
      <c r="E4920" t="inlineStr">
        <is>
          <t>TORSBY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56151-2023</t>
        </is>
      </c>
      <c r="B4921" s="1" t="n">
        <v>45240.6055787037</v>
      </c>
      <c r="C4921" s="1" t="n">
        <v>45932</v>
      </c>
      <c r="D4921" t="inlineStr">
        <is>
          <t>VÄRMLANDS LÄN</t>
        </is>
      </c>
      <c r="E4921" t="inlineStr">
        <is>
          <t>FILIPSTAD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27573-2023</t>
        </is>
      </c>
      <c r="B4922" s="1" t="n">
        <v>45093</v>
      </c>
      <c r="C4922" s="1" t="n">
        <v>45932</v>
      </c>
      <c r="D4922" t="inlineStr">
        <is>
          <t>VÄRMLANDS LÄN</t>
        </is>
      </c>
      <c r="E4922" t="inlineStr">
        <is>
          <t>SUNNE</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7445-2024</t>
        </is>
      </c>
      <c r="B4923" s="1" t="n">
        <v>45345.73023148148</v>
      </c>
      <c r="C4923" s="1" t="n">
        <v>45932</v>
      </c>
      <c r="D4923" t="inlineStr">
        <is>
          <t>VÄRMLANDS LÄN</t>
        </is>
      </c>
      <c r="E4923" t="inlineStr">
        <is>
          <t>ÅRJÄNG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15810-2021</t>
        </is>
      </c>
      <c r="B4924" s="1" t="n">
        <v>44286.61825231482</v>
      </c>
      <c r="C4924" s="1" t="n">
        <v>45932</v>
      </c>
      <c r="D4924" t="inlineStr">
        <is>
          <t>VÄRMLANDS LÄN</t>
        </is>
      </c>
      <c r="E4924" t="inlineStr">
        <is>
          <t>KARLSTAD</t>
        </is>
      </c>
      <c r="F4924" t="inlineStr">
        <is>
          <t>Bergvik skog väst AB</t>
        </is>
      </c>
      <c r="G4924" t="n">
        <v>13.4</v>
      </c>
      <c r="H4924" t="n">
        <v>0</v>
      </c>
      <c r="I4924" t="n">
        <v>0</v>
      </c>
      <c r="J4924" t="n">
        <v>0</v>
      </c>
      <c r="K4924" t="n">
        <v>0</v>
      </c>
      <c r="L4924" t="n">
        <v>0</v>
      </c>
      <c r="M4924" t="n">
        <v>0</v>
      </c>
      <c r="N4924" t="n">
        <v>0</v>
      </c>
      <c r="O4924" t="n">
        <v>0</v>
      </c>
      <c r="P4924" t="n">
        <v>0</v>
      </c>
      <c r="Q4924" t="n">
        <v>0</v>
      </c>
      <c r="R4924" s="2" t="inlineStr"/>
    </row>
    <row r="4925" ht="15" customHeight="1">
      <c r="A4925" t="inlineStr">
        <is>
          <t>A 7982-2024</t>
        </is>
      </c>
      <c r="B4925" s="1" t="n">
        <v>45350</v>
      </c>
      <c r="C4925" s="1" t="n">
        <v>45932</v>
      </c>
      <c r="D4925" t="inlineStr">
        <is>
          <t>VÄRMLANDS LÄN</t>
        </is>
      </c>
      <c r="E4925" t="inlineStr">
        <is>
          <t>SUNNE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1095-2025</t>
        </is>
      </c>
      <c r="B4926" s="1" t="n">
        <v>45666.63681712963</v>
      </c>
      <c r="C4926" s="1" t="n">
        <v>45932</v>
      </c>
      <c r="D4926" t="inlineStr">
        <is>
          <t>VÄRMLANDS LÄN</t>
        </is>
      </c>
      <c r="E4926" t="inlineStr">
        <is>
          <t>TORSBY</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53705-2021</t>
        </is>
      </c>
      <c r="B4927" s="1" t="n">
        <v>44469</v>
      </c>
      <c r="C4927" s="1" t="n">
        <v>45932</v>
      </c>
      <c r="D4927" t="inlineStr">
        <is>
          <t>VÄRMLANDS LÄN</t>
        </is>
      </c>
      <c r="E4927" t="inlineStr">
        <is>
          <t>TORSBY</t>
        </is>
      </c>
      <c r="F4927" t="inlineStr">
        <is>
          <t>Kyrkan</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9793-2024</t>
        </is>
      </c>
      <c r="B4928" s="1" t="n">
        <v>45362.71013888889</v>
      </c>
      <c r="C4928" s="1" t="n">
        <v>45932</v>
      </c>
      <c r="D4928" t="inlineStr">
        <is>
          <t>VÄRMLANDS LÄN</t>
        </is>
      </c>
      <c r="E4928" t="inlineStr">
        <is>
          <t>TORSBY</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51616-2023</t>
        </is>
      </c>
      <c r="B4929" s="1" t="n">
        <v>45222</v>
      </c>
      <c r="C4929" s="1" t="n">
        <v>45932</v>
      </c>
      <c r="D4929" t="inlineStr">
        <is>
          <t>VÄRMLANDS LÄN</t>
        </is>
      </c>
      <c r="E4929" t="inlineStr">
        <is>
          <t>KRISTINEHAMN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13289-2025</t>
        </is>
      </c>
      <c r="B4930" s="1" t="n">
        <v>45735</v>
      </c>
      <c r="C4930" s="1" t="n">
        <v>45932</v>
      </c>
      <c r="D4930" t="inlineStr">
        <is>
          <t>VÄRMLANDS LÄN</t>
        </is>
      </c>
      <c r="E4930" t="inlineStr">
        <is>
          <t>GRUMS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24926-2025</t>
        </is>
      </c>
      <c r="B4931" s="1" t="n">
        <v>45799.55320601852</v>
      </c>
      <c r="C4931" s="1" t="n">
        <v>45932</v>
      </c>
      <c r="D4931" t="inlineStr">
        <is>
          <t>VÄRMLANDS LÄN</t>
        </is>
      </c>
      <c r="E4931" t="inlineStr">
        <is>
          <t>KRISTINEHAMN</t>
        </is>
      </c>
      <c r="F4931" t="inlineStr">
        <is>
          <t>Sveaskog</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24118-2024</t>
        </is>
      </c>
      <c r="B4932" s="1" t="n">
        <v>45456</v>
      </c>
      <c r="C4932" s="1" t="n">
        <v>45932</v>
      </c>
      <c r="D4932" t="inlineStr">
        <is>
          <t>VÄRMLANDS LÄN</t>
        </is>
      </c>
      <c r="E4932" t="inlineStr">
        <is>
          <t>KRISTINEHAMN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17124-2024</t>
        </is>
      </c>
      <c r="B4933" s="1" t="n">
        <v>45412.58369212963</v>
      </c>
      <c r="C4933" s="1" t="n">
        <v>45932</v>
      </c>
      <c r="D4933" t="inlineStr">
        <is>
          <t>VÄRMLANDS LÄN</t>
        </is>
      </c>
      <c r="E4933" t="inlineStr">
        <is>
          <t>SUNNE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41201-2024</t>
        </is>
      </c>
      <c r="B4934" s="1" t="n">
        <v>45559</v>
      </c>
      <c r="C4934" s="1" t="n">
        <v>45932</v>
      </c>
      <c r="D4934" t="inlineStr">
        <is>
          <t>VÄRMLANDS LÄN</t>
        </is>
      </c>
      <c r="E4934" t="inlineStr">
        <is>
          <t>ÅRJÄNG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25816-2024</t>
        </is>
      </c>
      <c r="B4935" s="1" t="n">
        <v>45467.38015046297</v>
      </c>
      <c r="C4935" s="1" t="n">
        <v>45932</v>
      </c>
      <c r="D4935" t="inlineStr">
        <is>
          <t>VÄRMLANDS LÄN</t>
        </is>
      </c>
      <c r="E4935" t="inlineStr">
        <is>
          <t>SUNNE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50159-2024</t>
        </is>
      </c>
      <c r="B4936" s="1" t="n">
        <v>45600.46086805555</v>
      </c>
      <c r="C4936" s="1" t="n">
        <v>45932</v>
      </c>
      <c r="D4936" t="inlineStr">
        <is>
          <t>VÄRMLANDS LÄN</t>
        </is>
      </c>
      <c r="E4936" t="inlineStr">
        <is>
          <t>KRISTINEHAMN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40352-2023</t>
        </is>
      </c>
      <c r="B4937" s="1" t="n">
        <v>45168</v>
      </c>
      <c r="C4937" s="1" t="n">
        <v>45932</v>
      </c>
      <c r="D4937" t="inlineStr">
        <is>
          <t>VÄRMLANDS LÄN</t>
        </is>
      </c>
      <c r="E4937" t="inlineStr">
        <is>
          <t>ÅRJÄNG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55621-2022</t>
        </is>
      </c>
      <c r="B4938" s="1" t="n">
        <v>44888</v>
      </c>
      <c r="C4938" s="1" t="n">
        <v>45932</v>
      </c>
      <c r="D4938" t="inlineStr">
        <is>
          <t>VÄRMLANDS LÄN</t>
        </is>
      </c>
      <c r="E4938" t="inlineStr">
        <is>
          <t>KARLSTAD</t>
        </is>
      </c>
      <c r="F4938" t="inlineStr">
        <is>
          <t>Bergvik skog väst AB</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52224-2023</t>
        </is>
      </c>
      <c r="B4939" s="1" t="n">
        <v>45224</v>
      </c>
      <c r="C4939" s="1" t="n">
        <v>45932</v>
      </c>
      <c r="D4939" t="inlineStr">
        <is>
          <t>VÄRMLANDS LÄN</t>
        </is>
      </c>
      <c r="E4939" t="inlineStr">
        <is>
          <t>HAGFORS</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54019-2023</t>
        </is>
      </c>
      <c r="B4940" s="1" t="n">
        <v>45231.86333333333</v>
      </c>
      <c r="C4940" s="1" t="n">
        <v>45932</v>
      </c>
      <c r="D4940" t="inlineStr">
        <is>
          <t>VÄRMLANDS LÄN</t>
        </is>
      </c>
      <c r="E4940" t="inlineStr">
        <is>
          <t>EDA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25848-2024</t>
        </is>
      </c>
      <c r="B4941" s="1" t="n">
        <v>45467.43847222222</v>
      </c>
      <c r="C4941" s="1" t="n">
        <v>45932</v>
      </c>
      <c r="D4941" t="inlineStr">
        <is>
          <t>VÄRMLANDS LÄN</t>
        </is>
      </c>
      <c r="E4941" t="inlineStr">
        <is>
          <t>EDA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25050-2025</t>
        </is>
      </c>
      <c r="B4942" s="1" t="n">
        <v>45799</v>
      </c>
      <c r="C4942" s="1" t="n">
        <v>45932</v>
      </c>
      <c r="D4942" t="inlineStr">
        <is>
          <t>VÄRMLANDS LÄN</t>
        </is>
      </c>
      <c r="E4942" t="inlineStr">
        <is>
          <t>TORSBY</t>
        </is>
      </c>
      <c r="F4942" t="inlineStr">
        <is>
          <t>Bergvik skog väst AB</t>
        </is>
      </c>
      <c r="G4942" t="n">
        <v>39.7</v>
      </c>
      <c r="H4942" t="n">
        <v>0</v>
      </c>
      <c r="I4942" t="n">
        <v>0</v>
      </c>
      <c r="J4942" t="n">
        <v>0</v>
      </c>
      <c r="K4942" t="n">
        <v>0</v>
      </c>
      <c r="L4942" t="n">
        <v>0</v>
      </c>
      <c r="M4942" t="n">
        <v>0</v>
      </c>
      <c r="N4942" t="n">
        <v>0</v>
      </c>
      <c r="O4942" t="n">
        <v>0</v>
      </c>
      <c r="P4942" t="n">
        <v>0</v>
      </c>
      <c r="Q4942" t="n">
        <v>0</v>
      </c>
      <c r="R4942" s="2" t="inlineStr"/>
    </row>
    <row r="4943" ht="15" customHeight="1">
      <c r="A4943" t="inlineStr">
        <is>
          <t>A 38257-2023</t>
        </is>
      </c>
      <c r="B4943" s="1" t="n">
        <v>45161.58917824074</v>
      </c>
      <c r="C4943" s="1" t="n">
        <v>45932</v>
      </c>
      <c r="D4943" t="inlineStr">
        <is>
          <t>VÄRMLANDS LÄN</t>
        </is>
      </c>
      <c r="E4943" t="inlineStr">
        <is>
          <t>TORSBY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37119-2024</t>
        </is>
      </c>
      <c r="B4944" s="1" t="n">
        <v>45539.53746527778</v>
      </c>
      <c r="C4944" s="1" t="n">
        <v>45932</v>
      </c>
      <c r="D4944" t="inlineStr">
        <is>
          <t>VÄRMLANDS LÄN</t>
        </is>
      </c>
      <c r="E4944" t="inlineStr">
        <is>
          <t>GRUMS</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53378-2024</t>
        </is>
      </c>
      <c r="B4945" s="1" t="n">
        <v>45609</v>
      </c>
      <c r="C4945" s="1" t="n">
        <v>45932</v>
      </c>
      <c r="D4945" t="inlineStr">
        <is>
          <t>VÄRMLANDS LÄN</t>
        </is>
      </c>
      <c r="E4945" t="inlineStr">
        <is>
          <t>SÄFFLE</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53396-2024</t>
        </is>
      </c>
      <c r="B4946" s="1" t="n">
        <v>45614</v>
      </c>
      <c r="C4946" s="1" t="n">
        <v>45932</v>
      </c>
      <c r="D4946" t="inlineStr">
        <is>
          <t>VÄRMLANDS LÄN</t>
        </is>
      </c>
      <c r="E4946" t="inlineStr">
        <is>
          <t>TORSBY</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53433-2024</t>
        </is>
      </c>
      <c r="B4947" s="1" t="n">
        <v>45614.52704861111</v>
      </c>
      <c r="C4947" s="1" t="n">
        <v>45932</v>
      </c>
      <c r="D4947" t="inlineStr">
        <is>
          <t>VÄRMLANDS LÄN</t>
        </is>
      </c>
      <c r="E4947" t="inlineStr">
        <is>
          <t>SUNNE</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49880-2024</t>
        </is>
      </c>
      <c r="B4948" s="1" t="n">
        <v>45597</v>
      </c>
      <c r="C4948" s="1" t="n">
        <v>45932</v>
      </c>
      <c r="D4948" t="inlineStr">
        <is>
          <t>VÄRMLANDS LÄN</t>
        </is>
      </c>
      <c r="E4948" t="inlineStr">
        <is>
          <t>ARVIKA</t>
        </is>
      </c>
      <c r="F4948" t="inlineStr">
        <is>
          <t>Bergvik skog väst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24494-2025</t>
        </is>
      </c>
      <c r="B4949" s="1" t="n">
        <v>45798</v>
      </c>
      <c r="C4949" s="1" t="n">
        <v>45932</v>
      </c>
      <c r="D4949" t="inlineStr">
        <is>
          <t>VÄRMLANDS LÄN</t>
        </is>
      </c>
      <c r="E4949" t="inlineStr">
        <is>
          <t>KIL</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41160-2023</t>
        </is>
      </c>
      <c r="B4950" s="1" t="n">
        <v>45174</v>
      </c>
      <c r="C4950" s="1" t="n">
        <v>45932</v>
      </c>
      <c r="D4950" t="inlineStr">
        <is>
          <t>VÄRMLANDS LÄN</t>
        </is>
      </c>
      <c r="E4950" t="inlineStr">
        <is>
          <t>TORSBY</t>
        </is>
      </c>
      <c r="F4950" t="inlineStr">
        <is>
          <t>Kyrkan</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60781-2024</t>
        </is>
      </c>
      <c r="B4951" s="1" t="n">
        <v>45642</v>
      </c>
      <c r="C4951" s="1" t="n">
        <v>45932</v>
      </c>
      <c r="D4951" t="inlineStr">
        <is>
          <t>VÄRMLANDS LÄN</t>
        </is>
      </c>
      <c r="E4951" t="inlineStr">
        <is>
          <t>TORSBY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34541-2022</t>
        </is>
      </c>
      <c r="B4952" s="1" t="n">
        <v>44793</v>
      </c>
      <c r="C4952" s="1" t="n">
        <v>45932</v>
      </c>
      <c r="D4952" t="inlineStr">
        <is>
          <t>VÄRMLANDS LÄN</t>
        </is>
      </c>
      <c r="E4952" t="inlineStr">
        <is>
          <t>SUNNE</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24895-2025</t>
        </is>
      </c>
      <c r="B4953" s="1" t="n">
        <v>45799.51512731481</v>
      </c>
      <c r="C4953" s="1" t="n">
        <v>45932</v>
      </c>
      <c r="D4953" t="inlineStr">
        <is>
          <t>VÄRMLANDS LÄN</t>
        </is>
      </c>
      <c r="E4953" t="inlineStr">
        <is>
          <t>HAGFORS</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32550-2024</t>
        </is>
      </c>
      <c r="B4954" s="1" t="n">
        <v>45513.50606481481</v>
      </c>
      <c r="C4954" s="1" t="n">
        <v>45932</v>
      </c>
      <c r="D4954" t="inlineStr">
        <is>
          <t>VÄRMLANDS LÄN</t>
        </is>
      </c>
      <c r="E4954" t="inlineStr">
        <is>
          <t>ÅRJÄNG</t>
        </is>
      </c>
      <c r="F4954" t="inlineStr">
        <is>
          <t>Bergvik skog väst AB</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58020-2024</t>
        </is>
      </c>
      <c r="B4955" s="1" t="n">
        <v>45631</v>
      </c>
      <c r="C4955" s="1" t="n">
        <v>45932</v>
      </c>
      <c r="D4955" t="inlineStr">
        <is>
          <t>VÄRMLANDS LÄN</t>
        </is>
      </c>
      <c r="E4955" t="inlineStr">
        <is>
          <t>SÄFFLE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29230-2023</t>
        </is>
      </c>
      <c r="B4956" s="1" t="n">
        <v>45105.61513888889</v>
      </c>
      <c r="C4956" s="1" t="n">
        <v>45932</v>
      </c>
      <c r="D4956" t="inlineStr">
        <is>
          <t>VÄRMLANDS LÄN</t>
        </is>
      </c>
      <c r="E4956" t="inlineStr">
        <is>
          <t>EDA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10875-2022</t>
        </is>
      </c>
      <c r="B4957" s="1" t="n">
        <v>44627</v>
      </c>
      <c r="C4957" s="1" t="n">
        <v>45932</v>
      </c>
      <c r="D4957" t="inlineStr">
        <is>
          <t>VÄRMLANDS LÄN</t>
        </is>
      </c>
      <c r="E4957" t="inlineStr">
        <is>
          <t>SÄFFLE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40612-2023</t>
        </is>
      </c>
      <c r="B4958" s="1" t="n">
        <v>45170.51244212963</v>
      </c>
      <c r="C4958" s="1" t="n">
        <v>45932</v>
      </c>
      <c r="D4958" t="inlineStr">
        <is>
          <t>VÄRMLANDS LÄN</t>
        </is>
      </c>
      <c r="E4958" t="inlineStr">
        <is>
          <t>SUNNE</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27525-2022</t>
        </is>
      </c>
      <c r="B4959" s="1" t="n">
        <v>44742</v>
      </c>
      <c r="C4959" s="1" t="n">
        <v>45932</v>
      </c>
      <c r="D4959" t="inlineStr">
        <is>
          <t>VÄRMLANDS LÄN</t>
        </is>
      </c>
      <c r="E4959" t="inlineStr">
        <is>
          <t>KRISTINEHAMN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27531-2022</t>
        </is>
      </c>
      <c r="B4960" s="1" t="n">
        <v>44742</v>
      </c>
      <c r="C4960" s="1" t="n">
        <v>45932</v>
      </c>
      <c r="D4960" t="inlineStr">
        <is>
          <t>VÄRMLANDS LÄN</t>
        </is>
      </c>
      <c r="E4960" t="inlineStr">
        <is>
          <t>KRISTINEHAMN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24757-2025</t>
        </is>
      </c>
      <c r="B4961" s="1" t="n">
        <v>45799</v>
      </c>
      <c r="C4961" s="1" t="n">
        <v>45932</v>
      </c>
      <c r="D4961" t="inlineStr">
        <is>
          <t>VÄRMLANDS LÄN</t>
        </is>
      </c>
      <c r="E4961" t="inlineStr">
        <is>
          <t>TORSBY</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32013-2024</t>
        </is>
      </c>
      <c r="B4962" s="1" t="n">
        <v>45510</v>
      </c>
      <c r="C4962" s="1" t="n">
        <v>45932</v>
      </c>
      <c r="D4962" t="inlineStr">
        <is>
          <t>VÄRMLANDS LÄN</t>
        </is>
      </c>
      <c r="E4962" t="inlineStr">
        <is>
          <t>ARVIKA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21280-2024</t>
        </is>
      </c>
      <c r="B4963" s="1" t="n">
        <v>45440</v>
      </c>
      <c r="C4963" s="1" t="n">
        <v>45932</v>
      </c>
      <c r="D4963" t="inlineStr">
        <is>
          <t>VÄRMLANDS LÄN</t>
        </is>
      </c>
      <c r="E4963" t="inlineStr">
        <is>
          <t>TORSBY</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55616-2023</t>
        </is>
      </c>
      <c r="B4964" s="1" t="n">
        <v>45238.80616898148</v>
      </c>
      <c r="C4964" s="1" t="n">
        <v>45932</v>
      </c>
      <c r="D4964" t="inlineStr">
        <is>
          <t>VÄRMLANDS LÄN</t>
        </is>
      </c>
      <c r="E4964" t="inlineStr">
        <is>
          <t>SÄFFLE</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22519-2022</t>
        </is>
      </c>
      <c r="B4965" s="1" t="n">
        <v>44713</v>
      </c>
      <c r="C4965" s="1" t="n">
        <v>45932</v>
      </c>
      <c r="D4965" t="inlineStr">
        <is>
          <t>VÄRMLANDS LÄN</t>
        </is>
      </c>
      <c r="E4965" t="inlineStr">
        <is>
          <t>ARVIKA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16157-2023</t>
        </is>
      </c>
      <c r="B4966" s="1" t="n">
        <v>45027</v>
      </c>
      <c r="C4966" s="1" t="n">
        <v>45932</v>
      </c>
      <c r="D4966" t="inlineStr">
        <is>
          <t>VÄRMLANDS LÄN</t>
        </is>
      </c>
      <c r="E4966" t="inlineStr">
        <is>
          <t>ARVIKA</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24702-2025</t>
        </is>
      </c>
      <c r="B4967" s="1" t="n">
        <v>45798.77590277778</v>
      </c>
      <c r="C4967" s="1" t="n">
        <v>45932</v>
      </c>
      <c r="D4967" t="inlineStr">
        <is>
          <t>VÄRMLANDS LÄN</t>
        </is>
      </c>
      <c r="E4967" t="inlineStr">
        <is>
          <t>ARVIKA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26167-2023</t>
        </is>
      </c>
      <c r="B4968" s="1" t="n">
        <v>45091</v>
      </c>
      <c r="C4968" s="1" t="n">
        <v>45932</v>
      </c>
      <c r="D4968" t="inlineStr">
        <is>
          <t>VÄRMLANDS LÄN</t>
        </is>
      </c>
      <c r="E4968" t="inlineStr">
        <is>
          <t>EDA</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24793-2025</t>
        </is>
      </c>
      <c r="B4969" s="1" t="n">
        <v>45799.43309027778</v>
      </c>
      <c r="C4969" s="1" t="n">
        <v>45932</v>
      </c>
      <c r="D4969" t="inlineStr">
        <is>
          <t>VÄRMLANDS LÄN</t>
        </is>
      </c>
      <c r="E4969" t="inlineStr">
        <is>
          <t>HAGFORS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26174-2023</t>
        </is>
      </c>
      <c r="B4970" s="1" t="n">
        <v>45091</v>
      </c>
      <c r="C4970" s="1" t="n">
        <v>45932</v>
      </c>
      <c r="D4970" t="inlineStr">
        <is>
          <t>VÄRMLANDS LÄN</t>
        </is>
      </c>
      <c r="E4970" t="inlineStr">
        <is>
          <t>EDA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11143-2024</t>
        </is>
      </c>
      <c r="B4971" s="1" t="n">
        <v>45371</v>
      </c>
      <c r="C4971" s="1" t="n">
        <v>45932</v>
      </c>
      <c r="D4971" t="inlineStr">
        <is>
          <t>VÄRMLANDS LÄN</t>
        </is>
      </c>
      <c r="E4971" t="inlineStr">
        <is>
          <t>TORSBY</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24836-2025</t>
        </is>
      </c>
      <c r="B4972" s="1" t="n">
        <v>45799.46241898148</v>
      </c>
      <c r="C4972" s="1" t="n">
        <v>45932</v>
      </c>
      <c r="D4972" t="inlineStr">
        <is>
          <t>VÄRMLANDS LÄN</t>
        </is>
      </c>
      <c r="E4972" t="inlineStr">
        <is>
          <t>STORFORS</t>
        </is>
      </c>
      <c r="F4972" t="inlineStr">
        <is>
          <t>Bergvik skog väst AB</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24859-2025</t>
        </is>
      </c>
      <c r="B4973" s="1" t="n">
        <v>45799.47902777778</v>
      </c>
      <c r="C4973" s="1" t="n">
        <v>45932</v>
      </c>
      <c r="D4973" t="inlineStr">
        <is>
          <t>VÄRMLANDS LÄN</t>
        </is>
      </c>
      <c r="E4973" t="inlineStr">
        <is>
          <t>SUNNE</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36327-2021</t>
        </is>
      </c>
      <c r="B4974" s="1" t="n">
        <v>44390</v>
      </c>
      <c r="C4974" s="1" t="n">
        <v>45932</v>
      </c>
      <c r="D4974" t="inlineStr">
        <is>
          <t>VÄRMLANDS LÄN</t>
        </is>
      </c>
      <c r="E4974" t="inlineStr">
        <is>
          <t>TORSBY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51843-2022</t>
        </is>
      </c>
      <c r="B4975" s="1" t="n">
        <v>44872</v>
      </c>
      <c r="C4975" s="1" t="n">
        <v>45932</v>
      </c>
      <c r="D4975" t="inlineStr">
        <is>
          <t>VÄRMLANDS LÄN</t>
        </is>
      </c>
      <c r="E4975" t="inlineStr">
        <is>
          <t>TORSBY</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27346-2024</t>
        </is>
      </c>
      <c r="B4976" s="1" t="n">
        <v>45473.58984953703</v>
      </c>
      <c r="C4976" s="1" t="n">
        <v>45932</v>
      </c>
      <c r="D4976" t="inlineStr">
        <is>
          <t>VÄRMLANDS LÄN</t>
        </is>
      </c>
      <c r="E4976" t="inlineStr">
        <is>
          <t>TORSBY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27349-2024</t>
        </is>
      </c>
      <c r="B4977" s="1" t="n">
        <v>45473.65679398148</v>
      </c>
      <c r="C4977" s="1" t="n">
        <v>45932</v>
      </c>
      <c r="D4977" t="inlineStr">
        <is>
          <t>VÄRMLANDS LÄN</t>
        </is>
      </c>
      <c r="E4977" t="inlineStr">
        <is>
          <t>TORSBY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2525-2023</t>
        </is>
      </c>
      <c r="B4978" s="1" t="n">
        <v>44943</v>
      </c>
      <c r="C4978" s="1" t="n">
        <v>45932</v>
      </c>
      <c r="D4978" t="inlineStr">
        <is>
          <t>VÄRMLANDS LÄN</t>
        </is>
      </c>
      <c r="E4978" t="inlineStr">
        <is>
          <t>SUNNE</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33738-2021</t>
        </is>
      </c>
      <c r="B4979" s="1" t="n">
        <v>44378.48505787037</v>
      </c>
      <c r="C4979" s="1" t="n">
        <v>45932</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61873-2023</t>
        </is>
      </c>
      <c r="B4980" s="1" t="n">
        <v>45266.40989583333</v>
      </c>
      <c r="C4980" s="1" t="n">
        <v>45932</v>
      </c>
      <c r="D4980" t="inlineStr">
        <is>
          <t>VÄRMLANDS LÄN</t>
        </is>
      </c>
      <c r="E4980" t="inlineStr">
        <is>
          <t>ÅRJÄNG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25142-2023</t>
        </is>
      </c>
      <c r="B4981" s="1" t="n">
        <v>45078</v>
      </c>
      <c r="C4981" s="1" t="n">
        <v>45932</v>
      </c>
      <c r="D4981" t="inlineStr">
        <is>
          <t>VÄRMLANDS LÄN</t>
        </is>
      </c>
      <c r="E4981" t="inlineStr">
        <is>
          <t>SÄFFLE</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44532-2022</t>
        </is>
      </c>
      <c r="B4982" s="1" t="n">
        <v>44840</v>
      </c>
      <c r="C4982" s="1" t="n">
        <v>45932</v>
      </c>
      <c r="D4982" t="inlineStr">
        <is>
          <t>VÄRMLANDS LÄN</t>
        </is>
      </c>
      <c r="E4982" t="inlineStr">
        <is>
          <t>TORSBY</t>
        </is>
      </c>
      <c r="G4982" t="n">
        <v>12.3</v>
      </c>
      <c r="H4982" t="n">
        <v>0</v>
      </c>
      <c r="I4982" t="n">
        <v>0</v>
      </c>
      <c r="J4982" t="n">
        <v>0</v>
      </c>
      <c r="K4982" t="n">
        <v>0</v>
      </c>
      <c r="L4982" t="n">
        <v>0</v>
      </c>
      <c r="M4982" t="n">
        <v>0</v>
      </c>
      <c r="N4982" t="n">
        <v>0</v>
      </c>
      <c r="O4982" t="n">
        <v>0</v>
      </c>
      <c r="P4982" t="n">
        <v>0</v>
      </c>
      <c r="Q4982" t="n">
        <v>0</v>
      </c>
      <c r="R4982" s="2" t="inlineStr"/>
    </row>
    <row r="4983" ht="15" customHeight="1">
      <c r="A4983" t="inlineStr">
        <is>
          <t>A 17488-2023</t>
        </is>
      </c>
      <c r="B4983" s="1" t="n">
        <v>45036</v>
      </c>
      <c r="C4983" s="1" t="n">
        <v>45932</v>
      </c>
      <c r="D4983" t="inlineStr">
        <is>
          <t>VÄRMLANDS LÄN</t>
        </is>
      </c>
      <c r="E4983" t="inlineStr">
        <is>
          <t>TORSBY</t>
        </is>
      </c>
      <c r="G4983" t="n">
        <v>15.6</v>
      </c>
      <c r="H4983" t="n">
        <v>0</v>
      </c>
      <c r="I4983" t="n">
        <v>0</v>
      </c>
      <c r="J4983" t="n">
        <v>0</v>
      </c>
      <c r="K4983" t="n">
        <v>0</v>
      </c>
      <c r="L4983" t="n">
        <v>0</v>
      </c>
      <c r="M4983" t="n">
        <v>0</v>
      </c>
      <c r="N4983" t="n">
        <v>0</v>
      </c>
      <c r="O4983" t="n">
        <v>0</v>
      </c>
      <c r="P4983" t="n">
        <v>0</v>
      </c>
      <c r="Q4983" t="n">
        <v>0</v>
      </c>
      <c r="R4983" s="2" t="inlineStr"/>
    </row>
    <row r="4984" ht="15" customHeight="1">
      <c r="A4984" t="inlineStr">
        <is>
          <t>A 47371-2023</t>
        </is>
      </c>
      <c r="B4984" s="1" t="n">
        <v>45202</v>
      </c>
      <c r="C4984" s="1" t="n">
        <v>45932</v>
      </c>
      <c r="D4984" t="inlineStr">
        <is>
          <t>VÄRMLANDS LÄN</t>
        </is>
      </c>
      <c r="E4984" t="inlineStr">
        <is>
          <t>KRISTINEHAMN</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47376-2023</t>
        </is>
      </c>
      <c r="B4985" s="1" t="n">
        <v>45202.61515046296</v>
      </c>
      <c r="C4985" s="1" t="n">
        <v>45932</v>
      </c>
      <c r="D4985" t="inlineStr">
        <is>
          <t>VÄRMLANDS LÄN</t>
        </is>
      </c>
      <c r="E4985" t="inlineStr">
        <is>
          <t>ARVIKA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6534-2025</t>
        </is>
      </c>
      <c r="B4986" s="1" t="n">
        <v>45699</v>
      </c>
      <c r="C4986" s="1" t="n">
        <v>45932</v>
      </c>
      <c r="D4986" t="inlineStr">
        <is>
          <t>VÄRMLANDS LÄN</t>
        </is>
      </c>
      <c r="E4986" t="inlineStr">
        <is>
          <t>TORSBY</t>
        </is>
      </c>
      <c r="F4986" t="inlineStr">
        <is>
          <t>Kommuner</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16468-2025</t>
        </is>
      </c>
      <c r="B4987" s="1" t="n">
        <v>45751.54429398148</v>
      </c>
      <c r="C4987" s="1" t="n">
        <v>45932</v>
      </c>
      <c r="D4987" t="inlineStr">
        <is>
          <t>VÄRMLANDS LÄN</t>
        </is>
      </c>
      <c r="E4987" t="inlineStr">
        <is>
          <t>EDA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7178-2025</t>
        </is>
      </c>
      <c r="B4988" s="1" t="n">
        <v>45702.42493055556</v>
      </c>
      <c r="C4988" s="1" t="n">
        <v>45932</v>
      </c>
      <c r="D4988" t="inlineStr">
        <is>
          <t>VÄRMLANDS LÄN</t>
        </is>
      </c>
      <c r="E4988" t="inlineStr">
        <is>
          <t>TORSBY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11190-2024</t>
        </is>
      </c>
      <c r="B4989" s="1" t="n">
        <v>45371.54296296297</v>
      </c>
      <c r="C4989" s="1" t="n">
        <v>45932</v>
      </c>
      <c r="D4989" t="inlineStr">
        <is>
          <t>VÄRMLANDS LÄN</t>
        </is>
      </c>
      <c r="E4989" t="inlineStr">
        <is>
          <t>KARLSTAD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43794-2024</t>
        </is>
      </c>
      <c r="B4990" s="1" t="n">
        <v>45571.53519675926</v>
      </c>
      <c r="C4990" s="1" t="n">
        <v>45932</v>
      </c>
      <c r="D4990" t="inlineStr">
        <is>
          <t>VÄRMLANDS LÄN</t>
        </is>
      </c>
      <c r="E4990" t="inlineStr">
        <is>
          <t>ÅRJÄNG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11194-2024</t>
        </is>
      </c>
      <c r="B4991" s="1" t="n">
        <v>45371.54785879629</v>
      </c>
      <c r="C4991" s="1" t="n">
        <v>45932</v>
      </c>
      <c r="D4991" t="inlineStr">
        <is>
          <t>VÄRMLANDS LÄN</t>
        </is>
      </c>
      <c r="E4991" t="inlineStr">
        <is>
          <t>KARLSTAD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4260-2023</t>
        </is>
      </c>
      <c r="B4992" s="1" t="n">
        <v>44953</v>
      </c>
      <c r="C4992" s="1" t="n">
        <v>45932</v>
      </c>
      <c r="D4992" t="inlineStr">
        <is>
          <t>VÄRMLANDS LÄN</t>
        </is>
      </c>
      <c r="E4992" t="inlineStr">
        <is>
          <t>HAGFORS</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22720-2024</t>
        </is>
      </c>
      <c r="B4993" s="1" t="n">
        <v>45448.36391203704</v>
      </c>
      <c r="C4993" s="1" t="n">
        <v>45932</v>
      </c>
      <c r="D4993" t="inlineStr">
        <is>
          <t>VÄRMLANDS LÄN</t>
        </is>
      </c>
      <c r="E4993" t="inlineStr">
        <is>
          <t>ARVIKA</t>
        </is>
      </c>
      <c r="F4993" t="inlineStr">
        <is>
          <t>Bergvik skog väst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22734-2024</t>
        </is>
      </c>
      <c r="B4994" s="1" t="n">
        <v>45448</v>
      </c>
      <c r="C4994" s="1" t="n">
        <v>45932</v>
      </c>
      <c r="D4994" t="inlineStr">
        <is>
          <t>VÄRMLANDS LÄN</t>
        </is>
      </c>
      <c r="E4994" t="inlineStr">
        <is>
          <t>SUNNE</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16073-2024</t>
        </is>
      </c>
      <c r="B4995" s="1" t="n">
        <v>45406</v>
      </c>
      <c r="C4995" s="1" t="n">
        <v>45932</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25123-2024</t>
        </is>
      </c>
      <c r="B4996" s="1" t="n">
        <v>45462.45428240741</v>
      </c>
      <c r="C4996" s="1" t="n">
        <v>45932</v>
      </c>
      <c r="D4996" t="inlineStr">
        <is>
          <t>VÄRMLANDS LÄN</t>
        </is>
      </c>
      <c r="E4996" t="inlineStr">
        <is>
          <t>HAGFORS</t>
        </is>
      </c>
      <c r="F4996" t="inlineStr">
        <is>
          <t>Kyrkan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16609-2025</t>
        </is>
      </c>
      <c r="B4997" s="1" t="n">
        <v>45753</v>
      </c>
      <c r="C4997" s="1" t="n">
        <v>45932</v>
      </c>
      <c r="D4997" t="inlineStr">
        <is>
          <t>VÄRMLANDS LÄN</t>
        </is>
      </c>
      <c r="E4997" t="inlineStr">
        <is>
          <t>KIL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22634-2023</t>
        </is>
      </c>
      <c r="B4998" s="1" t="n">
        <v>45071</v>
      </c>
      <c r="C4998" s="1" t="n">
        <v>45932</v>
      </c>
      <c r="D4998" t="inlineStr">
        <is>
          <t>VÄRMLANDS LÄN</t>
        </is>
      </c>
      <c r="E4998" t="inlineStr">
        <is>
          <t>TORSBY</t>
        </is>
      </c>
      <c r="F4998" t="inlineStr">
        <is>
          <t>Bergvik skog väst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7214-2025</t>
        </is>
      </c>
      <c r="B4999" s="1" t="n">
        <v>45702</v>
      </c>
      <c r="C4999" s="1" t="n">
        <v>45932</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25001-2025</t>
        </is>
      </c>
      <c r="B5000" s="1" t="n">
        <v>45799.61962962963</v>
      </c>
      <c r="C5000" s="1" t="n">
        <v>45932</v>
      </c>
      <c r="D5000" t="inlineStr">
        <is>
          <t>VÄRMLANDS LÄN</t>
        </is>
      </c>
      <c r="E5000" t="inlineStr">
        <is>
          <t>STORFORS</t>
        </is>
      </c>
      <c r="F5000" t="inlineStr">
        <is>
          <t>Bergvik skog väst AB</t>
        </is>
      </c>
      <c r="G5000" t="n">
        <v>21.6</v>
      </c>
      <c r="H5000" t="n">
        <v>0</v>
      </c>
      <c r="I5000" t="n">
        <v>0</v>
      </c>
      <c r="J5000" t="n">
        <v>0</v>
      </c>
      <c r="K5000" t="n">
        <v>0</v>
      </c>
      <c r="L5000" t="n">
        <v>0</v>
      </c>
      <c r="M5000" t="n">
        <v>0</v>
      </c>
      <c r="N5000" t="n">
        <v>0</v>
      </c>
      <c r="O5000" t="n">
        <v>0</v>
      </c>
      <c r="P5000" t="n">
        <v>0</v>
      </c>
      <c r="Q5000" t="n">
        <v>0</v>
      </c>
      <c r="R5000" s="2" t="inlineStr"/>
    </row>
    <row r="5001" ht="15" customHeight="1">
      <c r="A5001" t="inlineStr">
        <is>
          <t>A 13321-2023</t>
        </is>
      </c>
      <c r="B5001" s="1" t="n">
        <v>45005.39711805555</v>
      </c>
      <c r="C5001" s="1" t="n">
        <v>45932</v>
      </c>
      <c r="D5001" t="inlineStr">
        <is>
          <t>VÄRMLANDS LÄN</t>
        </is>
      </c>
      <c r="E5001" t="inlineStr">
        <is>
          <t>SÄFFLE</t>
        </is>
      </c>
      <c r="F5001" t="inlineStr">
        <is>
          <t>Kommuner</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40981-2024</t>
        </is>
      </c>
      <c r="B5002" s="1" t="n">
        <v>45558</v>
      </c>
      <c r="C5002" s="1" t="n">
        <v>45932</v>
      </c>
      <c r="D5002" t="inlineStr">
        <is>
          <t>VÄRMLANDS LÄN</t>
        </is>
      </c>
      <c r="E5002" t="inlineStr">
        <is>
          <t>ARVIKA</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17382-2025</t>
        </is>
      </c>
      <c r="B5003" s="1" t="n">
        <v>45757.30491898148</v>
      </c>
      <c r="C5003" s="1" t="n">
        <v>45932</v>
      </c>
      <c r="D5003" t="inlineStr">
        <is>
          <t>VÄRMLANDS LÄN</t>
        </is>
      </c>
      <c r="E5003" t="inlineStr">
        <is>
          <t>EDA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1042-2024</t>
        </is>
      </c>
      <c r="B5004" s="1" t="n">
        <v>45301</v>
      </c>
      <c r="C5004" s="1" t="n">
        <v>45932</v>
      </c>
      <c r="D5004" t="inlineStr">
        <is>
          <t>VÄRMLANDS LÄN</t>
        </is>
      </c>
      <c r="E5004" t="inlineStr">
        <is>
          <t>TORSBY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24967-2025</t>
        </is>
      </c>
      <c r="B5005" s="1" t="n">
        <v>45799.58332175926</v>
      </c>
      <c r="C5005" s="1" t="n">
        <v>45932</v>
      </c>
      <c r="D5005" t="inlineStr">
        <is>
          <t>VÄRMLANDS LÄN</t>
        </is>
      </c>
      <c r="E5005" t="inlineStr">
        <is>
          <t>TORSBY</t>
        </is>
      </c>
      <c r="F5005" t="inlineStr">
        <is>
          <t>Bergvik skog väst AB</t>
        </is>
      </c>
      <c r="G5005" t="n">
        <v>17.6</v>
      </c>
      <c r="H5005" t="n">
        <v>0</v>
      </c>
      <c r="I5005" t="n">
        <v>0</v>
      </c>
      <c r="J5005" t="n">
        <v>0</v>
      </c>
      <c r="K5005" t="n">
        <v>0</v>
      </c>
      <c r="L5005" t="n">
        <v>0</v>
      </c>
      <c r="M5005" t="n">
        <v>0</v>
      </c>
      <c r="N5005" t="n">
        <v>0</v>
      </c>
      <c r="O5005" t="n">
        <v>0</v>
      </c>
      <c r="P5005" t="n">
        <v>0</v>
      </c>
      <c r="Q5005" t="n">
        <v>0</v>
      </c>
      <c r="R5005" s="2" t="inlineStr"/>
    </row>
    <row r="5006" ht="15" customHeight="1">
      <c r="A5006" t="inlineStr">
        <is>
          <t>A 1115-2024</t>
        </is>
      </c>
      <c r="B5006" s="1" t="n">
        <v>45302</v>
      </c>
      <c r="C5006" s="1" t="n">
        <v>45932</v>
      </c>
      <c r="D5006" t="inlineStr">
        <is>
          <t>VÄRMLANDS LÄN</t>
        </is>
      </c>
      <c r="E5006" t="inlineStr">
        <is>
          <t>ÅRJÄNG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24983-2025</t>
        </is>
      </c>
      <c r="B5007" s="1" t="n">
        <v>45799.59841435185</v>
      </c>
      <c r="C5007" s="1" t="n">
        <v>45932</v>
      </c>
      <c r="D5007" t="inlineStr">
        <is>
          <t>VÄRMLANDS LÄN</t>
        </is>
      </c>
      <c r="E5007" t="inlineStr">
        <is>
          <t>ÅRJÄNG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1150-2024</t>
        </is>
      </c>
      <c r="B5008" s="1" t="n">
        <v>45302</v>
      </c>
      <c r="C5008" s="1" t="n">
        <v>45932</v>
      </c>
      <c r="D5008" t="inlineStr">
        <is>
          <t>VÄRMLANDS LÄN</t>
        </is>
      </c>
      <c r="E5008" t="inlineStr">
        <is>
          <t>KRISTINEHAMN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24613-2025</t>
        </is>
      </c>
      <c r="B5009" s="1" t="n">
        <v>45798.58275462963</v>
      </c>
      <c r="C5009" s="1" t="n">
        <v>45932</v>
      </c>
      <c r="D5009" t="inlineStr">
        <is>
          <t>VÄRMLANDS LÄN</t>
        </is>
      </c>
      <c r="E5009" t="inlineStr">
        <is>
          <t>KRISTINEHAMN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14492-2023</t>
        </is>
      </c>
      <c r="B5010" s="1" t="n">
        <v>45012</v>
      </c>
      <c r="C5010" s="1" t="n">
        <v>45932</v>
      </c>
      <c r="D5010" t="inlineStr">
        <is>
          <t>VÄRMLANDS LÄN</t>
        </is>
      </c>
      <c r="E5010" t="inlineStr">
        <is>
          <t>SUNNE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39997-2024</t>
        </is>
      </c>
      <c r="B5011" s="1" t="n">
        <v>45553.63631944444</v>
      </c>
      <c r="C5011" s="1" t="n">
        <v>45932</v>
      </c>
      <c r="D5011" t="inlineStr">
        <is>
          <t>VÄRMLANDS LÄN</t>
        </is>
      </c>
      <c r="E5011" t="inlineStr">
        <is>
          <t>KRISTINEHAMN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48540-2024</t>
        </is>
      </c>
      <c r="B5012" s="1" t="n">
        <v>45593</v>
      </c>
      <c r="C5012" s="1" t="n">
        <v>45932</v>
      </c>
      <c r="D5012" t="inlineStr">
        <is>
          <t>VÄRMLANDS LÄN</t>
        </is>
      </c>
      <c r="E5012" t="inlineStr">
        <is>
          <t>TORSBY</t>
        </is>
      </c>
      <c r="G5012" t="n">
        <v>16.5</v>
      </c>
      <c r="H5012" t="n">
        <v>0</v>
      </c>
      <c r="I5012" t="n">
        <v>0</v>
      </c>
      <c r="J5012" t="n">
        <v>0</v>
      </c>
      <c r="K5012" t="n">
        <v>0</v>
      </c>
      <c r="L5012" t="n">
        <v>0</v>
      </c>
      <c r="M5012" t="n">
        <v>0</v>
      </c>
      <c r="N5012" t="n">
        <v>0</v>
      </c>
      <c r="O5012" t="n">
        <v>0</v>
      </c>
      <c r="P5012" t="n">
        <v>0</v>
      </c>
      <c r="Q5012" t="n">
        <v>0</v>
      </c>
      <c r="R5012" s="2" t="inlineStr"/>
    </row>
    <row r="5013" ht="15" customHeight="1">
      <c r="A5013" t="inlineStr">
        <is>
          <t>A 24878-2025</t>
        </is>
      </c>
      <c r="B5013" s="1" t="n">
        <v>45799.49319444445</v>
      </c>
      <c r="C5013" s="1" t="n">
        <v>45932</v>
      </c>
      <c r="D5013" t="inlineStr">
        <is>
          <t>VÄRMLANDS LÄN</t>
        </is>
      </c>
      <c r="E5013" t="inlineStr">
        <is>
          <t>SUNNE</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48590-2024</t>
        </is>
      </c>
      <c r="B5014" s="1" t="n">
        <v>45593</v>
      </c>
      <c r="C5014" s="1" t="n">
        <v>45932</v>
      </c>
      <c r="D5014" t="inlineStr">
        <is>
          <t>VÄRMLANDS LÄN</t>
        </is>
      </c>
      <c r="E5014" t="inlineStr">
        <is>
          <t>FORSHAGA</t>
        </is>
      </c>
      <c r="F5014" t="inlineStr">
        <is>
          <t>Bergvik skog väst AB</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61008-2024</t>
        </is>
      </c>
      <c r="B5015" s="1" t="n">
        <v>45645</v>
      </c>
      <c r="C5015" s="1" t="n">
        <v>45932</v>
      </c>
      <c r="D5015" t="inlineStr">
        <is>
          <t>VÄRMLANDS LÄN</t>
        </is>
      </c>
      <c r="E5015" t="inlineStr">
        <is>
          <t>ARVIKA</t>
        </is>
      </c>
      <c r="G5015" t="n">
        <v>38.7</v>
      </c>
      <c r="H5015" t="n">
        <v>0</v>
      </c>
      <c r="I5015" t="n">
        <v>0</v>
      </c>
      <c r="J5015" t="n">
        <v>0</v>
      </c>
      <c r="K5015" t="n">
        <v>0</v>
      </c>
      <c r="L5015" t="n">
        <v>0</v>
      </c>
      <c r="M5015" t="n">
        <v>0</v>
      </c>
      <c r="N5015" t="n">
        <v>0</v>
      </c>
      <c r="O5015" t="n">
        <v>0</v>
      </c>
      <c r="P5015" t="n">
        <v>0</v>
      </c>
      <c r="Q5015" t="n">
        <v>0</v>
      </c>
      <c r="R5015" s="2" t="inlineStr"/>
    </row>
    <row r="5016" ht="15" customHeight="1">
      <c r="A5016" t="inlineStr">
        <is>
          <t>A 24655-2025</t>
        </is>
      </c>
      <c r="B5016" s="1" t="n">
        <v>45798.63954861111</v>
      </c>
      <c r="C5016" s="1" t="n">
        <v>45932</v>
      </c>
      <c r="D5016" t="inlineStr">
        <is>
          <t>VÄRMLANDS LÄN</t>
        </is>
      </c>
      <c r="E5016" t="inlineStr">
        <is>
          <t>KRISTINEHAMN</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25027-2025</t>
        </is>
      </c>
      <c r="B5017" s="1" t="n">
        <v>45799</v>
      </c>
      <c r="C5017" s="1" t="n">
        <v>45932</v>
      </c>
      <c r="D5017" t="inlineStr">
        <is>
          <t>VÄRMLANDS LÄN</t>
        </is>
      </c>
      <c r="E5017" t="inlineStr">
        <is>
          <t>SÄFFLE</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25031-2025</t>
        </is>
      </c>
      <c r="B5018" s="1" t="n">
        <v>45799.65331018518</v>
      </c>
      <c r="C5018" s="1" t="n">
        <v>45932</v>
      </c>
      <c r="D5018" t="inlineStr">
        <is>
          <t>VÄRMLANDS LÄN</t>
        </is>
      </c>
      <c r="E5018" t="inlineStr">
        <is>
          <t>HAGFORS</t>
        </is>
      </c>
      <c r="F5018" t="inlineStr">
        <is>
          <t>Bergvik skog väst AB</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52438-2022</t>
        </is>
      </c>
      <c r="B5019" s="1" t="n">
        <v>44874.4543287037</v>
      </c>
      <c r="C5019" s="1" t="n">
        <v>45932</v>
      </c>
      <c r="D5019" t="inlineStr">
        <is>
          <t>VÄRMLANDS LÄN</t>
        </is>
      </c>
      <c r="E5019" t="inlineStr">
        <is>
          <t>KIL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43060-2021</t>
        </is>
      </c>
      <c r="B5020" s="1" t="n">
        <v>44431</v>
      </c>
      <c r="C5020" s="1" t="n">
        <v>45932</v>
      </c>
      <c r="D5020" t="inlineStr">
        <is>
          <t>VÄRMLANDS LÄN</t>
        </is>
      </c>
      <c r="E5020" t="inlineStr">
        <is>
          <t>TORSBY</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61866-2024</t>
        </is>
      </c>
      <c r="B5021" s="1" t="n">
        <v>45651</v>
      </c>
      <c r="C5021" s="1" t="n">
        <v>45932</v>
      </c>
      <c r="D5021" t="inlineStr">
        <is>
          <t>VÄRMLANDS LÄN</t>
        </is>
      </c>
      <c r="E5021" t="inlineStr">
        <is>
          <t>ARVIKA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4668-2025</t>
        </is>
      </c>
      <c r="B5022" s="1" t="n">
        <v>45687.76229166667</v>
      </c>
      <c r="C5022" s="1" t="n">
        <v>45932</v>
      </c>
      <c r="D5022" t="inlineStr">
        <is>
          <t>VÄRMLANDS LÄN</t>
        </is>
      </c>
      <c r="E5022" t="inlineStr">
        <is>
          <t>ÅRJÄNG</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57503-2024</t>
        </is>
      </c>
      <c r="B5023" s="1" t="n">
        <v>45630.37989583334</v>
      </c>
      <c r="C5023" s="1" t="n">
        <v>45932</v>
      </c>
      <c r="D5023" t="inlineStr">
        <is>
          <t>VÄRMLANDS LÄN</t>
        </is>
      </c>
      <c r="E5023" t="inlineStr">
        <is>
          <t>KARLSTAD</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24656-2025</t>
        </is>
      </c>
      <c r="B5024" s="1" t="n">
        <v>45798</v>
      </c>
      <c r="C5024" s="1" t="n">
        <v>45932</v>
      </c>
      <c r="D5024" t="inlineStr">
        <is>
          <t>VÄRMLANDS LÄN</t>
        </is>
      </c>
      <c r="E5024" t="inlineStr">
        <is>
          <t>KARLSTAD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15501-2025</t>
        </is>
      </c>
      <c r="B5025" s="1" t="n">
        <v>45747</v>
      </c>
      <c r="C5025" s="1" t="n">
        <v>45932</v>
      </c>
      <c r="D5025" t="inlineStr">
        <is>
          <t>VÄRMLANDS LÄN</t>
        </is>
      </c>
      <c r="E5025" t="inlineStr">
        <is>
          <t>SÄFFLE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63755-2023</t>
        </is>
      </c>
      <c r="B5026" s="1" t="n">
        <v>45278</v>
      </c>
      <c r="C5026" s="1" t="n">
        <v>45932</v>
      </c>
      <c r="D5026" t="inlineStr">
        <is>
          <t>VÄRMLANDS LÄN</t>
        </is>
      </c>
      <c r="E5026" t="inlineStr">
        <is>
          <t>EDA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14571-2025</t>
        </is>
      </c>
      <c r="B5027" s="1" t="n">
        <v>45741.88616898148</v>
      </c>
      <c r="C5027" s="1" t="n">
        <v>45932</v>
      </c>
      <c r="D5027" t="inlineStr">
        <is>
          <t>VÄRMLANDS LÄN</t>
        </is>
      </c>
      <c r="E5027" t="inlineStr">
        <is>
          <t>SUNNE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14582-2025</t>
        </is>
      </c>
      <c r="B5028" s="1" t="n">
        <v>45742</v>
      </c>
      <c r="C5028" s="1" t="n">
        <v>45932</v>
      </c>
      <c r="D5028" t="inlineStr">
        <is>
          <t>VÄRMLANDS LÄN</t>
        </is>
      </c>
      <c r="E5028" t="inlineStr">
        <is>
          <t>FILIPSTAD</t>
        </is>
      </c>
      <c r="F5028" t="inlineStr">
        <is>
          <t>Bergvik skog väst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47465-2023</t>
        </is>
      </c>
      <c r="B5029" s="1" t="n">
        <v>45202.88909722222</v>
      </c>
      <c r="C5029" s="1" t="n">
        <v>45932</v>
      </c>
      <c r="D5029" t="inlineStr">
        <is>
          <t>VÄRMLANDS LÄN</t>
        </is>
      </c>
      <c r="E5029" t="inlineStr">
        <is>
          <t>KRISTINEHAMN</t>
        </is>
      </c>
      <c r="G5029" t="n">
        <v>10.4</v>
      </c>
      <c r="H5029" t="n">
        <v>0</v>
      </c>
      <c r="I5029" t="n">
        <v>0</v>
      </c>
      <c r="J5029" t="n">
        <v>0</v>
      </c>
      <c r="K5029" t="n">
        <v>0</v>
      </c>
      <c r="L5029" t="n">
        <v>0</v>
      </c>
      <c r="M5029" t="n">
        <v>0</v>
      </c>
      <c r="N5029" t="n">
        <v>0</v>
      </c>
      <c r="O5029" t="n">
        <v>0</v>
      </c>
      <c r="P5029" t="n">
        <v>0</v>
      </c>
      <c r="Q5029" t="n">
        <v>0</v>
      </c>
      <c r="R5029" s="2" t="inlineStr"/>
    </row>
    <row r="5030" ht="15" customHeight="1">
      <c r="A5030" t="inlineStr">
        <is>
          <t>A 39029-2022</t>
        </is>
      </c>
      <c r="B5030" s="1" t="n">
        <v>44817.3400462963</v>
      </c>
      <c r="C5030" s="1" t="n">
        <v>45932</v>
      </c>
      <c r="D5030" t="inlineStr">
        <is>
          <t>VÄRMLANDS LÄN</t>
        </is>
      </c>
      <c r="E5030" t="inlineStr">
        <is>
          <t>HAGFORS</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38167-2022</t>
        </is>
      </c>
      <c r="B5031" s="1" t="n">
        <v>44812</v>
      </c>
      <c r="C5031" s="1" t="n">
        <v>45932</v>
      </c>
      <c r="D5031" t="inlineStr">
        <is>
          <t>VÄRMLANDS LÄN</t>
        </is>
      </c>
      <c r="E5031" t="inlineStr">
        <is>
          <t>ÅRJÄNG</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24978-2025</t>
        </is>
      </c>
      <c r="B5032" s="1" t="n">
        <v>45799.59434027778</v>
      </c>
      <c r="C5032" s="1" t="n">
        <v>45932</v>
      </c>
      <c r="D5032" t="inlineStr">
        <is>
          <t>VÄRMLANDS LÄN</t>
        </is>
      </c>
      <c r="E5032" t="inlineStr">
        <is>
          <t>HAGFORS</t>
        </is>
      </c>
      <c r="F5032" t="inlineStr">
        <is>
          <t>Bergvik skog väst AB</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24982-2025</t>
        </is>
      </c>
      <c r="B5033" s="1" t="n">
        <v>45799.59756944444</v>
      </c>
      <c r="C5033" s="1" t="n">
        <v>45932</v>
      </c>
      <c r="D5033" t="inlineStr">
        <is>
          <t>VÄRMLANDS LÄN</t>
        </is>
      </c>
      <c r="E5033" t="inlineStr">
        <is>
          <t>ARVIKA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19662-2025</t>
        </is>
      </c>
      <c r="B5034" s="1" t="n">
        <v>45770</v>
      </c>
      <c r="C5034" s="1" t="n">
        <v>45932</v>
      </c>
      <c r="D5034" t="inlineStr">
        <is>
          <t>VÄRMLANDS LÄN</t>
        </is>
      </c>
      <c r="E5034" t="inlineStr">
        <is>
          <t>TORSBY</t>
        </is>
      </c>
      <c r="F5034" t="inlineStr">
        <is>
          <t>Bergvik skog väst AB</t>
        </is>
      </c>
      <c r="G5034" t="n">
        <v>11.6</v>
      </c>
      <c r="H5034" t="n">
        <v>0</v>
      </c>
      <c r="I5034" t="n">
        <v>0</v>
      </c>
      <c r="J5034" t="n">
        <v>0</v>
      </c>
      <c r="K5034" t="n">
        <v>0</v>
      </c>
      <c r="L5034" t="n">
        <v>0</v>
      </c>
      <c r="M5034" t="n">
        <v>0</v>
      </c>
      <c r="N5034" t="n">
        <v>0</v>
      </c>
      <c r="O5034" t="n">
        <v>0</v>
      </c>
      <c r="P5034" t="n">
        <v>0</v>
      </c>
      <c r="Q5034" t="n">
        <v>0</v>
      </c>
      <c r="R5034" s="2" t="inlineStr"/>
    </row>
    <row r="5035" ht="15" customHeight="1">
      <c r="A5035" t="inlineStr">
        <is>
          <t>A 23843-2024</t>
        </is>
      </c>
      <c r="B5035" s="1" t="n">
        <v>45455</v>
      </c>
      <c r="C5035" s="1" t="n">
        <v>45932</v>
      </c>
      <c r="D5035" t="inlineStr">
        <is>
          <t>VÄRMLANDS LÄN</t>
        </is>
      </c>
      <c r="E5035" t="inlineStr">
        <is>
          <t>TORSBY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39167-2022</t>
        </is>
      </c>
      <c r="B5036" s="1" t="n">
        <v>44817.49707175926</v>
      </c>
      <c r="C5036" s="1" t="n">
        <v>45932</v>
      </c>
      <c r="D5036" t="inlineStr">
        <is>
          <t>VÄRMLANDS LÄN</t>
        </is>
      </c>
      <c r="E5036" t="inlineStr">
        <is>
          <t>SUNNE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24571-2025</t>
        </is>
      </c>
      <c r="B5037" s="1" t="n">
        <v>45798.47082175926</v>
      </c>
      <c r="C5037" s="1" t="n">
        <v>45932</v>
      </c>
      <c r="D5037" t="inlineStr">
        <is>
          <t>VÄRMLANDS LÄN</t>
        </is>
      </c>
      <c r="E5037" t="inlineStr">
        <is>
          <t>SÄFFLE</t>
        </is>
      </c>
      <c r="F5037" t="inlineStr">
        <is>
          <t>Bergvik skog väst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19705-2025</t>
        </is>
      </c>
      <c r="B5038" s="1" t="n">
        <v>45771</v>
      </c>
      <c r="C5038" s="1" t="n">
        <v>45932</v>
      </c>
      <c r="D5038" t="inlineStr">
        <is>
          <t>VÄRMLANDS LÄN</t>
        </is>
      </c>
      <c r="E5038" t="inlineStr">
        <is>
          <t>FILIPSTAD</t>
        </is>
      </c>
      <c r="F5038" t="inlineStr">
        <is>
          <t>Bergvik skog väst AB</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40799-2022</t>
        </is>
      </c>
      <c r="B5039" s="1" t="n">
        <v>44824.65680555555</v>
      </c>
      <c r="C5039" s="1" t="n">
        <v>45932</v>
      </c>
      <c r="D5039" t="inlineStr">
        <is>
          <t>VÄRMLANDS LÄN</t>
        </is>
      </c>
      <c r="E5039" t="inlineStr">
        <is>
          <t>SÄFFLE</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19763-2025</t>
        </is>
      </c>
      <c r="B5040" s="1" t="n">
        <v>45771.40707175926</v>
      </c>
      <c r="C5040" s="1" t="n">
        <v>45932</v>
      </c>
      <c r="D5040" t="inlineStr">
        <is>
          <t>VÄRMLANDS LÄN</t>
        </is>
      </c>
      <c r="E5040" t="inlineStr">
        <is>
          <t>TORSBY</t>
        </is>
      </c>
      <c r="F5040" t="inlineStr">
        <is>
          <t>Bergvik skog väst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9226-2025</t>
        </is>
      </c>
      <c r="B5041" s="1" t="n">
        <v>45714</v>
      </c>
      <c r="C5041" s="1" t="n">
        <v>45932</v>
      </c>
      <c r="D5041" t="inlineStr">
        <is>
          <t>VÄRMLANDS LÄN</t>
        </is>
      </c>
      <c r="E5041" t="inlineStr">
        <is>
          <t>TORSBY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3669-2025</t>
        </is>
      </c>
      <c r="B5042" s="1" t="n">
        <v>45681.43167824074</v>
      </c>
      <c r="C5042" s="1" t="n">
        <v>45932</v>
      </c>
      <c r="D5042" t="inlineStr">
        <is>
          <t>VÄRMLANDS LÄN</t>
        </is>
      </c>
      <c r="E5042" t="inlineStr">
        <is>
          <t>HAGFORS</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27347-2024</t>
        </is>
      </c>
      <c r="B5043" s="1" t="n">
        <v>45473.59798611111</v>
      </c>
      <c r="C5043" s="1" t="n">
        <v>45932</v>
      </c>
      <c r="D5043" t="inlineStr">
        <is>
          <t>VÄRMLANDS LÄN</t>
        </is>
      </c>
      <c r="E5043" t="inlineStr">
        <is>
          <t>TORSBY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18078-2025</t>
        </is>
      </c>
      <c r="B5044" s="1" t="n">
        <v>45761</v>
      </c>
      <c r="C5044" s="1" t="n">
        <v>45932</v>
      </c>
      <c r="D5044" t="inlineStr">
        <is>
          <t>VÄRMLANDS LÄN</t>
        </is>
      </c>
      <c r="E5044" t="inlineStr">
        <is>
          <t>ARVIKA</t>
        </is>
      </c>
      <c r="F5044" t="inlineStr">
        <is>
          <t>Bergvik skog väst AB</t>
        </is>
      </c>
      <c r="G5044" t="n">
        <v>20.9</v>
      </c>
      <c r="H5044" t="n">
        <v>0</v>
      </c>
      <c r="I5044" t="n">
        <v>0</v>
      </c>
      <c r="J5044" t="n">
        <v>0</v>
      </c>
      <c r="K5044" t="n">
        <v>0</v>
      </c>
      <c r="L5044" t="n">
        <v>0</v>
      </c>
      <c r="M5044" t="n">
        <v>0</v>
      </c>
      <c r="N5044" t="n">
        <v>0</v>
      </c>
      <c r="O5044" t="n">
        <v>0</v>
      </c>
      <c r="P5044" t="n">
        <v>0</v>
      </c>
      <c r="Q5044" t="n">
        <v>0</v>
      </c>
      <c r="R5044" s="2" t="inlineStr"/>
    </row>
    <row r="5045" ht="15" customHeight="1">
      <c r="A5045" t="inlineStr">
        <is>
          <t>A 18104-2025</t>
        </is>
      </c>
      <c r="B5045" s="1" t="n">
        <v>45761</v>
      </c>
      <c r="C5045" s="1" t="n">
        <v>45932</v>
      </c>
      <c r="D5045" t="inlineStr">
        <is>
          <t>VÄRMLANDS LÄN</t>
        </is>
      </c>
      <c r="E5045" t="inlineStr">
        <is>
          <t>ARVIKA</t>
        </is>
      </c>
      <c r="F5045" t="inlineStr">
        <is>
          <t>Bergvik skog väst AB</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59261-2024</t>
        </is>
      </c>
      <c r="B5046" s="1" t="n">
        <v>45636</v>
      </c>
      <c r="C5046" s="1" t="n">
        <v>45932</v>
      </c>
      <c r="D5046" t="inlineStr">
        <is>
          <t>VÄRMLANDS LÄN</t>
        </is>
      </c>
      <c r="E5046" t="inlineStr">
        <is>
          <t>SUNNE</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10999-2024</t>
        </is>
      </c>
      <c r="B5047" s="1" t="n">
        <v>45370.56413194445</v>
      </c>
      <c r="C5047" s="1" t="n">
        <v>45932</v>
      </c>
      <c r="D5047" t="inlineStr">
        <is>
          <t>VÄRMLANDS LÄN</t>
        </is>
      </c>
      <c r="E5047" t="inlineStr">
        <is>
          <t>KRISTINEHAMN</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31896-2022</t>
        </is>
      </c>
      <c r="B5048" s="1" t="n">
        <v>44777.48900462963</v>
      </c>
      <c r="C5048" s="1" t="n">
        <v>45932</v>
      </c>
      <c r="D5048" t="inlineStr">
        <is>
          <t>VÄRMLANDS LÄN</t>
        </is>
      </c>
      <c r="E5048" t="inlineStr">
        <is>
          <t>SUNNE</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47332-2022</t>
        </is>
      </c>
      <c r="B5049" s="1" t="n">
        <v>44853</v>
      </c>
      <c r="C5049" s="1" t="n">
        <v>45932</v>
      </c>
      <c r="D5049" t="inlineStr">
        <is>
          <t>VÄRMLANDS LÄN</t>
        </is>
      </c>
      <c r="E5049" t="inlineStr">
        <is>
          <t>ÅRJÄNG</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47336-2022</t>
        </is>
      </c>
      <c r="B5050" s="1" t="n">
        <v>44853.38101851852</v>
      </c>
      <c r="C5050" s="1" t="n">
        <v>45932</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27107-2024</t>
        </is>
      </c>
      <c r="B5051" s="1" t="n">
        <v>45471</v>
      </c>
      <c r="C5051" s="1" t="n">
        <v>45932</v>
      </c>
      <c r="D5051" t="inlineStr">
        <is>
          <t>VÄRMLANDS LÄN</t>
        </is>
      </c>
      <c r="E5051" t="inlineStr">
        <is>
          <t>FILIPSTAD</t>
        </is>
      </c>
      <c r="F5051" t="inlineStr">
        <is>
          <t>Bergvik skog väst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41377-2021</t>
        </is>
      </c>
      <c r="B5052" s="1" t="n">
        <v>44424.65148148148</v>
      </c>
      <c r="C5052" s="1" t="n">
        <v>45932</v>
      </c>
      <c r="D5052" t="inlineStr">
        <is>
          <t>VÄRMLANDS LÄN</t>
        </is>
      </c>
      <c r="E5052" t="inlineStr">
        <is>
          <t>TORSBY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26615-2024</t>
        </is>
      </c>
      <c r="B5053" s="1" t="n">
        <v>45469</v>
      </c>
      <c r="C5053" s="1" t="n">
        <v>45932</v>
      </c>
      <c r="D5053" t="inlineStr">
        <is>
          <t>VÄRMLANDS LÄN</t>
        </is>
      </c>
      <c r="E5053" t="inlineStr">
        <is>
          <t>HAGFORS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57456-2022</t>
        </is>
      </c>
      <c r="B5054" s="1" t="n">
        <v>44896.56736111111</v>
      </c>
      <c r="C5054" s="1" t="n">
        <v>45932</v>
      </c>
      <c r="D5054" t="inlineStr">
        <is>
          <t>VÄRMLANDS LÄN</t>
        </is>
      </c>
      <c r="E5054" t="inlineStr">
        <is>
          <t>FILIPSTAD</t>
        </is>
      </c>
      <c r="F5054" t="inlineStr">
        <is>
          <t>Bergvik skog väst AB</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13647-2025</t>
        </is>
      </c>
      <c r="B5055" s="1" t="n">
        <v>45736.69149305556</v>
      </c>
      <c r="C5055" s="1" t="n">
        <v>45932</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47602-2021</t>
        </is>
      </c>
      <c r="B5056" s="1" t="n">
        <v>44448</v>
      </c>
      <c r="C5056" s="1" t="n">
        <v>45932</v>
      </c>
      <c r="D5056" t="inlineStr">
        <is>
          <t>VÄRMLANDS LÄN</t>
        </is>
      </c>
      <c r="E5056" t="inlineStr">
        <is>
          <t>TORSBY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11398-2024</t>
        </is>
      </c>
      <c r="B5057" s="1" t="n">
        <v>45372</v>
      </c>
      <c r="C5057" s="1" t="n">
        <v>45932</v>
      </c>
      <c r="D5057" t="inlineStr">
        <is>
          <t>VÄRMLANDS LÄN</t>
        </is>
      </c>
      <c r="E5057" t="inlineStr">
        <is>
          <t>SÄFFLE</t>
        </is>
      </c>
      <c r="F5057" t="inlineStr">
        <is>
          <t>Bergvik skog väst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56763-2022</t>
        </is>
      </c>
      <c r="B5058" s="1" t="n">
        <v>44894.35633101852</v>
      </c>
      <c r="C5058" s="1" t="n">
        <v>45932</v>
      </c>
      <c r="D5058" t="inlineStr">
        <is>
          <t>VÄRMLANDS LÄN</t>
        </is>
      </c>
      <c r="E5058" t="inlineStr">
        <is>
          <t>EDA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35664-2023</t>
        </is>
      </c>
      <c r="B5059" s="1" t="n">
        <v>45147.60292824074</v>
      </c>
      <c r="C5059" s="1" t="n">
        <v>45932</v>
      </c>
      <c r="D5059" t="inlineStr">
        <is>
          <t>VÄRMLANDS LÄN</t>
        </is>
      </c>
      <c r="E5059" t="inlineStr">
        <is>
          <t>HAGFORS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26681-2023</t>
        </is>
      </c>
      <c r="B5060" s="1" t="n">
        <v>45093.34003472222</v>
      </c>
      <c r="C5060" s="1" t="n">
        <v>45932</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26698-2023</t>
        </is>
      </c>
      <c r="B5061" s="1" t="n">
        <v>45093.36835648148</v>
      </c>
      <c r="C5061" s="1" t="n">
        <v>45932</v>
      </c>
      <c r="D5061" t="inlineStr">
        <is>
          <t>VÄRMLANDS LÄN</t>
        </is>
      </c>
      <c r="E5061" t="inlineStr">
        <is>
          <t>ARVIKA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13773-2025</t>
        </is>
      </c>
      <c r="B5062" s="1" t="n">
        <v>45736</v>
      </c>
      <c r="C5062" s="1" t="n">
        <v>45932</v>
      </c>
      <c r="D5062" t="inlineStr">
        <is>
          <t>VÄRMLANDS LÄN</t>
        </is>
      </c>
      <c r="E5062" t="inlineStr">
        <is>
          <t>SÄFFLE</t>
        </is>
      </c>
      <c r="G5062" t="n">
        <v>10.7</v>
      </c>
      <c r="H5062" t="n">
        <v>0</v>
      </c>
      <c r="I5062" t="n">
        <v>0</v>
      </c>
      <c r="J5062" t="n">
        <v>0</v>
      </c>
      <c r="K5062" t="n">
        <v>0</v>
      </c>
      <c r="L5062" t="n">
        <v>0</v>
      </c>
      <c r="M5062" t="n">
        <v>0</v>
      </c>
      <c r="N5062" t="n">
        <v>0</v>
      </c>
      <c r="O5062" t="n">
        <v>0</v>
      </c>
      <c r="P5062" t="n">
        <v>0</v>
      </c>
      <c r="Q5062" t="n">
        <v>0</v>
      </c>
      <c r="R5062" s="2" t="inlineStr"/>
    </row>
    <row r="5063" ht="15" customHeight="1">
      <c r="A5063" t="inlineStr">
        <is>
          <t>A 55390-2024</t>
        </is>
      </c>
      <c r="B5063" s="1" t="n">
        <v>45622.3377662037</v>
      </c>
      <c r="C5063" s="1" t="n">
        <v>45932</v>
      </c>
      <c r="D5063" t="inlineStr">
        <is>
          <t>VÄRMLANDS LÄN</t>
        </is>
      </c>
      <c r="E5063" t="inlineStr">
        <is>
          <t>SUNNE</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17022-2025</t>
        </is>
      </c>
      <c r="B5064" s="1" t="n">
        <v>45755.56162037037</v>
      </c>
      <c r="C5064" s="1" t="n">
        <v>45932</v>
      </c>
      <c r="D5064" t="inlineStr">
        <is>
          <t>VÄRMLANDS LÄN</t>
        </is>
      </c>
      <c r="E5064" t="inlineStr">
        <is>
          <t>ARVIKA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8714-2025</t>
        </is>
      </c>
      <c r="B5065" s="1" t="n">
        <v>45712</v>
      </c>
      <c r="C5065" s="1" t="n">
        <v>45932</v>
      </c>
      <c r="D5065" t="inlineStr">
        <is>
          <t>VÄRMLANDS LÄN</t>
        </is>
      </c>
      <c r="E5065" t="inlineStr">
        <is>
          <t>SUNNE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46876-2024</t>
        </is>
      </c>
      <c r="B5066" s="1" t="n">
        <v>45583</v>
      </c>
      <c r="C5066" s="1" t="n">
        <v>45932</v>
      </c>
      <c r="D5066" t="inlineStr">
        <is>
          <t>VÄRMLANDS LÄN</t>
        </is>
      </c>
      <c r="E5066" t="inlineStr">
        <is>
          <t>SUNNE</t>
        </is>
      </c>
      <c r="F5066" t="inlineStr">
        <is>
          <t>Kommuner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46880-2024</t>
        </is>
      </c>
      <c r="B5067" s="1" t="n">
        <v>45583.64625</v>
      </c>
      <c r="C5067" s="1" t="n">
        <v>45932</v>
      </c>
      <c r="D5067" t="inlineStr">
        <is>
          <t>VÄRMLANDS LÄN</t>
        </is>
      </c>
      <c r="E5067" t="inlineStr">
        <is>
          <t>SUNNE</t>
        </is>
      </c>
      <c r="F5067" t="inlineStr">
        <is>
          <t>Kommuner</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27789-2022</t>
        </is>
      </c>
      <c r="B5068" s="1" t="n">
        <v>44743.56622685185</v>
      </c>
      <c r="C5068" s="1" t="n">
        <v>45932</v>
      </c>
      <c r="D5068" t="inlineStr">
        <is>
          <t>VÄRMLANDS LÄN</t>
        </is>
      </c>
      <c r="E5068" t="inlineStr">
        <is>
          <t>FILIPSTAD</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8165-2024</t>
        </is>
      </c>
      <c r="B5069" s="1" t="n">
        <v>45351</v>
      </c>
      <c r="C5069" s="1" t="n">
        <v>45932</v>
      </c>
      <c r="D5069" t="inlineStr">
        <is>
          <t>VÄRMLANDS LÄN</t>
        </is>
      </c>
      <c r="E5069" t="inlineStr">
        <is>
          <t>ARVIKA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39566-2023</t>
        </is>
      </c>
      <c r="B5070" s="1" t="n">
        <v>45167.40119212963</v>
      </c>
      <c r="C5070" s="1" t="n">
        <v>45932</v>
      </c>
      <c r="D5070" t="inlineStr">
        <is>
          <t>VÄRMLANDS LÄN</t>
        </is>
      </c>
      <c r="E5070" t="inlineStr">
        <is>
          <t>FILIPSTAD</t>
        </is>
      </c>
      <c r="F5070" t="inlineStr">
        <is>
          <t>Bergvik skog väst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18679-2024</t>
        </is>
      </c>
      <c r="B5071" s="1" t="n">
        <v>45426</v>
      </c>
      <c r="C5071" s="1" t="n">
        <v>45932</v>
      </c>
      <c r="D5071" t="inlineStr">
        <is>
          <t>VÄRMLANDS LÄN</t>
        </is>
      </c>
      <c r="E5071" t="inlineStr">
        <is>
          <t>SUNNE</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25648-2025</t>
        </is>
      </c>
      <c r="B5072" s="1" t="n">
        <v>45803.60784722222</v>
      </c>
      <c r="C5072" s="1" t="n">
        <v>45932</v>
      </c>
      <c r="D5072" t="inlineStr">
        <is>
          <t>VÄRMLANDS LÄN</t>
        </is>
      </c>
      <c r="E5072" t="inlineStr">
        <is>
          <t>KRISTINEHAMN</t>
        </is>
      </c>
      <c r="F5072" t="inlineStr">
        <is>
          <t>Naturvårdsverket</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57138-2023</t>
        </is>
      </c>
      <c r="B5073" s="1" t="n">
        <v>45245.39134259259</v>
      </c>
      <c r="C5073" s="1" t="n">
        <v>45932</v>
      </c>
      <c r="D5073" t="inlineStr">
        <is>
          <t>VÄRMLANDS LÄN</t>
        </is>
      </c>
      <c r="E5073" t="inlineStr">
        <is>
          <t>EDA</t>
        </is>
      </c>
      <c r="F5073" t="inlineStr">
        <is>
          <t>Övriga Aktiebolag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58948-2024</t>
        </is>
      </c>
      <c r="B5074" s="1" t="n">
        <v>45636</v>
      </c>
      <c r="C5074" s="1" t="n">
        <v>45932</v>
      </c>
      <c r="D5074" t="inlineStr">
        <is>
          <t>VÄRMLANDS LÄN</t>
        </is>
      </c>
      <c r="E5074" t="inlineStr">
        <is>
          <t>TORSBY</t>
        </is>
      </c>
      <c r="F5074" t="inlineStr">
        <is>
          <t>Bergvik skog väst AB</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25727-2025</t>
        </is>
      </c>
      <c r="B5075" s="1" t="n">
        <v>45803.71775462963</v>
      </c>
      <c r="C5075" s="1" t="n">
        <v>45932</v>
      </c>
      <c r="D5075" t="inlineStr">
        <is>
          <t>VÄRMLANDS LÄN</t>
        </is>
      </c>
      <c r="E5075" t="inlineStr">
        <is>
          <t>STORFORS</t>
        </is>
      </c>
      <c r="F5075" t="inlineStr">
        <is>
          <t>Bergvik skog väst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2253-2025</t>
        </is>
      </c>
      <c r="B5076" s="1" t="n">
        <v>45673</v>
      </c>
      <c r="C5076" s="1" t="n">
        <v>45932</v>
      </c>
      <c r="D5076" t="inlineStr">
        <is>
          <t>VÄRMLANDS LÄN</t>
        </is>
      </c>
      <c r="E5076" t="inlineStr">
        <is>
          <t>ÅRJÄNG</t>
        </is>
      </c>
      <c r="G5076" t="n">
        <v>12.4</v>
      </c>
      <c r="H5076" t="n">
        <v>0</v>
      </c>
      <c r="I5076" t="n">
        <v>0</v>
      </c>
      <c r="J5076" t="n">
        <v>0</v>
      </c>
      <c r="K5076" t="n">
        <v>0</v>
      </c>
      <c r="L5076" t="n">
        <v>0</v>
      </c>
      <c r="M5076" t="n">
        <v>0</v>
      </c>
      <c r="N5076" t="n">
        <v>0</v>
      </c>
      <c r="O5076" t="n">
        <v>0</v>
      </c>
      <c r="P5076" t="n">
        <v>0</v>
      </c>
      <c r="Q5076" t="n">
        <v>0</v>
      </c>
      <c r="R5076" s="2" t="inlineStr"/>
    </row>
    <row r="5077" ht="15" customHeight="1">
      <c r="A5077" t="inlineStr">
        <is>
          <t>A 25450-2025</t>
        </is>
      </c>
      <c r="B5077" s="1" t="n">
        <v>45801.76153935185</v>
      </c>
      <c r="C5077" s="1" t="n">
        <v>45932</v>
      </c>
      <c r="D5077" t="inlineStr">
        <is>
          <t>VÄRMLANDS LÄN</t>
        </is>
      </c>
      <c r="E5077" t="inlineStr">
        <is>
          <t>ARVIKA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25487-2025</t>
        </is>
      </c>
      <c r="B5078" s="1" t="n">
        <v>45803.27170138889</v>
      </c>
      <c r="C5078" s="1" t="n">
        <v>45932</v>
      </c>
      <c r="D5078" t="inlineStr">
        <is>
          <t>VÄRMLANDS LÄN</t>
        </is>
      </c>
      <c r="E5078" t="inlineStr">
        <is>
          <t>ARVIKA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16086-2025</t>
        </is>
      </c>
      <c r="B5079" s="1" t="n">
        <v>45749.81476851852</v>
      </c>
      <c r="C5079" s="1" t="n">
        <v>45932</v>
      </c>
      <c r="D5079" t="inlineStr">
        <is>
          <t>VÄRMLANDS LÄN</t>
        </is>
      </c>
      <c r="E5079" t="inlineStr">
        <is>
          <t>SUNNE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18172-2025</t>
        </is>
      </c>
      <c r="B5080" s="1" t="n">
        <v>45761.65037037037</v>
      </c>
      <c r="C5080" s="1" t="n">
        <v>45932</v>
      </c>
      <c r="D5080" t="inlineStr">
        <is>
          <t>VÄRMLANDS LÄN</t>
        </is>
      </c>
      <c r="E5080" t="inlineStr">
        <is>
          <t>ARVIKA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44838-2024</t>
        </is>
      </c>
      <c r="B5081" s="1" t="n">
        <v>45574.7069675926</v>
      </c>
      <c r="C5081" s="1" t="n">
        <v>45932</v>
      </c>
      <c r="D5081" t="inlineStr">
        <is>
          <t>VÄRMLANDS LÄN</t>
        </is>
      </c>
      <c r="E5081" t="inlineStr">
        <is>
          <t>TORSBY</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3458-2025</t>
        </is>
      </c>
      <c r="B5082" s="1" t="n">
        <v>45680.48917824074</v>
      </c>
      <c r="C5082" s="1" t="n">
        <v>45932</v>
      </c>
      <c r="D5082" t="inlineStr">
        <is>
          <t>VÄRMLANDS LÄN</t>
        </is>
      </c>
      <c r="E5082" t="inlineStr">
        <is>
          <t>ÅRJÄNG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18388-2025</t>
        </is>
      </c>
      <c r="B5083" s="1" t="n">
        <v>45762</v>
      </c>
      <c r="C5083" s="1" t="n">
        <v>45932</v>
      </c>
      <c r="D5083" t="inlineStr">
        <is>
          <t>VÄRMLANDS LÄN</t>
        </is>
      </c>
      <c r="E5083" t="inlineStr">
        <is>
          <t>ÅRJÄNG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68687-2020</t>
        </is>
      </c>
      <c r="B5084" s="1" t="n">
        <v>44187</v>
      </c>
      <c r="C5084" s="1" t="n">
        <v>45932</v>
      </c>
      <c r="D5084" t="inlineStr">
        <is>
          <t>VÄRMLANDS LÄN</t>
        </is>
      </c>
      <c r="E5084" t="inlineStr">
        <is>
          <t>ÅRJÄNG</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25079-2025</t>
        </is>
      </c>
      <c r="B5085" s="1" t="n">
        <v>45799.89287037037</v>
      </c>
      <c r="C5085" s="1" t="n">
        <v>45932</v>
      </c>
      <c r="D5085" t="inlineStr">
        <is>
          <t>VÄRMLANDS LÄN</t>
        </is>
      </c>
      <c r="E5085" t="inlineStr">
        <is>
          <t>ARVIKA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25653-2025</t>
        </is>
      </c>
      <c r="B5086" s="1" t="n">
        <v>45803.61072916666</v>
      </c>
      <c r="C5086" s="1" t="n">
        <v>45932</v>
      </c>
      <c r="D5086" t="inlineStr">
        <is>
          <t>VÄRMLANDS LÄN</t>
        </is>
      </c>
      <c r="E5086" t="inlineStr">
        <is>
          <t>TORSBY</t>
        </is>
      </c>
      <c r="F5086" t="inlineStr">
        <is>
          <t>Bergvik skog väst AB</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25664-2025</t>
        </is>
      </c>
      <c r="B5087" s="1" t="n">
        <v>45803.6203587963</v>
      </c>
      <c r="C5087" s="1" t="n">
        <v>45932</v>
      </c>
      <c r="D5087" t="inlineStr">
        <is>
          <t>VÄRMLANDS LÄN</t>
        </is>
      </c>
      <c r="E5087" t="inlineStr">
        <is>
          <t>KRISTINEHAMN</t>
        </is>
      </c>
      <c r="F5087" t="inlineStr">
        <is>
          <t>Naturvårdsverket</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54766-2023</t>
        </is>
      </c>
      <c r="B5088" s="1" t="n">
        <v>45236</v>
      </c>
      <c r="C5088" s="1" t="n">
        <v>45932</v>
      </c>
      <c r="D5088" t="inlineStr">
        <is>
          <t>VÄRMLANDS LÄN</t>
        </is>
      </c>
      <c r="E5088" t="inlineStr">
        <is>
          <t>TORSBY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11265-2021</t>
        </is>
      </c>
      <c r="B5089" s="1" t="n">
        <v>44263.44670138889</v>
      </c>
      <c r="C5089" s="1" t="n">
        <v>45932</v>
      </c>
      <c r="D5089" t="inlineStr">
        <is>
          <t>VÄRMLANDS LÄN</t>
        </is>
      </c>
      <c r="E5089" t="inlineStr">
        <is>
          <t>ÅRJÄNG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47261-2024</t>
        </is>
      </c>
      <c r="B5090" s="1" t="n">
        <v>45586.77313657408</v>
      </c>
      <c r="C5090" s="1" t="n">
        <v>45932</v>
      </c>
      <c r="D5090" t="inlineStr">
        <is>
          <t>VÄRMLANDS LÄN</t>
        </is>
      </c>
      <c r="E5090" t="inlineStr">
        <is>
          <t>FILIPSTAD</t>
        </is>
      </c>
      <c r="F5090" t="inlineStr">
        <is>
          <t>Bergvik skog väst AB</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25508-2025</t>
        </is>
      </c>
      <c r="B5091" s="1" t="n">
        <v>45803.35520833333</v>
      </c>
      <c r="C5091" s="1" t="n">
        <v>45932</v>
      </c>
      <c r="D5091" t="inlineStr">
        <is>
          <t>VÄRMLANDS LÄN</t>
        </is>
      </c>
      <c r="E5091" t="inlineStr">
        <is>
          <t>TORSBY</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12294-2024</t>
        </is>
      </c>
      <c r="B5092" s="1" t="n">
        <v>45378</v>
      </c>
      <c r="C5092" s="1" t="n">
        <v>45932</v>
      </c>
      <c r="D5092" t="inlineStr">
        <is>
          <t>VÄRMLANDS LÄN</t>
        </is>
      </c>
      <c r="E5092" t="inlineStr">
        <is>
          <t>SÄFFLE</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12304-2024</t>
        </is>
      </c>
      <c r="B5093" s="1" t="n">
        <v>45378.61495370371</v>
      </c>
      <c r="C5093" s="1" t="n">
        <v>45932</v>
      </c>
      <c r="D5093" t="inlineStr">
        <is>
          <t>VÄRMLANDS LÄN</t>
        </is>
      </c>
      <c r="E5093" t="inlineStr">
        <is>
          <t>SUNNE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12320-2024</t>
        </is>
      </c>
      <c r="B5094" s="1" t="n">
        <v>45378</v>
      </c>
      <c r="C5094" s="1" t="n">
        <v>45932</v>
      </c>
      <c r="D5094" t="inlineStr">
        <is>
          <t>VÄRMLANDS LÄN</t>
        </is>
      </c>
      <c r="E5094" t="inlineStr">
        <is>
          <t>FORSHAGA</t>
        </is>
      </c>
      <c r="F5094" t="inlineStr">
        <is>
          <t>Bergvik skog väst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50494-2024</t>
        </is>
      </c>
      <c r="B5095" s="1" t="n">
        <v>45601.50818287037</v>
      </c>
      <c r="C5095" s="1" t="n">
        <v>45932</v>
      </c>
      <c r="D5095" t="inlineStr">
        <is>
          <t>VÄRMLANDS LÄN</t>
        </is>
      </c>
      <c r="E5095" t="inlineStr">
        <is>
          <t>TORSBY</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41368-2024</t>
        </is>
      </c>
      <c r="B5096" s="1" t="n">
        <v>45559</v>
      </c>
      <c r="C5096" s="1" t="n">
        <v>45932</v>
      </c>
      <c r="D5096" t="inlineStr">
        <is>
          <t>VÄRMLANDS LÄN</t>
        </is>
      </c>
      <c r="E5096" t="inlineStr">
        <is>
          <t>SÄFFLE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45265-2023</t>
        </is>
      </c>
      <c r="B5097" s="1" t="n">
        <v>45187</v>
      </c>
      <c r="C5097" s="1" t="n">
        <v>45932</v>
      </c>
      <c r="D5097" t="inlineStr">
        <is>
          <t>VÄRMLANDS LÄN</t>
        </is>
      </c>
      <c r="E5097" t="inlineStr">
        <is>
          <t>KARLSTAD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31703-2024</t>
        </is>
      </c>
      <c r="B5098" s="1" t="n">
        <v>45508</v>
      </c>
      <c r="C5098" s="1" t="n">
        <v>45932</v>
      </c>
      <c r="D5098" t="inlineStr">
        <is>
          <t>VÄRMLANDS LÄN</t>
        </is>
      </c>
      <c r="E5098" t="inlineStr">
        <is>
          <t>ARVIKA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18676-2025</t>
        </is>
      </c>
      <c r="B5099" s="1" t="n">
        <v>45763</v>
      </c>
      <c r="C5099" s="1" t="n">
        <v>45932</v>
      </c>
      <c r="D5099" t="inlineStr">
        <is>
          <t>VÄRMLANDS LÄN</t>
        </is>
      </c>
      <c r="E5099" t="inlineStr">
        <is>
          <t>TORSBY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18727-2025</t>
        </is>
      </c>
      <c r="B5100" s="1" t="n">
        <v>45763.67331018519</v>
      </c>
      <c r="C5100" s="1" t="n">
        <v>45932</v>
      </c>
      <c r="D5100" t="inlineStr">
        <is>
          <t>VÄRMLANDS LÄN</t>
        </is>
      </c>
      <c r="E5100" t="inlineStr">
        <is>
          <t>KARLSTAD</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41967-2023</t>
        </is>
      </c>
      <c r="B5101" s="1" t="n">
        <v>45177.37006944444</v>
      </c>
      <c r="C5101" s="1" t="n">
        <v>45932</v>
      </c>
      <c r="D5101" t="inlineStr">
        <is>
          <t>VÄRMLANDS LÄN</t>
        </is>
      </c>
      <c r="E5101" t="inlineStr">
        <is>
          <t>SUNNE</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15768-2025</t>
        </is>
      </c>
      <c r="B5102" s="1" t="n">
        <v>45748.58782407407</v>
      </c>
      <c r="C5102" s="1" t="n">
        <v>45932</v>
      </c>
      <c r="D5102" t="inlineStr">
        <is>
          <t>VÄRMLANDS LÄN</t>
        </is>
      </c>
      <c r="E5102" t="inlineStr">
        <is>
          <t>TORSBY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16882-2024</t>
        </is>
      </c>
      <c r="B5103" s="1" t="n">
        <v>45411.59430555555</v>
      </c>
      <c r="C5103" s="1" t="n">
        <v>45932</v>
      </c>
      <c r="D5103" t="inlineStr">
        <is>
          <t>VÄRMLANDS LÄN</t>
        </is>
      </c>
      <c r="E5103" t="inlineStr">
        <is>
          <t>SUNNE</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50252-2024</t>
        </is>
      </c>
      <c r="B5104" s="1" t="n">
        <v>45600.57181712963</v>
      </c>
      <c r="C5104" s="1" t="n">
        <v>45932</v>
      </c>
      <c r="D5104" t="inlineStr">
        <is>
          <t>VÄRMLANDS LÄN</t>
        </is>
      </c>
      <c r="E5104" t="inlineStr">
        <is>
          <t>KIL</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51536-2024</t>
        </is>
      </c>
      <c r="B5105" s="1" t="n">
        <v>45603</v>
      </c>
      <c r="C5105" s="1" t="n">
        <v>45932</v>
      </c>
      <c r="D5105" t="inlineStr">
        <is>
          <t>VÄRMLANDS LÄN</t>
        </is>
      </c>
      <c r="E5105" t="inlineStr">
        <is>
          <t>SÄFFLE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44303-2021</t>
        </is>
      </c>
      <c r="B5106" s="1" t="n">
        <v>44435</v>
      </c>
      <c r="C5106" s="1" t="n">
        <v>45932</v>
      </c>
      <c r="D5106" t="inlineStr">
        <is>
          <t>VÄRMLANDS LÄN</t>
        </is>
      </c>
      <c r="E5106" t="inlineStr">
        <is>
          <t>SUNNE</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3364-2024</t>
        </is>
      </c>
      <c r="B5107" s="1" t="n">
        <v>45317</v>
      </c>
      <c r="C5107" s="1" t="n">
        <v>45932</v>
      </c>
      <c r="D5107" t="inlineStr">
        <is>
          <t>VÄRMLANDS LÄN</t>
        </is>
      </c>
      <c r="E5107" t="inlineStr">
        <is>
          <t>ARVIKA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11921-2021</t>
        </is>
      </c>
      <c r="B5108" s="1" t="n">
        <v>44265</v>
      </c>
      <c r="C5108" s="1" t="n">
        <v>45932</v>
      </c>
      <c r="D5108" t="inlineStr">
        <is>
          <t>VÄRMLANDS LÄN</t>
        </is>
      </c>
      <c r="E5108" t="inlineStr">
        <is>
          <t>KRISTINEHAMN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52839-2023</t>
        </is>
      </c>
      <c r="B5109" s="1" t="n">
        <v>45226.42424768519</v>
      </c>
      <c r="C5109" s="1" t="n">
        <v>45932</v>
      </c>
      <c r="D5109" t="inlineStr">
        <is>
          <t>VÄRMLANDS LÄN</t>
        </is>
      </c>
      <c r="E5109" t="inlineStr">
        <is>
          <t>ARVIKA</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59256-2023</t>
        </is>
      </c>
      <c r="B5110" s="1" t="n">
        <v>45251</v>
      </c>
      <c r="C5110" s="1" t="n">
        <v>45932</v>
      </c>
      <c r="D5110" t="inlineStr">
        <is>
          <t>VÄRMLANDS LÄN</t>
        </is>
      </c>
      <c r="E5110" t="inlineStr">
        <is>
          <t>TORSBY</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53596-2024</t>
        </is>
      </c>
      <c r="B5111" s="1" t="n">
        <v>45614</v>
      </c>
      <c r="C5111" s="1" t="n">
        <v>45932</v>
      </c>
      <c r="D5111" t="inlineStr">
        <is>
          <t>VÄRMLANDS LÄN</t>
        </is>
      </c>
      <c r="E5111" t="inlineStr">
        <is>
          <t>FORSHAGA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61154-2021</t>
        </is>
      </c>
      <c r="B5112" s="1" t="n">
        <v>44497</v>
      </c>
      <c r="C5112" s="1" t="n">
        <v>45932</v>
      </c>
      <c r="D5112" t="inlineStr">
        <is>
          <t>VÄRMLANDS LÄN</t>
        </is>
      </c>
      <c r="E5112" t="inlineStr">
        <is>
          <t>ÅRJÄNG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7221-2024</t>
        </is>
      </c>
      <c r="B5113" s="1" t="n">
        <v>45344.63927083334</v>
      </c>
      <c r="C5113" s="1" t="n">
        <v>45932</v>
      </c>
      <c r="D5113" t="inlineStr">
        <is>
          <t>VÄRMLANDS LÄN</t>
        </is>
      </c>
      <c r="E5113" t="inlineStr">
        <is>
          <t>TORSBY</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15228-2024</t>
        </is>
      </c>
      <c r="B5114" s="1" t="n">
        <v>45400.48208333334</v>
      </c>
      <c r="C5114" s="1" t="n">
        <v>45932</v>
      </c>
      <c r="D5114" t="inlineStr">
        <is>
          <t>VÄRMLANDS LÄN</t>
        </is>
      </c>
      <c r="E5114" t="inlineStr">
        <is>
          <t>HAGFORS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55828-2024</t>
        </is>
      </c>
      <c r="B5115" s="1" t="n">
        <v>45622</v>
      </c>
      <c r="C5115" s="1" t="n">
        <v>45932</v>
      </c>
      <c r="D5115" t="inlineStr">
        <is>
          <t>VÄRMLANDS LÄN</t>
        </is>
      </c>
      <c r="E5115" t="inlineStr">
        <is>
          <t>SUNNE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55836-2024</t>
        </is>
      </c>
      <c r="B5116" s="1" t="n">
        <v>45623.49150462963</v>
      </c>
      <c r="C5116" s="1" t="n">
        <v>45932</v>
      </c>
      <c r="D5116" t="inlineStr">
        <is>
          <t>VÄRMLANDS LÄN</t>
        </is>
      </c>
      <c r="E5116" t="inlineStr">
        <is>
          <t>TORSBY</t>
        </is>
      </c>
      <c r="F5116" t="inlineStr">
        <is>
          <t>Kommuner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32319-2024</t>
        </is>
      </c>
      <c r="B5117" s="1" t="n">
        <v>45512.4621875</v>
      </c>
      <c r="C5117" s="1" t="n">
        <v>45932</v>
      </c>
      <c r="D5117" t="inlineStr">
        <is>
          <t>VÄRMLANDS LÄN</t>
        </is>
      </c>
      <c r="E5117" t="inlineStr">
        <is>
          <t>TORSBY</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32323-2024</t>
        </is>
      </c>
      <c r="B5118" s="1" t="n">
        <v>45512</v>
      </c>
      <c r="C5118" s="1" t="n">
        <v>45932</v>
      </c>
      <c r="D5118" t="inlineStr">
        <is>
          <t>VÄRMLANDS LÄN</t>
        </is>
      </c>
      <c r="E5118" t="inlineStr">
        <is>
          <t>EDA</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37165-2024</t>
        </is>
      </c>
      <c r="B5119" s="1" t="n">
        <v>45539.62459490741</v>
      </c>
      <c r="C5119" s="1" t="n">
        <v>45932</v>
      </c>
      <c r="D5119" t="inlineStr">
        <is>
          <t>VÄRMLANDS LÄN</t>
        </is>
      </c>
      <c r="E5119" t="inlineStr">
        <is>
          <t>FILIPSTAD</t>
        </is>
      </c>
      <c r="F5119" t="inlineStr">
        <is>
          <t>Bergvik skog väst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4751-2022</t>
        </is>
      </c>
      <c r="B5120" s="1" t="n">
        <v>44592</v>
      </c>
      <c r="C5120" s="1" t="n">
        <v>45932</v>
      </c>
      <c r="D5120" t="inlineStr">
        <is>
          <t>VÄRMLANDS LÄN</t>
        </is>
      </c>
      <c r="E5120" t="inlineStr">
        <is>
          <t>ARVIKA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4785-2022</t>
        </is>
      </c>
      <c r="B5121" s="1" t="n">
        <v>44592.63289351852</v>
      </c>
      <c r="C5121" s="1" t="n">
        <v>45932</v>
      </c>
      <c r="D5121" t="inlineStr">
        <is>
          <t>VÄRMLANDS LÄN</t>
        </is>
      </c>
      <c r="E5121" t="inlineStr">
        <is>
          <t>SUNNE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17197-2024</t>
        </is>
      </c>
      <c r="B5122" s="1" t="n">
        <v>45413</v>
      </c>
      <c r="C5122" s="1" t="n">
        <v>45932</v>
      </c>
      <c r="D5122" t="inlineStr">
        <is>
          <t>VÄRMLANDS LÄN</t>
        </is>
      </c>
      <c r="E5122" t="inlineStr">
        <is>
          <t>KIL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18736-2024</t>
        </is>
      </c>
      <c r="B5123" s="1" t="n">
        <v>45426.49442129629</v>
      </c>
      <c r="C5123" s="1" t="n">
        <v>45932</v>
      </c>
      <c r="D5123" t="inlineStr">
        <is>
          <t>VÄRMLANDS LÄN</t>
        </is>
      </c>
      <c r="E5123" t="inlineStr">
        <is>
          <t>SUNNE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52314-2024</t>
        </is>
      </c>
      <c r="B5124" s="1" t="n">
        <v>45608.87075231481</v>
      </c>
      <c r="C5124" s="1" t="n">
        <v>45932</v>
      </c>
      <c r="D5124" t="inlineStr">
        <is>
          <t>VÄRMLANDS LÄN</t>
        </is>
      </c>
      <c r="E5124" t="inlineStr">
        <is>
          <t>TORSBY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47344-2023</t>
        </is>
      </c>
      <c r="B5125" s="1" t="n">
        <v>45202.56717592593</v>
      </c>
      <c r="C5125" s="1" t="n">
        <v>45932</v>
      </c>
      <c r="D5125" t="inlineStr">
        <is>
          <t>VÄRMLANDS LÄN</t>
        </is>
      </c>
      <c r="E5125" t="inlineStr">
        <is>
          <t>FILIPSTAD</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54756-2022</t>
        </is>
      </c>
      <c r="B5126" s="1" t="n">
        <v>44883</v>
      </c>
      <c r="C5126" s="1" t="n">
        <v>45932</v>
      </c>
      <c r="D5126" t="inlineStr">
        <is>
          <t>VÄRMLANDS LÄN</t>
        </is>
      </c>
      <c r="E5126" t="inlineStr">
        <is>
          <t>ARVIKA</t>
        </is>
      </c>
      <c r="F5126" t="inlineStr">
        <is>
          <t>Bergvik skog väst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52327-2024</t>
        </is>
      </c>
      <c r="B5127" s="1" t="n">
        <v>45609.30459490741</v>
      </c>
      <c r="C5127" s="1" t="n">
        <v>45932</v>
      </c>
      <c r="D5127" t="inlineStr">
        <is>
          <t>VÄRMLANDS LÄN</t>
        </is>
      </c>
      <c r="E5127" t="inlineStr">
        <is>
          <t>EDA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13610-2025</t>
        </is>
      </c>
      <c r="B5128" s="1" t="n">
        <v>45736.62030092593</v>
      </c>
      <c r="C5128" s="1" t="n">
        <v>45932</v>
      </c>
      <c r="D5128" t="inlineStr">
        <is>
          <t>VÄRMLANDS LÄN</t>
        </is>
      </c>
      <c r="E5128" t="inlineStr">
        <is>
          <t>SUNNE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50530-2023</t>
        </is>
      </c>
      <c r="B5129" s="1" t="n">
        <v>45217</v>
      </c>
      <c r="C5129" s="1" t="n">
        <v>45932</v>
      </c>
      <c r="D5129" t="inlineStr">
        <is>
          <t>VÄRMLANDS LÄN</t>
        </is>
      </c>
      <c r="E5129" t="inlineStr">
        <is>
          <t>ARVIKA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39767-2024</t>
        </is>
      </c>
      <c r="B5130" s="1" t="n">
        <v>45552</v>
      </c>
      <c r="C5130" s="1" t="n">
        <v>45932</v>
      </c>
      <c r="D5130" t="inlineStr">
        <is>
          <t>VÄRMLANDS LÄN</t>
        </is>
      </c>
      <c r="E5130" t="inlineStr">
        <is>
          <t>TORSBY</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39772-2024</t>
        </is>
      </c>
      <c r="B5131" s="1" t="n">
        <v>45552</v>
      </c>
      <c r="C5131" s="1" t="n">
        <v>45932</v>
      </c>
      <c r="D5131" t="inlineStr">
        <is>
          <t>VÄRMLANDS LÄN</t>
        </is>
      </c>
      <c r="E5131" t="inlineStr">
        <is>
          <t>TORSBY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32588-2024</t>
        </is>
      </c>
      <c r="B5132" s="1" t="n">
        <v>45513.59612268519</v>
      </c>
      <c r="C5132" s="1" t="n">
        <v>45932</v>
      </c>
      <c r="D5132" t="inlineStr">
        <is>
          <t>VÄRMLANDS LÄN</t>
        </is>
      </c>
      <c r="E5132" t="inlineStr">
        <is>
          <t>TORSBY</t>
        </is>
      </c>
      <c r="F5132" t="inlineStr">
        <is>
          <t>Bergvik skog väst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37298-2023</t>
        </is>
      </c>
      <c r="B5133" s="1" t="n">
        <v>45156.34178240741</v>
      </c>
      <c r="C5133" s="1" t="n">
        <v>45932</v>
      </c>
      <c r="D5133" t="inlineStr">
        <is>
          <t>VÄRMLANDS LÄN</t>
        </is>
      </c>
      <c r="E5133" t="inlineStr">
        <is>
          <t>EDA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33227-2024</t>
        </is>
      </c>
      <c r="B5134" s="1" t="n">
        <v>45518.5708912037</v>
      </c>
      <c r="C5134" s="1" t="n">
        <v>45932</v>
      </c>
      <c r="D5134" t="inlineStr">
        <is>
          <t>VÄRMLANDS LÄN</t>
        </is>
      </c>
      <c r="E5134" t="inlineStr">
        <is>
          <t>TORSBY</t>
        </is>
      </c>
      <c r="F5134" t="inlineStr">
        <is>
          <t>Bergvik skog väst AB</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60467-2022</t>
        </is>
      </c>
      <c r="B5135" s="1" t="n">
        <v>44911</v>
      </c>
      <c r="C5135" s="1" t="n">
        <v>45932</v>
      </c>
      <c r="D5135" t="inlineStr">
        <is>
          <t>VÄRMLANDS LÄN</t>
        </is>
      </c>
      <c r="E5135" t="inlineStr">
        <is>
          <t>EDA</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37357-2023</t>
        </is>
      </c>
      <c r="B5136" s="1" t="n">
        <v>45156.48006944444</v>
      </c>
      <c r="C5136" s="1" t="n">
        <v>45932</v>
      </c>
      <c r="D5136" t="inlineStr">
        <is>
          <t>VÄRMLANDS LÄN</t>
        </is>
      </c>
      <c r="E5136" t="inlineStr">
        <is>
          <t>TORSBY</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29736-2023</t>
        </is>
      </c>
      <c r="B5137" s="1" t="n">
        <v>45107.45405092592</v>
      </c>
      <c r="C5137" s="1" t="n">
        <v>45932</v>
      </c>
      <c r="D5137" t="inlineStr">
        <is>
          <t>VÄRMLANDS LÄN</t>
        </is>
      </c>
      <c r="E5137" t="inlineStr">
        <is>
          <t>GRUMS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26270-2022</t>
        </is>
      </c>
      <c r="B5138" s="1" t="n">
        <v>44735.5222337963</v>
      </c>
      <c r="C5138" s="1" t="n">
        <v>45932</v>
      </c>
      <c r="D5138" t="inlineStr">
        <is>
          <t>VÄRMLANDS LÄN</t>
        </is>
      </c>
      <c r="E5138" t="inlineStr">
        <is>
          <t>KIL</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74268-2021</t>
        </is>
      </c>
      <c r="B5139" s="1" t="n">
        <v>44558</v>
      </c>
      <c r="C5139" s="1" t="n">
        <v>45932</v>
      </c>
      <c r="D5139" t="inlineStr">
        <is>
          <t>VÄRMLANDS LÄN</t>
        </is>
      </c>
      <c r="E5139" t="inlineStr">
        <is>
          <t>SUNNE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5763-2023</t>
        </is>
      </c>
      <c r="B5140" s="1" t="n">
        <v>44963.36383101852</v>
      </c>
      <c r="C5140" s="1" t="n">
        <v>45932</v>
      </c>
      <c r="D5140" t="inlineStr">
        <is>
          <t>VÄRMLANDS LÄN</t>
        </is>
      </c>
      <c r="E5140" t="inlineStr">
        <is>
          <t>TORSBY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6966-2022</t>
        </is>
      </c>
      <c r="B5141" s="1" t="n">
        <v>44603.36936342593</v>
      </c>
      <c r="C5141" s="1" t="n">
        <v>45932</v>
      </c>
      <c r="D5141" t="inlineStr">
        <is>
          <t>VÄRMLANDS LÄN</t>
        </is>
      </c>
      <c r="E5141" t="inlineStr">
        <is>
          <t>SÄFFLE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8514-2025</t>
        </is>
      </c>
      <c r="B5142" s="1" t="n">
        <v>45709.55030092593</v>
      </c>
      <c r="C5142" s="1" t="n">
        <v>45932</v>
      </c>
      <c r="D5142" t="inlineStr">
        <is>
          <t>VÄRMLANDS LÄN</t>
        </is>
      </c>
      <c r="E5142" t="inlineStr">
        <is>
          <t>SÄFFLE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11732-2022</t>
        </is>
      </c>
      <c r="B5143" s="1" t="n">
        <v>44634.48912037037</v>
      </c>
      <c r="C5143" s="1" t="n">
        <v>45932</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6687-2023</t>
        </is>
      </c>
      <c r="B5144" s="1" t="n">
        <v>44966.65414351852</v>
      </c>
      <c r="C5144" s="1" t="n">
        <v>45932</v>
      </c>
      <c r="D5144" t="inlineStr">
        <is>
          <t>VÄRMLANDS LÄN</t>
        </is>
      </c>
      <c r="E5144" t="inlineStr">
        <is>
          <t>KIL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9381-2024</t>
        </is>
      </c>
      <c r="B5145" s="1" t="n">
        <v>45359</v>
      </c>
      <c r="C5145" s="1" t="n">
        <v>45932</v>
      </c>
      <c r="D5145" t="inlineStr">
        <is>
          <t>VÄRMLANDS LÄN</t>
        </is>
      </c>
      <c r="E5145" t="inlineStr">
        <is>
          <t>TORSBY</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44369-2022</t>
        </is>
      </c>
      <c r="B5146" s="1" t="n">
        <v>44839</v>
      </c>
      <c r="C5146" s="1" t="n">
        <v>45932</v>
      </c>
      <c r="D5146" t="inlineStr">
        <is>
          <t>VÄRMLANDS LÄN</t>
        </is>
      </c>
      <c r="E5146" t="inlineStr">
        <is>
          <t>SUNNE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1840-2023</t>
        </is>
      </c>
      <c r="B5147" s="1" t="n">
        <v>44938.67890046296</v>
      </c>
      <c r="C5147" s="1" t="n">
        <v>45932</v>
      </c>
      <c r="D5147" t="inlineStr">
        <is>
          <t>VÄRMLANDS LÄN</t>
        </is>
      </c>
      <c r="E5147" t="inlineStr">
        <is>
          <t>STORFORS</t>
        </is>
      </c>
      <c r="F5147" t="inlineStr">
        <is>
          <t>Kyrkan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38467-2021</t>
        </is>
      </c>
      <c r="B5148" s="1" t="n">
        <v>44405</v>
      </c>
      <c r="C5148" s="1" t="n">
        <v>45932</v>
      </c>
      <c r="D5148" t="inlineStr">
        <is>
          <t>VÄRMLANDS LÄN</t>
        </is>
      </c>
      <c r="E5148" t="inlineStr">
        <is>
          <t>TORSBY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38490-2021</t>
        </is>
      </c>
      <c r="B5149" s="1" t="n">
        <v>44407</v>
      </c>
      <c r="C5149" s="1" t="n">
        <v>45932</v>
      </c>
      <c r="D5149" t="inlineStr">
        <is>
          <t>VÄRMLANDS LÄN</t>
        </is>
      </c>
      <c r="E5149" t="inlineStr">
        <is>
          <t>KRISTINEHAMN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42321-2023</t>
        </is>
      </c>
      <c r="B5150" s="1" t="n">
        <v>45180.47474537037</v>
      </c>
      <c r="C5150" s="1" t="n">
        <v>45932</v>
      </c>
      <c r="D5150" t="inlineStr">
        <is>
          <t>VÄRMLANDS LÄN</t>
        </is>
      </c>
      <c r="E5150" t="inlineStr">
        <is>
          <t>ARVIKA</t>
        </is>
      </c>
      <c r="F5150" t="inlineStr">
        <is>
          <t>Bergvik skog väst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25462-2025</t>
        </is>
      </c>
      <c r="B5151" s="1" t="n">
        <v>45802.44046296296</v>
      </c>
      <c r="C5151" s="1" t="n">
        <v>45932</v>
      </c>
      <c r="D5151" t="inlineStr">
        <is>
          <t>VÄRMLANDS LÄN</t>
        </is>
      </c>
      <c r="E5151" t="inlineStr">
        <is>
          <t>FORSHAGA</t>
        </is>
      </c>
      <c r="F5151" t="inlineStr">
        <is>
          <t>Bergvik skog väst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25464-2025</t>
        </is>
      </c>
      <c r="B5152" s="1" t="n">
        <v>45802.46032407408</v>
      </c>
      <c r="C5152" s="1" t="n">
        <v>45932</v>
      </c>
      <c r="D5152" t="inlineStr">
        <is>
          <t>VÄRMLANDS LÄN</t>
        </is>
      </c>
      <c r="E5152" t="inlineStr">
        <is>
          <t>TORSBY</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25465-2025</t>
        </is>
      </c>
      <c r="B5153" s="1" t="n">
        <v>45802.48196759259</v>
      </c>
      <c r="C5153" s="1" t="n">
        <v>45932</v>
      </c>
      <c r="D5153" t="inlineStr">
        <is>
          <t>VÄRMLANDS LÄN</t>
        </is>
      </c>
      <c r="E5153" t="inlineStr">
        <is>
          <t>TORSBY</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14268-2024</t>
        </is>
      </c>
      <c r="B5154" s="1" t="n">
        <v>45393.57497685185</v>
      </c>
      <c r="C5154" s="1" t="n">
        <v>45932</v>
      </c>
      <c r="D5154" t="inlineStr">
        <is>
          <t>VÄRMLANDS LÄN</t>
        </is>
      </c>
      <c r="E5154" t="inlineStr">
        <is>
          <t>FILIPSTAD</t>
        </is>
      </c>
      <c r="F5154" t="inlineStr">
        <is>
          <t>Bergvik skog väst AB</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25723-2025</t>
        </is>
      </c>
      <c r="B5155" s="1" t="n">
        <v>45803.7121412037</v>
      </c>
      <c r="C5155" s="1" t="n">
        <v>45932</v>
      </c>
      <c r="D5155" t="inlineStr">
        <is>
          <t>VÄRMLANDS LÄN</t>
        </is>
      </c>
      <c r="E5155" t="inlineStr">
        <is>
          <t>STORFORS</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25728-2025</t>
        </is>
      </c>
      <c r="B5156" s="1" t="n">
        <v>45803.72125</v>
      </c>
      <c r="C5156" s="1" t="n">
        <v>45932</v>
      </c>
      <c r="D5156" t="inlineStr">
        <is>
          <t>VÄRMLANDS LÄN</t>
        </is>
      </c>
      <c r="E5156" t="inlineStr">
        <is>
          <t>EDA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61090-2024</t>
        </is>
      </c>
      <c r="B5157" s="1" t="n">
        <v>45645</v>
      </c>
      <c r="C5157" s="1" t="n">
        <v>45932</v>
      </c>
      <c r="D5157" t="inlineStr">
        <is>
          <t>VÄRMLANDS LÄN</t>
        </is>
      </c>
      <c r="E5157" t="inlineStr">
        <is>
          <t>ARVIKA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61119-2024</t>
        </is>
      </c>
      <c r="B5158" s="1" t="n">
        <v>45645.57</v>
      </c>
      <c r="C5158" s="1" t="n">
        <v>45932</v>
      </c>
      <c r="D5158" t="inlineStr">
        <is>
          <t>VÄRMLANDS LÄN</t>
        </is>
      </c>
      <c r="E5158" t="inlineStr">
        <is>
          <t>ÅRJÄNG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25720-2025</t>
        </is>
      </c>
      <c r="B5159" s="1" t="n">
        <v>45803.70553240741</v>
      </c>
      <c r="C5159" s="1" t="n">
        <v>45932</v>
      </c>
      <c r="D5159" t="inlineStr">
        <is>
          <t>VÄRMLANDS LÄN</t>
        </is>
      </c>
      <c r="E5159" t="inlineStr">
        <is>
          <t>STORFORS</t>
        </is>
      </c>
      <c r="F5159" t="inlineStr">
        <is>
          <t>Bergvik skog väst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16616-2024</t>
        </is>
      </c>
      <c r="B5160" s="1" t="n">
        <v>45408</v>
      </c>
      <c r="C5160" s="1" t="n">
        <v>45932</v>
      </c>
      <c r="D5160" t="inlineStr">
        <is>
          <t>VÄRMLANDS LÄN</t>
        </is>
      </c>
      <c r="E5160" t="inlineStr">
        <is>
          <t>KARLSTAD</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25136-2025</t>
        </is>
      </c>
      <c r="B5161" s="1" t="n">
        <v>45800.39258101852</v>
      </c>
      <c r="C5161" s="1" t="n">
        <v>45932</v>
      </c>
      <c r="D5161" t="inlineStr">
        <is>
          <t>VÄRMLANDS LÄN</t>
        </is>
      </c>
      <c r="E5161" t="inlineStr">
        <is>
          <t>ARVIKA</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25138-2025</t>
        </is>
      </c>
      <c r="B5162" s="1" t="n">
        <v>45800.39847222222</v>
      </c>
      <c r="C5162" s="1" t="n">
        <v>45932</v>
      </c>
      <c r="D5162" t="inlineStr">
        <is>
          <t>VÄRMLANDS LÄN</t>
        </is>
      </c>
      <c r="E5162" t="inlineStr">
        <is>
          <t>EDA</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25139-2025</t>
        </is>
      </c>
      <c r="B5163" s="1" t="n">
        <v>45800.40030092592</v>
      </c>
      <c r="C5163" s="1" t="n">
        <v>45932</v>
      </c>
      <c r="D5163" t="inlineStr">
        <is>
          <t>VÄRMLANDS LÄN</t>
        </is>
      </c>
      <c r="E5163" t="inlineStr">
        <is>
          <t>EDA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25218-2025</t>
        </is>
      </c>
      <c r="B5164" s="1" t="n">
        <v>45800.4766087963</v>
      </c>
      <c r="C5164" s="1" t="n">
        <v>45932</v>
      </c>
      <c r="D5164" t="inlineStr">
        <is>
          <t>VÄRMLANDS LÄN</t>
        </is>
      </c>
      <c r="E5164" t="inlineStr">
        <is>
          <t>TORSBY</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11944-2022</t>
        </is>
      </c>
      <c r="B5165" s="1" t="n">
        <v>44635.57199074074</v>
      </c>
      <c r="C5165" s="1" t="n">
        <v>45932</v>
      </c>
      <c r="D5165" t="inlineStr">
        <is>
          <t>VÄRMLANDS LÄN</t>
        </is>
      </c>
      <c r="E5165" t="inlineStr">
        <is>
          <t>SÄFFLE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24112-2024</t>
        </is>
      </c>
      <c r="B5166" s="1" t="n">
        <v>45456.61538194444</v>
      </c>
      <c r="C5166" s="1" t="n">
        <v>45932</v>
      </c>
      <c r="D5166" t="inlineStr">
        <is>
          <t>VÄRMLANDS LÄN</t>
        </is>
      </c>
      <c r="E5166" t="inlineStr">
        <is>
          <t>EDA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25163-2025</t>
        </is>
      </c>
      <c r="B5167" s="1" t="n">
        <v>45800</v>
      </c>
      <c r="C5167" s="1" t="n">
        <v>45932</v>
      </c>
      <c r="D5167" t="inlineStr">
        <is>
          <t>VÄRMLANDS LÄN</t>
        </is>
      </c>
      <c r="E5167" t="inlineStr">
        <is>
          <t>KARLSTAD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47097-2024</t>
        </is>
      </c>
      <c r="B5168" s="1" t="n">
        <v>45586</v>
      </c>
      <c r="C5168" s="1" t="n">
        <v>45932</v>
      </c>
      <c r="D5168" t="inlineStr">
        <is>
          <t>VÄRMLANDS LÄN</t>
        </is>
      </c>
      <c r="E5168" t="inlineStr">
        <is>
          <t>SUNNE</t>
        </is>
      </c>
      <c r="F5168" t="inlineStr">
        <is>
          <t>Kommuner</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63177-2023</t>
        </is>
      </c>
      <c r="B5169" s="1" t="n">
        <v>45272</v>
      </c>
      <c r="C5169" s="1" t="n">
        <v>45932</v>
      </c>
      <c r="D5169" t="inlineStr">
        <is>
          <t>VÄRMLANDS LÄN</t>
        </is>
      </c>
      <c r="E5169" t="inlineStr">
        <is>
          <t>TORSBY</t>
        </is>
      </c>
      <c r="G5169" t="n">
        <v>14.9</v>
      </c>
      <c r="H5169" t="n">
        <v>0</v>
      </c>
      <c r="I5169" t="n">
        <v>0</v>
      </c>
      <c r="J5169" t="n">
        <v>0</v>
      </c>
      <c r="K5169" t="n">
        <v>0</v>
      </c>
      <c r="L5169" t="n">
        <v>0</v>
      </c>
      <c r="M5169" t="n">
        <v>0</v>
      </c>
      <c r="N5169" t="n">
        <v>0</v>
      </c>
      <c r="O5169" t="n">
        <v>0</v>
      </c>
      <c r="P5169" t="n">
        <v>0</v>
      </c>
      <c r="Q5169" t="n">
        <v>0</v>
      </c>
      <c r="R5169" s="2" t="inlineStr"/>
    </row>
    <row r="5170" ht="15" customHeight="1">
      <c r="A5170" t="inlineStr">
        <is>
          <t>A 63208-2023</t>
        </is>
      </c>
      <c r="B5170" s="1" t="n">
        <v>45273.61193287037</v>
      </c>
      <c r="C5170" s="1" t="n">
        <v>45932</v>
      </c>
      <c r="D5170" t="inlineStr">
        <is>
          <t>VÄRMLANDS LÄN</t>
        </is>
      </c>
      <c r="E5170" t="inlineStr">
        <is>
          <t>ARVIKA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56917-2024</t>
        </is>
      </c>
      <c r="B5171" s="1" t="n">
        <v>45628</v>
      </c>
      <c r="C5171" s="1" t="n">
        <v>45932</v>
      </c>
      <c r="D5171" t="inlineStr">
        <is>
          <t>VÄRMLANDS LÄN</t>
        </is>
      </c>
      <c r="E5171" t="inlineStr">
        <is>
          <t>ÅRJÄNG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12068-2022</t>
        </is>
      </c>
      <c r="B5172" s="1" t="n">
        <v>44636</v>
      </c>
      <c r="C5172" s="1" t="n">
        <v>45932</v>
      </c>
      <c r="D5172" t="inlineStr">
        <is>
          <t>VÄRMLANDS LÄN</t>
        </is>
      </c>
      <c r="E5172" t="inlineStr">
        <is>
          <t>ÅRJÄNG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39211-2022</t>
        </is>
      </c>
      <c r="B5173" s="1" t="n">
        <v>44817.55997685185</v>
      </c>
      <c r="C5173" s="1" t="n">
        <v>45932</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25484-2025</t>
        </is>
      </c>
      <c r="B5174" s="1" t="n">
        <v>45802.98574074074</v>
      </c>
      <c r="C5174" s="1" t="n">
        <v>45932</v>
      </c>
      <c r="D5174" t="inlineStr">
        <is>
          <t>VÄRMLANDS LÄN</t>
        </is>
      </c>
      <c r="E5174" t="inlineStr">
        <is>
          <t>KRISTINEHAMN</t>
        </is>
      </c>
      <c r="F5174" t="inlineStr">
        <is>
          <t>Naturvårdsverket</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25489-2025</t>
        </is>
      </c>
      <c r="B5175" s="1" t="n">
        <v>45803</v>
      </c>
      <c r="C5175" s="1" t="n">
        <v>45932</v>
      </c>
      <c r="D5175" t="inlineStr">
        <is>
          <t>VÄRMLANDS LÄN</t>
        </is>
      </c>
      <c r="E5175" t="inlineStr">
        <is>
          <t>ARVIKA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53993-2022</t>
        </is>
      </c>
      <c r="B5176" s="1" t="n">
        <v>44881</v>
      </c>
      <c r="C5176" s="1" t="n">
        <v>45932</v>
      </c>
      <c r="D5176" t="inlineStr">
        <is>
          <t>VÄRMLANDS LÄN</t>
        </is>
      </c>
      <c r="E5176" t="inlineStr">
        <is>
          <t>ARVIKA</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61677-2021</t>
        </is>
      </c>
      <c r="B5177" s="1" t="n">
        <v>44501</v>
      </c>
      <c r="C5177" s="1" t="n">
        <v>45932</v>
      </c>
      <c r="D5177" t="inlineStr">
        <is>
          <t>VÄRMLANDS LÄN</t>
        </is>
      </c>
      <c r="E5177" t="inlineStr">
        <is>
          <t>SÄFFLE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19016-2025</t>
        </is>
      </c>
      <c r="B5178" s="1" t="n">
        <v>45764</v>
      </c>
      <c r="C5178" s="1" t="n">
        <v>45932</v>
      </c>
      <c r="D5178" t="inlineStr">
        <is>
          <t>VÄRMLANDS LÄN</t>
        </is>
      </c>
      <c r="E5178" t="inlineStr">
        <is>
          <t>SUNNE</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15058-2021</t>
        </is>
      </c>
      <c r="B5179" s="1" t="n">
        <v>44281</v>
      </c>
      <c r="C5179" s="1" t="n">
        <v>45932</v>
      </c>
      <c r="D5179" t="inlineStr">
        <is>
          <t>VÄRMLANDS LÄN</t>
        </is>
      </c>
      <c r="E5179" t="inlineStr">
        <is>
          <t>ARVIKA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5494-2025</t>
        </is>
      </c>
      <c r="B5180" s="1" t="n">
        <v>45693</v>
      </c>
      <c r="C5180" s="1" t="n">
        <v>45932</v>
      </c>
      <c r="D5180" t="inlineStr">
        <is>
          <t>VÄRMLANDS LÄN</t>
        </is>
      </c>
      <c r="E5180" t="inlineStr">
        <is>
          <t>KRISTINEHAMN</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23754-2024</t>
        </is>
      </c>
      <c r="B5181" s="1" t="n">
        <v>45455</v>
      </c>
      <c r="C5181" s="1" t="n">
        <v>45932</v>
      </c>
      <c r="D5181" t="inlineStr">
        <is>
          <t>VÄRMLANDS LÄN</t>
        </is>
      </c>
      <c r="E5181" t="inlineStr">
        <is>
          <t>ÅRJÄNG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37076-2023</t>
        </is>
      </c>
      <c r="B5182" s="1" t="n">
        <v>45154</v>
      </c>
      <c r="C5182" s="1" t="n">
        <v>45932</v>
      </c>
      <c r="D5182" t="inlineStr">
        <is>
          <t>VÄRMLANDS LÄN</t>
        </is>
      </c>
      <c r="E5182" t="inlineStr">
        <is>
          <t>KARLSTAD</t>
        </is>
      </c>
      <c r="F5182" t="inlineStr">
        <is>
          <t>Övriga statliga verk och myndigheter</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9909-2024</t>
        </is>
      </c>
      <c r="B5183" s="1" t="n">
        <v>45363.53642361111</v>
      </c>
      <c r="C5183" s="1" t="n">
        <v>45932</v>
      </c>
      <c r="D5183" t="inlineStr">
        <is>
          <t>VÄRMLANDS LÄN</t>
        </is>
      </c>
      <c r="E5183" t="inlineStr">
        <is>
          <t>ÅRJÄNG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37240-2024</t>
        </is>
      </c>
      <c r="B5184" s="1" t="n">
        <v>45540.34078703704</v>
      </c>
      <c r="C5184" s="1" t="n">
        <v>45932</v>
      </c>
      <c r="D5184" t="inlineStr">
        <is>
          <t>VÄRMLANDS LÄN</t>
        </is>
      </c>
      <c r="E5184" t="inlineStr">
        <is>
          <t>ARVIKA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29263-2023</t>
        </is>
      </c>
      <c r="B5185" s="1" t="n">
        <v>45105</v>
      </c>
      <c r="C5185" s="1" t="n">
        <v>45932</v>
      </c>
      <c r="D5185" t="inlineStr">
        <is>
          <t>VÄRMLANDS LÄN</t>
        </is>
      </c>
      <c r="E5185" t="inlineStr">
        <is>
          <t>ÅRJÄNG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14644-2023</t>
        </is>
      </c>
      <c r="B5186" s="1" t="n">
        <v>45012</v>
      </c>
      <c r="C5186" s="1" t="n">
        <v>45932</v>
      </c>
      <c r="D5186" t="inlineStr">
        <is>
          <t>VÄRMLANDS LÄN</t>
        </is>
      </c>
      <c r="E5186" t="inlineStr">
        <is>
          <t>SÄFFLE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25186-2025</t>
        </is>
      </c>
      <c r="B5187" s="1" t="n">
        <v>45800.45247685185</v>
      </c>
      <c r="C5187" s="1" t="n">
        <v>45932</v>
      </c>
      <c r="D5187" t="inlineStr">
        <is>
          <t>VÄRMLANDS LÄN</t>
        </is>
      </c>
      <c r="E5187" t="inlineStr">
        <is>
          <t>TORSBY</t>
        </is>
      </c>
      <c r="F5187" t="inlineStr">
        <is>
          <t>Kyrkan</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45880-2023</t>
        </is>
      </c>
      <c r="B5188" s="1" t="n">
        <v>45195.64239583333</v>
      </c>
      <c r="C5188" s="1" t="n">
        <v>45932</v>
      </c>
      <c r="D5188" t="inlineStr">
        <is>
          <t>VÄRMLANDS LÄN</t>
        </is>
      </c>
      <c r="E5188" t="inlineStr">
        <is>
          <t>EDA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14222-2021</t>
        </is>
      </c>
      <c r="B5189" s="1" t="n">
        <v>44278</v>
      </c>
      <c r="C5189" s="1" t="n">
        <v>45932</v>
      </c>
      <c r="D5189" t="inlineStr">
        <is>
          <t>VÄRMLANDS LÄN</t>
        </is>
      </c>
      <c r="E5189" t="inlineStr">
        <is>
          <t>EDA</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9904-2024</t>
        </is>
      </c>
      <c r="B5190" s="1" t="n">
        <v>45363</v>
      </c>
      <c r="C5190" s="1" t="n">
        <v>45932</v>
      </c>
      <c r="D5190" t="inlineStr">
        <is>
          <t>VÄRMLANDS LÄN</t>
        </is>
      </c>
      <c r="E5190" t="inlineStr">
        <is>
          <t>TORSBY</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29122-2024</t>
        </is>
      </c>
      <c r="B5191" s="1" t="n">
        <v>45482.30646990741</v>
      </c>
      <c r="C5191" s="1" t="n">
        <v>45932</v>
      </c>
      <c r="D5191" t="inlineStr">
        <is>
          <t>VÄRMLANDS LÄN</t>
        </is>
      </c>
      <c r="E5191" t="inlineStr">
        <is>
          <t>EDA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25558-2025</t>
        </is>
      </c>
      <c r="B5192" s="1" t="n">
        <v>45803.45292824074</v>
      </c>
      <c r="C5192" s="1" t="n">
        <v>45932</v>
      </c>
      <c r="D5192" t="inlineStr">
        <is>
          <t>VÄRMLANDS LÄN</t>
        </is>
      </c>
      <c r="E5192" t="inlineStr">
        <is>
          <t>KARLSTAD</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59331-2024</t>
        </is>
      </c>
      <c r="B5193" s="1" t="n">
        <v>45637.79212962963</v>
      </c>
      <c r="C5193" s="1" t="n">
        <v>45932</v>
      </c>
      <c r="D5193" t="inlineStr">
        <is>
          <t>VÄRMLANDS LÄN</t>
        </is>
      </c>
      <c r="E5193" t="inlineStr">
        <is>
          <t>HAGFORS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9908-2024</t>
        </is>
      </c>
      <c r="B5194" s="1" t="n">
        <v>45363</v>
      </c>
      <c r="C5194" s="1" t="n">
        <v>45932</v>
      </c>
      <c r="D5194" t="inlineStr">
        <is>
          <t>VÄRMLANDS LÄN</t>
        </is>
      </c>
      <c r="E5194" t="inlineStr">
        <is>
          <t>TORSBY</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3260-2025</t>
        </is>
      </c>
      <c r="B5195" s="1" t="n">
        <v>45679.56194444445</v>
      </c>
      <c r="C5195" s="1" t="n">
        <v>45932</v>
      </c>
      <c r="D5195" t="inlineStr">
        <is>
          <t>VÄRMLANDS LÄN</t>
        </is>
      </c>
      <c r="E5195" t="inlineStr">
        <is>
          <t>SUNNE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13640-2024</t>
        </is>
      </c>
      <c r="B5196" s="1" t="n">
        <v>45390.45954861111</v>
      </c>
      <c r="C5196" s="1" t="n">
        <v>45932</v>
      </c>
      <c r="D5196" t="inlineStr">
        <is>
          <t>VÄRMLANDS LÄN</t>
        </is>
      </c>
      <c r="E5196" t="inlineStr">
        <is>
          <t>EDA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17297-2024</t>
        </is>
      </c>
      <c r="B5197" s="1" t="n">
        <v>45414.48494212963</v>
      </c>
      <c r="C5197" s="1" t="n">
        <v>45932</v>
      </c>
      <c r="D5197" t="inlineStr">
        <is>
          <t>VÄRMLANDS LÄN</t>
        </is>
      </c>
      <c r="E5197" t="inlineStr">
        <is>
          <t>HAGFORS</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25077-2025</t>
        </is>
      </c>
      <c r="B5198" s="1" t="n">
        <v>45799.87241898148</v>
      </c>
      <c r="C5198" s="1" t="n">
        <v>45932</v>
      </c>
      <c r="D5198" t="inlineStr">
        <is>
          <t>VÄRMLANDS LÄN</t>
        </is>
      </c>
      <c r="E5198" t="inlineStr">
        <is>
          <t>ARVIKA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42045-2024</t>
        </is>
      </c>
      <c r="B5199" s="1" t="n">
        <v>45561</v>
      </c>
      <c r="C5199" s="1" t="n">
        <v>45932</v>
      </c>
      <c r="D5199" t="inlineStr">
        <is>
          <t>VÄRMLANDS LÄN</t>
        </is>
      </c>
      <c r="E5199" t="inlineStr">
        <is>
          <t>ÅRJÄNG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53744-2023</t>
        </is>
      </c>
      <c r="B5200" s="1" t="n">
        <v>45230</v>
      </c>
      <c r="C5200" s="1" t="n">
        <v>45932</v>
      </c>
      <c r="D5200" t="inlineStr">
        <is>
          <t>VÄRMLANDS LÄN</t>
        </is>
      </c>
      <c r="E5200" t="inlineStr">
        <is>
          <t>FILIPSTAD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11671-2025</t>
        </is>
      </c>
      <c r="B5201" s="1" t="n">
        <v>45727.52484953704</v>
      </c>
      <c r="C5201" s="1" t="n">
        <v>45932</v>
      </c>
      <c r="D5201" t="inlineStr">
        <is>
          <t>VÄRMLANDS LÄN</t>
        </is>
      </c>
      <c r="E5201" t="inlineStr">
        <is>
          <t>ARVIKA</t>
        </is>
      </c>
      <c r="F5201" t="inlineStr">
        <is>
          <t>Bergvik skog väst AB</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56574-2023</t>
        </is>
      </c>
      <c r="B5202" s="1" t="n">
        <v>45243.61638888889</v>
      </c>
      <c r="C5202" s="1" t="n">
        <v>45932</v>
      </c>
      <c r="D5202" t="inlineStr">
        <is>
          <t>VÄRMLANDS LÄN</t>
        </is>
      </c>
      <c r="E5202" t="inlineStr">
        <is>
          <t>KARLSTAD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4585-2023</t>
        </is>
      </c>
      <c r="B5203" s="1" t="n">
        <v>44956.79790509259</v>
      </c>
      <c r="C5203" s="1" t="n">
        <v>45932</v>
      </c>
      <c r="D5203" t="inlineStr">
        <is>
          <t>VÄRMLANDS LÄN</t>
        </is>
      </c>
      <c r="E5203" t="inlineStr">
        <is>
          <t>TORSBY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55686-2024</t>
        </is>
      </c>
      <c r="B5204" s="1" t="n">
        <v>45622</v>
      </c>
      <c r="C5204" s="1" t="n">
        <v>45932</v>
      </c>
      <c r="D5204" t="inlineStr">
        <is>
          <t>VÄRMLANDS LÄN</t>
        </is>
      </c>
      <c r="E5204" t="inlineStr">
        <is>
          <t>ÅRJÄNG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25194-2025</t>
        </is>
      </c>
      <c r="B5205" s="1" t="n">
        <v>45800</v>
      </c>
      <c r="C5205" s="1" t="n">
        <v>45932</v>
      </c>
      <c r="D5205" t="inlineStr">
        <is>
          <t>VÄRMLANDS LÄN</t>
        </is>
      </c>
      <c r="E5205" t="inlineStr">
        <is>
          <t>HAGFORS</t>
        </is>
      </c>
      <c r="F5205" t="inlineStr">
        <is>
          <t>Bergvik skog väst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25199-2025</t>
        </is>
      </c>
      <c r="B5206" s="1" t="n">
        <v>45800.46146990741</v>
      </c>
      <c r="C5206" s="1" t="n">
        <v>45932</v>
      </c>
      <c r="D5206" t="inlineStr">
        <is>
          <t>VÄRMLANDS LÄN</t>
        </is>
      </c>
      <c r="E5206" t="inlineStr">
        <is>
          <t>SUNNE</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25229-2025</t>
        </is>
      </c>
      <c r="B5207" s="1" t="n">
        <v>45800.48400462963</v>
      </c>
      <c r="C5207" s="1" t="n">
        <v>45932</v>
      </c>
      <c r="D5207" t="inlineStr">
        <is>
          <t>VÄRMLANDS LÄN</t>
        </is>
      </c>
      <c r="E5207" t="inlineStr">
        <is>
          <t>KARLSTAD</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20862-2024</t>
        </is>
      </c>
      <c r="B5208" s="1" t="n">
        <v>45439</v>
      </c>
      <c r="C5208" s="1" t="n">
        <v>45932</v>
      </c>
      <c r="D5208" t="inlineStr">
        <is>
          <t>VÄRMLANDS LÄN</t>
        </is>
      </c>
      <c r="E5208" t="inlineStr">
        <is>
          <t>FORSHAGA</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20847-2023</t>
        </is>
      </c>
      <c r="B5209" s="1" t="n">
        <v>45056</v>
      </c>
      <c r="C5209" s="1" t="n">
        <v>45932</v>
      </c>
      <c r="D5209" t="inlineStr">
        <is>
          <t>VÄRMLANDS LÄN</t>
        </is>
      </c>
      <c r="E5209" t="inlineStr">
        <is>
          <t>TORSBY</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25236-2025</t>
        </is>
      </c>
      <c r="B5210" s="1" t="n">
        <v>45800.48954861111</v>
      </c>
      <c r="C5210" s="1" t="n">
        <v>45932</v>
      </c>
      <c r="D5210" t="inlineStr">
        <is>
          <t>VÄRMLANDS LÄN</t>
        </is>
      </c>
      <c r="E5210" t="inlineStr">
        <is>
          <t>KARLSTAD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41899-2023</t>
        </is>
      </c>
      <c r="B5211" s="1" t="n">
        <v>45176</v>
      </c>
      <c r="C5211" s="1" t="n">
        <v>45932</v>
      </c>
      <c r="D5211" t="inlineStr">
        <is>
          <t>VÄRMLANDS LÄN</t>
        </is>
      </c>
      <c r="E5211" t="inlineStr">
        <is>
          <t>HAMMARÖ</t>
        </is>
      </c>
      <c r="F5211" t="inlineStr">
        <is>
          <t>Övriga Aktiebolag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57898-2023</t>
        </is>
      </c>
      <c r="B5212" s="1" t="n">
        <v>45247</v>
      </c>
      <c r="C5212" s="1" t="n">
        <v>45932</v>
      </c>
      <c r="D5212" t="inlineStr">
        <is>
          <t>VÄRMLANDS LÄN</t>
        </is>
      </c>
      <c r="E5212" t="inlineStr">
        <is>
          <t>SUNNE</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41954-2023</t>
        </is>
      </c>
      <c r="B5213" s="1" t="n">
        <v>45177.34802083333</v>
      </c>
      <c r="C5213" s="1" t="n">
        <v>45932</v>
      </c>
      <c r="D5213" t="inlineStr">
        <is>
          <t>VÄRMLANDS LÄN</t>
        </is>
      </c>
      <c r="E5213" t="inlineStr">
        <is>
          <t>SUNNE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25353-2025</t>
        </is>
      </c>
      <c r="B5214" s="1" t="n">
        <v>45800.61553240741</v>
      </c>
      <c r="C5214" s="1" t="n">
        <v>45932</v>
      </c>
      <c r="D5214" t="inlineStr">
        <is>
          <t>VÄRMLANDS LÄN</t>
        </is>
      </c>
      <c r="E5214" t="inlineStr">
        <is>
          <t>TORSBY</t>
        </is>
      </c>
      <c r="F5214" t="inlineStr">
        <is>
          <t>Bergvik skog väst AB</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41963-2023</t>
        </is>
      </c>
      <c r="B5215" s="1" t="n">
        <v>45177.36246527778</v>
      </c>
      <c r="C5215" s="1" t="n">
        <v>45932</v>
      </c>
      <c r="D5215" t="inlineStr">
        <is>
          <t>VÄRMLANDS LÄN</t>
        </is>
      </c>
      <c r="E5215" t="inlineStr">
        <is>
          <t>KARLSTAD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25370-2025</t>
        </is>
      </c>
      <c r="B5216" s="1" t="n">
        <v>45800.63108796296</v>
      </c>
      <c r="C5216" s="1" t="n">
        <v>45932</v>
      </c>
      <c r="D5216" t="inlineStr">
        <is>
          <t>VÄRMLANDS LÄN</t>
        </is>
      </c>
      <c r="E5216" t="inlineStr">
        <is>
          <t>SUNNE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25490-2025</t>
        </is>
      </c>
      <c r="B5217" s="1" t="n">
        <v>45803.30792824074</v>
      </c>
      <c r="C5217" s="1" t="n">
        <v>45932</v>
      </c>
      <c r="D5217" t="inlineStr">
        <is>
          <t>VÄRMLANDS LÄN</t>
        </is>
      </c>
      <c r="E5217" t="inlineStr">
        <is>
          <t>HAGFORS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25184-2025</t>
        </is>
      </c>
      <c r="B5218" s="1" t="n">
        <v>45800.44991898148</v>
      </c>
      <c r="C5218" s="1" t="n">
        <v>45932</v>
      </c>
      <c r="D5218" t="inlineStr">
        <is>
          <t>VÄRMLANDS LÄN</t>
        </is>
      </c>
      <c r="E5218" t="inlineStr">
        <is>
          <t>SUNNE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56893-2023</t>
        </is>
      </c>
      <c r="B5219" s="1" t="n">
        <v>45244</v>
      </c>
      <c r="C5219" s="1" t="n">
        <v>45932</v>
      </c>
      <c r="D5219" t="inlineStr">
        <is>
          <t>VÄRMLANDS LÄN</t>
        </is>
      </c>
      <c r="E5219" t="inlineStr">
        <is>
          <t>HAGFORS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56060-2023</t>
        </is>
      </c>
      <c r="B5220" s="1" t="n">
        <v>45233</v>
      </c>
      <c r="C5220" s="1" t="n">
        <v>45932</v>
      </c>
      <c r="D5220" t="inlineStr">
        <is>
          <t>VÄRMLANDS LÄN</t>
        </is>
      </c>
      <c r="E5220" t="inlineStr">
        <is>
          <t>ÅRJÄNG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21608-2023</t>
        </is>
      </c>
      <c r="B5221" s="1" t="n">
        <v>45063.62739583333</v>
      </c>
      <c r="C5221" s="1" t="n">
        <v>45932</v>
      </c>
      <c r="D5221" t="inlineStr">
        <is>
          <t>VÄRMLANDS LÄN</t>
        </is>
      </c>
      <c r="E5221" t="inlineStr">
        <is>
          <t>FILIPSTAD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10175-2021</t>
        </is>
      </c>
      <c r="B5222" s="1" t="n">
        <v>44256</v>
      </c>
      <c r="C5222" s="1" t="n">
        <v>45932</v>
      </c>
      <c r="D5222" t="inlineStr">
        <is>
          <t>VÄRMLANDS LÄN</t>
        </is>
      </c>
      <c r="E5222" t="inlineStr">
        <is>
          <t>KRISTINEHAMN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52823-2023</t>
        </is>
      </c>
      <c r="B5223" s="1" t="n">
        <v>45226.39951388889</v>
      </c>
      <c r="C5223" s="1" t="n">
        <v>45932</v>
      </c>
      <c r="D5223" t="inlineStr">
        <is>
          <t>VÄRMLANDS LÄN</t>
        </is>
      </c>
      <c r="E5223" t="inlineStr">
        <is>
          <t>EDA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16104-2024</t>
        </is>
      </c>
      <c r="B5224" s="1" t="n">
        <v>45406.45436342592</v>
      </c>
      <c r="C5224" s="1" t="n">
        <v>45932</v>
      </c>
      <c r="D5224" t="inlineStr">
        <is>
          <t>VÄRMLANDS LÄN</t>
        </is>
      </c>
      <c r="E5224" t="inlineStr">
        <is>
          <t>ARVIKA</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54777-2023</t>
        </is>
      </c>
      <c r="B5225" s="1" t="n">
        <v>45236</v>
      </c>
      <c r="C5225" s="1" t="n">
        <v>45932</v>
      </c>
      <c r="D5225" t="inlineStr">
        <is>
          <t>VÄRMLANDS LÄN</t>
        </is>
      </c>
      <c r="E5225" t="inlineStr">
        <is>
          <t>TORSBY</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58210-2022</t>
        </is>
      </c>
      <c r="B5226" s="1" t="n">
        <v>44901</v>
      </c>
      <c r="C5226" s="1" t="n">
        <v>45932</v>
      </c>
      <c r="D5226" t="inlineStr">
        <is>
          <t>VÄRMLANDS LÄN</t>
        </is>
      </c>
      <c r="E5226" t="inlineStr">
        <is>
          <t>HAGFORS</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57785-2024</t>
        </is>
      </c>
      <c r="B5227" s="1" t="n">
        <v>45631</v>
      </c>
      <c r="C5227" s="1" t="n">
        <v>45932</v>
      </c>
      <c r="D5227" t="inlineStr">
        <is>
          <t>VÄRMLANDS LÄN</t>
        </is>
      </c>
      <c r="E5227" t="inlineStr">
        <is>
          <t>TORSBY</t>
        </is>
      </c>
      <c r="F5227" t="inlineStr">
        <is>
          <t>Bergvik skog väst AB</t>
        </is>
      </c>
      <c r="G5227" t="n">
        <v>10.9</v>
      </c>
      <c r="H5227" t="n">
        <v>0</v>
      </c>
      <c r="I5227" t="n">
        <v>0</v>
      </c>
      <c r="J5227" t="n">
        <v>0</v>
      </c>
      <c r="K5227" t="n">
        <v>0</v>
      </c>
      <c r="L5227" t="n">
        <v>0</v>
      </c>
      <c r="M5227" t="n">
        <v>0</v>
      </c>
      <c r="N5227" t="n">
        <v>0</v>
      </c>
      <c r="O5227" t="n">
        <v>0</v>
      </c>
      <c r="P5227" t="n">
        <v>0</v>
      </c>
      <c r="Q5227" t="n">
        <v>0</v>
      </c>
      <c r="R5227" s="2" t="inlineStr"/>
    </row>
    <row r="5228" ht="15" customHeight="1">
      <c r="A5228" t="inlineStr">
        <is>
          <t>A 25183-2025</t>
        </is>
      </c>
      <c r="B5228" s="1" t="n">
        <v>45800</v>
      </c>
      <c r="C5228" s="1" t="n">
        <v>45932</v>
      </c>
      <c r="D5228" t="inlineStr">
        <is>
          <t>VÄRMLANDS LÄN</t>
        </is>
      </c>
      <c r="E5228" t="inlineStr">
        <is>
          <t>SÄFFLE</t>
        </is>
      </c>
      <c r="G5228" t="n">
        <v>16.1</v>
      </c>
      <c r="H5228" t="n">
        <v>0</v>
      </c>
      <c r="I5228" t="n">
        <v>0</v>
      </c>
      <c r="J5228" t="n">
        <v>0</v>
      </c>
      <c r="K5228" t="n">
        <v>0</v>
      </c>
      <c r="L5228" t="n">
        <v>0</v>
      </c>
      <c r="M5228" t="n">
        <v>0</v>
      </c>
      <c r="N5228" t="n">
        <v>0</v>
      </c>
      <c r="O5228" t="n">
        <v>0</v>
      </c>
      <c r="P5228" t="n">
        <v>0</v>
      </c>
      <c r="Q5228" t="n">
        <v>0</v>
      </c>
      <c r="R5228" s="2" t="inlineStr"/>
    </row>
    <row r="5229" ht="15" customHeight="1">
      <c r="A5229" t="inlineStr">
        <is>
          <t>A 25189-2025</t>
        </is>
      </c>
      <c r="B5229" s="1" t="n">
        <v>45800.4567824074</v>
      </c>
      <c r="C5229" s="1" t="n">
        <v>45932</v>
      </c>
      <c r="D5229" t="inlineStr">
        <is>
          <t>VÄRMLANDS LÄN</t>
        </is>
      </c>
      <c r="E5229" t="inlineStr">
        <is>
          <t>SUNNE</t>
        </is>
      </c>
      <c r="F5229" t="inlineStr">
        <is>
          <t>Bergvik skog väst AB</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37822-2024</t>
        </is>
      </c>
      <c r="B5230" s="1" t="n">
        <v>45544.33984953703</v>
      </c>
      <c r="C5230" s="1" t="n">
        <v>45932</v>
      </c>
      <c r="D5230" t="inlineStr">
        <is>
          <t>VÄRMLANDS LÄN</t>
        </is>
      </c>
      <c r="E5230" t="inlineStr">
        <is>
          <t>EDA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25214-2025</t>
        </is>
      </c>
      <c r="B5231" s="1" t="n">
        <v>45800.47282407407</v>
      </c>
      <c r="C5231" s="1" t="n">
        <v>45932</v>
      </c>
      <c r="D5231" t="inlineStr">
        <is>
          <t>VÄRMLANDS LÄN</t>
        </is>
      </c>
      <c r="E5231" t="inlineStr">
        <is>
          <t>SUNNE</t>
        </is>
      </c>
      <c r="F5231" t="inlineStr">
        <is>
          <t>Bergvik skog väst AB</t>
        </is>
      </c>
      <c r="G5231" t="n">
        <v>8.9</v>
      </c>
      <c r="H5231" t="n">
        <v>0</v>
      </c>
      <c r="I5231" t="n">
        <v>0</v>
      </c>
      <c r="J5231" t="n">
        <v>0</v>
      </c>
      <c r="K5231" t="n">
        <v>0</v>
      </c>
      <c r="L5231" t="n">
        <v>0</v>
      </c>
      <c r="M5231" t="n">
        <v>0</v>
      </c>
      <c r="N5231" t="n">
        <v>0</v>
      </c>
      <c r="O5231" t="n">
        <v>0</v>
      </c>
      <c r="P5231" t="n">
        <v>0</v>
      </c>
      <c r="Q5231" t="n">
        <v>0</v>
      </c>
      <c r="R5231" s="2" t="inlineStr"/>
    </row>
    <row r="5232" ht="15" customHeight="1">
      <c r="A5232" t="inlineStr">
        <is>
          <t>A 29392-2023</t>
        </is>
      </c>
      <c r="B5232" s="1" t="n">
        <v>45106</v>
      </c>
      <c r="C5232" s="1" t="n">
        <v>45932</v>
      </c>
      <c r="D5232" t="inlineStr">
        <is>
          <t>VÄRMLANDS LÄN</t>
        </is>
      </c>
      <c r="E5232" t="inlineStr">
        <is>
          <t>ARVIKA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25231-2025</t>
        </is>
      </c>
      <c r="B5233" s="1" t="n">
        <v>45800.48482638889</v>
      </c>
      <c r="C5233" s="1" t="n">
        <v>45932</v>
      </c>
      <c r="D5233" t="inlineStr">
        <is>
          <t>VÄRMLANDS LÄN</t>
        </is>
      </c>
      <c r="E5233" t="inlineStr">
        <is>
          <t>SUNNE</t>
        </is>
      </c>
      <c r="F5233" t="inlineStr">
        <is>
          <t>Bergvik skog väst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25144-2025</t>
        </is>
      </c>
      <c r="B5234" s="1" t="n">
        <v>45800.41766203703</v>
      </c>
      <c r="C5234" s="1" t="n">
        <v>45932</v>
      </c>
      <c r="D5234" t="inlineStr">
        <is>
          <t>VÄRMLANDS LÄN</t>
        </is>
      </c>
      <c r="E5234" t="inlineStr">
        <is>
          <t>SUNNE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18595-2025</t>
        </is>
      </c>
      <c r="B5235" s="1" t="n">
        <v>45763</v>
      </c>
      <c r="C5235" s="1" t="n">
        <v>45932</v>
      </c>
      <c r="D5235" t="inlineStr">
        <is>
          <t>VÄRMLANDS LÄN</t>
        </is>
      </c>
      <c r="E5235" t="inlineStr">
        <is>
          <t>TORSBY</t>
        </is>
      </c>
      <c r="F5235" t="inlineStr">
        <is>
          <t>Kyrkan</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29925-2024</t>
        </is>
      </c>
      <c r="B5236" s="1" t="n">
        <v>45488</v>
      </c>
      <c r="C5236" s="1" t="n">
        <v>45932</v>
      </c>
      <c r="D5236" t="inlineStr">
        <is>
          <t>VÄRMLANDS LÄN</t>
        </is>
      </c>
      <c r="E5236" t="inlineStr">
        <is>
          <t>TORSBY</t>
        </is>
      </c>
      <c r="F5236" t="inlineStr">
        <is>
          <t>Kyrkan</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29726-2021</t>
        </is>
      </c>
      <c r="B5237" s="1" t="n">
        <v>44362.44429398148</v>
      </c>
      <c r="C5237" s="1" t="n">
        <v>45932</v>
      </c>
      <c r="D5237" t="inlineStr">
        <is>
          <t>VÄRMLANDS LÄN</t>
        </is>
      </c>
      <c r="E5237" t="inlineStr">
        <is>
          <t>HAGFORS</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7985-2025</t>
        </is>
      </c>
      <c r="B5238" s="1" t="n">
        <v>45707.47486111111</v>
      </c>
      <c r="C5238" s="1" t="n">
        <v>45932</v>
      </c>
      <c r="D5238" t="inlineStr">
        <is>
          <t>VÄRMLANDS LÄN</t>
        </is>
      </c>
      <c r="E5238" t="inlineStr">
        <is>
          <t>ARVIKA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18117-2025</t>
        </is>
      </c>
      <c r="B5239" s="1" t="n">
        <v>45761</v>
      </c>
      <c r="C5239" s="1" t="n">
        <v>45932</v>
      </c>
      <c r="D5239" t="inlineStr">
        <is>
          <t>VÄRMLANDS LÄN</t>
        </is>
      </c>
      <c r="E5239" t="inlineStr">
        <is>
          <t>KIL</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6858-2022</t>
        </is>
      </c>
      <c r="B5240" s="1" t="n">
        <v>44602.6980787037</v>
      </c>
      <c r="C5240" s="1" t="n">
        <v>45932</v>
      </c>
      <c r="D5240" t="inlineStr">
        <is>
          <t>VÄRMLANDS LÄN</t>
        </is>
      </c>
      <c r="E5240" t="inlineStr">
        <is>
          <t>EDA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25085-2025</t>
        </is>
      </c>
      <c r="B5241" s="1" t="n">
        <v>45800.28986111111</v>
      </c>
      <c r="C5241" s="1" t="n">
        <v>45932</v>
      </c>
      <c r="D5241" t="inlineStr">
        <is>
          <t>VÄRMLANDS LÄN</t>
        </is>
      </c>
      <c r="E5241" t="inlineStr">
        <is>
          <t>ARVIKA</t>
        </is>
      </c>
      <c r="F5241" t="inlineStr">
        <is>
          <t>Bergvik skog väst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52226-2024</t>
        </is>
      </c>
      <c r="B5242" s="1" t="n">
        <v>45607</v>
      </c>
      <c r="C5242" s="1" t="n">
        <v>45932</v>
      </c>
      <c r="D5242" t="inlineStr">
        <is>
          <t>VÄRMLANDS LÄN</t>
        </is>
      </c>
      <c r="E5242" t="inlineStr">
        <is>
          <t>SUNNE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71971-2021</t>
        </is>
      </c>
      <c r="B5243" s="1" t="n">
        <v>44544.35211805555</v>
      </c>
      <c r="C5243" s="1" t="n">
        <v>45932</v>
      </c>
      <c r="D5243" t="inlineStr">
        <is>
          <t>VÄRMLANDS LÄN</t>
        </is>
      </c>
      <c r="E5243" t="inlineStr">
        <is>
          <t>FILIPSTAD</t>
        </is>
      </c>
      <c r="F5243" t="inlineStr">
        <is>
          <t>Bergvik skog väst AB</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37061-2023</t>
        </is>
      </c>
      <c r="B5244" s="1" t="n">
        <v>45155</v>
      </c>
      <c r="C5244" s="1" t="n">
        <v>45932</v>
      </c>
      <c r="D5244" t="inlineStr">
        <is>
          <t>VÄRMLANDS LÄN</t>
        </is>
      </c>
      <c r="E5244" t="inlineStr">
        <is>
          <t>ÅRJÄNG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54112-2023</t>
        </is>
      </c>
      <c r="B5245" s="1" t="n">
        <v>45232</v>
      </c>
      <c r="C5245" s="1" t="n">
        <v>45932</v>
      </c>
      <c r="D5245" t="inlineStr">
        <is>
          <t>VÄRMLANDS LÄN</t>
        </is>
      </c>
      <c r="E5245" t="inlineStr">
        <is>
          <t>HAGFORS</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54162-2023</t>
        </is>
      </c>
      <c r="B5246" s="1" t="n">
        <v>45232.47539351852</v>
      </c>
      <c r="C5246" s="1" t="n">
        <v>45932</v>
      </c>
      <c r="D5246" t="inlineStr">
        <is>
          <t>VÄRMLANDS LÄN</t>
        </is>
      </c>
      <c r="E5246" t="inlineStr">
        <is>
          <t>TORSBY</t>
        </is>
      </c>
      <c r="F5246" t="inlineStr">
        <is>
          <t>Bergvik skog väst AB</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54191-2023</t>
        </is>
      </c>
      <c r="B5247" s="1" t="n">
        <v>45232</v>
      </c>
      <c r="C5247" s="1" t="n">
        <v>45932</v>
      </c>
      <c r="D5247" t="inlineStr">
        <is>
          <t>VÄRMLANDS LÄN</t>
        </is>
      </c>
      <c r="E5247" t="inlineStr">
        <is>
          <t>TORSBY</t>
        </is>
      </c>
      <c r="F5247" t="inlineStr">
        <is>
          <t>Bergvik skog väst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25428-2025</t>
        </is>
      </c>
      <c r="B5248" s="1" t="n">
        <v>45800.71540509259</v>
      </c>
      <c r="C5248" s="1" t="n">
        <v>45932</v>
      </c>
      <c r="D5248" t="inlineStr">
        <is>
          <t>VÄRMLANDS LÄN</t>
        </is>
      </c>
      <c r="E5248" t="inlineStr">
        <is>
          <t>TORSBY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25078-2025</t>
        </is>
      </c>
      <c r="B5249" s="1" t="n">
        <v>45799.88644675926</v>
      </c>
      <c r="C5249" s="1" t="n">
        <v>45932</v>
      </c>
      <c r="D5249" t="inlineStr">
        <is>
          <t>VÄRMLANDS LÄN</t>
        </is>
      </c>
      <c r="E5249" t="inlineStr">
        <is>
          <t>ARVIKA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25091-2025</t>
        </is>
      </c>
      <c r="B5250" s="1" t="n">
        <v>45800.31751157407</v>
      </c>
      <c r="C5250" s="1" t="n">
        <v>45932</v>
      </c>
      <c r="D5250" t="inlineStr">
        <is>
          <t>VÄRMLANDS LÄN</t>
        </is>
      </c>
      <c r="E5250" t="inlineStr">
        <is>
          <t>HAGFORS</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64193-2021</t>
        </is>
      </c>
      <c r="B5251" s="1" t="n">
        <v>44510.59939814815</v>
      </c>
      <c r="C5251" s="1" t="n">
        <v>45932</v>
      </c>
      <c r="D5251" t="inlineStr">
        <is>
          <t>VÄRMLANDS LÄN</t>
        </is>
      </c>
      <c r="E5251" t="inlineStr">
        <is>
          <t>KIL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35538-2023</t>
        </is>
      </c>
      <c r="B5252" s="1" t="n">
        <v>45146</v>
      </c>
      <c r="C5252" s="1" t="n">
        <v>45932</v>
      </c>
      <c r="D5252" t="inlineStr">
        <is>
          <t>VÄRMLANDS LÄN</t>
        </is>
      </c>
      <c r="E5252" t="inlineStr">
        <is>
          <t>SÄFFLE</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15101-2024</t>
        </is>
      </c>
      <c r="B5253" s="1" t="n">
        <v>45399.66148148148</v>
      </c>
      <c r="C5253" s="1" t="n">
        <v>45932</v>
      </c>
      <c r="D5253" t="inlineStr">
        <is>
          <t>VÄRMLANDS LÄN</t>
        </is>
      </c>
      <c r="E5253" t="inlineStr">
        <is>
          <t>TORSBY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5095-2023</t>
        </is>
      </c>
      <c r="B5254" s="1" t="n">
        <v>44953</v>
      </c>
      <c r="C5254" s="1" t="n">
        <v>45932</v>
      </c>
      <c r="D5254" t="inlineStr">
        <is>
          <t>VÄRMLANDS LÄN</t>
        </is>
      </c>
      <c r="E5254" t="inlineStr">
        <is>
          <t>ÅRJÄNG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41253-2021</t>
        </is>
      </c>
      <c r="B5255" s="1" t="n">
        <v>44424</v>
      </c>
      <c r="C5255" s="1" t="n">
        <v>45932</v>
      </c>
      <c r="D5255" t="inlineStr">
        <is>
          <t>VÄRMLANDS LÄN</t>
        </is>
      </c>
      <c r="E5255" t="inlineStr">
        <is>
          <t>TORSBY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4030-2025</t>
        </is>
      </c>
      <c r="B5256" s="1" t="n">
        <v>45684.59744212963</v>
      </c>
      <c r="C5256" s="1" t="n">
        <v>45932</v>
      </c>
      <c r="D5256" t="inlineStr">
        <is>
          <t>VÄRMLANDS LÄN</t>
        </is>
      </c>
      <c r="E5256" t="inlineStr">
        <is>
          <t>SUNNE</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25328-2025</t>
        </is>
      </c>
      <c r="B5257" s="1" t="n">
        <v>45800</v>
      </c>
      <c r="C5257" s="1" t="n">
        <v>45932</v>
      </c>
      <c r="D5257" t="inlineStr">
        <is>
          <t>VÄRMLANDS LÄN</t>
        </is>
      </c>
      <c r="E5257" t="inlineStr">
        <is>
          <t>TORSBY</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25443-2025</t>
        </is>
      </c>
      <c r="B5258" s="1" t="n">
        <v>45801.49258101852</v>
      </c>
      <c r="C5258" s="1" t="n">
        <v>45932</v>
      </c>
      <c r="D5258" t="inlineStr">
        <is>
          <t>VÄRMLANDS LÄN</t>
        </is>
      </c>
      <c r="E5258" t="inlineStr">
        <is>
          <t>TORSBY</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52758-2020</t>
        </is>
      </c>
      <c r="B5259" s="1" t="n">
        <v>44118</v>
      </c>
      <c r="C5259" s="1" t="n">
        <v>45932</v>
      </c>
      <c r="D5259" t="inlineStr">
        <is>
          <t>VÄRMLANDS LÄN</t>
        </is>
      </c>
      <c r="E5259" t="inlineStr">
        <is>
          <t>FORSHAGA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2812-2023</t>
        </is>
      </c>
      <c r="B5260" s="1" t="n">
        <v>44944</v>
      </c>
      <c r="C5260" s="1" t="n">
        <v>45932</v>
      </c>
      <c r="D5260" t="inlineStr">
        <is>
          <t>VÄRMLANDS LÄN</t>
        </is>
      </c>
      <c r="E5260" t="inlineStr">
        <is>
          <t>FORSHAGA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11744-2024</t>
        </is>
      </c>
      <c r="B5261" s="1" t="n">
        <v>45373.80883101852</v>
      </c>
      <c r="C5261" s="1" t="n">
        <v>45932</v>
      </c>
      <c r="D5261" t="inlineStr">
        <is>
          <t>VÄRMLANDS LÄN</t>
        </is>
      </c>
      <c r="E5261" t="inlineStr">
        <is>
          <t>HAGFORS</t>
        </is>
      </c>
      <c r="F5261" t="inlineStr">
        <is>
          <t>Bergvik skog väst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39362-2024</t>
        </is>
      </c>
      <c r="B5262" s="1" t="n">
        <v>45551.46563657407</v>
      </c>
      <c r="C5262" s="1" t="n">
        <v>45932</v>
      </c>
      <c r="D5262" t="inlineStr">
        <is>
          <t>VÄRMLANDS LÄN</t>
        </is>
      </c>
      <c r="E5262" t="inlineStr">
        <is>
          <t>HAGFORS</t>
        </is>
      </c>
      <c r="F5262" t="inlineStr">
        <is>
          <t>Bergvik skog väst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27144-2024</t>
        </is>
      </c>
      <c r="B5263" s="1" t="n">
        <v>45471.55459490741</v>
      </c>
      <c r="C5263" s="1" t="n">
        <v>45932</v>
      </c>
      <c r="D5263" t="inlineStr">
        <is>
          <t>VÄRMLANDS LÄN</t>
        </is>
      </c>
      <c r="E5263" t="inlineStr">
        <is>
          <t>TORSBY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25369-2025</t>
        </is>
      </c>
      <c r="B5264" s="1" t="n">
        <v>45800.63046296296</v>
      </c>
      <c r="C5264" s="1" t="n">
        <v>45932</v>
      </c>
      <c r="D5264" t="inlineStr">
        <is>
          <t>VÄRMLANDS LÄN</t>
        </is>
      </c>
      <c r="E5264" t="inlineStr">
        <is>
          <t>TORSBY</t>
        </is>
      </c>
      <c r="F5264" t="inlineStr">
        <is>
          <t>Bergvik skog väst AB</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41895-2023</t>
        </is>
      </c>
      <c r="B5265" s="1" t="n">
        <v>45176</v>
      </c>
      <c r="C5265" s="1" t="n">
        <v>45932</v>
      </c>
      <c r="D5265" t="inlineStr">
        <is>
          <t>VÄRMLANDS LÄN</t>
        </is>
      </c>
      <c r="E5265" t="inlineStr">
        <is>
          <t>HAMMARÖ</t>
        </is>
      </c>
      <c r="F5265" t="inlineStr">
        <is>
          <t>Övriga Aktiebolag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25483-2025</t>
        </is>
      </c>
      <c r="B5266" s="1" t="n">
        <v>45802</v>
      </c>
      <c r="C5266" s="1" t="n">
        <v>45932</v>
      </c>
      <c r="D5266" t="inlineStr">
        <is>
          <t>VÄRMLANDS LÄN</t>
        </is>
      </c>
      <c r="E5266" t="inlineStr">
        <is>
          <t>FILIPSTAD</t>
        </is>
      </c>
      <c r="F5266" t="inlineStr">
        <is>
          <t>Bergvik skog väst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26799-2024</t>
        </is>
      </c>
      <c r="B5267" s="1" t="n">
        <v>45470.5071875</v>
      </c>
      <c r="C5267" s="1" t="n">
        <v>45932</v>
      </c>
      <c r="D5267" t="inlineStr">
        <is>
          <t>VÄRMLANDS LÄN</t>
        </is>
      </c>
      <c r="E5267" t="inlineStr">
        <is>
          <t>TORSBY</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46804-2024</t>
        </is>
      </c>
      <c r="B5268" s="1" t="n">
        <v>45583</v>
      </c>
      <c r="C5268" s="1" t="n">
        <v>45932</v>
      </c>
      <c r="D5268" t="inlineStr">
        <is>
          <t>VÄRMLANDS LÄN</t>
        </is>
      </c>
      <c r="E5268" t="inlineStr">
        <is>
          <t>SUNNE</t>
        </is>
      </c>
      <c r="F5268" t="inlineStr">
        <is>
          <t>Kommuner</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33245-2023</t>
        </is>
      </c>
      <c r="B5269" s="1" t="n">
        <v>45127</v>
      </c>
      <c r="C5269" s="1" t="n">
        <v>45932</v>
      </c>
      <c r="D5269" t="inlineStr">
        <is>
          <t>VÄRMLANDS LÄN</t>
        </is>
      </c>
      <c r="E5269" t="inlineStr">
        <is>
          <t>SÄFFLE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34541-2024</t>
        </is>
      </c>
      <c r="B5270" s="1" t="n">
        <v>45525.74459490741</v>
      </c>
      <c r="C5270" s="1" t="n">
        <v>45932</v>
      </c>
      <c r="D5270" t="inlineStr">
        <is>
          <t>VÄRMLANDS LÄN</t>
        </is>
      </c>
      <c r="E5270" t="inlineStr">
        <is>
          <t>HAGFORS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65036-2023</t>
        </is>
      </c>
      <c r="B5271" s="1" t="n">
        <v>45287</v>
      </c>
      <c r="C5271" s="1" t="n">
        <v>45932</v>
      </c>
      <c r="D5271" t="inlineStr">
        <is>
          <t>VÄRMLANDS LÄN</t>
        </is>
      </c>
      <c r="E5271" t="inlineStr">
        <is>
          <t>ARVIKA</t>
        </is>
      </c>
      <c r="F5271" t="inlineStr">
        <is>
          <t>Bergvik skog väst AB</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72783-2021</t>
        </is>
      </c>
      <c r="B5272" s="1" t="n">
        <v>44547.33819444444</v>
      </c>
      <c r="C5272" s="1" t="n">
        <v>45932</v>
      </c>
      <c r="D5272" t="inlineStr">
        <is>
          <t>VÄRMLANDS LÄN</t>
        </is>
      </c>
      <c r="E5272" t="inlineStr">
        <is>
          <t>SUNNE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47533-2024</t>
        </is>
      </c>
      <c r="B5273" s="1" t="n">
        <v>45587</v>
      </c>
      <c r="C5273" s="1" t="n">
        <v>45932</v>
      </c>
      <c r="D5273" t="inlineStr">
        <is>
          <t>VÄRMLANDS LÄN</t>
        </is>
      </c>
      <c r="E5273" t="inlineStr">
        <is>
          <t>ARVIKA</t>
        </is>
      </c>
      <c r="F5273" t="inlineStr">
        <is>
          <t>Bergvik skog väst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65085-2023</t>
        </is>
      </c>
      <c r="B5274" s="1" t="n">
        <v>45288</v>
      </c>
      <c r="C5274" s="1" t="n">
        <v>45932</v>
      </c>
      <c r="D5274" t="inlineStr">
        <is>
          <t>VÄRMLANDS LÄN</t>
        </is>
      </c>
      <c r="E5274" t="inlineStr">
        <is>
          <t>KARLSTAD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52669-2024</t>
        </is>
      </c>
      <c r="B5275" s="1" t="n">
        <v>45610</v>
      </c>
      <c r="C5275" s="1" t="n">
        <v>45932</v>
      </c>
      <c r="D5275" t="inlineStr">
        <is>
          <t>VÄRMLANDS LÄN</t>
        </is>
      </c>
      <c r="E5275" t="inlineStr">
        <is>
          <t>TORSBY</t>
        </is>
      </c>
      <c r="F5275" t="inlineStr">
        <is>
          <t>Kyrkan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38866-2024</t>
        </is>
      </c>
      <c r="B5276" s="1" t="n">
        <v>45547</v>
      </c>
      <c r="C5276" s="1" t="n">
        <v>45932</v>
      </c>
      <c r="D5276" t="inlineStr">
        <is>
          <t>VÄRMLANDS LÄN</t>
        </is>
      </c>
      <c r="E5276" t="inlineStr">
        <is>
          <t>FILIPSTAD</t>
        </is>
      </c>
      <c r="F5276" t="inlineStr">
        <is>
          <t>Bergvik skog väst AB</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23870-2023</t>
        </is>
      </c>
      <c r="B5277" s="1" t="n">
        <v>45078</v>
      </c>
      <c r="C5277" s="1" t="n">
        <v>45932</v>
      </c>
      <c r="D5277" t="inlineStr">
        <is>
          <t>VÄRMLANDS LÄN</t>
        </is>
      </c>
      <c r="E5277" t="inlineStr">
        <is>
          <t>ÅRJÄNG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58304-2024</t>
        </is>
      </c>
      <c r="B5278" s="1" t="n">
        <v>45632</v>
      </c>
      <c r="C5278" s="1" t="n">
        <v>45932</v>
      </c>
      <c r="D5278" t="inlineStr">
        <is>
          <t>VÄRMLANDS LÄN</t>
        </is>
      </c>
      <c r="E5278" t="inlineStr">
        <is>
          <t>TORSBY</t>
        </is>
      </c>
      <c r="F5278" t="inlineStr">
        <is>
          <t>Bergvik skog väst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65169-2020</t>
        </is>
      </c>
      <c r="B5279" s="1" t="n">
        <v>44172</v>
      </c>
      <c r="C5279" s="1" t="n">
        <v>45932</v>
      </c>
      <c r="D5279" t="inlineStr">
        <is>
          <t>VÄRMLANDS LÄN</t>
        </is>
      </c>
      <c r="E5279" t="inlineStr">
        <is>
          <t>SUNNE</t>
        </is>
      </c>
      <c r="F5279" t="inlineStr">
        <is>
          <t>Övriga Aktiebolag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17910-2024</t>
        </is>
      </c>
      <c r="B5280" s="1" t="n">
        <v>45419</v>
      </c>
      <c r="C5280" s="1" t="n">
        <v>45932</v>
      </c>
      <c r="D5280" t="inlineStr">
        <is>
          <t>VÄRMLANDS LÄN</t>
        </is>
      </c>
      <c r="E5280" t="inlineStr">
        <is>
          <t>GRUMS</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57078-2022</t>
        </is>
      </c>
      <c r="B5281" s="1" t="n">
        <v>44895</v>
      </c>
      <c r="C5281" s="1" t="n">
        <v>45932</v>
      </c>
      <c r="D5281" t="inlineStr">
        <is>
          <t>VÄRMLANDS LÄN</t>
        </is>
      </c>
      <c r="E5281" t="inlineStr">
        <is>
          <t>SÄFFLE</t>
        </is>
      </c>
      <c r="F5281" t="inlineStr">
        <is>
          <t>Bergvik skog väst AB</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57100-2022</t>
        </is>
      </c>
      <c r="B5282" s="1" t="n">
        <v>44895</v>
      </c>
      <c r="C5282" s="1" t="n">
        <v>45932</v>
      </c>
      <c r="D5282" t="inlineStr">
        <is>
          <t>VÄRMLANDS LÄN</t>
        </is>
      </c>
      <c r="E5282" t="inlineStr">
        <is>
          <t>KARLSTAD</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18014-2024</t>
        </is>
      </c>
      <c r="B5283" s="1" t="n">
        <v>45419.96755787037</v>
      </c>
      <c r="C5283" s="1" t="n">
        <v>45932</v>
      </c>
      <c r="D5283" t="inlineStr">
        <is>
          <t>VÄRMLANDS LÄN</t>
        </is>
      </c>
      <c r="E5283" t="inlineStr">
        <is>
          <t>HAGFORS</t>
        </is>
      </c>
      <c r="F5283" t="inlineStr">
        <is>
          <t>Bergvik skog väst AB</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53138-2023</t>
        </is>
      </c>
      <c r="B5284" s="1" t="n">
        <v>45229.34055555556</v>
      </c>
      <c r="C5284" s="1" t="n">
        <v>45932</v>
      </c>
      <c r="D5284" t="inlineStr">
        <is>
          <t>VÄRMLANDS LÄN</t>
        </is>
      </c>
      <c r="E5284" t="inlineStr">
        <is>
          <t>GRUMS</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22319-2021</t>
        </is>
      </c>
      <c r="B5285" s="1" t="n">
        <v>44326.48232638889</v>
      </c>
      <c r="C5285" s="1" t="n">
        <v>45932</v>
      </c>
      <c r="D5285" t="inlineStr">
        <is>
          <t>VÄRMLANDS LÄN</t>
        </is>
      </c>
      <c r="E5285" t="inlineStr">
        <is>
          <t>GRUMS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17794-2024</t>
        </is>
      </c>
      <c r="B5286" s="1" t="n">
        <v>45418</v>
      </c>
      <c r="C5286" s="1" t="n">
        <v>45932</v>
      </c>
      <c r="D5286" t="inlineStr">
        <is>
          <t>VÄRMLANDS LÄN</t>
        </is>
      </c>
      <c r="E5286" t="inlineStr">
        <is>
          <t>FILIPSTAD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6055-2021</t>
        </is>
      </c>
      <c r="B5287" s="1" t="n">
        <v>44230</v>
      </c>
      <c r="C5287" s="1" t="n">
        <v>45932</v>
      </c>
      <c r="D5287" t="inlineStr">
        <is>
          <t>VÄRMLANDS LÄN</t>
        </is>
      </c>
      <c r="E5287" t="inlineStr">
        <is>
          <t>SÄFFLE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974-2024</t>
        </is>
      </c>
      <c r="B5288" s="1" t="n">
        <v>45301</v>
      </c>
      <c r="C5288" s="1" t="n">
        <v>45932</v>
      </c>
      <c r="D5288" t="inlineStr">
        <is>
          <t>VÄRMLANDS LÄN</t>
        </is>
      </c>
      <c r="E5288" t="inlineStr">
        <is>
          <t>SÄFFLE</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12849-2022</t>
        </is>
      </c>
      <c r="B5289" s="1" t="n">
        <v>44642</v>
      </c>
      <c r="C5289" s="1" t="n">
        <v>45932</v>
      </c>
      <c r="D5289" t="inlineStr">
        <is>
          <t>VÄRMLANDS LÄN</t>
        </is>
      </c>
      <c r="E5289" t="inlineStr">
        <is>
          <t>ARVIKA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74448-2021</t>
        </is>
      </c>
      <c r="B5290" s="1" t="n">
        <v>44560.47202546296</v>
      </c>
      <c r="C5290" s="1" t="n">
        <v>45932</v>
      </c>
      <c r="D5290" t="inlineStr">
        <is>
          <t>VÄRMLANDS LÄN</t>
        </is>
      </c>
      <c r="E5290" t="inlineStr">
        <is>
          <t>ÅRJÄNG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12907-2022</t>
        </is>
      </c>
      <c r="B5291" s="1" t="n">
        <v>44642.62002314815</v>
      </c>
      <c r="C5291" s="1" t="n">
        <v>45932</v>
      </c>
      <c r="D5291" t="inlineStr">
        <is>
          <t>VÄRMLANDS LÄN</t>
        </is>
      </c>
      <c r="E5291" t="inlineStr">
        <is>
          <t>ÅRJÄNG</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25545-2025</t>
        </is>
      </c>
      <c r="B5292" s="1" t="n">
        <v>45803.43763888889</v>
      </c>
      <c r="C5292" s="1" t="n">
        <v>45932</v>
      </c>
      <c r="D5292" t="inlineStr">
        <is>
          <t>VÄRMLANDS LÄN</t>
        </is>
      </c>
      <c r="E5292" t="inlineStr">
        <is>
          <t>TORSBY</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4200-2024</t>
        </is>
      </c>
      <c r="B5293" s="1" t="n">
        <v>45324.36109953704</v>
      </c>
      <c r="C5293" s="1" t="n">
        <v>45932</v>
      </c>
      <c r="D5293" t="inlineStr">
        <is>
          <t>VÄRMLANDS LÄN</t>
        </is>
      </c>
      <c r="E5293" t="inlineStr">
        <is>
          <t>SUNNE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15398-2025</t>
        </is>
      </c>
      <c r="B5294" s="1" t="n">
        <v>45747.44309027777</v>
      </c>
      <c r="C5294" s="1" t="n">
        <v>45932</v>
      </c>
      <c r="D5294" t="inlineStr">
        <is>
          <t>VÄRMLANDS LÄN</t>
        </is>
      </c>
      <c r="E5294" t="inlineStr">
        <is>
          <t>TORSBY</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27016-2024</t>
        </is>
      </c>
      <c r="B5295" s="1" t="n">
        <v>45471</v>
      </c>
      <c r="C5295" s="1" t="n">
        <v>45932</v>
      </c>
      <c r="D5295" t="inlineStr">
        <is>
          <t>VÄRMLANDS LÄN</t>
        </is>
      </c>
      <c r="E5295" t="inlineStr">
        <is>
          <t>SÄFFLE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51400-2022</t>
        </is>
      </c>
      <c r="B5296" s="1" t="n">
        <v>44869</v>
      </c>
      <c r="C5296" s="1" t="n">
        <v>45932</v>
      </c>
      <c r="D5296" t="inlineStr">
        <is>
          <t>VÄRMLANDS LÄN</t>
        </is>
      </c>
      <c r="E5296" t="inlineStr">
        <is>
          <t>ARVIKA</t>
        </is>
      </c>
      <c r="F5296" t="inlineStr">
        <is>
          <t>Bergvik skog väst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3996-2022</t>
        </is>
      </c>
      <c r="B5297" s="1" t="n">
        <v>44587</v>
      </c>
      <c r="C5297" s="1" t="n">
        <v>45932</v>
      </c>
      <c r="D5297" t="inlineStr">
        <is>
          <t>VÄRMLANDS LÄN</t>
        </is>
      </c>
      <c r="E5297" t="inlineStr">
        <is>
          <t>KIL</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25949-2024</t>
        </is>
      </c>
      <c r="B5298" s="1" t="n">
        <v>45467.6442824074</v>
      </c>
      <c r="C5298" s="1" t="n">
        <v>45932</v>
      </c>
      <c r="D5298" t="inlineStr">
        <is>
          <t>VÄRMLANDS LÄN</t>
        </is>
      </c>
      <c r="E5298" t="inlineStr">
        <is>
          <t>TORSBY</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33823-2025</t>
        </is>
      </c>
      <c r="B5299" s="1" t="n">
        <v>45842</v>
      </c>
      <c r="C5299" s="1" t="n">
        <v>45932</v>
      </c>
      <c r="D5299" t="inlineStr">
        <is>
          <t>VÄRMLANDS LÄN</t>
        </is>
      </c>
      <c r="E5299" t="inlineStr">
        <is>
          <t>HAGFORS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10223-2025</t>
        </is>
      </c>
      <c r="B5300" s="1" t="n">
        <v>45720</v>
      </c>
      <c r="C5300" s="1" t="n">
        <v>45932</v>
      </c>
      <c r="D5300" t="inlineStr">
        <is>
          <t>VÄRMLANDS LÄN</t>
        </is>
      </c>
      <c r="E5300" t="inlineStr">
        <is>
          <t>SÄFFLE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2352-2023</t>
        </is>
      </c>
      <c r="B5301" s="1" t="n">
        <v>44938</v>
      </c>
      <c r="C5301" s="1" t="n">
        <v>45932</v>
      </c>
      <c r="D5301" t="inlineStr">
        <is>
          <t>VÄRMLANDS LÄN</t>
        </is>
      </c>
      <c r="E5301" t="inlineStr">
        <is>
          <t>STORFORS</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22294-2023</t>
        </is>
      </c>
      <c r="B5302" s="1" t="n">
        <v>45070</v>
      </c>
      <c r="C5302" s="1" t="n">
        <v>45932</v>
      </c>
      <c r="D5302" t="inlineStr">
        <is>
          <t>VÄRMLANDS LÄN</t>
        </is>
      </c>
      <c r="E5302" t="inlineStr">
        <is>
          <t>EDA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40546-2024</t>
        </is>
      </c>
      <c r="B5303" s="1" t="n">
        <v>45555</v>
      </c>
      <c r="C5303" s="1" t="n">
        <v>45932</v>
      </c>
      <c r="D5303" t="inlineStr">
        <is>
          <t>VÄRMLANDS LÄN</t>
        </is>
      </c>
      <c r="E5303" t="inlineStr">
        <is>
          <t>TORSBY</t>
        </is>
      </c>
      <c r="F5303" t="inlineStr">
        <is>
          <t>Bergvik skog väst AB</t>
        </is>
      </c>
      <c r="G5303" t="n">
        <v>13.9</v>
      </c>
      <c r="H5303" t="n">
        <v>0</v>
      </c>
      <c r="I5303" t="n">
        <v>0</v>
      </c>
      <c r="J5303" t="n">
        <v>0</v>
      </c>
      <c r="K5303" t="n">
        <v>0</v>
      </c>
      <c r="L5303" t="n">
        <v>0</v>
      </c>
      <c r="M5303" t="n">
        <v>0</v>
      </c>
      <c r="N5303" t="n">
        <v>0</v>
      </c>
      <c r="O5303" t="n">
        <v>0</v>
      </c>
      <c r="P5303" t="n">
        <v>0</v>
      </c>
      <c r="Q5303" t="n">
        <v>0</v>
      </c>
      <c r="R5303" s="2" t="inlineStr"/>
    </row>
    <row r="5304" ht="15" customHeight="1">
      <c r="A5304" t="inlineStr">
        <is>
          <t>A 57178-2023</t>
        </is>
      </c>
      <c r="B5304" s="1" t="n">
        <v>45240</v>
      </c>
      <c r="C5304" s="1" t="n">
        <v>45932</v>
      </c>
      <c r="D5304" t="inlineStr">
        <is>
          <t>VÄRMLANDS LÄN</t>
        </is>
      </c>
      <c r="E5304" t="inlineStr">
        <is>
          <t>ÅRJÄNG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57212-2023</t>
        </is>
      </c>
      <c r="B5305" s="1" t="n">
        <v>45245.48929398148</v>
      </c>
      <c r="C5305" s="1" t="n">
        <v>45932</v>
      </c>
      <c r="D5305" t="inlineStr">
        <is>
          <t>VÄRMLANDS LÄN</t>
        </is>
      </c>
      <c r="E5305" t="inlineStr">
        <is>
          <t>FILIPSTAD</t>
        </is>
      </c>
      <c r="F5305" t="inlineStr">
        <is>
          <t>Bergvik skog väst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41336-2024</t>
        </is>
      </c>
      <c r="B5306" s="1" t="n">
        <v>45559</v>
      </c>
      <c r="C5306" s="1" t="n">
        <v>45932</v>
      </c>
      <c r="D5306" t="inlineStr">
        <is>
          <t>VÄRMLANDS LÄN</t>
        </is>
      </c>
      <c r="E5306" t="inlineStr">
        <is>
          <t>HAGFORS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15912-2025</t>
        </is>
      </c>
      <c r="B5307" s="1" t="n">
        <v>45749.44224537037</v>
      </c>
      <c r="C5307" s="1" t="n">
        <v>45932</v>
      </c>
      <c r="D5307" t="inlineStr">
        <is>
          <t>VÄRMLANDS LÄN</t>
        </is>
      </c>
      <c r="E5307" t="inlineStr">
        <is>
          <t>SUNNE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15923-2025</t>
        </is>
      </c>
      <c r="B5308" s="1" t="n">
        <v>45749</v>
      </c>
      <c r="C5308" s="1" t="n">
        <v>45932</v>
      </c>
      <c r="D5308" t="inlineStr">
        <is>
          <t>VÄRMLANDS LÄN</t>
        </is>
      </c>
      <c r="E5308" t="inlineStr">
        <is>
          <t>ARVIKA</t>
        </is>
      </c>
      <c r="F5308" t="inlineStr">
        <is>
          <t>Bergvik skog väst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15931-2025</t>
        </is>
      </c>
      <c r="B5309" s="1" t="n">
        <v>45749.46791666667</v>
      </c>
      <c r="C5309" s="1" t="n">
        <v>45932</v>
      </c>
      <c r="D5309" t="inlineStr">
        <is>
          <t>VÄRMLANDS LÄN</t>
        </is>
      </c>
      <c r="E5309" t="inlineStr">
        <is>
          <t>TORSBY</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60893-2023</t>
        </is>
      </c>
      <c r="B5310" s="1" t="n">
        <v>45261.32729166667</v>
      </c>
      <c r="C5310" s="1" t="n">
        <v>45932</v>
      </c>
      <c r="D5310" t="inlineStr">
        <is>
          <t>VÄRMLANDS LÄN</t>
        </is>
      </c>
      <c r="E5310" t="inlineStr">
        <is>
          <t>EDA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47278-2024</t>
        </is>
      </c>
      <c r="B5311" s="1" t="n">
        <v>45586</v>
      </c>
      <c r="C5311" s="1" t="n">
        <v>45932</v>
      </c>
      <c r="D5311" t="inlineStr">
        <is>
          <t>VÄRMLANDS LÄN</t>
        </is>
      </c>
      <c r="E5311" t="inlineStr">
        <is>
          <t>SUNNE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52977-2023</t>
        </is>
      </c>
      <c r="B5312" s="1" t="n">
        <v>45226.60950231482</v>
      </c>
      <c r="C5312" s="1" t="n">
        <v>45932</v>
      </c>
      <c r="D5312" t="inlineStr">
        <is>
          <t>VÄRMLANDS LÄN</t>
        </is>
      </c>
      <c r="E5312" t="inlineStr">
        <is>
          <t>HAGFORS</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10249-2025</t>
        </is>
      </c>
      <c r="B5313" s="1" t="n">
        <v>45720.3612037037</v>
      </c>
      <c r="C5313" s="1" t="n">
        <v>45932</v>
      </c>
      <c r="D5313" t="inlineStr">
        <is>
          <t>VÄRMLANDS LÄN</t>
        </is>
      </c>
      <c r="E5313" t="inlineStr">
        <is>
          <t>ARVIKA</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24872-2023</t>
        </is>
      </c>
      <c r="B5314" s="1" t="n">
        <v>45085</v>
      </c>
      <c r="C5314" s="1" t="n">
        <v>45932</v>
      </c>
      <c r="D5314" t="inlineStr">
        <is>
          <t>VÄRMLANDS LÄN</t>
        </is>
      </c>
      <c r="E5314" t="inlineStr">
        <is>
          <t>ARVIKA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24876-2023</t>
        </is>
      </c>
      <c r="B5315" s="1" t="n">
        <v>45085.42391203704</v>
      </c>
      <c r="C5315" s="1" t="n">
        <v>45932</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62085-2024</t>
        </is>
      </c>
      <c r="B5316" s="1" t="n">
        <v>45656</v>
      </c>
      <c r="C5316" s="1" t="n">
        <v>45932</v>
      </c>
      <c r="D5316" t="inlineStr">
        <is>
          <t>VÄRMLANDS LÄN</t>
        </is>
      </c>
      <c r="E5316" t="inlineStr">
        <is>
          <t>STORFORS</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59064-2023</t>
        </is>
      </c>
      <c r="B5317" s="1" t="n">
        <v>45252</v>
      </c>
      <c r="C5317" s="1" t="n">
        <v>45932</v>
      </c>
      <c r="D5317" t="inlineStr">
        <is>
          <t>VÄRMLANDS LÄN</t>
        </is>
      </c>
      <c r="E5317" t="inlineStr">
        <is>
          <t>KIL</t>
        </is>
      </c>
      <c r="G5317" t="n">
        <v>1.1</v>
      </c>
      <c r="H5317" t="n">
        <v>0</v>
      </c>
      <c r="I5317" t="n">
        <v>0</v>
      </c>
      <c r="J5317" t="n">
        <v>0</v>
      </c>
      <c r="K5317" t="n">
        <v>0</v>
      </c>
      <c r="L5317" t="n">
        <v>0</v>
      </c>
      <c r="M5317" t="n">
        <v>0</v>
      </c>
      <c r="N5317" t="n">
        <v>0</v>
      </c>
      <c r="O5317" t="n">
        <v>0</v>
      </c>
      <c r="P5317" t="n">
        <v>0</v>
      </c>
      <c r="Q5317" t="n">
        <v>0</v>
      </c>
      <c r="R5317" s="2" t="inlineStr"/>
      <c r="U5317">
        <f>HYPERLINK("https://klasma.github.io/Logging_1715/knärot/A 59064-2023 karta knärot.png", "A 59064-2023")</f>
        <v/>
      </c>
      <c r="V5317">
        <f>HYPERLINK("https://klasma.github.io/Logging_1715/klagomål/A 59064-2023 FSC-klagomål.docx", "A 59064-2023")</f>
        <v/>
      </c>
      <c r="W5317">
        <f>HYPERLINK("https://klasma.github.io/Logging_1715/klagomålsmail/A 59064-2023 FSC-klagomål mail.docx", "A 59064-2023")</f>
        <v/>
      </c>
      <c r="X5317">
        <f>HYPERLINK("https://klasma.github.io/Logging_1715/tillsyn/A 59064-2023 tillsynsbegäran.docx", "A 59064-2023")</f>
        <v/>
      </c>
      <c r="Y5317">
        <f>HYPERLINK("https://klasma.github.io/Logging_1715/tillsynsmail/A 59064-2023 tillsynsbegäran mail.docx", "A 59064-2023")</f>
        <v/>
      </c>
    </row>
    <row r="5318" ht="15" customHeight="1">
      <c r="A5318" t="inlineStr">
        <is>
          <t>A 4744-2025</t>
        </is>
      </c>
      <c r="B5318" s="1" t="n">
        <v>45688</v>
      </c>
      <c r="C5318" s="1" t="n">
        <v>45932</v>
      </c>
      <c r="D5318" t="inlineStr">
        <is>
          <t>VÄRMLANDS LÄN</t>
        </is>
      </c>
      <c r="E5318" t="inlineStr">
        <is>
          <t>STORFORS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4506-2025</t>
        </is>
      </c>
      <c r="B5319" s="1" t="n">
        <v>45686.73459490741</v>
      </c>
      <c r="C5319" s="1" t="n">
        <v>45932</v>
      </c>
      <c r="D5319" t="inlineStr">
        <is>
          <t>VÄRMLANDS LÄN</t>
        </is>
      </c>
      <c r="E5319" t="inlineStr">
        <is>
          <t>ARVIKA</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85-2025</t>
        </is>
      </c>
      <c r="B5320" s="1" t="n">
        <v>45659</v>
      </c>
      <c r="C5320" s="1" t="n">
        <v>45932</v>
      </c>
      <c r="D5320" t="inlineStr">
        <is>
          <t>VÄRMLANDS LÄN</t>
        </is>
      </c>
      <c r="E5320" t="inlineStr">
        <is>
          <t>SÄFFLE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2253-2024</t>
        </is>
      </c>
      <c r="B5321" s="1" t="n">
        <v>45310.30798611111</v>
      </c>
      <c r="C5321" s="1" t="n">
        <v>45932</v>
      </c>
      <c r="D5321" t="inlineStr">
        <is>
          <t>VÄRMLANDS LÄN</t>
        </is>
      </c>
      <c r="E5321" t="inlineStr">
        <is>
          <t>GRUMS</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44899-2022</t>
        </is>
      </c>
      <c r="B5322" s="1" t="n">
        <v>44841.50252314815</v>
      </c>
      <c r="C5322" s="1" t="n">
        <v>45932</v>
      </c>
      <c r="D5322" t="inlineStr">
        <is>
          <t>VÄRMLANDS LÄN</t>
        </is>
      </c>
      <c r="E5322" t="inlineStr">
        <is>
          <t>SUNNE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37401-2022</t>
        </is>
      </c>
      <c r="B5323" s="1" t="n">
        <v>44809</v>
      </c>
      <c r="C5323" s="1" t="n">
        <v>45932</v>
      </c>
      <c r="D5323" t="inlineStr">
        <is>
          <t>VÄRMLANDS LÄN</t>
        </is>
      </c>
      <c r="E5323" t="inlineStr">
        <is>
          <t>TORSBY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51662-2024</t>
        </is>
      </c>
      <c r="B5324" s="1" t="n">
        <v>45606.75559027777</v>
      </c>
      <c r="C5324" s="1" t="n">
        <v>45932</v>
      </c>
      <c r="D5324" t="inlineStr">
        <is>
          <t>VÄRMLANDS LÄN</t>
        </is>
      </c>
      <c r="E5324" t="inlineStr">
        <is>
          <t>TORSBY</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44419-2021</t>
        </is>
      </c>
      <c r="B5325" s="1" t="n">
        <v>44435</v>
      </c>
      <c r="C5325" s="1" t="n">
        <v>45932</v>
      </c>
      <c r="D5325" t="inlineStr">
        <is>
          <t>VÄRMLANDS LÄN</t>
        </is>
      </c>
      <c r="E5325" t="inlineStr">
        <is>
          <t>ARVIKA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31032-2024</t>
        </is>
      </c>
      <c r="B5326" s="1" t="n">
        <v>45501.41740740741</v>
      </c>
      <c r="C5326" s="1" t="n">
        <v>45932</v>
      </c>
      <c r="D5326" t="inlineStr">
        <is>
          <t>VÄRMLANDS LÄN</t>
        </is>
      </c>
      <c r="E5326" t="inlineStr">
        <is>
          <t>KIL</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31033-2024</t>
        </is>
      </c>
      <c r="B5327" s="1" t="n">
        <v>45501.43387731481</v>
      </c>
      <c r="C5327" s="1" t="n">
        <v>45932</v>
      </c>
      <c r="D5327" t="inlineStr">
        <is>
          <t>VÄRMLANDS LÄN</t>
        </is>
      </c>
      <c r="E5327" t="inlineStr">
        <is>
          <t>KIL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24923-2023</t>
        </is>
      </c>
      <c r="B5328" s="1" t="n">
        <v>45085</v>
      </c>
      <c r="C5328" s="1" t="n">
        <v>45932</v>
      </c>
      <c r="D5328" t="inlineStr">
        <is>
          <t>VÄRMLANDS LÄN</t>
        </is>
      </c>
      <c r="E5328" t="inlineStr">
        <is>
          <t>SUNNE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5365-2021</t>
        </is>
      </c>
      <c r="B5329" s="1" t="n">
        <v>44229</v>
      </c>
      <c r="C5329" s="1" t="n">
        <v>45932</v>
      </c>
      <c r="D5329" t="inlineStr">
        <is>
          <t>VÄRMLANDS LÄN</t>
        </is>
      </c>
      <c r="E5329" t="inlineStr">
        <is>
          <t>TORSBY</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11162-2025</t>
        </is>
      </c>
      <c r="B5330" s="1" t="n">
        <v>45723.89909722222</v>
      </c>
      <c r="C5330" s="1" t="n">
        <v>45932</v>
      </c>
      <c r="D5330" t="inlineStr">
        <is>
          <t>VÄRMLANDS LÄN</t>
        </is>
      </c>
      <c r="E5330" t="inlineStr">
        <is>
          <t>SÄFFLE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27458-2023</t>
        </is>
      </c>
      <c r="B5331" s="1" t="n">
        <v>45097</v>
      </c>
      <c r="C5331" s="1" t="n">
        <v>45932</v>
      </c>
      <c r="D5331" t="inlineStr">
        <is>
          <t>VÄRMLANDS LÄN</t>
        </is>
      </c>
      <c r="E5331" t="inlineStr">
        <is>
          <t>TORSBY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5250-2023</t>
        </is>
      </c>
      <c r="B5332" s="1" t="n">
        <v>44959</v>
      </c>
      <c r="C5332" s="1" t="n">
        <v>45932</v>
      </c>
      <c r="D5332" t="inlineStr">
        <is>
          <t>VÄRMLANDS LÄN</t>
        </is>
      </c>
      <c r="E5332" t="inlineStr">
        <is>
          <t>KRISTINEHAMN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15716-2024</t>
        </is>
      </c>
      <c r="B5333" s="1" t="n">
        <v>45404.48984953704</v>
      </c>
      <c r="C5333" s="1" t="n">
        <v>45932</v>
      </c>
      <c r="D5333" t="inlineStr">
        <is>
          <t>VÄRMLANDS LÄN</t>
        </is>
      </c>
      <c r="E5333" t="inlineStr">
        <is>
          <t>SUNNE</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32096-2023</t>
        </is>
      </c>
      <c r="B5334" s="1" t="n">
        <v>45107</v>
      </c>
      <c r="C5334" s="1" t="n">
        <v>45932</v>
      </c>
      <c r="D5334" t="inlineStr">
        <is>
          <t>VÄRMLANDS LÄN</t>
        </is>
      </c>
      <c r="E5334" t="inlineStr">
        <is>
          <t>SÄFFLE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4630-2021</t>
        </is>
      </c>
      <c r="B5335" s="1" t="n">
        <v>44224</v>
      </c>
      <c r="C5335" s="1" t="n">
        <v>45932</v>
      </c>
      <c r="D5335" t="inlineStr">
        <is>
          <t>VÄRMLANDS LÄN</t>
        </is>
      </c>
      <c r="E5335" t="inlineStr">
        <is>
          <t>ARVIKA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11649-2025</t>
        </is>
      </c>
      <c r="B5336" s="1" t="n">
        <v>45727.47819444445</v>
      </c>
      <c r="C5336" s="1" t="n">
        <v>45932</v>
      </c>
      <c r="D5336" t="inlineStr">
        <is>
          <t>VÄRMLANDS LÄN</t>
        </is>
      </c>
      <c r="E5336" t="inlineStr">
        <is>
          <t>EDA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11652-2025</t>
        </is>
      </c>
      <c r="B5337" s="1" t="n">
        <v>45727</v>
      </c>
      <c r="C5337" s="1" t="n">
        <v>45932</v>
      </c>
      <c r="D5337" t="inlineStr">
        <is>
          <t>VÄRMLANDS LÄN</t>
        </is>
      </c>
      <c r="E5337" t="inlineStr">
        <is>
          <t>EDA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59685-2022</t>
        </is>
      </c>
      <c r="B5338" s="1" t="n">
        <v>44908.37560185185</v>
      </c>
      <c r="C5338" s="1" t="n">
        <v>45932</v>
      </c>
      <c r="D5338" t="inlineStr">
        <is>
          <t>VÄRMLANDS LÄN</t>
        </is>
      </c>
      <c r="E5338" t="inlineStr">
        <is>
          <t>SUNNE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11672-2025</t>
        </is>
      </c>
      <c r="B5339" s="1" t="n">
        <v>45727</v>
      </c>
      <c r="C5339" s="1" t="n">
        <v>45932</v>
      </c>
      <c r="D5339" t="inlineStr">
        <is>
          <t>VÄRMLANDS LÄN</t>
        </is>
      </c>
      <c r="E5339" t="inlineStr">
        <is>
          <t>TORSBY</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11776-2025</t>
        </is>
      </c>
      <c r="B5340" s="1" t="n">
        <v>45727.70334490741</v>
      </c>
      <c r="C5340" s="1" t="n">
        <v>45932</v>
      </c>
      <c r="D5340" t="inlineStr">
        <is>
          <t>VÄRMLANDS LÄN</t>
        </is>
      </c>
      <c r="E5340" t="inlineStr">
        <is>
          <t>ÅRJÄNG</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36017-2024</t>
        </is>
      </c>
      <c r="B5341" s="1" t="n">
        <v>45533</v>
      </c>
      <c r="C5341" s="1" t="n">
        <v>45932</v>
      </c>
      <c r="D5341" t="inlineStr">
        <is>
          <t>VÄRMLANDS LÄN</t>
        </is>
      </c>
      <c r="E5341" t="inlineStr">
        <is>
          <t>ÅRJÄNG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59708-2022</t>
        </is>
      </c>
      <c r="B5342" s="1" t="n">
        <v>44900</v>
      </c>
      <c r="C5342" s="1" t="n">
        <v>45932</v>
      </c>
      <c r="D5342" t="inlineStr">
        <is>
          <t>VÄRMLANDS LÄN</t>
        </is>
      </c>
      <c r="E5342" t="inlineStr">
        <is>
          <t>SÄFFLE</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56641-2023</t>
        </is>
      </c>
      <c r="B5343" s="1" t="n">
        <v>45243</v>
      </c>
      <c r="C5343" s="1" t="n">
        <v>45932</v>
      </c>
      <c r="D5343" t="inlineStr">
        <is>
          <t>VÄRMLANDS LÄN</t>
        </is>
      </c>
      <c r="E5343" t="inlineStr">
        <is>
          <t>KIL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26995-2024</t>
        </is>
      </c>
      <c r="B5344" s="1" t="n">
        <v>45471.37975694444</v>
      </c>
      <c r="C5344" s="1" t="n">
        <v>45932</v>
      </c>
      <c r="D5344" t="inlineStr">
        <is>
          <t>VÄRMLANDS LÄN</t>
        </is>
      </c>
      <c r="E5344" t="inlineStr">
        <is>
          <t>SUNNE</t>
        </is>
      </c>
      <c r="F5344" t="inlineStr">
        <is>
          <t>Bergvik skog väst AB</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21542-2024</t>
        </is>
      </c>
      <c r="B5345" s="1" t="n">
        <v>45441</v>
      </c>
      <c r="C5345" s="1" t="n">
        <v>45932</v>
      </c>
      <c r="D5345" t="inlineStr">
        <is>
          <t>VÄRMLANDS LÄN</t>
        </is>
      </c>
      <c r="E5345" t="inlineStr">
        <is>
          <t>TORSBY</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12837-2025</t>
        </is>
      </c>
      <c r="B5346" s="1" t="n">
        <v>45733.63883101852</v>
      </c>
      <c r="C5346" s="1" t="n">
        <v>45932</v>
      </c>
      <c r="D5346" t="inlineStr">
        <is>
          <t>VÄRMLANDS LÄN</t>
        </is>
      </c>
      <c r="E5346" t="inlineStr">
        <is>
          <t>EDA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12839-2025</t>
        </is>
      </c>
      <c r="B5347" s="1" t="n">
        <v>45733.64366898148</v>
      </c>
      <c r="C5347" s="1" t="n">
        <v>45932</v>
      </c>
      <c r="D5347" t="inlineStr">
        <is>
          <t>VÄRMLANDS LÄN</t>
        </is>
      </c>
      <c r="E5347" t="inlineStr">
        <is>
          <t>STORFORS</t>
        </is>
      </c>
      <c r="F5347" t="inlineStr">
        <is>
          <t>Bergvik skog väst AB</t>
        </is>
      </c>
      <c r="G5347" t="n">
        <v>18.2</v>
      </c>
      <c r="H5347" t="n">
        <v>0</v>
      </c>
      <c r="I5347" t="n">
        <v>0</v>
      </c>
      <c r="J5347" t="n">
        <v>0</v>
      </c>
      <c r="K5347" t="n">
        <v>0</v>
      </c>
      <c r="L5347" t="n">
        <v>0</v>
      </c>
      <c r="M5347" t="n">
        <v>0</v>
      </c>
      <c r="N5347" t="n">
        <v>0</v>
      </c>
      <c r="O5347" t="n">
        <v>0</v>
      </c>
      <c r="P5347" t="n">
        <v>0</v>
      </c>
      <c r="Q5347" t="n">
        <v>0</v>
      </c>
      <c r="R5347" s="2" t="inlineStr"/>
    </row>
    <row r="5348" ht="15" customHeight="1">
      <c r="A5348" t="inlineStr">
        <is>
          <t>A 4976-2025</t>
        </is>
      </c>
      <c r="B5348" s="1" t="n">
        <v>45690.86565972222</v>
      </c>
      <c r="C5348" s="1" t="n">
        <v>45932</v>
      </c>
      <c r="D5348" t="inlineStr">
        <is>
          <t>VÄRMLANDS LÄN</t>
        </is>
      </c>
      <c r="E5348" t="inlineStr">
        <is>
          <t>ÅRJÄNG</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50339-2024</t>
        </is>
      </c>
      <c r="B5349" s="1" t="n">
        <v>45600.73030092593</v>
      </c>
      <c r="C5349" s="1" t="n">
        <v>45932</v>
      </c>
      <c r="D5349" t="inlineStr">
        <is>
          <t>VÄRMLANDS LÄN</t>
        </is>
      </c>
      <c r="E5349" t="inlineStr">
        <is>
          <t>ÅRJÄNG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10990-2025</t>
        </is>
      </c>
      <c r="B5350" s="1" t="n">
        <v>45723.43067129629</v>
      </c>
      <c r="C5350" s="1" t="n">
        <v>45932</v>
      </c>
      <c r="D5350" t="inlineStr">
        <is>
          <t>VÄRMLANDS LÄN</t>
        </is>
      </c>
      <c r="E5350" t="inlineStr">
        <is>
          <t>SÄFFLE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54023-2024</t>
        </is>
      </c>
      <c r="B5351" s="1" t="n">
        <v>45616</v>
      </c>
      <c r="C5351" s="1" t="n">
        <v>45932</v>
      </c>
      <c r="D5351" t="inlineStr">
        <is>
          <t>VÄRMLANDS LÄN</t>
        </is>
      </c>
      <c r="E5351" t="inlineStr">
        <is>
          <t>TORSBY</t>
        </is>
      </c>
      <c r="F5351" t="inlineStr">
        <is>
          <t>Kommuner</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54027-2024</t>
        </is>
      </c>
      <c r="B5352" s="1" t="n">
        <v>45616</v>
      </c>
      <c r="C5352" s="1" t="n">
        <v>45932</v>
      </c>
      <c r="D5352" t="inlineStr">
        <is>
          <t>VÄRMLANDS LÄN</t>
        </is>
      </c>
      <c r="E5352" t="inlineStr">
        <is>
          <t>TORSBY</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17620-2025</t>
        </is>
      </c>
      <c r="B5353" s="1" t="n">
        <v>45757.85883101852</v>
      </c>
      <c r="C5353" s="1" t="n">
        <v>45932</v>
      </c>
      <c r="D5353" t="inlineStr">
        <is>
          <t>VÄRMLANDS LÄN</t>
        </is>
      </c>
      <c r="E5353" t="inlineStr">
        <is>
          <t>ARVIKA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9900-2024</t>
        </is>
      </c>
      <c r="B5354" s="1" t="n">
        <v>45363</v>
      </c>
      <c r="C5354" s="1" t="n">
        <v>45932</v>
      </c>
      <c r="D5354" t="inlineStr">
        <is>
          <t>VÄRMLANDS LÄN</t>
        </is>
      </c>
      <c r="E5354" t="inlineStr">
        <is>
          <t>TORSBY</t>
        </is>
      </c>
      <c r="G5354" t="n">
        <v>13.6</v>
      </c>
      <c r="H5354" t="n">
        <v>0</v>
      </c>
      <c r="I5354" t="n">
        <v>0</v>
      </c>
      <c r="J5354" t="n">
        <v>0</v>
      </c>
      <c r="K5354" t="n">
        <v>0</v>
      </c>
      <c r="L5354" t="n">
        <v>0</v>
      </c>
      <c r="M5354" t="n">
        <v>0</v>
      </c>
      <c r="N5354" t="n">
        <v>0</v>
      </c>
      <c r="O5354" t="n">
        <v>0</v>
      </c>
      <c r="P5354" t="n">
        <v>0</v>
      </c>
      <c r="Q5354" t="n">
        <v>0</v>
      </c>
      <c r="R5354" s="2" t="inlineStr"/>
    </row>
    <row r="5355" ht="15" customHeight="1">
      <c r="A5355" t="inlineStr">
        <is>
          <t>A 60968-2024</t>
        </is>
      </c>
      <c r="B5355" s="1" t="n">
        <v>45645</v>
      </c>
      <c r="C5355" s="1" t="n">
        <v>45932</v>
      </c>
      <c r="D5355" t="inlineStr">
        <is>
          <t>VÄRMLANDS LÄN</t>
        </is>
      </c>
      <c r="E5355" t="inlineStr">
        <is>
          <t>ARVIKA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60971-2024</t>
        </is>
      </c>
      <c r="B5356" s="1" t="n">
        <v>45645</v>
      </c>
      <c r="C5356" s="1" t="n">
        <v>45932</v>
      </c>
      <c r="D5356" t="inlineStr">
        <is>
          <t>VÄRMLANDS LÄN</t>
        </is>
      </c>
      <c r="E5356" t="inlineStr">
        <is>
          <t>ARVIKA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45086-2023</t>
        </is>
      </c>
      <c r="B5357" s="1" t="n">
        <v>45191.41320601852</v>
      </c>
      <c r="C5357" s="1" t="n">
        <v>45932</v>
      </c>
      <c r="D5357" t="inlineStr">
        <is>
          <t>VÄRMLANDS LÄN</t>
        </is>
      </c>
      <c r="E5357" t="inlineStr">
        <is>
          <t>EDA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7069-2022</t>
        </is>
      </c>
      <c r="B5358" s="1" t="n">
        <v>44603</v>
      </c>
      <c r="C5358" s="1" t="n">
        <v>45932</v>
      </c>
      <c r="D5358" t="inlineStr">
        <is>
          <t>VÄRMLANDS LÄN</t>
        </is>
      </c>
      <c r="E5358" t="inlineStr">
        <is>
          <t>TORSBY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15518-2025</t>
        </is>
      </c>
      <c r="B5359" s="1" t="n">
        <v>45747.61740740741</v>
      </c>
      <c r="C5359" s="1" t="n">
        <v>45932</v>
      </c>
      <c r="D5359" t="inlineStr">
        <is>
          <t>VÄRMLANDS LÄN</t>
        </is>
      </c>
      <c r="E5359" t="inlineStr">
        <is>
          <t>ARVIKA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21255-2023</t>
        </is>
      </c>
      <c r="B5360" s="1" t="n">
        <v>45058</v>
      </c>
      <c r="C5360" s="1" t="n">
        <v>45932</v>
      </c>
      <c r="D5360" t="inlineStr">
        <is>
          <t>VÄRMLANDS LÄN</t>
        </is>
      </c>
      <c r="E5360" t="inlineStr">
        <is>
          <t>TORSBY</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19242-2025</t>
        </is>
      </c>
      <c r="B5361" s="1" t="n">
        <v>45769.47761574074</v>
      </c>
      <c r="C5361" s="1" t="n">
        <v>45932</v>
      </c>
      <c r="D5361" t="inlineStr">
        <is>
          <t>VÄRMLANDS LÄN</t>
        </is>
      </c>
      <c r="E5361" t="inlineStr">
        <is>
          <t>ÅRJÄNG</t>
        </is>
      </c>
      <c r="G5361" t="n">
        <v>17.5</v>
      </c>
      <c r="H5361" t="n">
        <v>0</v>
      </c>
      <c r="I5361" t="n">
        <v>0</v>
      </c>
      <c r="J5361" t="n">
        <v>0</v>
      </c>
      <c r="K5361" t="n">
        <v>0</v>
      </c>
      <c r="L5361" t="n">
        <v>0</v>
      </c>
      <c r="M5361" t="n">
        <v>0</v>
      </c>
      <c r="N5361" t="n">
        <v>0</v>
      </c>
      <c r="O5361" t="n">
        <v>0</v>
      </c>
      <c r="P5361" t="n">
        <v>0</v>
      </c>
      <c r="Q5361" t="n">
        <v>0</v>
      </c>
      <c r="R5361" s="2" t="inlineStr"/>
    </row>
    <row r="5362" ht="15" customHeight="1">
      <c r="A5362" t="inlineStr">
        <is>
          <t>A 2387-2025</t>
        </is>
      </c>
      <c r="B5362" s="1" t="n">
        <v>45674</v>
      </c>
      <c r="C5362" s="1" t="n">
        <v>45932</v>
      </c>
      <c r="D5362" t="inlineStr">
        <is>
          <t>VÄRMLANDS LÄN</t>
        </is>
      </c>
      <c r="E5362" t="inlineStr">
        <is>
          <t>TORSBY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21309-2023</t>
        </is>
      </c>
      <c r="B5363" s="1" t="n">
        <v>45062</v>
      </c>
      <c r="C5363" s="1" t="n">
        <v>45932</v>
      </c>
      <c r="D5363" t="inlineStr">
        <is>
          <t>VÄRMLANDS LÄN</t>
        </is>
      </c>
      <c r="E5363" t="inlineStr">
        <is>
          <t>HAGFORS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19270-2025</t>
        </is>
      </c>
      <c r="B5364" s="1" t="n">
        <v>45769</v>
      </c>
      <c r="C5364" s="1" t="n">
        <v>45932</v>
      </c>
      <c r="D5364" t="inlineStr">
        <is>
          <t>VÄRMLANDS LÄN</t>
        </is>
      </c>
      <c r="E5364" t="inlineStr">
        <is>
          <t>SÄFFLE</t>
        </is>
      </c>
      <c r="F5364" t="inlineStr">
        <is>
          <t>Bergvik skog väst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14509-2022</t>
        </is>
      </c>
      <c r="B5365" s="1" t="n">
        <v>44655</v>
      </c>
      <c r="C5365" s="1" t="n">
        <v>45932</v>
      </c>
      <c r="D5365" t="inlineStr">
        <is>
          <t>VÄRMLANDS LÄN</t>
        </is>
      </c>
      <c r="E5365" t="inlineStr">
        <is>
          <t>ÅRJÄNG</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12568-2023</t>
        </is>
      </c>
      <c r="B5366" s="1" t="n">
        <v>45000</v>
      </c>
      <c r="C5366" s="1" t="n">
        <v>45932</v>
      </c>
      <c r="D5366" t="inlineStr">
        <is>
          <t>VÄRMLANDS LÄN</t>
        </is>
      </c>
      <c r="E5366" t="inlineStr">
        <is>
          <t>KRISTINEHAMN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34288-2022</t>
        </is>
      </c>
      <c r="B5367" s="1" t="n">
        <v>44792</v>
      </c>
      <c r="C5367" s="1" t="n">
        <v>45932</v>
      </c>
      <c r="D5367" t="inlineStr">
        <is>
          <t>VÄRMLANDS LÄN</t>
        </is>
      </c>
      <c r="E5367" t="inlineStr">
        <is>
          <t>SUNNE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9902-2024</t>
        </is>
      </c>
      <c r="B5368" s="1" t="n">
        <v>45363</v>
      </c>
      <c r="C5368" s="1" t="n">
        <v>45932</v>
      </c>
      <c r="D5368" t="inlineStr">
        <is>
          <t>VÄRMLANDS LÄN</t>
        </is>
      </c>
      <c r="E5368" t="inlineStr">
        <is>
          <t>TORSBY</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10684-2024</t>
        </is>
      </c>
      <c r="B5369" s="1" t="n">
        <v>45369.37938657407</v>
      </c>
      <c r="C5369" s="1" t="n">
        <v>45932</v>
      </c>
      <c r="D5369" t="inlineStr">
        <is>
          <t>VÄRMLANDS LÄN</t>
        </is>
      </c>
      <c r="E5369" t="inlineStr">
        <is>
          <t>TORSBY</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13157-2024</t>
        </is>
      </c>
      <c r="B5370" s="1" t="n">
        <v>45386</v>
      </c>
      <c r="C5370" s="1" t="n">
        <v>45932</v>
      </c>
      <c r="D5370" t="inlineStr">
        <is>
          <t>VÄRMLANDS LÄN</t>
        </is>
      </c>
      <c r="E5370" t="inlineStr">
        <is>
          <t>ÅRJÄNG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3672-2024</t>
        </is>
      </c>
      <c r="B5371" s="1" t="n">
        <v>45321.36465277777</v>
      </c>
      <c r="C5371" s="1" t="n">
        <v>45932</v>
      </c>
      <c r="D5371" t="inlineStr">
        <is>
          <t>VÄRMLANDS LÄN</t>
        </is>
      </c>
      <c r="E5371" t="inlineStr">
        <is>
          <t>TORSBY</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67818-2021</t>
        </is>
      </c>
      <c r="B5372" s="1" t="n">
        <v>44525.44768518519</v>
      </c>
      <c r="C5372" s="1" t="n">
        <v>45932</v>
      </c>
      <c r="D5372" t="inlineStr">
        <is>
          <t>VÄRMLANDS LÄN</t>
        </is>
      </c>
      <c r="E5372" t="inlineStr">
        <is>
          <t>SUNNE</t>
        </is>
      </c>
      <c r="G5372" t="n">
        <v>8.699999999999999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16820-2021</t>
        </is>
      </c>
      <c r="B5373" s="1" t="n">
        <v>44295.36819444445</v>
      </c>
      <c r="C5373" s="1" t="n">
        <v>45932</v>
      </c>
      <c r="D5373" t="inlineStr">
        <is>
          <t>VÄRMLANDS LÄN</t>
        </is>
      </c>
      <c r="E5373" t="inlineStr">
        <is>
          <t>KARLSTAD</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47236-2022</t>
        </is>
      </c>
      <c r="B5374" s="1" t="n">
        <v>44852.82453703704</v>
      </c>
      <c r="C5374" s="1" t="n">
        <v>45932</v>
      </c>
      <c r="D5374" t="inlineStr">
        <is>
          <t>VÄRMLANDS LÄN</t>
        </is>
      </c>
      <c r="E5374" t="inlineStr">
        <is>
          <t>SÄFFLE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13880-2025</t>
        </is>
      </c>
      <c r="B5375" s="1" t="n">
        <v>45737.59572916666</v>
      </c>
      <c r="C5375" s="1" t="n">
        <v>45932</v>
      </c>
      <c r="D5375" t="inlineStr">
        <is>
          <t>VÄRMLANDS LÄN</t>
        </is>
      </c>
      <c r="E5375" t="inlineStr">
        <is>
          <t>SUNNE</t>
        </is>
      </c>
      <c r="F5375" t="inlineStr">
        <is>
          <t>Kommuner</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25561-2023</t>
        </is>
      </c>
      <c r="B5376" s="1" t="n">
        <v>45082</v>
      </c>
      <c r="C5376" s="1" t="n">
        <v>45932</v>
      </c>
      <c r="D5376" t="inlineStr">
        <is>
          <t>VÄRMLANDS LÄN</t>
        </is>
      </c>
      <c r="E5376" t="inlineStr">
        <is>
          <t>SÄFFLE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23424-2024</t>
        </is>
      </c>
      <c r="B5377" s="1" t="n">
        <v>45453.60950231482</v>
      </c>
      <c r="C5377" s="1" t="n">
        <v>45932</v>
      </c>
      <c r="D5377" t="inlineStr">
        <is>
          <t>VÄRMLANDS LÄN</t>
        </is>
      </c>
      <c r="E5377" t="inlineStr">
        <is>
          <t>ARVIKA</t>
        </is>
      </c>
      <c r="F5377" t="inlineStr">
        <is>
          <t>Bergvik skog väst AB</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54429-2023</t>
        </is>
      </c>
      <c r="B5378" s="1" t="n">
        <v>45226</v>
      </c>
      <c r="C5378" s="1" t="n">
        <v>45932</v>
      </c>
      <c r="D5378" t="inlineStr">
        <is>
          <t>VÄRMLANDS LÄN</t>
        </is>
      </c>
      <c r="E5378" t="inlineStr">
        <is>
          <t>SÄFFLE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53972-2021</t>
        </is>
      </c>
      <c r="B5379" s="1" t="n">
        <v>44470.30619212963</v>
      </c>
      <c r="C5379" s="1" t="n">
        <v>45932</v>
      </c>
      <c r="D5379" t="inlineStr">
        <is>
          <t>VÄRMLANDS LÄN</t>
        </is>
      </c>
      <c r="E5379" t="inlineStr">
        <is>
          <t>EDA</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13156-2021</t>
        </is>
      </c>
      <c r="B5380" s="1" t="n">
        <v>44272</v>
      </c>
      <c r="C5380" s="1" t="n">
        <v>45932</v>
      </c>
      <c r="D5380" t="inlineStr">
        <is>
          <t>VÄRMLANDS LÄN</t>
        </is>
      </c>
      <c r="E5380" t="inlineStr">
        <is>
          <t>FORSHAGA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47355-2021</t>
        </is>
      </c>
      <c r="B5381" s="1" t="n">
        <v>44447</v>
      </c>
      <c r="C5381" s="1" t="n">
        <v>45932</v>
      </c>
      <c r="D5381" t="inlineStr">
        <is>
          <t>VÄRMLANDS LÄN</t>
        </is>
      </c>
      <c r="E5381" t="inlineStr">
        <is>
          <t>SUNNE</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25208-2023</t>
        </is>
      </c>
      <c r="B5382" s="1" t="n">
        <v>45086.59510416666</v>
      </c>
      <c r="C5382" s="1" t="n">
        <v>45932</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23804-2022</t>
        </is>
      </c>
      <c r="B5383" s="1" t="n">
        <v>44722</v>
      </c>
      <c r="C5383" s="1" t="n">
        <v>45932</v>
      </c>
      <c r="D5383" t="inlineStr">
        <is>
          <t>VÄRMLANDS LÄN</t>
        </is>
      </c>
      <c r="E5383" t="inlineStr">
        <is>
          <t>TORSBY</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26028-2025</t>
        </is>
      </c>
      <c r="B5384" s="1" t="n">
        <v>45804.68641203704</v>
      </c>
      <c r="C5384" s="1" t="n">
        <v>45932</v>
      </c>
      <c r="D5384" t="inlineStr">
        <is>
          <t>VÄRMLANDS LÄN</t>
        </is>
      </c>
      <c r="E5384" t="inlineStr">
        <is>
          <t>KRISTINEHAMN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48510-2023</t>
        </is>
      </c>
      <c r="B5385" s="1" t="n">
        <v>45207</v>
      </c>
      <c r="C5385" s="1" t="n">
        <v>45932</v>
      </c>
      <c r="D5385" t="inlineStr">
        <is>
          <t>VÄRMLANDS LÄN</t>
        </is>
      </c>
      <c r="E5385" t="inlineStr">
        <is>
          <t>ARVIKA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16391-2025</t>
        </is>
      </c>
      <c r="B5386" s="1" t="n">
        <v>45751</v>
      </c>
      <c r="C5386" s="1" t="n">
        <v>45932</v>
      </c>
      <c r="D5386" t="inlineStr">
        <is>
          <t>VÄRMLANDS LÄN</t>
        </is>
      </c>
      <c r="E5386" t="inlineStr">
        <is>
          <t>KARLSTAD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10138-2024</t>
        </is>
      </c>
      <c r="B5387" s="1" t="n">
        <v>45364</v>
      </c>
      <c r="C5387" s="1" t="n">
        <v>45932</v>
      </c>
      <c r="D5387" t="inlineStr">
        <is>
          <t>VÄRMLANDS LÄN</t>
        </is>
      </c>
      <c r="E5387" t="inlineStr">
        <is>
          <t>FILIPSTAD</t>
        </is>
      </c>
      <c r="F5387" t="inlineStr">
        <is>
          <t>Kommuner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23562-2021</t>
        </is>
      </c>
      <c r="B5388" s="1" t="n">
        <v>44334.41479166667</v>
      </c>
      <c r="C5388" s="1" t="n">
        <v>45932</v>
      </c>
      <c r="D5388" t="inlineStr">
        <is>
          <t>VÄRMLANDS LÄN</t>
        </is>
      </c>
      <c r="E5388" t="inlineStr">
        <is>
          <t>KRISTINEHAMN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39172-2023</t>
        </is>
      </c>
      <c r="B5389" s="1" t="n">
        <v>45166.37347222222</v>
      </c>
      <c r="C5389" s="1" t="n">
        <v>45932</v>
      </c>
      <c r="D5389" t="inlineStr">
        <is>
          <t>VÄRMLANDS LÄN</t>
        </is>
      </c>
      <c r="E5389" t="inlineStr">
        <is>
          <t>EDA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25866-2025</t>
        </is>
      </c>
      <c r="B5390" s="1" t="n">
        <v>45804.48143518518</v>
      </c>
      <c r="C5390" s="1" t="n">
        <v>45932</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41203-2024</t>
        </is>
      </c>
      <c r="B5391" s="1" t="n">
        <v>45559.52240740741</v>
      </c>
      <c r="C5391" s="1" t="n">
        <v>45932</v>
      </c>
      <c r="D5391" t="inlineStr">
        <is>
          <t>VÄRMLANDS LÄN</t>
        </is>
      </c>
      <c r="E5391" t="inlineStr">
        <is>
          <t>ARVIKA</t>
        </is>
      </c>
      <c r="F5391" t="inlineStr">
        <is>
          <t>Kommuner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41206-2024</t>
        </is>
      </c>
      <c r="B5392" s="1" t="n">
        <v>45559</v>
      </c>
      <c r="C5392" s="1" t="n">
        <v>45932</v>
      </c>
      <c r="D5392" t="inlineStr">
        <is>
          <t>VÄRMLANDS LÄN</t>
        </is>
      </c>
      <c r="E5392" t="inlineStr">
        <is>
          <t>ÅRJÄNG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46577-2025</t>
        </is>
      </c>
      <c r="B5393" s="1" t="n">
        <v>45926</v>
      </c>
      <c r="C5393" s="1" t="n">
        <v>45932</v>
      </c>
      <c r="D5393" t="inlineStr">
        <is>
          <t>VÄRMLANDS LÄN</t>
        </is>
      </c>
      <c r="E5393" t="inlineStr">
        <is>
          <t>MUNKFORS</t>
        </is>
      </c>
      <c r="F5393" t="inlineStr">
        <is>
          <t>Bergvik skog väst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62090-2024</t>
        </is>
      </c>
      <c r="B5394" s="1" t="n">
        <v>45656</v>
      </c>
      <c r="C5394" s="1" t="n">
        <v>45932</v>
      </c>
      <c r="D5394" t="inlineStr">
        <is>
          <t>VÄRMLANDS LÄN</t>
        </is>
      </c>
      <c r="E5394" t="inlineStr">
        <is>
          <t>TORSBY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62092-2024</t>
        </is>
      </c>
      <c r="B5395" s="1" t="n">
        <v>45656</v>
      </c>
      <c r="C5395" s="1" t="n">
        <v>45932</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61430-2023</t>
        </is>
      </c>
      <c r="B5396" s="1" t="n">
        <v>45261</v>
      </c>
      <c r="C5396" s="1" t="n">
        <v>45932</v>
      </c>
      <c r="D5396" t="inlineStr">
        <is>
          <t>VÄRMLANDS LÄN</t>
        </is>
      </c>
      <c r="E5396" t="inlineStr">
        <is>
          <t>SUNNE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25929-2025</t>
        </is>
      </c>
      <c r="B5397" s="1" t="n">
        <v>45804.57912037037</v>
      </c>
      <c r="C5397" s="1" t="n">
        <v>45932</v>
      </c>
      <c r="D5397" t="inlineStr">
        <is>
          <t>VÄRMLANDS LÄN</t>
        </is>
      </c>
      <c r="E5397" t="inlineStr">
        <is>
          <t>EDA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26192-2025</t>
        </is>
      </c>
      <c r="B5398" s="1" t="n">
        <v>45805.4883449074</v>
      </c>
      <c r="C5398" s="1" t="n">
        <v>45932</v>
      </c>
      <c r="D5398" t="inlineStr">
        <is>
          <t>VÄRMLANDS LÄN</t>
        </is>
      </c>
      <c r="E5398" t="inlineStr">
        <is>
          <t>KRISTINEHAMN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26231-2025</t>
        </is>
      </c>
      <c r="B5399" s="1" t="n">
        <v>45805</v>
      </c>
      <c r="C5399" s="1" t="n">
        <v>45932</v>
      </c>
      <c r="D5399" t="inlineStr">
        <is>
          <t>VÄRMLANDS LÄN</t>
        </is>
      </c>
      <c r="E5399" t="inlineStr">
        <is>
          <t>TORSBY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46108-2023</t>
        </is>
      </c>
      <c r="B5400" s="1" t="n">
        <v>45196.5453587963</v>
      </c>
      <c r="C5400" s="1" t="n">
        <v>45932</v>
      </c>
      <c r="D5400" t="inlineStr">
        <is>
          <t>VÄRMLANDS LÄN</t>
        </is>
      </c>
      <c r="E5400" t="inlineStr">
        <is>
          <t>ARVIKA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26188-2025</t>
        </is>
      </c>
      <c r="B5401" s="1" t="n">
        <v>45805.48194444444</v>
      </c>
      <c r="C5401" s="1" t="n">
        <v>45932</v>
      </c>
      <c r="D5401" t="inlineStr">
        <is>
          <t>VÄRMLANDS LÄN</t>
        </is>
      </c>
      <c r="E5401" t="inlineStr">
        <is>
          <t>KRISTINEHAMN</t>
        </is>
      </c>
      <c r="F5401" t="inlineStr">
        <is>
          <t>Sveaskog</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19844-2024</t>
        </is>
      </c>
      <c r="B5402" s="1" t="n">
        <v>45432</v>
      </c>
      <c r="C5402" s="1" t="n">
        <v>45932</v>
      </c>
      <c r="D5402" t="inlineStr">
        <is>
          <t>VÄRMLANDS LÄN</t>
        </is>
      </c>
      <c r="E5402" t="inlineStr">
        <is>
          <t>KARLSTAD</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19894-2024</t>
        </is>
      </c>
      <c r="B5403" s="1" t="n">
        <v>45433.51168981481</v>
      </c>
      <c r="C5403" s="1" t="n">
        <v>45932</v>
      </c>
      <c r="D5403" t="inlineStr">
        <is>
          <t>VÄRMLANDS LÄN</t>
        </is>
      </c>
      <c r="E5403" t="inlineStr">
        <is>
          <t>HAGFORS</t>
        </is>
      </c>
      <c r="F5403" t="inlineStr">
        <is>
          <t>Bergvik skog väst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19922-2024</t>
        </is>
      </c>
      <c r="B5404" s="1" t="n">
        <v>45433</v>
      </c>
      <c r="C5404" s="1" t="n">
        <v>45932</v>
      </c>
      <c r="D5404" t="inlineStr">
        <is>
          <t>VÄRMLANDS LÄN</t>
        </is>
      </c>
      <c r="E5404" t="inlineStr">
        <is>
          <t>ARVIKA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26237-2025</t>
        </is>
      </c>
      <c r="B5405" s="1" t="n">
        <v>45805</v>
      </c>
      <c r="C5405" s="1" t="n">
        <v>45932</v>
      </c>
      <c r="D5405" t="inlineStr">
        <is>
          <t>VÄRMLANDS LÄN</t>
        </is>
      </c>
      <c r="E5405" t="inlineStr">
        <is>
          <t>EDA</t>
        </is>
      </c>
      <c r="F5405" t="inlineStr">
        <is>
          <t>Bergvik skog väst AB</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19954-2024</t>
        </is>
      </c>
      <c r="B5406" s="1" t="n">
        <v>45433</v>
      </c>
      <c r="C5406" s="1" t="n">
        <v>45932</v>
      </c>
      <c r="D5406" t="inlineStr">
        <is>
          <t>VÄRMLANDS LÄN</t>
        </is>
      </c>
      <c r="E5406" t="inlineStr">
        <is>
          <t>SUNNE</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46859-2024</t>
        </is>
      </c>
      <c r="B5407" s="1" t="n">
        <v>45583</v>
      </c>
      <c r="C5407" s="1" t="n">
        <v>45932</v>
      </c>
      <c r="D5407" t="inlineStr">
        <is>
          <t>VÄRMLANDS LÄN</t>
        </is>
      </c>
      <c r="E5407" t="inlineStr">
        <is>
          <t>SÄFFLE</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24013-2024</t>
        </is>
      </c>
      <c r="B5408" s="1" t="n">
        <v>45456</v>
      </c>
      <c r="C5408" s="1" t="n">
        <v>45932</v>
      </c>
      <c r="D5408" t="inlineStr">
        <is>
          <t>VÄRMLANDS LÄN</t>
        </is>
      </c>
      <c r="E5408" t="inlineStr">
        <is>
          <t>KRISTINEHAMN</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48984-2022</t>
        </is>
      </c>
      <c r="B5409" s="1" t="n">
        <v>44855</v>
      </c>
      <c r="C5409" s="1" t="n">
        <v>45932</v>
      </c>
      <c r="D5409" t="inlineStr">
        <is>
          <t>VÄRMLANDS LÄN</t>
        </is>
      </c>
      <c r="E5409" t="inlineStr">
        <is>
          <t>KARLSTAD</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46391-2025</t>
        </is>
      </c>
      <c r="B5410" s="1" t="n">
        <v>45925</v>
      </c>
      <c r="C5410" s="1" t="n">
        <v>45932</v>
      </c>
      <c r="D5410" t="inlineStr">
        <is>
          <t>VÄRMLANDS LÄN</t>
        </is>
      </c>
      <c r="E5410" t="inlineStr">
        <is>
          <t>SÄFFLE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25807-2025</t>
        </is>
      </c>
      <c r="B5411" s="1" t="n">
        <v>45804.41055555556</v>
      </c>
      <c r="C5411" s="1" t="n">
        <v>45932</v>
      </c>
      <c r="D5411" t="inlineStr">
        <is>
          <t>VÄRMLANDS LÄN</t>
        </is>
      </c>
      <c r="E5411" t="inlineStr">
        <is>
          <t>TORSBY</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8589-2024</t>
        </is>
      </c>
      <c r="B5412" s="1" t="n">
        <v>45355</v>
      </c>
      <c r="C5412" s="1" t="n">
        <v>45932</v>
      </c>
      <c r="D5412" t="inlineStr">
        <is>
          <t>VÄRMLANDS LÄN</t>
        </is>
      </c>
      <c r="E5412" t="inlineStr">
        <is>
          <t>SÄFFLE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47191-2023</t>
        </is>
      </c>
      <c r="B5413" s="1" t="n">
        <v>45202.30049768519</v>
      </c>
      <c r="C5413" s="1" t="n">
        <v>45932</v>
      </c>
      <c r="D5413" t="inlineStr">
        <is>
          <t>VÄRMLANDS LÄN</t>
        </is>
      </c>
      <c r="E5413" t="inlineStr">
        <is>
          <t>ARVIKA</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19566-2023</t>
        </is>
      </c>
      <c r="B5414" s="1" t="n">
        <v>45049</v>
      </c>
      <c r="C5414" s="1" t="n">
        <v>45932</v>
      </c>
      <c r="D5414" t="inlineStr">
        <is>
          <t>VÄRMLANDS LÄN</t>
        </is>
      </c>
      <c r="E5414" t="inlineStr">
        <is>
          <t>GRUMS</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47228-2023</t>
        </is>
      </c>
      <c r="B5415" s="1" t="n">
        <v>45202.3709837963</v>
      </c>
      <c r="C5415" s="1" t="n">
        <v>45932</v>
      </c>
      <c r="D5415" t="inlineStr">
        <is>
          <t>VÄRMLANDS LÄN</t>
        </is>
      </c>
      <c r="E5415" t="inlineStr">
        <is>
          <t>ÅRJÄNG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16063-2025</t>
        </is>
      </c>
      <c r="B5416" s="1" t="n">
        <v>45749</v>
      </c>
      <c r="C5416" s="1" t="n">
        <v>45932</v>
      </c>
      <c r="D5416" t="inlineStr">
        <is>
          <t>VÄRMLANDS LÄN</t>
        </is>
      </c>
      <c r="E5416" t="inlineStr">
        <is>
          <t>FILIPSTAD</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862-2023</t>
        </is>
      </c>
      <c r="B5417" s="1" t="n">
        <v>44931.62783564815</v>
      </c>
      <c r="C5417" s="1" t="n">
        <v>45932</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42457-2024</t>
        </is>
      </c>
      <c r="B5418" s="1" t="n">
        <v>45565.46346064815</v>
      </c>
      <c r="C5418" s="1" t="n">
        <v>45932</v>
      </c>
      <c r="D5418" t="inlineStr">
        <is>
          <t>VÄRMLANDS LÄN</t>
        </is>
      </c>
      <c r="E5418" t="inlineStr">
        <is>
          <t>TORSBY</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60377-2022</t>
        </is>
      </c>
      <c r="B5419" s="1" t="n">
        <v>44904</v>
      </c>
      <c r="C5419" s="1" t="n">
        <v>45932</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47055-2021</t>
        </is>
      </c>
      <c r="B5420" s="1" t="n">
        <v>44446</v>
      </c>
      <c r="C5420" s="1" t="n">
        <v>45932</v>
      </c>
      <c r="D5420" t="inlineStr">
        <is>
          <t>VÄRMLANDS LÄN</t>
        </is>
      </c>
      <c r="E5420" t="inlineStr">
        <is>
          <t>KARLSTAD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29742-2023</t>
        </is>
      </c>
      <c r="B5421" s="1" t="n">
        <v>45107</v>
      </c>
      <c r="C5421" s="1" t="n">
        <v>45932</v>
      </c>
      <c r="D5421" t="inlineStr">
        <is>
          <t>VÄRMLANDS LÄN</t>
        </is>
      </c>
      <c r="E5421" t="inlineStr">
        <is>
          <t>SUNNE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8685-2024</t>
        </is>
      </c>
      <c r="B5422" s="1" t="n">
        <v>45356</v>
      </c>
      <c r="C5422" s="1" t="n">
        <v>45932</v>
      </c>
      <c r="D5422" t="inlineStr">
        <is>
          <t>VÄRMLANDS LÄN</t>
        </is>
      </c>
      <c r="E5422" t="inlineStr">
        <is>
          <t>ÅRJÄNG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8728-2024</t>
        </is>
      </c>
      <c r="B5423" s="1" t="n">
        <v>45356.42799768518</v>
      </c>
      <c r="C5423" s="1" t="n">
        <v>45932</v>
      </c>
      <c r="D5423" t="inlineStr">
        <is>
          <t>VÄRMLANDS LÄN</t>
        </is>
      </c>
      <c r="E5423" t="inlineStr">
        <is>
          <t>TORSBY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29762-2023</t>
        </is>
      </c>
      <c r="B5424" s="1" t="n">
        <v>45107.47733796296</v>
      </c>
      <c r="C5424" s="1" t="n">
        <v>45932</v>
      </c>
      <c r="D5424" t="inlineStr">
        <is>
          <t>VÄRMLANDS LÄN</t>
        </is>
      </c>
      <c r="E5424" t="inlineStr">
        <is>
          <t>GRUMS</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42051-2024</t>
        </is>
      </c>
      <c r="B5425" s="1" t="n">
        <v>45561.86493055556</v>
      </c>
      <c r="C5425" s="1" t="n">
        <v>45932</v>
      </c>
      <c r="D5425" t="inlineStr">
        <is>
          <t>VÄRMLANDS LÄN</t>
        </is>
      </c>
      <c r="E5425" t="inlineStr">
        <is>
          <t>ARVIKA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27727-2023</t>
        </is>
      </c>
      <c r="B5426" s="1" t="n">
        <v>45093</v>
      </c>
      <c r="C5426" s="1" t="n">
        <v>45932</v>
      </c>
      <c r="D5426" t="inlineStr">
        <is>
          <t>VÄRMLANDS LÄN</t>
        </is>
      </c>
      <c r="E5426" t="inlineStr">
        <is>
          <t>SUNNE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8838-2023</t>
        </is>
      </c>
      <c r="B5427" s="1" t="n">
        <v>44978</v>
      </c>
      <c r="C5427" s="1" t="n">
        <v>45932</v>
      </c>
      <c r="D5427" t="inlineStr">
        <is>
          <t>VÄRMLANDS LÄN</t>
        </is>
      </c>
      <c r="E5427" t="inlineStr">
        <is>
          <t>ÅRJÄNG</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38705-2022</t>
        </is>
      </c>
      <c r="B5428" s="1" t="n">
        <v>44814.72725694445</v>
      </c>
      <c r="C5428" s="1" t="n">
        <v>45932</v>
      </c>
      <c r="D5428" t="inlineStr">
        <is>
          <t>VÄRMLANDS LÄN</t>
        </is>
      </c>
      <c r="E5428" t="inlineStr">
        <is>
          <t>ARVIKA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8892-2023</t>
        </is>
      </c>
      <c r="B5429" s="1" t="n">
        <v>44979</v>
      </c>
      <c r="C5429" s="1" t="n">
        <v>45932</v>
      </c>
      <c r="D5429" t="inlineStr">
        <is>
          <t>VÄRMLANDS LÄN</t>
        </is>
      </c>
      <c r="E5429" t="inlineStr">
        <is>
          <t>KARLSTAD</t>
        </is>
      </c>
      <c r="F5429" t="inlineStr">
        <is>
          <t>Kyrkan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11680-2023</t>
        </is>
      </c>
      <c r="B5430" s="1" t="n">
        <v>44994</v>
      </c>
      <c r="C5430" s="1" t="n">
        <v>45932</v>
      </c>
      <c r="D5430" t="inlineStr">
        <is>
          <t>VÄRMLANDS LÄN</t>
        </is>
      </c>
      <c r="E5430" t="inlineStr">
        <is>
          <t>FILIPSTAD</t>
        </is>
      </c>
      <c r="F5430" t="inlineStr">
        <is>
          <t>Bergvik skog väst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1511-2025</t>
        </is>
      </c>
      <c r="B5431" s="1" t="n">
        <v>45670</v>
      </c>
      <c r="C5431" s="1" t="n">
        <v>45932</v>
      </c>
      <c r="D5431" t="inlineStr">
        <is>
          <t>VÄRMLANDS LÄN</t>
        </is>
      </c>
      <c r="E5431" t="inlineStr">
        <is>
          <t>ARVIKA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54900-2024</t>
        </is>
      </c>
      <c r="B5432" s="1" t="n">
        <v>45618.64770833333</v>
      </c>
      <c r="C5432" s="1" t="n">
        <v>45932</v>
      </c>
      <c r="D5432" t="inlineStr">
        <is>
          <t>VÄRMLANDS LÄN</t>
        </is>
      </c>
      <c r="E5432" t="inlineStr">
        <is>
          <t>ÅRJÄNG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32988-2024</t>
        </is>
      </c>
      <c r="B5433" s="1" t="n">
        <v>45517.46616898148</v>
      </c>
      <c r="C5433" s="1" t="n">
        <v>45932</v>
      </c>
      <c r="D5433" t="inlineStr">
        <is>
          <t>VÄRMLANDS LÄN</t>
        </is>
      </c>
      <c r="E5433" t="inlineStr">
        <is>
          <t>TORSBY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45300-2023</t>
        </is>
      </c>
      <c r="B5434" s="1" t="n">
        <v>45191</v>
      </c>
      <c r="C5434" s="1" t="n">
        <v>45932</v>
      </c>
      <c r="D5434" t="inlineStr">
        <is>
          <t>VÄRMLANDS LÄN</t>
        </is>
      </c>
      <c r="E5434" t="inlineStr">
        <is>
          <t>ARVIKA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41565-2023</t>
        </is>
      </c>
      <c r="B5435" s="1" t="n">
        <v>45175</v>
      </c>
      <c r="C5435" s="1" t="n">
        <v>45932</v>
      </c>
      <c r="D5435" t="inlineStr">
        <is>
          <t>VÄRMLANDS LÄN</t>
        </is>
      </c>
      <c r="E5435" t="inlineStr">
        <is>
          <t>KARLSTAD</t>
        </is>
      </c>
      <c r="F5435" t="inlineStr">
        <is>
          <t>Övriga Aktiebolag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15120-2025</t>
        </is>
      </c>
      <c r="B5436" s="1" t="n">
        <v>45744.30913194444</v>
      </c>
      <c r="C5436" s="1" t="n">
        <v>45932</v>
      </c>
      <c r="D5436" t="inlineStr">
        <is>
          <t>VÄRMLANDS LÄN</t>
        </is>
      </c>
      <c r="E5436" t="inlineStr">
        <is>
          <t>ARVIKA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41568-2023</t>
        </is>
      </c>
      <c r="B5437" s="1" t="n">
        <v>45175</v>
      </c>
      <c r="C5437" s="1" t="n">
        <v>45932</v>
      </c>
      <c r="D5437" t="inlineStr">
        <is>
          <t>VÄRMLANDS LÄN</t>
        </is>
      </c>
      <c r="E5437" t="inlineStr">
        <is>
          <t>KARLSTAD</t>
        </is>
      </c>
      <c r="F5437" t="inlineStr">
        <is>
          <t>Övriga Aktiebolag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26116-2025</t>
        </is>
      </c>
      <c r="B5438" s="1" t="n">
        <v>45805.37556712963</v>
      </c>
      <c r="C5438" s="1" t="n">
        <v>45932</v>
      </c>
      <c r="D5438" t="inlineStr">
        <is>
          <t>VÄRMLANDS LÄN</t>
        </is>
      </c>
      <c r="E5438" t="inlineStr">
        <is>
          <t>FILIPSTAD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25254-2024</t>
        </is>
      </c>
      <c r="B5439" s="1" t="n">
        <v>45462.61162037037</v>
      </c>
      <c r="C5439" s="1" t="n">
        <v>45932</v>
      </c>
      <c r="D5439" t="inlineStr">
        <is>
          <t>VÄRMLANDS LÄN</t>
        </is>
      </c>
      <c r="E5439" t="inlineStr">
        <is>
          <t>FILIPSTAD</t>
        </is>
      </c>
      <c r="F5439" t="inlineStr">
        <is>
          <t>Bergvik skog väst AB</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38835-2024</t>
        </is>
      </c>
      <c r="B5440" s="1" t="n">
        <v>45547</v>
      </c>
      <c r="C5440" s="1" t="n">
        <v>45932</v>
      </c>
      <c r="D5440" t="inlineStr">
        <is>
          <t>VÄRMLANDS LÄN</t>
        </is>
      </c>
      <c r="E5440" t="inlineStr">
        <is>
          <t>KIL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39771-2024</t>
        </is>
      </c>
      <c r="B5441" s="1" t="n">
        <v>45552</v>
      </c>
      <c r="C5441" s="1" t="n">
        <v>45932</v>
      </c>
      <c r="D5441" t="inlineStr">
        <is>
          <t>VÄRMLANDS LÄN</t>
        </is>
      </c>
      <c r="E5441" t="inlineStr">
        <is>
          <t>TORSBY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14340-2024</t>
        </is>
      </c>
      <c r="B5442" s="1" t="n">
        <v>45393</v>
      </c>
      <c r="C5442" s="1" t="n">
        <v>45932</v>
      </c>
      <c r="D5442" t="inlineStr">
        <is>
          <t>VÄRMLANDS LÄN</t>
        </is>
      </c>
      <c r="E5442" t="inlineStr">
        <is>
          <t>KRISTINEHAMN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26123-2025</t>
        </is>
      </c>
      <c r="B5443" s="1" t="n">
        <v>45805.38965277778</v>
      </c>
      <c r="C5443" s="1" t="n">
        <v>45932</v>
      </c>
      <c r="D5443" t="inlineStr">
        <is>
          <t>VÄRMLANDS LÄN</t>
        </is>
      </c>
      <c r="E5443" t="inlineStr">
        <is>
          <t>FILIPSTAD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46408-2025</t>
        </is>
      </c>
      <c r="B5444" s="1" t="n">
        <v>45925</v>
      </c>
      <c r="C5444" s="1" t="n">
        <v>45932</v>
      </c>
      <c r="D5444" t="inlineStr">
        <is>
          <t>VÄRMLANDS LÄN</t>
        </is>
      </c>
      <c r="E5444" t="inlineStr">
        <is>
          <t>ARVIKA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58653-2023</t>
        </is>
      </c>
      <c r="B5445" s="1" t="n">
        <v>45251</v>
      </c>
      <c r="C5445" s="1" t="n">
        <v>45932</v>
      </c>
      <c r="D5445" t="inlineStr">
        <is>
          <t>VÄRMLANDS LÄN</t>
        </is>
      </c>
      <c r="E5445" t="inlineStr">
        <is>
          <t>SÄFFLE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22421-2024</t>
        </is>
      </c>
      <c r="B5446" s="1" t="n">
        <v>45446.70890046296</v>
      </c>
      <c r="C5446" s="1" t="n">
        <v>45932</v>
      </c>
      <c r="D5446" t="inlineStr">
        <is>
          <t>VÄRMLANDS LÄN</t>
        </is>
      </c>
      <c r="E5446" t="inlineStr">
        <is>
          <t>TORSBY</t>
        </is>
      </c>
      <c r="G5446" t="n">
        <v>8.9</v>
      </c>
      <c r="H5446" t="n">
        <v>0</v>
      </c>
      <c r="I5446" t="n">
        <v>0</v>
      </c>
      <c r="J5446" t="n">
        <v>0</v>
      </c>
      <c r="K5446" t="n">
        <v>0</v>
      </c>
      <c r="L5446" t="n">
        <v>0</v>
      </c>
      <c r="M5446" t="n">
        <v>0</v>
      </c>
      <c r="N5446" t="n">
        <v>0</v>
      </c>
      <c r="O5446" t="n">
        <v>0</v>
      </c>
      <c r="P5446" t="n">
        <v>0</v>
      </c>
      <c r="Q5446" t="n">
        <v>0</v>
      </c>
      <c r="R5446" s="2" t="inlineStr"/>
    </row>
    <row r="5447" ht="15" customHeight="1">
      <c r="A5447" t="inlineStr">
        <is>
          <t>A 6856-2025</t>
        </is>
      </c>
      <c r="B5447" s="1" t="n">
        <v>45700</v>
      </c>
      <c r="C5447" s="1" t="n">
        <v>45932</v>
      </c>
      <c r="D5447" t="inlineStr">
        <is>
          <t>VÄRMLANDS LÄN</t>
        </is>
      </c>
      <c r="E5447" t="inlineStr">
        <is>
          <t>STORFORS</t>
        </is>
      </c>
      <c r="F5447" t="inlineStr">
        <is>
          <t>Kyrkan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6909-2025</t>
        </is>
      </c>
      <c r="B5448" s="1" t="n">
        <v>45701</v>
      </c>
      <c r="C5448" s="1" t="n">
        <v>45932</v>
      </c>
      <c r="D5448" t="inlineStr">
        <is>
          <t>VÄRMLANDS LÄN</t>
        </is>
      </c>
      <c r="E5448" t="inlineStr">
        <is>
          <t>FORSHAGA</t>
        </is>
      </c>
      <c r="F5448" t="inlineStr">
        <is>
          <t>Bergvik skog väst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4071-2023</t>
        </is>
      </c>
      <c r="B5449" s="1" t="n">
        <v>44952.65668981482</v>
      </c>
      <c r="C5449" s="1" t="n">
        <v>45932</v>
      </c>
      <c r="D5449" t="inlineStr">
        <is>
          <t>VÄRMLANDS LÄN</t>
        </is>
      </c>
      <c r="E5449" t="inlineStr">
        <is>
          <t>KARLSTAD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6939-2025</t>
        </is>
      </c>
      <c r="B5450" s="1" t="n">
        <v>45701</v>
      </c>
      <c r="C5450" s="1" t="n">
        <v>45932</v>
      </c>
      <c r="D5450" t="inlineStr">
        <is>
          <t>VÄRMLANDS LÄN</t>
        </is>
      </c>
      <c r="E5450" t="inlineStr">
        <is>
          <t>SUNNE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59755-2023</t>
        </is>
      </c>
      <c r="B5451" s="1" t="n">
        <v>45257</v>
      </c>
      <c r="C5451" s="1" t="n">
        <v>45932</v>
      </c>
      <c r="D5451" t="inlineStr">
        <is>
          <t>VÄRMLANDS LÄN</t>
        </is>
      </c>
      <c r="E5451" t="inlineStr">
        <is>
          <t>ARVIKA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227-2025</t>
        </is>
      </c>
      <c r="B5452" s="1" t="n">
        <v>45660</v>
      </c>
      <c r="C5452" s="1" t="n">
        <v>45932</v>
      </c>
      <c r="D5452" t="inlineStr">
        <is>
          <t>VÄRMLANDS LÄN</t>
        </is>
      </c>
      <c r="E5452" t="inlineStr">
        <is>
          <t>STORFORS</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61206-2023</t>
        </is>
      </c>
      <c r="B5453" s="1" t="n">
        <v>45264.38726851852</v>
      </c>
      <c r="C5453" s="1" t="n">
        <v>45932</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36157-2023</t>
        </is>
      </c>
      <c r="B5454" s="1" t="n">
        <v>45149</v>
      </c>
      <c r="C5454" s="1" t="n">
        <v>45932</v>
      </c>
      <c r="D5454" t="inlineStr">
        <is>
          <t>VÄRMLANDS LÄN</t>
        </is>
      </c>
      <c r="E5454" t="inlineStr">
        <is>
          <t>EDA</t>
        </is>
      </c>
      <c r="F5454" t="inlineStr">
        <is>
          <t>Kommuner</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13341-2023</t>
        </is>
      </c>
      <c r="B5455" s="1" t="n">
        <v>45005</v>
      </c>
      <c r="C5455" s="1" t="n">
        <v>45932</v>
      </c>
      <c r="D5455" t="inlineStr">
        <is>
          <t>VÄRMLANDS LÄN</t>
        </is>
      </c>
      <c r="E5455" t="inlineStr">
        <is>
          <t>ARVIKA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27231-2024</t>
        </is>
      </c>
      <c r="B5456" s="1" t="n">
        <v>45471</v>
      </c>
      <c r="C5456" s="1" t="n">
        <v>45932</v>
      </c>
      <c r="D5456" t="inlineStr">
        <is>
          <t>VÄRMLANDS LÄN</t>
        </is>
      </c>
      <c r="E5456" t="inlineStr">
        <is>
          <t>SÄFFLE</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27243-2024</t>
        </is>
      </c>
      <c r="B5457" s="1" t="n">
        <v>45471</v>
      </c>
      <c r="C5457" s="1" t="n">
        <v>45932</v>
      </c>
      <c r="D5457" t="inlineStr">
        <is>
          <t>VÄRMLANDS LÄN</t>
        </is>
      </c>
      <c r="E5457" t="inlineStr">
        <is>
          <t>SÄFFLE</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59872-2023</t>
        </is>
      </c>
      <c r="B5458" s="1" t="n">
        <v>45257.58666666667</v>
      </c>
      <c r="C5458" s="1" t="n">
        <v>45932</v>
      </c>
      <c r="D5458" t="inlineStr">
        <is>
          <t>VÄRMLANDS LÄN</t>
        </is>
      </c>
      <c r="E5458" t="inlineStr">
        <is>
          <t>TORSBY</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26259-2024</t>
        </is>
      </c>
      <c r="B5459" s="1" t="n">
        <v>45468</v>
      </c>
      <c r="C5459" s="1" t="n">
        <v>45932</v>
      </c>
      <c r="D5459" t="inlineStr">
        <is>
          <t>VÄRMLANDS LÄN</t>
        </is>
      </c>
      <c r="E5459" t="inlineStr">
        <is>
          <t>ÅRJÄNG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71625-2021</t>
        </is>
      </c>
      <c r="B5460" s="1" t="n">
        <v>44542</v>
      </c>
      <c r="C5460" s="1" t="n">
        <v>45932</v>
      </c>
      <c r="D5460" t="inlineStr">
        <is>
          <t>VÄRMLANDS LÄN</t>
        </is>
      </c>
      <c r="E5460" t="inlineStr">
        <is>
          <t>FORSHAGA</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25959-2025</t>
        </is>
      </c>
      <c r="B5461" s="1" t="n">
        <v>45804.60914351852</v>
      </c>
      <c r="C5461" s="1" t="n">
        <v>45932</v>
      </c>
      <c r="D5461" t="inlineStr">
        <is>
          <t>VÄRMLANDS LÄN</t>
        </is>
      </c>
      <c r="E5461" t="inlineStr">
        <is>
          <t>TORSBY</t>
        </is>
      </c>
      <c r="F5461" t="inlineStr">
        <is>
          <t>Bergvik skog väst AB</t>
        </is>
      </c>
      <c r="G5461" t="n">
        <v>17.6</v>
      </c>
      <c r="H5461" t="n">
        <v>0</v>
      </c>
      <c r="I5461" t="n">
        <v>0</v>
      </c>
      <c r="J5461" t="n">
        <v>0</v>
      </c>
      <c r="K5461" t="n">
        <v>0</v>
      </c>
      <c r="L5461" t="n">
        <v>0</v>
      </c>
      <c r="M5461" t="n">
        <v>0</v>
      </c>
      <c r="N5461" t="n">
        <v>0</v>
      </c>
      <c r="O5461" t="n">
        <v>0</v>
      </c>
      <c r="P5461" t="n">
        <v>0</v>
      </c>
      <c r="Q5461" t="n">
        <v>0</v>
      </c>
      <c r="R5461" s="2" t="inlineStr"/>
    </row>
    <row r="5462" ht="15" customHeight="1">
      <c r="A5462" t="inlineStr">
        <is>
          <t>A 26004-2025</t>
        </is>
      </c>
      <c r="B5462" s="1" t="n">
        <v>45804.66979166667</v>
      </c>
      <c r="C5462" s="1" t="n">
        <v>45932</v>
      </c>
      <c r="D5462" t="inlineStr">
        <is>
          <t>VÄRMLANDS LÄN</t>
        </is>
      </c>
      <c r="E5462" t="inlineStr">
        <is>
          <t>EDA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26023-2025</t>
        </is>
      </c>
      <c r="B5463" s="1" t="n">
        <v>45804.6821875</v>
      </c>
      <c r="C5463" s="1" t="n">
        <v>45932</v>
      </c>
      <c r="D5463" t="inlineStr">
        <is>
          <t>VÄRMLANDS LÄN</t>
        </is>
      </c>
      <c r="E5463" t="inlineStr">
        <is>
          <t>SÄFFLE</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25917-2025</t>
        </is>
      </c>
      <c r="B5464" s="1" t="n">
        <v>45804.56704861111</v>
      </c>
      <c r="C5464" s="1" t="n">
        <v>45932</v>
      </c>
      <c r="D5464" t="inlineStr">
        <is>
          <t>VÄRMLANDS LÄN</t>
        </is>
      </c>
      <c r="E5464" t="inlineStr">
        <is>
          <t>TORSBY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71679-2021</t>
        </is>
      </c>
      <c r="B5465" s="1" t="n">
        <v>44543</v>
      </c>
      <c r="C5465" s="1" t="n">
        <v>45932</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22124-2022</t>
        </is>
      </c>
      <c r="B5466" s="1" t="n">
        <v>44712</v>
      </c>
      <c r="C5466" s="1" t="n">
        <v>45932</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43157-2021</t>
        </is>
      </c>
      <c r="B5467" s="1" t="n">
        <v>44431</v>
      </c>
      <c r="C5467" s="1" t="n">
        <v>45932</v>
      </c>
      <c r="D5467" t="inlineStr">
        <is>
          <t>VÄRMLANDS LÄN</t>
        </is>
      </c>
      <c r="E5467" t="inlineStr">
        <is>
          <t>TORSBY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50953-2024</t>
        </is>
      </c>
      <c r="B5468" s="1" t="n">
        <v>45603</v>
      </c>
      <c r="C5468" s="1" t="n">
        <v>45932</v>
      </c>
      <c r="D5468" t="inlineStr">
        <is>
          <t>VÄRMLANDS LÄN</t>
        </is>
      </c>
      <c r="E5468" t="inlineStr">
        <is>
          <t>ARVIKA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22943-2023</t>
        </is>
      </c>
      <c r="B5469" s="1" t="n">
        <v>45072</v>
      </c>
      <c r="C5469" s="1" t="n">
        <v>45932</v>
      </c>
      <c r="D5469" t="inlineStr">
        <is>
          <t>VÄRMLANDS LÄN</t>
        </is>
      </c>
      <c r="E5469" t="inlineStr">
        <is>
          <t>TORSBY</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26514-2024</t>
        </is>
      </c>
      <c r="B5470" s="1" t="n">
        <v>45469</v>
      </c>
      <c r="C5470" s="1" t="n">
        <v>45932</v>
      </c>
      <c r="D5470" t="inlineStr">
        <is>
          <t>VÄRMLANDS LÄN</t>
        </is>
      </c>
      <c r="E5470" t="inlineStr">
        <is>
          <t>HAGFORS</t>
        </is>
      </c>
      <c r="F5470" t="inlineStr">
        <is>
          <t>Bergvik skog väst AB</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38495-2024</t>
        </is>
      </c>
      <c r="B5471" s="1" t="n">
        <v>45546</v>
      </c>
      <c r="C5471" s="1" t="n">
        <v>45932</v>
      </c>
      <c r="D5471" t="inlineStr">
        <is>
          <t>VÄRMLANDS LÄN</t>
        </is>
      </c>
      <c r="E5471" t="inlineStr">
        <is>
          <t>KARLSTAD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38497-2024</t>
        </is>
      </c>
      <c r="B5472" s="1" t="n">
        <v>45546.51869212963</v>
      </c>
      <c r="C5472" s="1" t="n">
        <v>45932</v>
      </c>
      <c r="D5472" t="inlineStr">
        <is>
          <t>VÄRMLANDS LÄN</t>
        </is>
      </c>
      <c r="E5472" t="inlineStr">
        <is>
          <t>TORSBY</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58486-2023</t>
        </is>
      </c>
      <c r="B5473" s="1" t="n">
        <v>45246</v>
      </c>
      <c r="C5473" s="1" t="n">
        <v>45932</v>
      </c>
      <c r="D5473" t="inlineStr">
        <is>
          <t>VÄRMLANDS LÄN</t>
        </is>
      </c>
      <c r="E5473" t="inlineStr">
        <is>
          <t>ÅRJÄNG</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20582-2025</t>
        </is>
      </c>
      <c r="B5474" s="1" t="n">
        <v>45775.68714120371</v>
      </c>
      <c r="C5474" s="1" t="n">
        <v>45932</v>
      </c>
      <c r="D5474" t="inlineStr">
        <is>
          <t>VÄRMLANDS LÄN</t>
        </is>
      </c>
      <c r="E5474" t="inlineStr">
        <is>
          <t>ARVIKA</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45411-2025</t>
        </is>
      </c>
      <c r="B5475" s="1" t="n">
        <v>45922</v>
      </c>
      <c r="C5475" s="1" t="n">
        <v>45932</v>
      </c>
      <c r="D5475" t="inlineStr">
        <is>
          <t>VÄRMLANDS LÄN</t>
        </is>
      </c>
      <c r="E5475" t="inlineStr">
        <is>
          <t>ÅRJÄNG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46832-2025</t>
        </is>
      </c>
      <c r="B5476" s="1" t="n">
        <v>45927.48753472222</v>
      </c>
      <c r="C5476" s="1" t="n">
        <v>45932</v>
      </c>
      <c r="D5476" t="inlineStr">
        <is>
          <t>VÄRMLANDS LÄN</t>
        </is>
      </c>
      <c r="E5476" t="inlineStr">
        <is>
          <t>HAGFORS</t>
        </is>
      </c>
      <c r="F5476" t="inlineStr">
        <is>
          <t>Bergvik skog väst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26061-2025</t>
        </is>
      </c>
      <c r="B5477" s="1" t="n">
        <v>45805.24886574074</v>
      </c>
      <c r="C5477" s="1" t="n">
        <v>45932</v>
      </c>
      <c r="D5477" t="inlineStr">
        <is>
          <t>VÄRMLANDS LÄN</t>
        </is>
      </c>
      <c r="E5477" t="inlineStr">
        <is>
          <t>TORSBY</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12082-2023</t>
        </is>
      </c>
      <c r="B5478" s="1" t="n">
        <v>44997.78215277778</v>
      </c>
      <c r="C5478" s="1" t="n">
        <v>45932</v>
      </c>
      <c r="D5478" t="inlineStr">
        <is>
          <t>VÄRMLANDS LÄN</t>
        </is>
      </c>
      <c r="E5478" t="inlineStr">
        <is>
          <t>ÅRJÄNG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25974-2025</t>
        </is>
      </c>
      <c r="B5479" s="1" t="n">
        <v>45804</v>
      </c>
      <c r="C5479" s="1" t="n">
        <v>45932</v>
      </c>
      <c r="D5479" t="inlineStr">
        <is>
          <t>VÄRMLANDS LÄN</t>
        </is>
      </c>
      <c r="E5479" t="inlineStr">
        <is>
          <t>TORSBY</t>
        </is>
      </c>
      <c r="F5479" t="inlineStr">
        <is>
          <t>Bergvik skog väst AB</t>
        </is>
      </c>
      <c r="G5479" t="n">
        <v>24.6</v>
      </c>
      <c r="H5479" t="n">
        <v>0</v>
      </c>
      <c r="I5479" t="n">
        <v>0</v>
      </c>
      <c r="J5479" t="n">
        <v>0</v>
      </c>
      <c r="K5479" t="n">
        <v>0</v>
      </c>
      <c r="L5479" t="n">
        <v>0</v>
      </c>
      <c r="M5479" t="n">
        <v>0</v>
      </c>
      <c r="N5479" t="n">
        <v>0</v>
      </c>
      <c r="O5479" t="n">
        <v>0</v>
      </c>
      <c r="P5479" t="n">
        <v>0</v>
      </c>
      <c r="Q5479" t="n">
        <v>0</v>
      </c>
      <c r="R5479" s="2" t="inlineStr"/>
    </row>
    <row r="5480" ht="15" customHeight="1">
      <c r="A5480" t="inlineStr">
        <is>
          <t>A 40920-2023</t>
        </is>
      </c>
      <c r="B5480" s="1" t="n">
        <v>45173.42797453704</v>
      </c>
      <c r="C5480" s="1" t="n">
        <v>45932</v>
      </c>
      <c r="D5480" t="inlineStr">
        <is>
          <t>VÄRMLANDS LÄN</t>
        </is>
      </c>
      <c r="E5480" t="inlineStr">
        <is>
          <t>EDA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12110-2023</t>
        </is>
      </c>
      <c r="B5481" s="1" t="n">
        <v>44998</v>
      </c>
      <c r="C5481" s="1" t="n">
        <v>45932</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16944-2024</t>
        </is>
      </c>
      <c r="B5482" s="1" t="n">
        <v>45411.7540625</v>
      </c>
      <c r="C5482" s="1" t="n">
        <v>45932</v>
      </c>
      <c r="D5482" t="inlineStr">
        <is>
          <t>VÄRMLANDS LÄN</t>
        </is>
      </c>
      <c r="E5482" t="inlineStr">
        <is>
          <t>ARVIKA</t>
        </is>
      </c>
      <c r="F5482" t="inlineStr">
        <is>
          <t>Bergvik skog väst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16952-2024</t>
        </is>
      </c>
      <c r="B5483" s="1" t="n">
        <v>45411</v>
      </c>
      <c r="C5483" s="1" t="n">
        <v>45932</v>
      </c>
      <c r="D5483" t="inlineStr">
        <is>
          <t>VÄRMLANDS LÄN</t>
        </is>
      </c>
      <c r="E5483" t="inlineStr">
        <is>
          <t>KARLSTAD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16958-2024</t>
        </is>
      </c>
      <c r="B5484" s="1" t="n">
        <v>45411</v>
      </c>
      <c r="C5484" s="1" t="n">
        <v>45932</v>
      </c>
      <c r="D5484" t="inlineStr">
        <is>
          <t>VÄRMLANDS LÄN</t>
        </is>
      </c>
      <c r="E5484" t="inlineStr">
        <is>
          <t>SÄFFLE</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26158-2025</t>
        </is>
      </c>
      <c r="B5485" s="1" t="n">
        <v>45805</v>
      </c>
      <c r="C5485" s="1" t="n">
        <v>45932</v>
      </c>
      <c r="D5485" t="inlineStr">
        <is>
          <t>VÄRMLANDS LÄN</t>
        </is>
      </c>
      <c r="E5485" t="inlineStr">
        <is>
          <t>TORSBY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17024-2024</t>
        </is>
      </c>
      <c r="B5486" s="1" t="n">
        <v>45412.38322916667</v>
      </c>
      <c r="C5486" s="1" t="n">
        <v>45932</v>
      </c>
      <c r="D5486" t="inlineStr">
        <is>
          <t>VÄRMLANDS LÄN</t>
        </is>
      </c>
      <c r="E5486" t="inlineStr">
        <is>
          <t>TORSBY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49873-2024</t>
        </is>
      </c>
      <c r="B5487" s="1" t="n">
        <v>45597</v>
      </c>
      <c r="C5487" s="1" t="n">
        <v>45932</v>
      </c>
      <c r="D5487" t="inlineStr">
        <is>
          <t>VÄRMLANDS LÄN</t>
        </is>
      </c>
      <c r="E5487" t="inlineStr">
        <is>
          <t>ARVIKA</t>
        </is>
      </c>
      <c r="F5487" t="inlineStr">
        <is>
          <t>Bergvik skog väst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48396-2022</t>
        </is>
      </c>
      <c r="B5488" s="1" t="n">
        <v>44858</v>
      </c>
      <c r="C5488" s="1" t="n">
        <v>45932</v>
      </c>
      <c r="D5488" t="inlineStr">
        <is>
          <t>VÄRMLANDS LÄN</t>
        </is>
      </c>
      <c r="E5488" t="inlineStr">
        <is>
          <t>SÄFFLE</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59053-2023</t>
        </is>
      </c>
      <c r="B5489" s="1" t="n">
        <v>45252</v>
      </c>
      <c r="C5489" s="1" t="n">
        <v>45932</v>
      </c>
      <c r="D5489" t="inlineStr">
        <is>
          <t>VÄRMLANDS LÄN</t>
        </is>
      </c>
      <c r="E5489" t="inlineStr">
        <is>
          <t>KARLSTAD</t>
        </is>
      </c>
      <c r="G5489" t="n">
        <v>21.7</v>
      </c>
      <c r="H5489" t="n">
        <v>0</v>
      </c>
      <c r="I5489" t="n">
        <v>0</v>
      </c>
      <c r="J5489" t="n">
        <v>0</v>
      </c>
      <c r="K5489" t="n">
        <v>0</v>
      </c>
      <c r="L5489" t="n">
        <v>0</v>
      </c>
      <c r="M5489" t="n">
        <v>0</v>
      </c>
      <c r="N5489" t="n">
        <v>0</v>
      </c>
      <c r="O5489" t="n">
        <v>0</v>
      </c>
      <c r="P5489" t="n">
        <v>0</v>
      </c>
      <c r="Q5489" t="n">
        <v>0</v>
      </c>
      <c r="R5489" s="2" t="inlineStr"/>
    </row>
    <row r="5490" ht="15" customHeight="1">
      <c r="A5490" t="inlineStr">
        <is>
          <t>A 13287-2024</t>
        </is>
      </c>
      <c r="B5490" s="1" t="n">
        <v>45386.64233796296</v>
      </c>
      <c r="C5490" s="1" t="n">
        <v>45932</v>
      </c>
      <c r="D5490" t="inlineStr">
        <is>
          <t>VÄRMLANDS LÄN</t>
        </is>
      </c>
      <c r="E5490" t="inlineStr">
        <is>
          <t>KARLSTAD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26079-2025</t>
        </is>
      </c>
      <c r="B5491" s="1" t="n">
        <v>45805.34167824074</v>
      </c>
      <c r="C5491" s="1" t="n">
        <v>45932</v>
      </c>
      <c r="D5491" t="inlineStr">
        <is>
          <t>VÄRMLANDS LÄN</t>
        </is>
      </c>
      <c r="E5491" t="inlineStr">
        <is>
          <t>ARVIKA</t>
        </is>
      </c>
      <c r="F5491" t="inlineStr">
        <is>
          <t>Bergvik skog väst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4273-2025</t>
        </is>
      </c>
      <c r="B5492" s="1" t="n">
        <v>45685</v>
      </c>
      <c r="C5492" s="1" t="n">
        <v>45932</v>
      </c>
      <c r="D5492" t="inlineStr">
        <is>
          <t>VÄRMLANDS LÄN</t>
        </is>
      </c>
      <c r="E5492" t="inlineStr">
        <is>
          <t>GRUMS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15919-2025</t>
        </is>
      </c>
      <c r="B5493" s="1" t="n">
        <v>45749</v>
      </c>
      <c r="C5493" s="1" t="n">
        <v>45932</v>
      </c>
      <c r="D5493" t="inlineStr">
        <is>
          <t>VÄRMLANDS LÄN</t>
        </is>
      </c>
      <c r="E5493" t="inlineStr">
        <is>
          <t>EDA</t>
        </is>
      </c>
      <c r="F5493" t="inlineStr">
        <is>
          <t>Bergvik skog väst AB</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26121-2025</t>
        </is>
      </c>
      <c r="B5494" s="1" t="n">
        <v>45805.38510416666</v>
      </c>
      <c r="C5494" s="1" t="n">
        <v>45932</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18540-2025</t>
        </is>
      </c>
      <c r="B5495" s="1" t="n">
        <v>45763</v>
      </c>
      <c r="C5495" s="1" t="n">
        <v>45932</v>
      </c>
      <c r="D5495" t="inlineStr">
        <is>
          <t>VÄRMLANDS LÄN</t>
        </is>
      </c>
      <c r="E5495" t="inlineStr">
        <is>
          <t>FILIPSTAD</t>
        </is>
      </c>
      <c r="F5495" t="inlineStr">
        <is>
          <t>Bergvik skog väst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3851-2025</t>
        </is>
      </c>
      <c r="B5496" s="1" t="n">
        <v>45683.88302083333</v>
      </c>
      <c r="C5496" s="1" t="n">
        <v>45932</v>
      </c>
      <c r="D5496" t="inlineStr">
        <is>
          <t>VÄRMLANDS LÄN</t>
        </is>
      </c>
      <c r="E5496" t="inlineStr">
        <is>
          <t>KIL</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15953-2025</t>
        </is>
      </c>
      <c r="B5497" s="1" t="n">
        <v>45749</v>
      </c>
      <c r="C5497" s="1" t="n">
        <v>45932</v>
      </c>
      <c r="D5497" t="inlineStr">
        <is>
          <t>VÄRMLANDS LÄN</t>
        </is>
      </c>
      <c r="E5497" t="inlineStr">
        <is>
          <t>ÅRJÄNG</t>
        </is>
      </c>
      <c r="F5497" t="inlineStr">
        <is>
          <t>Bergvik skog väst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6577-2025</t>
        </is>
      </c>
      <c r="B5498" s="1" t="n">
        <v>45699.87793981482</v>
      </c>
      <c r="C5498" s="1" t="n">
        <v>45932</v>
      </c>
      <c r="D5498" t="inlineStr">
        <is>
          <t>VÄRMLANDS LÄN</t>
        </is>
      </c>
      <c r="E5498" t="inlineStr">
        <is>
          <t>ÅRJÄNG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9693-2025</t>
        </is>
      </c>
      <c r="B5499" s="1" t="n">
        <v>45716</v>
      </c>
      <c r="C5499" s="1" t="n">
        <v>45932</v>
      </c>
      <c r="D5499" t="inlineStr">
        <is>
          <t>VÄRMLANDS LÄN</t>
        </is>
      </c>
      <c r="E5499" t="inlineStr">
        <is>
          <t>FORSHAGA</t>
        </is>
      </c>
      <c r="F5499" t="inlineStr">
        <is>
          <t>Bergvik skog väst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26862-2022</t>
        </is>
      </c>
      <c r="B5500" s="1" t="n">
        <v>44740.5177662037</v>
      </c>
      <c r="C5500" s="1" t="n">
        <v>45932</v>
      </c>
      <c r="D5500" t="inlineStr">
        <is>
          <t>VÄRMLANDS LÄN</t>
        </is>
      </c>
      <c r="E5500" t="inlineStr">
        <is>
          <t>SUNNE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22951-2022</t>
        </is>
      </c>
      <c r="B5501" s="1" t="n">
        <v>44715.93731481482</v>
      </c>
      <c r="C5501" s="1" t="n">
        <v>45932</v>
      </c>
      <c r="D5501" t="inlineStr">
        <is>
          <t>VÄRMLANDS LÄN</t>
        </is>
      </c>
      <c r="E5501" t="inlineStr">
        <is>
          <t>ARVIKA</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40826-2024</t>
        </is>
      </c>
      <c r="B5502" s="1" t="n">
        <v>45558.56857638889</v>
      </c>
      <c r="C5502" s="1" t="n">
        <v>45932</v>
      </c>
      <c r="D5502" t="inlineStr">
        <is>
          <t>VÄRMLANDS LÄN</t>
        </is>
      </c>
      <c r="E5502" t="inlineStr">
        <is>
          <t>EDA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35533-2023</t>
        </is>
      </c>
      <c r="B5503" s="1" t="n">
        <v>45146</v>
      </c>
      <c r="C5503" s="1" t="n">
        <v>45932</v>
      </c>
      <c r="D5503" t="inlineStr">
        <is>
          <t>VÄRMLANDS LÄN</t>
        </is>
      </c>
      <c r="E5503" t="inlineStr">
        <is>
          <t>SÄFFLE</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47219-2023</t>
        </is>
      </c>
      <c r="B5504" s="1" t="n">
        <v>45196</v>
      </c>
      <c r="C5504" s="1" t="n">
        <v>45932</v>
      </c>
      <c r="D5504" t="inlineStr">
        <is>
          <t>VÄRMLANDS LÄN</t>
        </is>
      </c>
      <c r="E5504" t="inlineStr">
        <is>
          <t>SUNNE</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47981-2023</t>
        </is>
      </c>
      <c r="B5505" s="1" t="n">
        <v>45198</v>
      </c>
      <c r="C5505" s="1" t="n">
        <v>45932</v>
      </c>
      <c r="D5505" t="inlineStr">
        <is>
          <t>VÄRMLANDS LÄN</t>
        </is>
      </c>
      <c r="E5505" t="inlineStr">
        <is>
          <t>ÅRJÄNG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74069-2021</t>
        </is>
      </c>
      <c r="B5506" s="1" t="n">
        <v>44557</v>
      </c>
      <c r="C5506" s="1" t="n">
        <v>45932</v>
      </c>
      <c r="D5506" t="inlineStr">
        <is>
          <t>VÄRMLANDS LÄN</t>
        </is>
      </c>
      <c r="E5506" t="inlineStr">
        <is>
          <t>EDA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30036-2024</t>
        </is>
      </c>
      <c r="B5507" s="1" t="n">
        <v>45488.69347222222</v>
      </c>
      <c r="C5507" s="1" t="n">
        <v>45932</v>
      </c>
      <c r="D5507" t="inlineStr">
        <is>
          <t>VÄRMLANDS LÄN</t>
        </is>
      </c>
      <c r="E5507" t="inlineStr">
        <is>
          <t>SUNNE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55890-2023</t>
        </is>
      </c>
      <c r="B5508" s="1" t="n">
        <v>45239.80939814815</v>
      </c>
      <c r="C5508" s="1" t="n">
        <v>45932</v>
      </c>
      <c r="D5508" t="inlineStr">
        <is>
          <t>VÄRMLANDS LÄN</t>
        </is>
      </c>
      <c r="E5508" t="inlineStr">
        <is>
          <t>KRISTINEHAMN</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29173-2023</t>
        </is>
      </c>
      <c r="B5509" s="1" t="n">
        <v>45105</v>
      </c>
      <c r="C5509" s="1" t="n">
        <v>45932</v>
      </c>
      <c r="D5509" t="inlineStr">
        <is>
          <t>VÄRMLANDS LÄN</t>
        </is>
      </c>
      <c r="E5509" t="inlineStr">
        <is>
          <t>SUNNE</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20696-2023</t>
        </is>
      </c>
      <c r="B5510" s="1" t="n">
        <v>45058</v>
      </c>
      <c r="C5510" s="1" t="n">
        <v>45932</v>
      </c>
      <c r="D5510" t="inlineStr">
        <is>
          <t>VÄRMLANDS LÄN</t>
        </is>
      </c>
      <c r="E5510" t="inlineStr">
        <is>
          <t>KRISTINEHAMN</t>
        </is>
      </c>
      <c r="F5510" t="inlineStr">
        <is>
          <t>Kommuner</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33088-2022</t>
        </is>
      </c>
      <c r="B5511" s="1" t="n">
        <v>44785</v>
      </c>
      <c r="C5511" s="1" t="n">
        <v>45932</v>
      </c>
      <c r="D5511" t="inlineStr">
        <is>
          <t>VÄRMLANDS LÄN</t>
        </is>
      </c>
      <c r="E5511" t="inlineStr">
        <is>
          <t>ARVIKA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47349-2022</t>
        </is>
      </c>
      <c r="B5512" s="1" t="n">
        <v>44852</v>
      </c>
      <c r="C5512" s="1" t="n">
        <v>45932</v>
      </c>
      <c r="D5512" t="inlineStr">
        <is>
          <t>VÄRMLANDS LÄN</t>
        </is>
      </c>
      <c r="E5512" t="inlineStr">
        <is>
          <t>KARLSTAD</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25881-2025</t>
        </is>
      </c>
      <c r="B5513" s="1" t="n">
        <v>45804.49729166667</v>
      </c>
      <c r="C5513" s="1" t="n">
        <v>45932</v>
      </c>
      <c r="D5513" t="inlineStr">
        <is>
          <t>VÄRMLANDS LÄN</t>
        </is>
      </c>
      <c r="E5513" t="inlineStr">
        <is>
          <t>TORSBY</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25893-2025</t>
        </is>
      </c>
      <c r="B5514" s="1" t="n">
        <v>45804.54006944445</v>
      </c>
      <c r="C5514" s="1" t="n">
        <v>45932</v>
      </c>
      <c r="D5514" t="inlineStr">
        <is>
          <t>VÄRMLANDS LÄN</t>
        </is>
      </c>
      <c r="E5514" t="inlineStr">
        <is>
          <t>ARVIKA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46880-2025</t>
        </is>
      </c>
      <c r="B5515" s="1" t="n">
        <v>45929.34868055556</v>
      </c>
      <c r="C5515" s="1" t="n">
        <v>45932</v>
      </c>
      <c r="D5515" t="inlineStr">
        <is>
          <t>VÄRMLANDS LÄN</t>
        </is>
      </c>
      <c r="E5515" t="inlineStr">
        <is>
          <t>KARLSTAD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46921-2025</t>
        </is>
      </c>
      <c r="B5516" s="1" t="n">
        <v>45929.43655092592</v>
      </c>
      <c r="C5516" s="1" t="n">
        <v>45932</v>
      </c>
      <c r="D5516" t="inlineStr">
        <is>
          <t>VÄRMLANDS LÄN</t>
        </is>
      </c>
      <c r="E5516" t="inlineStr">
        <is>
          <t>TORSBY</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17931-2024</t>
        </is>
      </c>
      <c r="B5517" s="1" t="n">
        <v>45419</v>
      </c>
      <c r="C5517" s="1" t="n">
        <v>45932</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25788-2025</t>
        </is>
      </c>
      <c r="B5518" s="1" t="n">
        <v>45804</v>
      </c>
      <c r="C5518" s="1" t="n">
        <v>45932</v>
      </c>
      <c r="D5518" t="inlineStr">
        <is>
          <t>VÄRMLANDS LÄN</t>
        </is>
      </c>
      <c r="E5518" t="inlineStr">
        <is>
          <t>ARVIKA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12928-2025</t>
        </is>
      </c>
      <c r="B5519" s="1" t="n">
        <v>45734</v>
      </c>
      <c r="C5519" s="1" t="n">
        <v>45932</v>
      </c>
      <c r="D5519" t="inlineStr">
        <is>
          <t>VÄRMLANDS LÄN</t>
        </is>
      </c>
      <c r="E5519" t="inlineStr">
        <is>
          <t>KIL</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25803-2025</t>
        </is>
      </c>
      <c r="B5520" s="1" t="n">
        <v>45804.40886574074</v>
      </c>
      <c r="C5520" s="1" t="n">
        <v>45932</v>
      </c>
      <c r="D5520" t="inlineStr">
        <is>
          <t>VÄRMLANDS LÄN</t>
        </is>
      </c>
      <c r="E5520" t="inlineStr">
        <is>
          <t>TORSBY</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47024-2025</t>
        </is>
      </c>
      <c r="B5521" s="1" t="n">
        <v>45929.57831018518</v>
      </c>
      <c r="C5521" s="1" t="n">
        <v>45932</v>
      </c>
      <c r="D5521" t="inlineStr">
        <is>
          <t>VÄRMLANDS LÄN</t>
        </is>
      </c>
      <c r="E5521" t="inlineStr">
        <is>
          <t>ARVIKA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47028-2025</t>
        </is>
      </c>
      <c r="B5522" s="1" t="n">
        <v>45929.58712962963</v>
      </c>
      <c r="C5522" s="1" t="n">
        <v>45932</v>
      </c>
      <c r="D5522" t="inlineStr">
        <is>
          <t>VÄRMLANDS LÄN</t>
        </is>
      </c>
      <c r="E5522" t="inlineStr">
        <is>
          <t>EDA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25902-2025</t>
        </is>
      </c>
      <c r="B5523" s="1" t="n">
        <v>45804</v>
      </c>
      <c r="C5523" s="1" t="n">
        <v>45932</v>
      </c>
      <c r="D5523" t="inlineStr">
        <is>
          <t>VÄRMLANDS LÄN</t>
        </is>
      </c>
      <c r="E5523" t="inlineStr">
        <is>
          <t>SUNNE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24036-2023</t>
        </is>
      </c>
      <c r="B5524" s="1" t="n">
        <v>45078</v>
      </c>
      <c r="C5524" s="1" t="n">
        <v>45932</v>
      </c>
      <c r="D5524" t="inlineStr">
        <is>
          <t>VÄRMLANDS LÄN</t>
        </is>
      </c>
      <c r="E5524" t="inlineStr">
        <is>
          <t>FORSHAGA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42894-2023</t>
        </is>
      </c>
      <c r="B5525" s="1" t="n">
        <v>45182.47541666667</v>
      </c>
      <c r="C5525" s="1" t="n">
        <v>45932</v>
      </c>
      <c r="D5525" t="inlineStr">
        <is>
          <t>VÄRMLANDS LÄN</t>
        </is>
      </c>
      <c r="E5525" t="inlineStr">
        <is>
          <t>ARVIKA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5017-2022</t>
        </is>
      </c>
      <c r="B5526" s="1" t="n">
        <v>44593.62443287037</v>
      </c>
      <c r="C5526" s="1" t="n">
        <v>45932</v>
      </c>
      <c r="D5526" t="inlineStr">
        <is>
          <t>VÄRMLANDS LÄN</t>
        </is>
      </c>
      <c r="E5526" t="inlineStr">
        <is>
          <t>KARLSTAD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15632-2024</t>
        </is>
      </c>
      <c r="B5527" s="1" t="n">
        <v>45403</v>
      </c>
      <c r="C5527" s="1" t="n">
        <v>45932</v>
      </c>
      <c r="D5527" t="inlineStr">
        <is>
          <t>VÄRMLANDS LÄN</t>
        </is>
      </c>
      <c r="E5527" t="inlineStr">
        <is>
          <t>SÄFFLE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26179-2025</t>
        </is>
      </c>
      <c r="B5528" s="1" t="n">
        <v>45805.47020833333</v>
      </c>
      <c r="C5528" s="1" t="n">
        <v>45932</v>
      </c>
      <c r="D5528" t="inlineStr">
        <is>
          <t>VÄRMLANDS LÄN</t>
        </is>
      </c>
      <c r="E5528" t="inlineStr">
        <is>
          <t>KRISTINEHAMN</t>
        </is>
      </c>
      <c r="F5528" t="inlineStr">
        <is>
          <t>Sveaskog</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26181-2025</t>
        </is>
      </c>
      <c r="B5529" s="1" t="n">
        <v>45805.47421296296</v>
      </c>
      <c r="C5529" s="1" t="n">
        <v>45932</v>
      </c>
      <c r="D5529" t="inlineStr">
        <is>
          <t>VÄRMLANDS LÄN</t>
        </is>
      </c>
      <c r="E5529" t="inlineStr">
        <is>
          <t>KRISTINEHAMN</t>
        </is>
      </c>
      <c r="F5529" t="inlineStr">
        <is>
          <t>Sveaskog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26250-2025</t>
        </is>
      </c>
      <c r="B5530" s="1" t="n">
        <v>45805.57753472222</v>
      </c>
      <c r="C5530" s="1" t="n">
        <v>45932</v>
      </c>
      <c r="D5530" t="inlineStr">
        <is>
          <t>VÄRMLANDS LÄN</t>
        </is>
      </c>
      <c r="E5530" t="inlineStr">
        <is>
          <t>SUNNE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52801-2024</t>
        </is>
      </c>
      <c r="B5531" s="1" t="n">
        <v>45610.56784722222</v>
      </c>
      <c r="C5531" s="1" t="n">
        <v>45932</v>
      </c>
      <c r="D5531" t="inlineStr">
        <is>
          <t>VÄRMLANDS LÄN</t>
        </is>
      </c>
      <c r="E5531" t="inlineStr">
        <is>
          <t>TORSBY</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47049-2025</t>
        </is>
      </c>
      <c r="B5532" s="1" t="n">
        <v>45929.6130324074</v>
      </c>
      <c r="C5532" s="1" t="n">
        <v>45932</v>
      </c>
      <c r="D5532" t="inlineStr">
        <is>
          <t>VÄRMLANDS LÄN</t>
        </is>
      </c>
      <c r="E5532" t="inlineStr">
        <is>
          <t>TORSBY</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26189-2025</t>
        </is>
      </c>
      <c r="B5533" s="1" t="n">
        <v>45805.48299768518</v>
      </c>
      <c r="C5533" s="1" t="n">
        <v>45932</v>
      </c>
      <c r="D5533" t="inlineStr">
        <is>
          <t>VÄRMLANDS LÄN</t>
        </is>
      </c>
      <c r="E5533" t="inlineStr">
        <is>
          <t>KRISTINEHAMN</t>
        </is>
      </c>
      <c r="F5533" t="inlineStr">
        <is>
          <t>Sveaskog</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17533-2025</t>
        </is>
      </c>
      <c r="B5534" s="1" t="n">
        <v>45757.5965625</v>
      </c>
      <c r="C5534" s="1" t="n">
        <v>45932</v>
      </c>
      <c r="D5534" t="inlineStr">
        <is>
          <t>VÄRMLANDS LÄN</t>
        </is>
      </c>
      <c r="E5534" t="inlineStr">
        <is>
          <t>KARLSTAD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44677-2024</t>
        </is>
      </c>
      <c r="B5535" s="1" t="n">
        <v>45574.54210648148</v>
      </c>
      <c r="C5535" s="1" t="n">
        <v>45932</v>
      </c>
      <c r="D5535" t="inlineStr">
        <is>
          <t>VÄRMLANDS LÄN</t>
        </is>
      </c>
      <c r="E5535" t="inlineStr">
        <is>
          <t>KIL</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30180-2023</t>
        </is>
      </c>
      <c r="B5536" s="1" t="n">
        <v>45110</v>
      </c>
      <c r="C5536" s="1" t="n">
        <v>45932</v>
      </c>
      <c r="D5536" t="inlineStr">
        <is>
          <t>VÄRMLANDS LÄN</t>
        </is>
      </c>
      <c r="E5536" t="inlineStr">
        <is>
          <t>HAGFORS</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21959-2023</t>
        </is>
      </c>
      <c r="B5537" s="1" t="n">
        <v>45068.63384259259</v>
      </c>
      <c r="C5537" s="1" t="n">
        <v>45932</v>
      </c>
      <c r="D5537" t="inlineStr">
        <is>
          <t>VÄRMLANDS LÄN</t>
        </is>
      </c>
      <c r="E5537" t="inlineStr">
        <is>
          <t>ARVIKA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26342-2025</t>
        </is>
      </c>
      <c r="B5538" s="1" t="n">
        <v>45805.70604166666</v>
      </c>
      <c r="C5538" s="1" t="n">
        <v>45932</v>
      </c>
      <c r="D5538" t="inlineStr">
        <is>
          <t>VÄRMLANDS LÄN</t>
        </is>
      </c>
      <c r="E5538" t="inlineStr">
        <is>
          <t>TORSBY</t>
        </is>
      </c>
      <c r="F5538" t="inlineStr">
        <is>
          <t>Bergvik skog väst AB</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26108-2025</t>
        </is>
      </c>
      <c r="B5539" s="1" t="n">
        <v>45805</v>
      </c>
      <c r="C5539" s="1" t="n">
        <v>45932</v>
      </c>
      <c r="D5539" t="inlineStr">
        <is>
          <t>VÄRMLANDS LÄN</t>
        </is>
      </c>
      <c r="E5539" t="inlineStr">
        <is>
          <t>TORSBY</t>
        </is>
      </c>
      <c r="F5539" t="inlineStr">
        <is>
          <t>Bergvik skog väst AB</t>
        </is>
      </c>
      <c r="G5539" t="n">
        <v>22.8</v>
      </c>
      <c r="H5539" t="n">
        <v>0</v>
      </c>
      <c r="I5539" t="n">
        <v>0</v>
      </c>
      <c r="J5539" t="n">
        <v>0</v>
      </c>
      <c r="K5539" t="n">
        <v>0</v>
      </c>
      <c r="L5539" t="n">
        <v>0</v>
      </c>
      <c r="M5539" t="n">
        <v>0</v>
      </c>
      <c r="N5539" t="n">
        <v>0</v>
      </c>
      <c r="O5539" t="n">
        <v>0</v>
      </c>
      <c r="P5539" t="n">
        <v>0</v>
      </c>
      <c r="Q5539" t="n">
        <v>0</v>
      </c>
      <c r="R5539" s="2" t="inlineStr"/>
    </row>
    <row r="5540" ht="15" customHeight="1">
      <c r="A5540" t="inlineStr">
        <is>
          <t>A 26110-2025</t>
        </is>
      </c>
      <c r="B5540" s="1" t="n">
        <v>45805</v>
      </c>
      <c r="C5540" s="1" t="n">
        <v>45932</v>
      </c>
      <c r="D5540" t="inlineStr">
        <is>
          <t>VÄRMLANDS LÄN</t>
        </is>
      </c>
      <c r="E5540" t="inlineStr">
        <is>
          <t>SÄFFLE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3671-2025</t>
        </is>
      </c>
      <c r="B5541" s="1" t="n">
        <v>45681</v>
      </c>
      <c r="C5541" s="1" t="n">
        <v>45932</v>
      </c>
      <c r="D5541" t="inlineStr">
        <is>
          <t>VÄRMLANDS LÄN</t>
        </is>
      </c>
      <c r="E5541" t="inlineStr">
        <is>
          <t>ARVIKA</t>
        </is>
      </c>
      <c r="F5541" t="inlineStr">
        <is>
          <t>Bergvik skog väst AB</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26258-2025</t>
        </is>
      </c>
      <c r="B5542" s="1" t="n">
        <v>45805.58349537037</v>
      </c>
      <c r="C5542" s="1" t="n">
        <v>45932</v>
      </c>
      <c r="D5542" t="inlineStr">
        <is>
          <t>VÄRMLANDS LÄN</t>
        </is>
      </c>
      <c r="E5542" t="inlineStr">
        <is>
          <t>ÅRJÄNG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16092-2021</t>
        </is>
      </c>
      <c r="B5543" s="1" t="n">
        <v>44289</v>
      </c>
      <c r="C5543" s="1" t="n">
        <v>45932</v>
      </c>
      <c r="D5543" t="inlineStr">
        <is>
          <t>VÄRMLANDS LÄN</t>
        </is>
      </c>
      <c r="E5543" t="inlineStr">
        <is>
          <t>GRUMS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25888-2025</t>
        </is>
      </c>
      <c r="B5544" s="1" t="n">
        <v>45804.51362268518</v>
      </c>
      <c r="C5544" s="1" t="n">
        <v>45932</v>
      </c>
      <c r="D5544" t="inlineStr">
        <is>
          <t>VÄRMLANDS LÄN</t>
        </is>
      </c>
      <c r="E5544" t="inlineStr">
        <is>
          <t>KRISTINEHAMN</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25775-2025</t>
        </is>
      </c>
      <c r="B5545" s="1" t="n">
        <v>45804.35508101852</v>
      </c>
      <c r="C5545" s="1" t="n">
        <v>45932</v>
      </c>
      <c r="D5545" t="inlineStr">
        <is>
          <t>VÄRMLANDS LÄN</t>
        </is>
      </c>
      <c r="E5545" t="inlineStr">
        <is>
          <t>SUNNE</t>
        </is>
      </c>
      <c r="F5545" t="inlineStr">
        <is>
          <t>Bergvik skog väst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30869-2024</t>
        </is>
      </c>
      <c r="B5546" s="1" t="n">
        <v>45497</v>
      </c>
      <c r="C5546" s="1" t="n">
        <v>45932</v>
      </c>
      <c r="D5546" t="inlineStr">
        <is>
          <t>VÄRMLANDS LÄN</t>
        </is>
      </c>
      <c r="E5546" t="inlineStr">
        <is>
          <t>ARVIKA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35709-2023</t>
        </is>
      </c>
      <c r="B5547" s="1" t="n">
        <v>45147.67074074074</v>
      </c>
      <c r="C5547" s="1" t="n">
        <v>45932</v>
      </c>
      <c r="D5547" t="inlineStr">
        <is>
          <t>VÄRMLANDS LÄN</t>
        </is>
      </c>
      <c r="E5547" t="inlineStr">
        <is>
          <t>SÄFFLE</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26327-2025</t>
        </is>
      </c>
      <c r="B5548" s="1" t="n">
        <v>45805.66837962963</v>
      </c>
      <c r="C5548" s="1" t="n">
        <v>45932</v>
      </c>
      <c r="D5548" t="inlineStr">
        <is>
          <t>VÄRMLANDS LÄN</t>
        </is>
      </c>
      <c r="E5548" t="inlineStr">
        <is>
          <t>SUNNE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25859-2025</t>
        </is>
      </c>
      <c r="B5549" s="1" t="n">
        <v>45804.47244212963</v>
      </c>
      <c r="C5549" s="1" t="n">
        <v>45932</v>
      </c>
      <c r="D5549" t="inlineStr">
        <is>
          <t>VÄRMLANDS LÄN</t>
        </is>
      </c>
      <c r="E5549" t="inlineStr">
        <is>
          <t>TORSBY</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25862-2025</t>
        </is>
      </c>
      <c r="B5550" s="1" t="n">
        <v>45804</v>
      </c>
      <c r="C5550" s="1" t="n">
        <v>45932</v>
      </c>
      <c r="D5550" t="inlineStr">
        <is>
          <t>VÄRMLANDS LÄN</t>
        </is>
      </c>
      <c r="E5550" t="inlineStr">
        <is>
          <t>ARVIKA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14608-2023</t>
        </is>
      </c>
      <c r="B5551" s="1" t="n">
        <v>45013.61585648148</v>
      </c>
      <c r="C5551" s="1" t="n">
        <v>45932</v>
      </c>
      <c r="D5551" t="inlineStr">
        <is>
          <t>VÄRMLANDS LÄN</t>
        </is>
      </c>
      <c r="E5551" t="inlineStr">
        <is>
          <t>FILIPSTAD</t>
        </is>
      </c>
      <c r="F5551" t="inlineStr">
        <is>
          <t>Bergvik skog väst AB</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25915-2025</t>
        </is>
      </c>
      <c r="B5552" s="1" t="n">
        <v>45804.56549768519</v>
      </c>
      <c r="C5552" s="1" t="n">
        <v>45932</v>
      </c>
      <c r="D5552" t="inlineStr">
        <is>
          <t>VÄRMLANDS LÄN</t>
        </is>
      </c>
      <c r="E5552" t="inlineStr">
        <is>
          <t>TORSBY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25808-2025</t>
        </is>
      </c>
      <c r="B5553" s="1" t="n">
        <v>45804.41528935185</v>
      </c>
      <c r="C5553" s="1" t="n">
        <v>45932</v>
      </c>
      <c r="D5553" t="inlineStr">
        <is>
          <t>VÄRMLANDS LÄN</t>
        </is>
      </c>
      <c r="E5553" t="inlineStr">
        <is>
          <t>TORSBY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59312-2023</t>
        </is>
      </c>
      <c r="B5554" s="1" t="n">
        <v>45253.61355324074</v>
      </c>
      <c r="C5554" s="1" t="n">
        <v>45932</v>
      </c>
      <c r="D5554" t="inlineStr">
        <is>
          <t>VÄRMLANDS LÄN</t>
        </is>
      </c>
      <c r="E5554" t="inlineStr">
        <is>
          <t>SÄFFLE</t>
        </is>
      </c>
      <c r="G5554" t="n">
        <v>8.699999999999999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58435-2024</t>
        </is>
      </c>
      <c r="B5555" s="1" t="n">
        <v>45634</v>
      </c>
      <c r="C5555" s="1" t="n">
        <v>45932</v>
      </c>
      <c r="D5555" t="inlineStr">
        <is>
          <t>VÄRMLANDS LÄN</t>
        </is>
      </c>
      <c r="E5555" t="inlineStr">
        <is>
          <t>ÅRJÄNG</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26456-2025</t>
        </is>
      </c>
      <c r="B5556" s="1" t="n">
        <v>45807.42472222223</v>
      </c>
      <c r="C5556" s="1" t="n">
        <v>45932</v>
      </c>
      <c r="D5556" t="inlineStr">
        <is>
          <t>VÄRMLANDS LÄN</t>
        </is>
      </c>
      <c r="E5556" t="inlineStr">
        <is>
          <t>HAGFORS</t>
        </is>
      </c>
      <c r="F5556" t="inlineStr">
        <is>
          <t>Bergvik skog väst AB</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7199-2023</t>
        </is>
      </c>
      <c r="B5557" s="1" t="n">
        <v>44970.54512731481</v>
      </c>
      <c r="C5557" s="1" t="n">
        <v>45932</v>
      </c>
      <c r="D5557" t="inlineStr">
        <is>
          <t>VÄRMLANDS LÄN</t>
        </is>
      </c>
      <c r="E5557" t="inlineStr">
        <is>
          <t>SUNNE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30789-2024</t>
        </is>
      </c>
      <c r="B5558" s="1" t="n">
        <v>45497.178125</v>
      </c>
      <c r="C5558" s="1" t="n">
        <v>45932</v>
      </c>
      <c r="D5558" t="inlineStr">
        <is>
          <t>VÄRMLANDS LÄN</t>
        </is>
      </c>
      <c r="E5558" t="inlineStr">
        <is>
          <t>TORSBY</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65284-2021</t>
        </is>
      </c>
      <c r="B5559" s="1" t="n">
        <v>44515</v>
      </c>
      <c r="C5559" s="1" t="n">
        <v>45932</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54177-2023</t>
        </is>
      </c>
      <c r="B5560" s="1" t="n">
        <v>45232</v>
      </c>
      <c r="C5560" s="1" t="n">
        <v>45932</v>
      </c>
      <c r="D5560" t="inlineStr">
        <is>
          <t>VÄRMLANDS LÄN</t>
        </is>
      </c>
      <c r="E5560" t="inlineStr">
        <is>
          <t>KIL</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54006-2024</t>
        </is>
      </c>
      <c r="B5561" s="1" t="n">
        <v>45616.3717824074</v>
      </c>
      <c r="C5561" s="1" t="n">
        <v>45932</v>
      </c>
      <c r="D5561" t="inlineStr">
        <is>
          <t>VÄRMLANDS LÄN</t>
        </is>
      </c>
      <c r="E5561" t="inlineStr">
        <is>
          <t>TORSBY</t>
        </is>
      </c>
      <c r="F5561" t="inlineStr">
        <is>
          <t>Kommuner</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7614-2023</t>
        </is>
      </c>
      <c r="B5562" s="1" t="n">
        <v>44972</v>
      </c>
      <c r="C5562" s="1" t="n">
        <v>45932</v>
      </c>
      <c r="D5562" t="inlineStr">
        <is>
          <t>VÄRMLANDS LÄN</t>
        </is>
      </c>
      <c r="E5562" t="inlineStr">
        <is>
          <t>MUNKFORS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45063-2023</t>
        </is>
      </c>
      <c r="B5563" s="1" t="n">
        <v>45191.38239583333</v>
      </c>
      <c r="C5563" s="1" t="n">
        <v>45932</v>
      </c>
      <c r="D5563" t="inlineStr">
        <is>
          <t>VÄRMLANDS LÄN</t>
        </is>
      </c>
      <c r="E5563" t="inlineStr">
        <is>
          <t>ARVIKA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54145-2024</t>
        </is>
      </c>
      <c r="B5564" s="1" t="n">
        <v>45616</v>
      </c>
      <c r="C5564" s="1" t="n">
        <v>45932</v>
      </c>
      <c r="D5564" t="inlineStr">
        <is>
          <t>VÄRMLANDS LÄN</t>
        </is>
      </c>
      <c r="E5564" t="inlineStr">
        <is>
          <t>FILIPSTAD</t>
        </is>
      </c>
      <c r="F5564" t="inlineStr">
        <is>
          <t>Bergvik skog väst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54155-2024</t>
        </is>
      </c>
      <c r="B5565" s="1" t="n">
        <v>45616.60831018518</v>
      </c>
      <c r="C5565" s="1" t="n">
        <v>45932</v>
      </c>
      <c r="D5565" t="inlineStr">
        <is>
          <t>VÄRMLANDS LÄN</t>
        </is>
      </c>
      <c r="E5565" t="inlineStr">
        <is>
          <t>ARVIKA</t>
        </is>
      </c>
      <c r="F5565" t="inlineStr">
        <is>
          <t>Bergvik skog väst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45069-2023</t>
        </is>
      </c>
      <c r="B5566" s="1" t="n">
        <v>45191.38833333334</v>
      </c>
      <c r="C5566" s="1" t="n">
        <v>45932</v>
      </c>
      <c r="D5566" t="inlineStr">
        <is>
          <t>VÄRMLANDS LÄN</t>
        </is>
      </c>
      <c r="E5566" t="inlineStr">
        <is>
          <t>ARVIKA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22022-2021</t>
        </is>
      </c>
      <c r="B5567" s="1" t="n">
        <v>44323.47359953704</v>
      </c>
      <c r="C5567" s="1" t="n">
        <v>45932</v>
      </c>
      <c r="D5567" t="inlineStr">
        <is>
          <t>VÄRMLANDS LÄN</t>
        </is>
      </c>
      <c r="E5567" t="inlineStr">
        <is>
          <t>HAGFORS</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45081-2023</t>
        </is>
      </c>
      <c r="B5568" s="1" t="n">
        <v>45191.40557870371</v>
      </c>
      <c r="C5568" s="1" t="n">
        <v>45932</v>
      </c>
      <c r="D5568" t="inlineStr">
        <is>
          <t>VÄRMLANDS LÄN</t>
        </is>
      </c>
      <c r="E5568" t="inlineStr">
        <is>
          <t>ARVIKA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24917-2023</t>
        </is>
      </c>
      <c r="B5569" s="1" t="n">
        <v>45085</v>
      </c>
      <c r="C5569" s="1" t="n">
        <v>45932</v>
      </c>
      <c r="D5569" t="inlineStr">
        <is>
          <t>VÄRMLANDS LÄN</t>
        </is>
      </c>
      <c r="E5569" t="inlineStr">
        <is>
          <t>EDA</t>
        </is>
      </c>
      <c r="G5569" t="n">
        <v>12.9</v>
      </c>
      <c r="H5569" t="n">
        <v>0</v>
      </c>
      <c r="I5569" t="n">
        <v>0</v>
      </c>
      <c r="J5569" t="n">
        <v>0</v>
      </c>
      <c r="K5569" t="n">
        <v>0</v>
      </c>
      <c r="L5569" t="n">
        <v>0</v>
      </c>
      <c r="M5569" t="n">
        <v>0</v>
      </c>
      <c r="N5569" t="n">
        <v>0</v>
      </c>
      <c r="O5569" t="n">
        <v>0</v>
      </c>
      <c r="P5569" t="n">
        <v>0</v>
      </c>
      <c r="Q5569" t="n">
        <v>0</v>
      </c>
      <c r="R5569" s="2" t="inlineStr"/>
    </row>
    <row r="5570" ht="15" customHeight="1">
      <c r="A5570" t="inlineStr">
        <is>
          <t>A 24953-2023</t>
        </is>
      </c>
      <c r="B5570" s="1" t="n">
        <v>45085.58476851852</v>
      </c>
      <c r="C5570" s="1" t="n">
        <v>45932</v>
      </c>
      <c r="D5570" t="inlineStr">
        <is>
          <t>VÄRMLANDS LÄN</t>
        </is>
      </c>
      <c r="E5570" t="inlineStr">
        <is>
          <t>ARVIKA</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2384-2022</t>
        </is>
      </c>
      <c r="B5571" s="1" t="n">
        <v>44579.37768518519</v>
      </c>
      <c r="C5571" s="1" t="n">
        <v>45932</v>
      </c>
      <c r="D5571" t="inlineStr">
        <is>
          <t>VÄRMLANDS LÄN</t>
        </is>
      </c>
      <c r="E5571" t="inlineStr">
        <is>
          <t>SUNNE</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25005-2023</t>
        </is>
      </c>
      <c r="B5572" s="1" t="n">
        <v>45085.65954861111</v>
      </c>
      <c r="C5572" s="1" t="n">
        <v>45932</v>
      </c>
      <c r="D5572" t="inlineStr">
        <is>
          <t>VÄRMLANDS LÄN</t>
        </is>
      </c>
      <c r="E5572" t="inlineStr">
        <is>
          <t>SUNNE</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26284-2021</t>
        </is>
      </c>
      <c r="B5573" s="1" t="n">
        <v>44347</v>
      </c>
      <c r="C5573" s="1" t="n">
        <v>45932</v>
      </c>
      <c r="D5573" t="inlineStr">
        <is>
          <t>VÄRMLANDS LÄN</t>
        </is>
      </c>
      <c r="E5573" t="inlineStr">
        <is>
          <t>ÅRJÄNG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2984-2023</t>
        </is>
      </c>
      <c r="B5574" s="1" t="n">
        <v>44945.68373842593</v>
      </c>
      <c r="C5574" s="1" t="n">
        <v>45932</v>
      </c>
      <c r="D5574" t="inlineStr">
        <is>
          <t>VÄRMLANDS LÄN</t>
        </is>
      </c>
      <c r="E5574" t="inlineStr">
        <is>
          <t>KARLSTAD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7685-2023</t>
        </is>
      </c>
      <c r="B5575" s="1" t="n">
        <v>44972</v>
      </c>
      <c r="C5575" s="1" t="n">
        <v>45932</v>
      </c>
      <c r="D5575" t="inlineStr">
        <is>
          <t>VÄRMLANDS LÄN</t>
        </is>
      </c>
      <c r="E5575" t="inlineStr">
        <is>
          <t>ARVIKA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7687-2023</t>
        </is>
      </c>
      <c r="B5576" s="1" t="n">
        <v>44972</v>
      </c>
      <c r="C5576" s="1" t="n">
        <v>45932</v>
      </c>
      <c r="D5576" t="inlineStr">
        <is>
          <t>VÄRMLANDS LÄN</t>
        </is>
      </c>
      <c r="E5576" t="inlineStr">
        <is>
          <t>MUNKFORS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24480-2024</t>
        </is>
      </c>
      <c r="B5577" s="1" t="n">
        <v>45459</v>
      </c>
      <c r="C5577" s="1" t="n">
        <v>45932</v>
      </c>
      <c r="D5577" t="inlineStr">
        <is>
          <t>VÄRMLANDS LÄN</t>
        </is>
      </c>
      <c r="E5577" t="inlineStr">
        <is>
          <t>ARVIKA</t>
        </is>
      </c>
      <c r="F5577" t="inlineStr">
        <is>
          <t>Bergvik skog väst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26563-2025</t>
        </is>
      </c>
      <c r="B5578" s="1" t="n">
        <v>45807.65767361111</v>
      </c>
      <c r="C5578" s="1" t="n">
        <v>45932</v>
      </c>
      <c r="D5578" t="inlineStr">
        <is>
          <t>VÄRMLANDS LÄN</t>
        </is>
      </c>
      <c r="E5578" t="inlineStr">
        <is>
          <t>TORSBY</t>
        </is>
      </c>
      <c r="F5578" t="inlineStr">
        <is>
          <t>Bergvik skog väst AB</t>
        </is>
      </c>
      <c r="G5578" t="n">
        <v>19.5</v>
      </c>
      <c r="H5578" t="n">
        <v>0</v>
      </c>
      <c r="I5578" t="n">
        <v>0</v>
      </c>
      <c r="J5578" t="n">
        <v>0</v>
      </c>
      <c r="K5578" t="n">
        <v>0</v>
      </c>
      <c r="L5578" t="n">
        <v>0</v>
      </c>
      <c r="M5578" t="n">
        <v>0</v>
      </c>
      <c r="N5578" t="n">
        <v>0</v>
      </c>
      <c r="O5578" t="n">
        <v>0</v>
      </c>
      <c r="P5578" t="n">
        <v>0</v>
      </c>
      <c r="Q5578" t="n">
        <v>0</v>
      </c>
      <c r="R5578" s="2" t="inlineStr"/>
    </row>
    <row r="5579" ht="15" customHeight="1">
      <c r="A5579" t="inlineStr">
        <is>
          <t>A 27758-2023</t>
        </is>
      </c>
      <c r="B5579" s="1" t="n">
        <v>45098.40237268519</v>
      </c>
      <c r="C5579" s="1" t="n">
        <v>45932</v>
      </c>
      <c r="D5579" t="inlineStr">
        <is>
          <t>VÄRMLANDS LÄN</t>
        </is>
      </c>
      <c r="E5579" t="inlineStr">
        <is>
          <t>ARVIKA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7230-2022</t>
        </is>
      </c>
      <c r="B5580" s="1" t="n">
        <v>44606</v>
      </c>
      <c r="C5580" s="1" t="n">
        <v>45932</v>
      </c>
      <c r="D5580" t="inlineStr">
        <is>
          <t>VÄRMLANDS LÄN</t>
        </is>
      </c>
      <c r="E5580" t="inlineStr">
        <is>
          <t>SUNNE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7922-2022</t>
        </is>
      </c>
      <c r="B5581" s="1" t="n">
        <v>44608.72004629629</v>
      </c>
      <c r="C5581" s="1" t="n">
        <v>45932</v>
      </c>
      <c r="D5581" t="inlineStr">
        <is>
          <t>VÄRMLANDS LÄN</t>
        </is>
      </c>
      <c r="E5581" t="inlineStr">
        <is>
          <t>GRUMS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26504-2025</t>
        </is>
      </c>
      <c r="B5582" s="1" t="n">
        <v>45807.519375</v>
      </c>
      <c r="C5582" s="1" t="n">
        <v>45932</v>
      </c>
      <c r="D5582" t="inlineStr">
        <is>
          <t>VÄRMLANDS LÄN</t>
        </is>
      </c>
      <c r="E5582" t="inlineStr">
        <is>
          <t>TORSBY</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26505-2025</t>
        </is>
      </c>
      <c r="B5583" s="1" t="n">
        <v>45807.52231481481</v>
      </c>
      <c r="C5583" s="1" t="n">
        <v>45932</v>
      </c>
      <c r="D5583" t="inlineStr">
        <is>
          <t>VÄRMLANDS LÄN</t>
        </is>
      </c>
      <c r="E5583" t="inlineStr">
        <is>
          <t>TORSBY</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26511-2025</t>
        </is>
      </c>
      <c r="B5584" s="1" t="n">
        <v>45807.54571759259</v>
      </c>
      <c r="C5584" s="1" t="n">
        <v>45932</v>
      </c>
      <c r="D5584" t="inlineStr">
        <is>
          <t>VÄRMLANDS LÄN</t>
        </is>
      </c>
      <c r="E5584" t="inlineStr">
        <is>
          <t>TORSBY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26529-2025</t>
        </is>
      </c>
      <c r="B5585" s="1" t="n">
        <v>45807.57009259259</v>
      </c>
      <c r="C5585" s="1" t="n">
        <v>45932</v>
      </c>
      <c r="D5585" t="inlineStr">
        <is>
          <t>VÄRMLANDS LÄN</t>
        </is>
      </c>
      <c r="E5585" t="inlineStr">
        <is>
          <t>SÄFFLE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26539-2025</t>
        </is>
      </c>
      <c r="B5586" s="1" t="n">
        <v>45807.58127314815</v>
      </c>
      <c r="C5586" s="1" t="n">
        <v>45932</v>
      </c>
      <c r="D5586" t="inlineStr">
        <is>
          <t>VÄRMLANDS LÄN</t>
        </is>
      </c>
      <c r="E5586" t="inlineStr">
        <is>
          <t>TORSBY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27101-2024</t>
        </is>
      </c>
      <c r="B5587" s="1" t="n">
        <v>45471</v>
      </c>
      <c r="C5587" s="1" t="n">
        <v>45932</v>
      </c>
      <c r="D5587" t="inlineStr">
        <is>
          <t>VÄRMLANDS LÄN</t>
        </is>
      </c>
      <c r="E5587" t="inlineStr">
        <is>
          <t>TORSBY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27116-2024</t>
        </is>
      </c>
      <c r="B5588" s="1" t="n">
        <v>45471.5056712963</v>
      </c>
      <c r="C5588" s="1" t="n">
        <v>45932</v>
      </c>
      <c r="D5588" t="inlineStr">
        <is>
          <t>VÄRMLANDS LÄN</t>
        </is>
      </c>
      <c r="E5588" t="inlineStr">
        <is>
          <t>TORSBY</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26758-2025</t>
        </is>
      </c>
      <c r="B5589" s="1" t="n">
        <v>45807</v>
      </c>
      <c r="C5589" s="1" t="n">
        <v>45932</v>
      </c>
      <c r="D5589" t="inlineStr">
        <is>
          <t>VÄRMLANDS LÄN</t>
        </is>
      </c>
      <c r="E5589" t="inlineStr">
        <is>
          <t>ÅRJÄNG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24971-2025</t>
        </is>
      </c>
      <c r="B5590" s="1" t="n">
        <v>45799</v>
      </c>
      <c r="C5590" s="1" t="n">
        <v>45932</v>
      </c>
      <c r="D5590" t="inlineStr">
        <is>
          <t>VÄRMLANDS LÄN</t>
        </is>
      </c>
      <c r="E5590" t="inlineStr">
        <is>
          <t>ÅRJÄNG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26777-2023</t>
        </is>
      </c>
      <c r="B5591" s="1" t="n">
        <v>45093.4815162037</v>
      </c>
      <c r="C5591" s="1" t="n">
        <v>45932</v>
      </c>
      <c r="D5591" t="inlineStr">
        <is>
          <t>VÄRMLANDS LÄN</t>
        </is>
      </c>
      <c r="E5591" t="inlineStr">
        <is>
          <t>HAGFORS</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26537-2025</t>
        </is>
      </c>
      <c r="B5592" s="1" t="n">
        <v>45807.57471064815</v>
      </c>
      <c r="C5592" s="1" t="n">
        <v>45932</v>
      </c>
      <c r="D5592" t="inlineStr">
        <is>
          <t>VÄRMLANDS LÄN</t>
        </is>
      </c>
      <c r="E5592" t="inlineStr">
        <is>
          <t>SÄFFLE</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1045-2024</t>
        </is>
      </c>
      <c r="B5593" s="1" t="n">
        <v>45301</v>
      </c>
      <c r="C5593" s="1" t="n">
        <v>45932</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40807-2023</t>
        </is>
      </c>
      <c r="B5594" s="1" t="n">
        <v>45171.35449074074</v>
      </c>
      <c r="C5594" s="1" t="n">
        <v>45932</v>
      </c>
      <c r="D5594" t="inlineStr">
        <is>
          <t>VÄRMLANDS LÄN</t>
        </is>
      </c>
      <c r="E5594" t="inlineStr">
        <is>
          <t>SÄFFLE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58914-2022</t>
        </is>
      </c>
      <c r="B5595" s="1" t="n">
        <v>44896</v>
      </c>
      <c r="C5595" s="1" t="n">
        <v>45932</v>
      </c>
      <c r="D5595" t="inlineStr">
        <is>
          <t>VÄRMLANDS LÄN</t>
        </is>
      </c>
      <c r="E5595" t="inlineStr">
        <is>
          <t>SÄFFLE</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1556-2025</t>
        </is>
      </c>
      <c r="B5596" s="1" t="n">
        <v>45670</v>
      </c>
      <c r="C5596" s="1" t="n">
        <v>45932</v>
      </c>
      <c r="D5596" t="inlineStr">
        <is>
          <t>VÄRMLANDS LÄN</t>
        </is>
      </c>
      <c r="E5596" t="inlineStr">
        <is>
          <t>GRUMS</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57441-2022</t>
        </is>
      </c>
      <c r="B5597" s="1" t="n">
        <v>44896</v>
      </c>
      <c r="C5597" s="1" t="n">
        <v>45932</v>
      </c>
      <c r="D5597" t="inlineStr">
        <is>
          <t>VÄRMLANDS LÄN</t>
        </is>
      </c>
      <c r="E5597" t="inlineStr">
        <is>
          <t>KARLSTAD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1560-2025</t>
        </is>
      </c>
      <c r="B5598" s="1" t="n">
        <v>45670.53878472222</v>
      </c>
      <c r="C5598" s="1" t="n">
        <v>45932</v>
      </c>
      <c r="D5598" t="inlineStr">
        <is>
          <t>VÄRMLANDS LÄN</t>
        </is>
      </c>
      <c r="E5598" t="inlineStr">
        <is>
          <t>ÅRJÄNG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26418-2025</t>
        </is>
      </c>
      <c r="B5599" s="1" t="n">
        <v>45807.36436342593</v>
      </c>
      <c r="C5599" s="1" t="n">
        <v>45932</v>
      </c>
      <c r="D5599" t="inlineStr">
        <is>
          <t>VÄRMLANDS LÄN</t>
        </is>
      </c>
      <c r="E5599" t="inlineStr">
        <is>
          <t>TORSBY</t>
        </is>
      </c>
      <c r="F5599" t="inlineStr">
        <is>
          <t>Bergvik skog väst AB</t>
        </is>
      </c>
      <c r="G5599" t="n">
        <v>13.4</v>
      </c>
      <c r="H5599" t="n">
        <v>0</v>
      </c>
      <c r="I5599" t="n">
        <v>0</v>
      </c>
      <c r="J5599" t="n">
        <v>0</v>
      </c>
      <c r="K5599" t="n">
        <v>0</v>
      </c>
      <c r="L5599" t="n">
        <v>0</v>
      </c>
      <c r="M5599" t="n">
        <v>0</v>
      </c>
      <c r="N5599" t="n">
        <v>0</v>
      </c>
      <c r="O5599" t="n">
        <v>0</v>
      </c>
      <c r="P5599" t="n">
        <v>0</v>
      </c>
      <c r="Q5599" t="n">
        <v>0</v>
      </c>
      <c r="R5599" s="2" t="inlineStr"/>
    </row>
    <row r="5600" ht="15" customHeight="1">
      <c r="A5600" t="inlineStr">
        <is>
          <t>A 26507-2025</t>
        </is>
      </c>
      <c r="B5600" s="1" t="n">
        <v>45807.52539351852</v>
      </c>
      <c r="C5600" s="1" t="n">
        <v>45932</v>
      </c>
      <c r="D5600" t="inlineStr">
        <is>
          <t>VÄRMLANDS LÄN</t>
        </is>
      </c>
      <c r="E5600" t="inlineStr">
        <is>
          <t>TORSBY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26564-2025</t>
        </is>
      </c>
      <c r="B5601" s="1" t="n">
        <v>45807.66306712963</v>
      </c>
      <c r="C5601" s="1" t="n">
        <v>45932</v>
      </c>
      <c r="D5601" t="inlineStr">
        <is>
          <t>VÄRMLANDS LÄN</t>
        </is>
      </c>
      <c r="E5601" t="inlineStr">
        <is>
          <t>TORSBY</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2317-2025</t>
        </is>
      </c>
      <c r="B5602" s="1" t="n">
        <v>45673.60954861111</v>
      </c>
      <c r="C5602" s="1" t="n">
        <v>45932</v>
      </c>
      <c r="D5602" t="inlineStr">
        <is>
          <t>VÄRMLANDS LÄN</t>
        </is>
      </c>
      <c r="E5602" t="inlineStr">
        <is>
          <t>HAGFORS</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11326-2025</t>
        </is>
      </c>
      <c r="B5603" s="1" t="n">
        <v>45726.47511574074</v>
      </c>
      <c r="C5603" s="1" t="n">
        <v>45932</v>
      </c>
      <c r="D5603" t="inlineStr">
        <is>
          <t>VÄRMLANDS LÄN</t>
        </is>
      </c>
      <c r="E5603" t="inlineStr">
        <is>
          <t>HAGFORS</t>
        </is>
      </c>
      <c r="F5603" t="inlineStr">
        <is>
          <t>Bergvik skog väst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560-2024</t>
        </is>
      </c>
      <c r="B5604" s="1" t="n">
        <v>45299</v>
      </c>
      <c r="C5604" s="1" t="n">
        <v>45932</v>
      </c>
      <c r="D5604" t="inlineStr">
        <is>
          <t>VÄRMLANDS LÄN</t>
        </is>
      </c>
      <c r="E5604" t="inlineStr">
        <is>
          <t>SÄFFLE</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51258-2022</t>
        </is>
      </c>
      <c r="B5605" s="1" t="n">
        <v>44868.67460648148</v>
      </c>
      <c r="C5605" s="1" t="n">
        <v>45932</v>
      </c>
      <c r="D5605" t="inlineStr">
        <is>
          <t>VÄRMLANDS LÄN</t>
        </is>
      </c>
      <c r="E5605" t="inlineStr">
        <is>
          <t>ÅRJÄNG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51269-2022</t>
        </is>
      </c>
      <c r="B5606" s="1" t="n">
        <v>44868</v>
      </c>
      <c r="C5606" s="1" t="n">
        <v>45932</v>
      </c>
      <c r="D5606" t="inlineStr">
        <is>
          <t>VÄRMLANDS LÄN</t>
        </is>
      </c>
      <c r="E5606" t="inlineStr">
        <is>
          <t>ÅRJÄNG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62261-2023</t>
        </is>
      </c>
      <c r="B5607" s="1" t="n">
        <v>45266</v>
      </c>
      <c r="C5607" s="1" t="n">
        <v>45932</v>
      </c>
      <c r="D5607" t="inlineStr">
        <is>
          <t>VÄRMLANDS LÄN</t>
        </is>
      </c>
      <c r="E5607" t="inlineStr">
        <is>
          <t>ÅRJÄNG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63627-2021</t>
        </is>
      </c>
      <c r="B5608" s="1" t="n">
        <v>44496</v>
      </c>
      <c r="C5608" s="1" t="n">
        <v>45932</v>
      </c>
      <c r="D5608" t="inlineStr">
        <is>
          <t>VÄRMLANDS LÄN</t>
        </is>
      </c>
      <c r="E5608" t="inlineStr">
        <is>
          <t>ARVIKA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26479-2025</t>
        </is>
      </c>
      <c r="B5609" s="1" t="n">
        <v>45807.47021990741</v>
      </c>
      <c r="C5609" s="1" t="n">
        <v>45932</v>
      </c>
      <c r="D5609" t="inlineStr">
        <is>
          <t>VÄRMLANDS LÄN</t>
        </is>
      </c>
      <c r="E5609" t="inlineStr">
        <is>
          <t>TORSBY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26491-2025</t>
        </is>
      </c>
      <c r="B5610" s="1" t="n">
        <v>45807.48939814815</v>
      </c>
      <c r="C5610" s="1" t="n">
        <v>45932</v>
      </c>
      <c r="D5610" t="inlineStr">
        <is>
          <t>VÄRMLANDS LÄN</t>
        </is>
      </c>
      <c r="E5610" t="inlineStr">
        <is>
          <t>TORSBY</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26533-2025</t>
        </is>
      </c>
      <c r="B5611" s="1" t="n">
        <v>45807.57259259259</v>
      </c>
      <c r="C5611" s="1" t="n">
        <v>45932</v>
      </c>
      <c r="D5611" t="inlineStr">
        <is>
          <t>VÄRMLANDS LÄN</t>
        </is>
      </c>
      <c r="E5611" t="inlineStr">
        <is>
          <t>TORSBY</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26534-2025</t>
        </is>
      </c>
      <c r="B5612" s="1" t="n">
        <v>45807.57306712963</v>
      </c>
      <c r="C5612" s="1" t="n">
        <v>45932</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19052-2023</t>
        </is>
      </c>
      <c r="B5613" s="1" t="n">
        <v>45047</v>
      </c>
      <c r="C5613" s="1" t="n">
        <v>45932</v>
      </c>
      <c r="D5613" t="inlineStr">
        <is>
          <t>VÄRMLANDS LÄN</t>
        </is>
      </c>
      <c r="E5613" t="inlineStr">
        <is>
          <t>ÅRJÄNG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26455-2025</t>
        </is>
      </c>
      <c r="B5614" s="1" t="n">
        <v>45807.42402777778</v>
      </c>
      <c r="C5614" s="1" t="n">
        <v>45932</v>
      </c>
      <c r="D5614" t="inlineStr">
        <is>
          <t>VÄRMLANDS LÄN</t>
        </is>
      </c>
      <c r="E5614" t="inlineStr">
        <is>
          <t>KRISTINEHAMN</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26463-2025</t>
        </is>
      </c>
      <c r="B5615" s="1" t="n">
        <v>45807</v>
      </c>
      <c r="C5615" s="1" t="n">
        <v>45932</v>
      </c>
      <c r="D5615" t="inlineStr">
        <is>
          <t>VÄRMLANDS LÄN</t>
        </is>
      </c>
      <c r="E5615" t="inlineStr">
        <is>
          <t>HAGFORS</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26438-2025</t>
        </is>
      </c>
      <c r="B5616" s="1" t="n">
        <v>45807</v>
      </c>
      <c r="C5616" s="1" t="n">
        <v>45932</v>
      </c>
      <c r="D5616" t="inlineStr">
        <is>
          <t>VÄRMLANDS LÄN</t>
        </is>
      </c>
      <c r="E5616" t="inlineStr">
        <is>
          <t>KIL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21688-2024</t>
        </is>
      </c>
      <c r="B5617" s="1" t="n">
        <v>45442.44138888889</v>
      </c>
      <c r="C5617" s="1" t="n">
        <v>45932</v>
      </c>
      <c r="D5617" t="inlineStr">
        <is>
          <t>VÄRMLANDS LÄN</t>
        </is>
      </c>
      <c r="E5617" t="inlineStr">
        <is>
          <t>KRISTINEHAMN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21706-2024</t>
        </is>
      </c>
      <c r="B5618" s="1" t="n">
        <v>45442</v>
      </c>
      <c r="C5618" s="1" t="n">
        <v>45932</v>
      </c>
      <c r="D5618" t="inlineStr">
        <is>
          <t>VÄRMLANDS LÄN</t>
        </is>
      </c>
      <c r="E5618" t="inlineStr">
        <is>
          <t>ÅRJÄNG</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55397-2022</t>
        </is>
      </c>
      <c r="B5619" s="1" t="n">
        <v>44887.57297453703</v>
      </c>
      <c r="C5619" s="1" t="n">
        <v>45932</v>
      </c>
      <c r="D5619" t="inlineStr">
        <is>
          <t>VÄRMLANDS LÄN</t>
        </is>
      </c>
      <c r="E5619" t="inlineStr">
        <is>
          <t>FILIPSTAD</t>
        </is>
      </c>
      <c r="F5619" t="inlineStr">
        <is>
          <t>Bergvik skog väst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54535-2023</t>
        </is>
      </c>
      <c r="B5620" s="1" t="n">
        <v>45226</v>
      </c>
      <c r="C5620" s="1" t="n">
        <v>45932</v>
      </c>
      <c r="D5620" t="inlineStr">
        <is>
          <t>VÄRMLANDS LÄN</t>
        </is>
      </c>
      <c r="E5620" t="inlineStr">
        <is>
          <t>SUNNE</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54548-2023</t>
        </is>
      </c>
      <c r="B5621" s="1" t="n">
        <v>45226</v>
      </c>
      <c r="C5621" s="1" t="n">
        <v>45932</v>
      </c>
      <c r="D5621" t="inlineStr">
        <is>
          <t>VÄRMLANDS LÄN</t>
        </is>
      </c>
      <c r="E5621" t="inlineStr">
        <is>
          <t>KRISTINEHAMN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54552-2023</t>
        </is>
      </c>
      <c r="B5622" s="1" t="n">
        <v>45226</v>
      </c>
      <c r="C5622" s="1" t="n">
        <v>45932</v>
      </c>
      <c r="D5622" t="inlineStr">
        <is>
          <t>VÄRMLANDS LÄN</t>
        </is>
      </c>
      <c r="E5622" t="inlineStr">
        <is>
          <t>KRISTINEHAMN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58808-2022</t>
        </is>
      </c>
      <c r="B5623" s="1" t="n">
        <v>44903</v>
      </c>
      <c r="C5623" s="1" t="n">
        <v>45932</v>
      </c>
      <c r="D5623" t="inlineStr">
        <is>
          <t>VÄRMLANDS LÄN</t>
        </is>
      </c>
      <c r="E5623" t="inlineStr">
        <is>
          <t>HAGFORS</t>
        </is>
      </c>
      <c r="F5623" t="inlineStr">
        <is>
          <t>Bergvik skog väst AB</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58812-2022</t>
        </is>
      </c>
      <c r="B5624" s="1" t="n">
        <v>44903.4503587963</v>
      </c>
      <c r="C5624" s="1" t="n">
        <v>45932</v>
      </c>
      <c r="D5624" t="inlineStr">
        <is>
          <t>VÄRMLANDS LÄN</t>
        </is>
      </c>
      <c r="E5624" t="inlineStr">
        <is>
          <t>SUNNE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7313-2022</t>
        </is>
      </c>
      <c r="B5625" s="1" t="n">
        <v>44606.51982638889</v>
      </c>
      <c r="C5625" s="1" t="n">
        <v>45932</v>
      </c>
      <c r="D5625" t="inlineStr">
        <is>
          <t>VÄRMLANDS LÄN</t>
        </is>
      </c>
      <c r="E5625" t="inlineStr">
        <is>
          <t>ARVIKA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30669-2021</t>
        </is>
      </c>
      <c r="B5626" s="1" t="n">
        <v>44365.38503472223</v>
      </c>
      <c r="C5626" s="1" t="n">
        <v>45932</v>
      </c>
      <c r="D5626" t="inlineStr">
        <is>
          <t>VÄRMLANDS LÄN</t>
        </is>
      </c>
      <c r="E5626" t="inlineStr">
        <is>
          <t>SUNNE</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9152-2023</t>
        </is>
      </c>
      <c r="B5627" s="1" t="n">
        <v>44976</v>
      </c>
      <c r="C5627" s="1" t="n">
        <v>45932</v>
      </c>
      <c r="D5627" t="inlineStr">
        <is>
          <t>VÄRMLANDS LÄN</t>
        </is>
      </c>
      <c r="E5627" t="inlineStr">
        <is>
          <t>SÄFFLE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6478-2021</t>
        </is>
      </c>
      <c r="B5628" s="1" t="n">
        <v>44235</v>
      </c>
      <c r="C5628" s="1" t="n">
        <v>45932</v>
      </c>
      <c r="D5628" t="inlineStr">
        <is>
          <t>VÄRMLANDS LÄN</t>
        </is>
      </c>
      <c r="E5628" t="inlineStr">
        <is>
          <t>ARVIKA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16421-2025</t>
        </is>
      </c>
      <c r="B5629" s="1" t="n">
        <v>45751.4693287037</v>
      </c>
      <c r="C5629" s="1" t="n">
        <v>45932</v>
      </c>
      <c r="D5629" t="inlineStr">
        <is>
          <t>VÄRMLANDS LÄN</t>
        </is>
      </c>
      <c r="E5629" t="inlineStr">
        <is>
          <t>KARLSTAD</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60564-2022</t>
        </is>
      </c>
      <c r="B5630" s="1" t="n">
        <v>44911</v>
      </c>
      <c r="C5630" s="1" t="n">
        <v>45932</v>
      </c>
      <c r="D5630" t="inlineStr">
        <is>
          <t>VÄRMLANDS LÄN</t>
        </is>
      </c>
      <c r="E5630" t="inlineStr">
        <is>
          <t>MUNKFORS</t>
        </is>
      </c>
      <c r="F5630" t="inlineStr">
        <is>
          <t>Bergvik skog väst AB</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60593-2022</t>
        </is>
      </c>
      <c r="B5631" s="1" t="n">
        <v>44906</v>
      </c>
      <c r="C5631" s="1" t="n">
        <v>45932</v>
      </c>
      <c r="D5631" t="inlineStr">
        <is>
          <t>VÄRMLANDS LÄN</t>
        </is>
      </c>
      <c r="E5631" t="inlineStr">
        <is>
          <t>ARVIKA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60627-2022</t>
        </is>
      </c>
      <c r="B5632" s="1" t="n">
        <v>44906</v>
      </c>
      <c r="C5632" s="1" t="n">
        <v>45932</v>
      </c>
      <c r="D5632" t="inlineStr">
        <is>
          <t>VÄRMLANDS LÄN</t>
        </is>
      </c>
      <c r="E5632" t="inlineStr">
        <is>
          <t>ARVIKA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57873-2024</t>
        </is>
      </c>
      <c r="B5633" s="1" t="n">
        <v>45631.44657407407</v>
      </c>
      <c r="C5633" s="1" t="n">
        <v>45932</v>
      </c>
      <c r="D5633" t="inlineStr">
        <is>
          <t>VÄRMLANDS LÄN</t>
        </is>
      </c>
      <c r="E5633" t="inlineStr">
        <is>
          <t>SÄFFLE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32503-2024</t>
        </is>
      </c>
      <c r="B5634" s="1" t="n">
        <v>45513.43894675926</v>
      </c>
      <c r="C5634" s="1" t="n">
        <v>45932</v>
      </c>
      <c r="D5634" t="inlineStr">
        <is>
          <t>VÄRMLANDS LÄN</t>
        </is>
      </c>
      <c r="E5634" t="inlineStr">
        <is>
          <t>ARVIKA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17042-2023</t>
        </is>
      </c>
      <c r="B5635" s="1" t="n">
        <v>45034</v>
      </c>
      <c r="C5635" s="1" t="n">
        <v>45932</v>
      </c>
      <c r="D5635" t="inlineStr">
        <is>
          <t>VÄRMLANDS LÄN</t>
        </is>
      </c>
      <c r="E5635" t="inlineStr">
        <is>
          <t>SUNNE</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32847-2024</t>
        </is>
      </c>
      <c r="B5636" s="1" t="n">
        <v>45516.63021990741</v>
      </c>
      <c r="C5636" s="1" t="n">
        <v>45932</v>
      </c>
      <c r="D5636" t="inlineStr">
        <is>
          <t>VÄRMLANDS LÄN</t>
        </is>
      </c>
      <c r="E5636" t="inlineStr">
        <is>
          <t>TORSBY</t>
        </is>
      </c>
      <c r="F5636" t="inlineStr">
        <is>
          <t>Bergvik skog väst AB</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58491-2023</t>
        </is>
      </c>
      <c r="B5637" s="1" t="n">
        <v>45246</v>
      </c>
      <c r="C5637" s="1" t="n">
        <v>45932</v>
      </c>
      <c r="D5637" t="inlineStr">
        <is>
          <t>VÄRMLANDS LÄN</t>
        </is>
      </c>
      <c r="E5637" t="inlineStr">
        <is>
          <t>ÅRJÄNG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60000-2024</t>
        </is>
      </c>
      <c r="B5638" s="1" t="n">
        <v>45642</v>
      </c>
      <c r="C5638" s="1" t="n">
        <v>45932</v>
      </c>
      <c r="D5638" t="inlineStr">
        <is>
          <t>VÄRMLANDS LÄN</t>
        </is>
      </c>
      <c r="E5638" t="inlineStr">
        <is>
          <t>ÅRJÄNG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57205-2024</t>
        </is>
      </c>
      <c r="B5639" s="1" t="n">
        <v>45629.48877314815</v>
      </c>
      <c r="C5639" s="1" t="n">
        <v>45932</v>
      </c>
      <c r="D5639" t="inlineStr">
        <is>
          <t>VÄRMLANDS LÄN</t>
        </is>
      </c>
      <c r="E5639" t="inlineStr">
        <is>
          <t>ARVIKA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45747-2024</t>
        </is>
      </c>
      <c r="B5640" s="1" t="n">
        <v>45579</v>
      </c>
      <c r="C5640" s="1" t="n">
        <v>45932</v>
      </c>
      <c r="D5640" t="inlineStr">
        <is>
          <t>VÄRMLANDS LÄN</t>
        </is>
      </c>
      <c r="E5640" t="inlineStr">
        <is>
          <t>EDA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15165-2025</t>
        </is>
      </c>
      <c r="B5641" s="1" t="n">
        <v>45744.48599537037</v>
      </c>
      <c r="C5641" s="1" t="n">
        <v>45932</v>
      </c>
      <c r="D5641" t="inlineStr">
        <is>
          <t>VÄRMLANDS LÄN</t>
        </is>
      </c>
      <c r="E5641" t="inlineStr">
        <is>
          <t>ÅRJÄNG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27578-2024</t>
        </is>
      </c>
      <c r="B5642" s="1" t="n">
        <v>45474</v>
      </c>
      <c r="C5642" s="1" t="n">
        <v>45932</v>
      </c>
      <c r="D5642" t="inlineStr">
        <is>
          <t>VÄRMLANDS LÄN</t>
        </is>
      </c>
      <c r="E5642" t="inlineStr">
        <is>
          <t>ARVIKA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3961-2023</t>
        </is>
      </c>
      <c r="B5643" s="1" t="n">
        <v>44952.40619212963</v>
      </c>
      <c r="C5643" s="1" t="n">
        <v>45932</v>
      </c>
      <c r="D5643" t="inlineStr">
        <is>
          <t>VÄRMLANDS LÄN</t>
        </is>
      </c>
      <c r="E5643" t="inlineStr">
        <is>
          <t>KARLSTAD</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9888-2025</t>
        </is>
      </c>
      <c r="B5644" s="1" t="n">
        <v>45716</v>
      </c>
      <c r="C5644" s="1" t="n">
        <v>45932</v>
      </c>
      <c r="D5644" t="inlineStr">
        <is>
          <t>VÄRMLANDS LÄN</t>
        </is>
      </c>
      <c r="E5644" t="inlineStr">
        <is>
          <t>SÄFFLE</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41075-2023</t>
        </is>
      </c>
      <c r="B5645" s="1" t="n">
        <v>45173</v>
      </c>
      <c r="C5645" s="1" t="n">
        <v>45932</v>
      </c>
      <c r="D5645" t="inlineStr">
        <is>
          <t>VÄRMLANDS LÄN</t>
        </is>
      </c>
      <c r="E5645" t="inlineStr">
        <is>
          <t>FILIPSTAD</t>
        </is>
      </c>
      <c r="F5645" t="inlineStr">
        <is>
          <t>Bergvik skog väst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253-2021</t>
        </is>
      </c>
      <c r="B5646" s="1" t="n">
        <v>44200</v>
      </c>
      <c r="C5646" s="1" t="n">
        <v>45932</v>
      </c>
      <c r="D5646" t="inlineStr">
        <is>
          <t>VÄRMLANDS LÄN</t>
        </is>
      </c>
      <c r="E5646" t="inlineStr">
        <is>
          <t>SUNNE</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47619-2024</t>
        </is>
      </c>
      <c r="B5647" s="1" t="n">
        <v>45588.32371527778</v>
      </c>
      <c r="C5647" s="1" t="n">
        <v>45932</v>
      </c>
      <c r="D5647" t="inlineStr">
        <is>
          <t>VÄRMLANDS LÄN</t>
        </is>
      </c>
      <c r="E5647" t="inlineStr">
        <is>
          <t>TORSBY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351-2021</t>
        </is>
      </c>
      <c r="B5648" s="1" t="n">
        <v>44201.47827546296</v>
      </c>
      <c r="C5648" s="1" t="n">
        <v>45932</v>
      </c>
      <c r="D5648" t="inlineStr">
        <is>
          <t>VÄRMLANDS LÄN</t>
        </is>
      </c>
      <c r="E5648" t="inlineStr">
        <is>
          <t>SUNNE</t>
        </is>
      </c>
      <c r="F5648" t="inlineStr">
        <is>
          <t>Övriga statliga verk och myndigheter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24391-2023</t>
        </is>
      </c>
      <c r="B5649" s="1" t="n">
        <v>45082</v>
      </c>
      <c r="C5649" s="1" t="n">
        <v>45932</v>
      </c>
      <c r="D5649" t="inlineStr">
        <is>
          <t>VÄRMLANDS LÄN</t>
        </is>
      </c>
      <c r="E5649" t="inlineStr">
        <is>
          <t>SÄFFLE</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24393-2023</t>
        </is>
      </c>
      <c r="B5650" s="1" t="n">
        <v>45082</v>
      </c>
      <c r="C5650" s="1" t="n">
        <v>45932</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8016-2023</t>
        </is>
      </c>
      <c r="B5651" s="1" t="n">
        <v>44973</v>
      </c>
      <c r="C5651" s="1" t="n">
        <v>45932</v>
      </c>
      <c r="D5651" t="inlineStr">
        <is>
          <t>VÄRMLANDS LÄN</t>
        </is>
      </c>
      <c r="E5651" t="inlineStr">
        <is>
          <t>TORSBY</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20652-2022</t>
        </is>
      </c>
      <c r="B5652" s="1" t="n">
        <v>44700</v>
      </c>
      <c r="C5652" s="1" t="n">
        <v>45932</v>
      </c>
      <c r="D5652" t="inlineStr">
        <is>
          <t>VÄRMLANDS LÄN</t>
        </is>
      </c>
      <c r="E5652" t="inlineStr">
        <is>
          <t>HAGFORS</t>
        </is>
      </c>
      <c r="F5652" t="inlineStr">
        <is>
          <t>Bergvik skog väst AB</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41130-2022</t>
        </is>
      </c>
      <c r="B5653" s="1" t="n">
        <v>44825</v>
      </c>
      <c r="C5653" s="1" t="n">
        <v>45932</v>
      </c>
      <c r="D5653" t="inlineStr">
        <is>
          <t>VÄRMLANDS LÄN</t>
        </is>
      </c>
      <c r="E5653" t="inlineStr">
        <is>
          <t>TORSBY</t>
        </is>
      </c>
      <c r="F5653" t="inlineStr">
        <is>
          <t>Kyrkan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12813-2025</t>
        </is>
      </c>
      <c r="B5654" s="1" t="n">
        <v>45733</v>
      </c>
      <c r="C5654" s="1" t="n">
        <v>45932</v>
      </c>
      <c r="D5654" t="inlineStr">
        <is>
          <t>VÄRMLANDS LÄN</t>
        </is>
      </c>
      <c r="E5654" t="inlineStr">
        <is>
          <t>SUNNE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2009-2025</t>
        </is>
      </c>
      <c r="B5655" s="1" t="n">
        <v>45672</v>
      </c>
      <c r="C5655" s="1" t="n">
        <v>45932</v>
      </c>
      <c r="D5655" t="inlineStr">
        <is>
          <t>VÄRMLANDS LÄN</t>
        </is>
      </c>
      <c r="E5655" t="inlineStr">
        <is>
          <t>TORSBY</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13300-2023</t>
        </is>
      </c>
      <c r="B5656" s="1" t="n">
        <v>45005.34288194445</v>
      </c>
      <c r="C5656" s="1" t="n">
        <v>45932</v>
      </c>
      <c r="D5656" t="inlineStr">
        <is>
          <t>VÄRMLANDS LÄN</t>
        </is>
      </c>
      <c r="E5656" t="inlineStr">
        <is>
          <t>HAGFORS</t>
        </is>
      </c>
      <c r="F5656" t="inlineStr">
        <is>
          <t>Bergvik skog väst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13325-2023</t>
        </is>
      </c>
      <c r="B5657" s="1" t="n">
        <v>45005</v>
      </c>
      <c r="C5657" s="1" t="n">
        <v>45932</v>
      </c>
      <c r="D5657" t="inlineStr">
        <is>
          <t>VÄRMLANDS LÄN</t>
        </is>
      </c>
      <c r="E5657" t="inlineStr">
        <is>
          <t>KARLSTAD</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15778-2023</t>
        </is>
      </c>
      <c r="B5658" s="1" t="n">
        <v>45021</v>
      </c>
      <c r="C5658" s="1" t="n">
        <v>45932</v>
      </c>
      <c r="D5658" t="inlineStr">
        <is>
          <t>VÄRMLANDS LÄN</t>
        </is>
      </c>
      <c r="E5658" t="inlineStr">
        <is>
          <t>EDA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26370-2025</t>
        </is>
      </c>
      <c r="B5659" s="1" t="n">
        <v>45806.39633101852</v>
      </c>
      <c r="C5659" s="1" t="n">
        <v>45932</v>
      </c>
      <c r="D5659" t="inlineStr">
        <is>
          <t>VÄRMLANDS LÄN</t>
        </is>
      </c>
      <c r="E5659" t="inlineStr">
        <is>
          <t>SUNNE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26487-2025</t>
        </is>
      </c>
      <c r="B5660" s="1" t="n">
        <v>45807.47644675926</v>
      </c>
      <c r="C5660" s="1" t="n">
        <v>45932</v>
      </c>
      <c r="D5660" t="inlineStr">
        <is>
          <t>VÄRMLANDS LÄN</t>
        </is>
      </c>
      <c r="E5660" t="inlineStr">
        <is>
          <t>TORSBY</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26490-2025</t>
        </is>
      </c>
      <c r="B5661" s="1" t="n">
        <v>45807.4874537037</v>
      </c>
      <c r="C5661" s="1" t="n">
        <v>45932</v>
      </c>
      <c r="D5661" t="inlineStr">
        <is>
          <t>VÄRMLANDS LÄN</t>
        </is>
      </c>
      <c r="E5661" t="inlineStr">
        <is>
          <t>HAGFORS</t>
        </is>
      </c>
      <c r="F5661" t="inlineStr">
        <is>
          <t>Bergvik skog väst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26434-2025</t>
        </is>
      </c>
      <c r="B5662" s="1" t="n">
        <v>45807.39797453704</v>
      </c>
      <c r="C5662" s="1" t="n">
        <v>45932</v>
      </c>
      <c r="D5662" t="inlineStr">
        <is>
          <t>VÄRMLANDS LÄN</t>
        </is>
      </c>
      <c r="E5662" t="inlineStr">
        <is>
          <t>ÅRJÄNG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33908-2022</t>
        </is>
      </c>
      <c r="B5663" s="1" t="n">
        <v>44790</v>
      </c>
      <c r="C5663" s="1" t="n">
        <v>45932</v>
      </c>
      <c r="D5663" t="inlineStr">
        <is>
          <t>VÄRMLANDS LÄN</t>
        </is>
      </c>
      <c r="E5663" t="inlineStr">
        <is>
          <t>MUNKFORS</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33920-2022</t>
        </is>
      </c>
      <c r="B5664" s="1" t="n">
        <v>44790.64056712963</v>
      </c>
      <c r="C5664" s="1" t="n">
        <v>45932</v>
      </c>
      <c r="D5664" t="inlineStr">
        <is>
          <t>VÄRMLANDS LÄN</t>
        </is>
      </c>
      <c r="E5664" t="inlineStr">
        <is>
          <t>EDA</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33969-2022</t>
        </is>
      </c>
      <c r="B5665" s="1" t="n">
        <v>44790.71461805556</v>
      </c>
      <c r="C5665" s="1" t="n">
        <v>45932</v>
      </c>
      <c r="D5665" t="inlineStr">
        <is>
          <t>VÄRMLANDS LÄN</t>
        </is>
      </c>
      <c r="E5665" t="inlineStr">
        <is>
          <t>HAGFORS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25759-2023</t>
        </is>
      </c>
      <c r="B5666" s="1" t="n">
        <v>45090</v>
      </c>
      <c r="C5666" s="1" t="n">
        <v>45932</v>
      </c>
      <c r="D5666" t="inlineStr">
        <is>
          <t>VÄRMLANDS LÄN</t>
        </is>
      </c>
      <c r="E5666" t="inlineStr">
        <is>
          <t>HAGFORS</t>
        </is>
      </c>
      <c r="F5666" t="inlineStr">
        <is>
          <t>Bergvik skog väst AB</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2411-2024</t>
        </is>
      </c>
      <c r="B5667" s="1" t="n">
        <v>45310</v>
      </c>
      <c r="C5667" s="1" t="n">
        <v>45932</v>
      </c>
      <c r="D5667" t="inlineStr">
        <is>
          <t>VÄRMLANDS LÄN</t>
        </is>
      </c>
      <c r="E5667" t="inlineStr">
        <is>
          <t>EDA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56724-2023</t>
        </is>
      </c>
      <c r="B5668" s="1" t="n">
        <v>45244.3393287037</v>
      </c>
      <c r="C5668" s="1" t="n">
        <v>45932</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28545-2024</t>
        </is>
      </c>
      <c r="B5669" s="1" t="n">
        <v>45478.3559375</v>
      </c>
      <c r="C5669" s="1" t="n">
        <v>45932</v>
      </c>
      <c r="D5669" t="inlineStr">
        <is>
          <t>VÄRMLANDS LÄN</t>
        </is>
      </c>
      <c r="E5669" t="inlineStr">
        <is>
          <t>TORSBY</t>
        </is>
      </c>
      <c r="F5669" t="inlineStr">
        <is>
          <t>Bergvik skog väst AB</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4865-2024</t>
        </is>
      </c>
      <c r="B5670" s="1" t="n">
        <v>45329</v>
      </c>
      <c r="C5670" s="1" t="n">
        <v>45932</v>
      </c>
      <c r="D5670" t="inlineStr">
        <is>
          <t>VÄRMLANDS LÄN</t>
        </is>
      </c>
      <c r="E5670" t="inlineStr">
        <is>
          <t>ÅRJÄNG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15323-2025</t>
        </is>
      </c>
      <c r="B5671" s="1" t="n">
        <v>45747.32385416667</v>
      </c>
      <c r="C5671" s="1" t="n">
        <v>45932</v>
      </c>
      <c r="D5671" t="inlineStr">
        <is>
          <t>VÄRMLANDS LÄN</t>
        </is>
      </c>
      <c r="E5671" t="inlineStr">
        <is>
          <t>ÅRJÄNG</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16380-2025</t>
        </is>
      </c>
      <c r="B5672" s="1" t="n">
        <v>45751</v>
      </c>
      <c r="C5672" s="1" t="n">
        <v>45932</v>
      </c>
      <c r="D5672" t="inlineStr">
        <is>
          <t>VÄRMLANDS LÄN</t>
        </is>
      </c>
      <c r="E5672" t="inlineStr">
        <is>
          <t>TORSBY</t>
        </is>
      </c>
      <c r="F5672" t="inlineStr">
        <is>
          <t>Bergvik skog väst AB</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16755-2025</t>
        </is>
      </c>
      <c r="B5673" s="1" t="n">
        <v>45754</v>
      </c>
      <c r="C5673" s="1" t="n">
        <v>45932</v>
      </c>
      <c r="D5673" t="inlineStr">
        <is>
          <t>VÄRMLANDS LÄN</t>
        </is>
      </c>
      <c r="E5673" t="inlineStr">
        <is>
          <t>HAGFORS</t>
        </is>
      </c>
      <c r="F5673" t="inlineStr">
        <is>
          <t>Bergvik skog väst AB</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59626-2021</t>
        </is>
      </c>
      <c r="B5674" s="1" t="n">
        <v>44491</v>
      </c>
      <c r="C5674" s="1" t="n">
        <v>45932</v>
      </c>
      <c r="D5674" t="inlineStr">
        <is>
          <t>VÄRMLANDS LÄN</t>
        </is>
      </c>
      <c r="E5674" t="inlineStr">
        <is>
          <t>KARLSTAD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13761-2025</t>
        </is>
      </c>
      <c r="B5675" s="1" t="n">
        <v>45737</v>
      </c>
      <c r="C5675" s="1" t="n">
        <v>45932</v>
      </c>
      <c r="D5675" t="inlineStr">
        <is>
          <t>VÄRMLANDS LÄN</t>
        </is>
      </c>
      <c r="E5675" t="inlineStr">
        <is>
          <t>ARVIKA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55306-2024</t>
        </is>
      </c>
      <c r="B5676" s="1" t="n">
        <v>45621</v>
      </c>
      <c r="C5676" s="1" t="n">
        <v>45932</v>
      </c>
      <c r="D5676" t="inlineStr">
        <is>
          <t>VÄRMLANDS LÄN</t>
        </is>
      </c>
      <c r="E5676" t="inlineStr">
        <is>
          <t>KIL</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61564-2022</t>
        </is>
      </c>
      <c r="B5677" s="1" t="n">
        <v>44916.60686342593</v>
      </c>
      <c r="C5677" s="1" t="n">
        <v>45932</v>
      </c>
      <c r="D5677" t="inlineStr">
        <is>
          <t>VÄRMLANDS LÄN</t>
        </is>
      </c>
      <c r="E5677" t="inlineStr">
        <is>
          <t>SÄFFLE</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38474-2024</t>
        </is>
      </c>
      <c r="B5678" s="1" t="n">
        <v>45546</v>
      </c>
      <c r="C5678" s="1" t="n">
        <v>45932</v>
      </c>
      <c r="D5678" t="inlineStr">
        <is>
          <t>VÄRMLANDS LÄN</t>
        </is>
      </c>
      <c r="E5678" t="inlineStr">
        <is>
          <t>HAGFORS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26924-2025</t>
        </is>
      </c>
      <c r="B5679" s="1" t="n">
        <v>45811</v>
      </c>
      <c r="C5679" s="1" t="n">
        <v>45932</v>
      </c>
      <c r="D5679" t="inlineStr">
        <is>
          <t>VÄRMLANDS LÄN</t>
        </is>
      </c>
      <c r="E5679" t="inlineStr">
        <is>
          <t>SÄFFLE</t>
        </is>
      </c>
      <c r="F5679" t="inlineStr">
        <is>
          <t>Bergvik skog väst AB</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26959-2025</t>
        </is>
      </c>
      <c r="B5680" s="1" t="n">
        <v>45811.45909722222</v>
      </c>
      <c r="C5680" s="1" t="n">
        <v>45932</v>
      </c>
      <c r="D5680" t="inlineStr">
        <is>
          <t>VÄRMLANDS LÄN</t>
        </is>
      </c>
      <c r="E5680" t="inlineStr">
        <is>
          <t>ÅRJÄNG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1928-2022</t>
        </is>
      </c>
      <c r="B5681" s="1" t="n">
        <v>44575.42931712963</v>
      </c>
      <c r="C5681" s="1" t="n">
        <v>45932</v>
      </c>
      <c r="D5681" t="inlineStr">
        <is>
          <t>VÄRMLANDS LÄN</t>
        </is>
      </c>
      <c r="E5681" t="inlineStr">
        <is>
          <t>EDA</t>
        </is>
      </c>
      <c r="G5681" t="n">
        <v>7.5</v>
      </c>
      <c r="H5681" t="n">
        <v>0</v>
      </c>
      <c r="I5681" t="n">
        <v>0</v>
      </c>
      <c r="J5681" t="n">
        <v>0</v>
      </c>
      <c r="K5681" t="n">
        <v>0</v>
      </c>
      <c r="L5681" t="n">
        <v>0</v>
      </c>
      <c r="M5681" t="n">
        <v>0</v>
      </c>
      <c r="N5681" t="n">
        <v>0</v>
      </c>
      <c r="O5681" t="n">
        <v>0</v>
      </c>
      <c r="P5681" t="n">
        <v>0</v>
      </c>
      <c r="Q5681" t="n">
        <v>0</v>
      </c>
      <c r="R5681" s="2" t="inlineStr"/>
    </row>
    <row r="5682" ht="15" customHeight="1">
      <c r="A5682" t="inlineStr">
        <is>
          <t>A 20217-2024</t>
        </is>
      </c>
      <c r="B5682" s="1" t="n">
        <v>45434.67739583334</v>
      </c>
      <c r="C5682" s="1" t="n">
        <v>45932</v>
      </c>
      <c r="D5682" t="inlineStr">
        <is>
          <t>VÄRMLANDS LÄN</t>
        </is>
      </c>
      <c r="E5682" t="inlineStr">
        <is>
          <t>HAGFORS</t>
        </is>
      </c>
      <c r="F5682" t="inlineStr">
        <is>
          <t>Bergvik skog väst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50225-2024</t>
        </is>
      </c>
      <c r="B5683" s="1" t="n">
        <v>45600</v>
      </c>
      <c r="C5683" s="1" t="n">
        <v>45932</v>
      </c>
      <c r="D5683" t="inlineStr">
        <is>
          <t>VÄRMLANDS LÄN</t>
        </is>
      </c>
      <c r="E5683" t="inlineStr">
        <is>
          <t>EDA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53759-2024</t>
        </is>
      </c>
      <c r="B5684" s="1" t="n">
        <v>45615.50706018518</v>
      </c>
      <c r="C5684" s="1" t="n">
        <v>45932</v>
      </c>
      <c r="D5684" t="inlineStr">
        <is>
          <t>VÄRMLANDS LÄN</t>
        </is>
      </c>
      <c r="E5684" t="inlineStr">
        <is>
          <t>SUNNE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53974-2024</t>
        </is>
      </c>
      <c r="B5685" s="1" t="n">
        <v>45615</v>
      </c>
      <c r="C5685" s="1" t="n">
        <v>45932</v>
      </c>
      <c r="D5685" t="inlineStr">
        <is>
          <t>VÄRMLANDS LÄN</t>
        </is>
      </c>
      <c r="E5685" t="inlineStr">
        <is>
          <t>SÄFFLE</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55432-2024</t>
        </is>
      </c>
      <c r="B5686" s="1" t="n">
        <v>45622</v>
      </c>
      <c r="C5686" s="1" t="n">
        <v>45932</v>
      </c>
      <c r="D5686" t="inlineStr">
        <is>
          <t>VÄRMLANDS LÄN</t>
        </is>
      </c>
      <c r="E5686" t="inlineStr">
        <is>
          <t>ÅRJÄNG</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26994-2025</t>
        </is>
      </c>
      <c r="B5687" s="1" t="n">
        <v>45811</v>
      </c>
      <c r="C5687" s="1" t="n">
        <v>45932</v>
      </c>
      <c r="D5687" t="inlineStr">
        <is>
          <t>VÄRMLANDS LÄN</t>
        </is>
      </c>
      <c r="E5687" t="inlineStr">
        <is>
          <t>EDA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54146-2022</t>
        </is>
      </c>
      <c r="B5688" s="1" t="n">
        <v>44881</v>
      </c>
      <c r="C5688" s="1" t="n">
        <v>45932</v>
      </c>
      <c r="D5688" t="inlineStr">
        <is>
          <t>VÄRMLANDS LÄN</t>
        </is>
      </c>
      <c r="E5688" t="inlineStr">
        <is>
          <t>SUNNE</t>
        </is>
      </c>
      <c r="F5688" t="inlineStr">
        <is>
          <t>Bergvik skog väst AB</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27056-2025</t>
        </is>
      </c>
      <c r="B5689" s="1" t="n">
        <v>45811.63118055555</v>
      </c>
      <c r="C5689" s="1" t="n">
        <v>45932</v>
      </c>
      <c r="D5689" t="inlineStr">
        <is>
          <t>VÄRMLANDS LÄN</t>
        </is>
      </c>
      <c r="E5689" t="inlineStr">
        <is>
          <t>TORSBY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35453-2024</t>
        </is>
      </c>
      <c r="B5690" s="1" t="n">
        <v>45531.45243055555</v>
      </c>
      <c r="C5690" s="1" t="n">
        <v>45932</v>
      </c>
      <c r="D5690" t="inlineStr">
        <is>
          <t>VÄRMLANDS LÄN</t>
        </is>
      </c>
      <c r="E5690" t="inlineStr">
        <is>
          <t>KIL</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27116-2025</t>
        </is>
      </c>
      <c r="B5691" s="1" t="n">
        <v>45811.74233796296</v>
      </c>
      <c r="C5691" s="1" t="n">
        <v>45932</v>
      </c>
      <c r="D5691" t="inlineStr">
        <is>
          <t>VÄRMLANDS LÄN</t>
        </is>
      </c>
      <c r="E5691" t="inlineStr">
        <is>
          <t>TORSBY</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2173-2025</t>
        </is>
      </c>
      <c r="B5692" s="1" t="n">
        <v>45673.32659722222</v>
      </c>
      <c r="C5692" s="1" t="n">
        <v>45932</v>
      </c>
      <c r="D5692" t="inlineStr">
        <is>
          <t>VÄRMLANDS LÄN</t>
        </is>
      </c>
      <c r="E5692" t="inlineStr">
        <is>
          <t>SUNNE</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26623-2025</t>
        </is>
      </c>
      <c r="B5693" s="1" t="n">
        <v>45810.33642361111</v>
      </c>
      <c r="C5693" s="1" t="n">
        <v>45932</v>
      </c>
      <c r="D5693" t="inlineStr">
        <is>
          <t>VÄRMLANDS LÄN</t>
        </is>
      </c>
      <c r="E5693" t="inlineStr">
        <is>
          <t>KRISTINEHAMN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26637-2025</t>
        </is>
      </c>
      <c r="B5694" s="1" t="n">
        <v>45810</v>
      </c>
      <c r="C5694" s="1" t="n">
        <v>45932</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17354-2023</t>
        </is>
      </c>
      <c r="B5695" s="1" t="n">
        <v>45035</v>
      </c>
      <c r="C5695" s="1" t="n">
        <v>45932</v>
      </c>
      <c r="D5695" t="inlineStr">
        <is>
          <t>VÄRMLANDS LÄN</t>
        </is>
      </c>
      <c r="E5695" t="inlineStr">
        <is>
          <t>KARLSTAD</t>
        </is>
      </c>
      <c r="F5695" t="inlineStr">
        <is>
          <t>Kommuner</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17364-2023</t>
        </is>
      </c>
      <c r="B5696" s="1" t="n">
        <v>45035</v>
      </c>
      <c r="C5696" s="1" t="n">
        <v>45932</v>
      </c>
      <c r="D5696" t="inlineStr">
        <is>
          <t>VÄRMLANDS LÄN</t>
        </is>
      </c>
      <c r="E5696" t="inlineStr">
        <is>
          <t>KARLSTAD</t>
        </is>
      </c>
      <c r="F5696" t="inlineStr">
        <is>
          <t>Kommuner</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11400-2025</t>
        </is>
      </c>
      <c r="B5697" s="1" t="n">
        <v>45726.57450231481</v>
      </c>
      <c r="C5697" s="1" t="n">
        <v>45932</v>
      </c>
      <c r="D5697" t="inlineStr">
        <is>
          <t>VÄRMLANDS LÄN</t>
        </is>
      </c>
      <c r="E5697" t="inlineStr">
        <is>
          <t>EDA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56146-2024</t>
        </is>
      </c>
      <c r="B5698" s="1" t="n">
        <v>45624.50635416667</v>
      </c>
      <c r="C5698" s="1" t="n">
        <v>45932</v>
      </c>
      <c r="D5698" t="inlineStr">
        <is>
          <t>VÄRMLANDS LÄN</t>
        </is>
      </c>
      <c r="E5698" t="inlineStr">
        <is>
          <t>EDA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56348-2024</t>
        </is>
      </c>
      <c r="B5699" s="1" t="n">
        <v>45624</v>
      </c>
      <c r="C5699" s="1" t="n">
        <v>45932</v>
      </c>
      <c r="D5699" t="inlineStr">
        <is>
          <t>VÄRMLANDS LÄN</t>
        </is>
      </c>
      <c r="E5699" t="inlineStr">
        <is>
          <t>ÅRJÄNG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5319-2025</t>
        </is>
      </c>
      <c r="B5700" s="1" t="n">
        <v>45692.52384259259</v>
      </c>
      <c r="C5700" s="1" t="n">
        <v>45932</v>
      </c>
      <c r="D5700" t="inlineStr">
        <is>
          <t>VÄRMLANDS LÄN</t>
        </is>
      </c>
      <c r="E5700" t="inlineStr">
        <is>
          <t>ÅRJÄNG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42219-2024</t>
        </is>
      </c>
      <c r="B5701" s="1" t="n">
        <v>45562.54707175926</v>
      </c>
      <c r="C5701" s="1" t="n">
        <v>45932</v>
      </c>
      <c r="D5701" t="inlineStr">
        <is>
          <t>VÄRMLANDS LÄN</t>
        </is>
      </c>
      <c r="E5701" t="inlineStr">
        <is>
          <t>HAGFORS</t>
        </is>
      </c>
      <c r="F5701" t="inlineStr">
        <is>
          <t>Bergvik skog väst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42236-2024</t>
        </is>
      </c>
      <c r="B5702" s="1" t="n">
        <v>45562</v>
      </c>
      <c r="C5702" s="1" t="n">
        <v>45932</v>
      </c>
      <c r="D5702" t="inlineStr">
        <is>
          <t>VÄRMLANDS LÄN</t>
        </is>
      </c>
      <c r="E5702" t="inlineStr">
        <is>
          <t>ÅRJÄNG</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60020-2024</t>
        </is>
      </c>
      <c r="B5703" s="1" t="n">
        <v>45642.44655092592</v>
      </c>
      <c r="C5703" s="1" t="n">
        <v>45932</v>
      </c>
      <c r="D5703" t="inlineStr">
        <is>
          <t>VÄRMLANDS LÄN</t>
        </is>
      </c>
      <c r="E5703" t="inlineStr">
        <is>
          <t>ÅRJÄNG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53535-2024</t>
        </is>
      </c>
      <c r="B5704" s="1" t="n">
        <v>45614</v>
      </c>
      <c r="C5704" s="1" t="n">
        <v>45932</v>
      </c>
      <c r="D5704" t="inlineStr">
        <is>
          <t>VÄRMLANDS LÄN</t>
        </is>
      </c>
      <c r="E5704" t="inlineStr">
        <is>
          <t>SUNNE</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47277-2024</t>
        </is>
      </c>
      <c r="B5705" s="1" t="n">
        <v>45586</v>
      </c>
      <c r="C5705" s="1" t="n">
        <v>45932</v>
      </c>
      <c r="D5705" t="inlineStr">
        <is>
          <t>VÄRMLANDS LÄN</t>
        </is>
      </c>
      <c r="E5705" t="inlineStr">
        <is>
          <t>SUNNE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27218-2023</t>
        </is>
      </c>
      <c r="B5706" s="1" t="n">
        <v>45096.58238425926</v>
      </c>
      <c r="C5706" s="1" t="n">
        <v>45932</v>
      </c>
      <c r="D5706" t="inlineStr">
        <is>
          <t>VÄRMLANDS LÄN</t>
        </is>
      </c>
      <c r="E5706" t="inlineStr">
        <is>
          <t>GRUMS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36795-2024</t>
        </is>
      </c>
      <c r="B5707" s="1" t="n">
        <v>45538</v>
      </c>
      <c r="C5707" s="1" t="n">
        <v>45932</v>
      </c>
      <c r="D5707" t="inlineStr">
        <is>
          <t>VÄRMLANDS LÄN</t>
        </is>
      </c>
      <c r="E5707" t="inlineStr">
        <is>
          <t>KIL</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61927-2024</t>
        </is>
      </c>
      <c r="B5708" s="1" t="n">
        <v>45653</v>
      </c>
      <c r="C5708" s="1" t="n">
        <v>45932</v>
      </c>
      <c r="D5708" t="inlineStr">
        <is>
          <t>VÄRMLANDS LÄN</t>
        </is>
      </c>
      <c r="E5708" t="inlineStr">
        <is>
          <t>ARVIKA</t>
        </is>
      </c>
      <c r="F5708" t="inlineStr">
        <is>
          <t>Bergvik skog väst AB</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45591-2023</t>
        </is>
      </c>
      <c r="B5709" s="1" t="n">
        <v>45194</v>
      </c>
      <c r="C5709" s="1" t="n">
        <v>45932</v>
      </c>
      <c r="D5709" t="inlineStr">
        <is>
          <t>VÄRMLANDS LÄN</t>
        </is>
      </c>
      <c r="E5709" t="inlineStr">
        <is>
          <t>KIL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43144-2024</t>
        </is>
      </c>
      <c r="B5710" s="1" t="n">
        <v>45567</v>
      </c>
      <c r="C5710" s="1" t="n">
        <v>45932</v>
      </c>
      <c r="D5710" t="inlineStr">
        <is>
          <t>VÄRMLANDS LÄN</t>
        </is>
      </c>
      <c r="E5710" t="inlineStr">
        <is>
          <t>TORSBY</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10931-2025</t>
        </is>
      </c>
      <c r="B5711" s="1" t="n">
        <v>45723.25569444444</v>
      </c>
      <c r="C5711" s="1" t="n">
        <v>45932</v>
      </c>
      <c r="D5711" t="inlineStr">
        <is>
          <t>VÄRMLANDS LÄN</t>
        </is>
      </c>
      <c r="E5711" t="inlineStr">
        <is>
          <t>KARLSTAD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27071-2025</t>
        </is>
      </c>
      <c r="B5712" s="1" t="n">
        <v>45811.63986111111</v>
      </c>
      <c r="C5712" s="1" t="n">
        <v>45932</v>
      </c>
      <c r="D5712" t="inlineStr">
        <is>
          <t>VÄRMLANDS LÄN</t>
        </is>
      </c>
      <c r="E5712" t="inlineStr">
        <is>
          <t>HAGFORS</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35039-2025</t>
        </is>
      </c>
      <c r="B5713" s="1" t="n">
        <v>45852.34265046296</v>
      </c>
      <c r="C5713" s="1" t="n">
        <v>45932</v>
      </c>
      <c r="D5713" t="inlineStr">
        <is>
          <t>VÄRMLANDS LÄN</t>
        </is>
      </c>
      <c r="E5713" t="inlineStr">
        <is>
          <t>SUNNE</t>
        </is>
      </c>
      <c r="F5713" t="inlineStr">
        <is>
          <t>Bergvik skog väst AB</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25495-2024</t>
        </is>
      </c>
      <c r="B5714" s="1" t="n">
        <v>45463</v>
      </c>
      <c r="C5714" s="1" t="n">
        <v>45932</v>
      </c>
      <c r="D5714" t="inlineStr">
        <is>
          <t>VÄRMLANDS LÄN</t>
        </is>
      </c>
      <c r="E5714" t="inlineStr">
        <is>
          <t>ÅRJÄNG</t>
        </is>
      </c>
      <c r="F5714" t="inlineStr">
        <is>
          <t>Kyrkan</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2014-2023</t>
        </is>
      </c>
      <c r="B5715" s="1" t="n">
        <v>44939.54744212963</v>
      </c>
      <c r="C5715" s="1" t="n">
        <v>45932</v>
      </c>
      <c r="D5715" t="inlineStr">
        <is>
          <t>VÄRMLANDS LÄN</t>
        </is>
      </c>
      <c r="E5715" t="inlineStr">
        <is>
          <t>SUNNE</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18319-2023</t>
        </is>
      </c>
      <c r="B5716" s="1" t="n">
        <v>45041</v>
      </c>
      <c r="C5716" s="1" t="n">
        <v>45932</v>
      </c>
      <c r="D5716" t="inlineStr">
        <is>
          <t>VÄRMLANDS LÄN</t>
        </is>
      </c>
      <c r="E5716" t="inlineStr">
        <is>
          <t>KRISTINEHAMN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12563-2023</t>
        </is>
      </c>
      <c r="B5717" s="1" t="n">
        <v>45000.37181712963</v>
      </c>
      <c r="C5717" s="1" t="n">
        <v>45932</v>
      </c>
      <c r="D5717" t="inlineStr">
        <is>
          <t>VÄRMLANDS LÄN</t>
        </is>
      </c>
      <c r="E5717" t="inlineStr">
        <is>
          <t>MUNKFORS</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14581-2023</t>
        </is>
      </c>
      <c r="B5718" s="1" t="n">
        <v>45013.52122685185</v>
      </c>
      <c r="C5718" s="1" t="n">
        <v>45932</v>
      </c>
      <c r="D5718" t="inlineStr">
        <is>
          <t>VÄRMLANDS LÄN</t>
        </is>
      </c>
      <c r="E5718" t="inlineStr">
        <is>
          <t>TORSBY</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68136-2021</t>
        </is>
      </c>
      <c r="B5719" s="1" t="n">
        <v>44526.40984953703</v>
      </c>
      <c r="C5719" s="1" t="n">
        <v>45932</v>
      </c>
      <c r="D5719" t="inlineStr">
        <is>
          <t>VÄRMLANDS LÄN</t>
        </is>
      </c>
      <c r="E5719" t="inlineStr">
        <is>
          <t>TORSBY</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16553-2022</t>
        </is>
      </c>
      <c r="B5720" s="1" t="n">
        <v>44672.40481481481</v>
      </c>
      <c r="C5720" s="1" t="n">
        <v>45932</v>
      </c>
      <c r="D5720" t="inlineStr">
        <is>
          <t>VÄRMLANDS LÄN</t>
        </is>
      </c>
      <c r="E5720" t="inlineStr">
        <is>
          <t>SUNNE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28023-2023</t>
        </is>
      </c>
      <c r="B5721" s="1" t="n">
        <v>45098.9652199074</v>
      </c>
      <c r="C5721" s="1" t="n">
        <v>45932</v>
      </c>
      <c r="D5721" t="inlineStr">
        <is>
          <t>VÄRMLANDS LÄN</t>
        </is>
      </c>
      <c r="E5721" t="inlineStr">
        <is>
          <t>SUNNE</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40227-2024</t>
        </is>
      </c>
      <c r="B5722" s="1" t="n">
        <v>45554</v>
      </c>
      <c r="C5722" s="1" t="n">
        <v>45932</v>
      </c>
      <c r="D5722" t="inlineStr">
        <is>
          <t>VÄRMLANDS LÄN</t>
        </is>
      </c>
      <c r="E5722" t="inlineStr">
        <is>
          <t>TORSBY</t>
        </is>
      </c>
      <c r="F5722" t="inlineStr">
        <is>
          <t>Bergvik skog väst AB</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48591-2024</t>
        </is>
      </c>
      <c r="B5723" s="1" t="n">
        <v>45593.43625</v>
      </c>
      <c r="C5723" s="1" t="n">
        <v>45932</v>
      </c>
      <c r="D5723" t="inlineStr">
        <is>
          <t>VÄRMLANDS LÄN</t>
        </is>
      </c>
      <c r="E5723" t="inlineStr">
        <is>
          <t>STORFORS</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55819-2022</t>
        </is>
      </c>
      <c r="B5724" s="1" t="n">
        <v>44888</v>
      </c>
      <c r="C5724" s="1" t="n">
        <v>45932</v>
      </c>
      <c r="D5724" t="inlineStr">
        <is>
          <t>VÄRMLANDS LÄN</t>
        </is>
      </c>
      <c r="E5724" t="inlineStr">
        <is>
          <t>KARLSTAD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7584-2025</t>
        </is>
      </c>
      <c r="B5725" s="1" t="n">
        <v>45705</v>
      </c>
      <c r="C5725" s="1" t="n">
        <v>45932</v>
      </c>
      <c r="D5725" t="inlineStr">
        <is>
          <t>VÄRMLANDS LÄN</t>
        </is>
      </c>
      <c r="E5725" t="inlineStr">
        <is>
          <t>KARLSTAD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47028-2024</t>
        </is>
      </c>
      <c r="B5726" s="1" t="n">
        <v>45586</v>
      </c>
      <c r="C5726" s="1" t="n">
        <v>45932</v>
      </c>
      <c r="D5726" t="inlineStr">
        <is>
          <t>VÄRMLANDS LÄN</t>
        </is>
      </c>
      <c r="E5726" t="inlineStr">
        <is>
          <t>ÅRJÄNG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52383-2024</t>
        </is>
      </c>
      <c r="B5727" s="1" t="n">
        <v>45608</v>
      </c>
      <c r="C5727" s="1" t="n">
        <v>45932</v>
      </c>
      <c r="D5727" t="inlineStr">
        <is>
          <t>VÄRMLANDS LÄN</t>
        </is>
      </c>
      <c r="E5727" t="inlineStr">
        <is>
          <t>HAGFORS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16033-2024</t>
        </is>
      </c>
      <c r="B5728" s="1" t="n">
        <v>45405.71587962963</v>
      </c>
      <c r="C5728" s="1" t="n">
        <v>45932</v>
      </c>
      <c r="D5728" t="inlineStr">
        <is>
          <t>VÄRMLANDS LÄN</t>
        </is>
      </c>
      <c r="E5728" t="inlineStr">
        <is>
          <t>KARLSTAD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7683-2025</t>
        </is>
      </c>
      <c r="B5729" s="1" t="n">
        <v>45706</v>
      </c>
      <c r="C5729" s="1" t="n">
        <v>45932</v>
      </c>
      <c r="D5729" t="inlineStr">
        <is>
          <t>VÄRMLANDS LÄN</t>
        </is>
      </c>
      <c r="E5729" t="inlineStr">
        <is>
          <t>SUNNE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10597-2025</t>
        </is>
      </c>
      <c r="B5730" s="1" t="n">
        <v>45721</v>
      </c>
      <c r="C5730" s="1" t="n">
        <v>45932</v>
      </c>
      <c r="D5730" t="inlineStr">
        <is>
          <t>VÄRMLANDS LÄN</t>
        </is>
      </c>
      <c r="E5730" t="inlineStr">
        <is>
          <t>SÄFFLE</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31660-2022</t>
        </is>
      </c>
      <c r="B5731" s="1" t="n">
        <v>44776.29414351852</v>
      </c>
      <c r="C5731" s="1" t="n">
        <v>45932</v>
      </c>
      <c r="D5731" t="inlineStr">
        <is>
          <t>VÄRMLANDS LÄN</t>
        </is>
      </c>
      <c r="E5731" t="inlineStr">
        <is>
          <t>HAGFORS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46335-2024</t>
        </is>
      </c>
      <c r="B5732" s="1" t="n">
        <v>45582.28591435185</v>
      </c>
      <c r="C5732" s="1" t="n">
        <v>45932</v>
      </c>
      <c r="D5732" t="inlineStr">
        <is>
          <t>VÄRMLANDS LÄN</t>
        </is>
      </c>
      <c r="E5732" t="inlineStr">
        <is>
          <t>KARLSTAD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27043-2025</t>
        </is>
      </c>
      <c r="B5733" s="1" t="n">
        <v>45811.61342592593</v>
      </c>
      <c r="C5733" s="1" t="n">
        <v>45932</v>
      </c>
      <c r="D5733" t="inlineStr">
        <is>
          <t>VÄRMLANDS LÄN</t>
        </is>
      </c>
      <c r="E5733" t="inlineStr">
        <is>
          <t>TORSBY</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46336-2024</t>
        </is>
      </c>
      <c r="B5734" s="1" t="n">
        <v>45582.29100694445</v>
      </c>
      <c r="C5734" s="1" t="n">
        <v>45932</v>
      </c>
      <c r="D5734" t="inlineStr">
        <is>
          <t>VÄRMLANDS LÄN</t>
        </is>
      </c>
      <c r="E5734" t="inlineStr">
        <is>
          <t>KARLSTAD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18160-2025</t>
        </is>
      </c>
      <c r="B5735" s="1" t="n">
        <v>45761</v>
      </c>
      <c r="C5735" s="1" t="n">
        <v>45932</v>
      </c>
      <c r="D5735" t="inlineStr">
        <is>
          <t>VÄRMLANDS LÄN</t>
        </is>
      </c>
      <c r="E5735" t="inlineStr">
        <is>
          <t>HAGFORS</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54865-2022</t>
        </is>
      </c>
      <c r="B5736" s="1" t="n">
        <v>44884</v>
      </c>
      <c r="C5736" s="1" t="n">
        <v>45932</v>
      </c>
      <c r="D5736" t="inlineStr">
        <is>
          <t>VÄRMLANDS LÄN</t>
        </is>
      </c>
      <c r="E5736" t="inlineStr">
        <is>
          <t>TORSBY</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26898-2025</t>
        </is>
      </c>
      <c r="B5737" s="1" t="n">
        <v>45811</v>
      </c>
      <c r="C5737" s="1" t="n">
        <v>45932</v>
      </c>
      <c r="D5737" t="inlineStr">
        <is>
          <t>VÄRMLANDS LÄN</t>
        </is>
      </c>
      <c r="E5737" t="inlineStr">
        <is>
          <t>TORSBY</t>
        </is>
      </c>
      <c r="F5737" t="inlineStr">
        <is>
          <t>Övriga Aktiebolag</t>
        </is>
      </c>
      <c r="G5737" t="n">
        <v>37.8</v>
      </c>
      <c r="H5737" t="n">
        <v>0</v>
      </c>
      <c r="I5737" t="n">
        <v>0</v>
      </c>
      <c r="J5737" t="n">
        <v>0</v>
      </c>
      <c r="K5737" t="n">
        <v>0</v>
      </c>
      <c r="L5737" t="n">
        <v>0</v>
      </c>
      <c r="M5737" t="n">
        <v>0</v>
      </c>
      <c r="N5737" t="n">
        <v>0</v>
      </c>
      <c r="O5737" t="n">
        <v>0</v>
      </c>
      <c r="P5737" t="n">
        <v>0</v>
      </c>
      <c r="Q5737" t="n">
        <v>0</v>
      </c>
      <c r="R5737" s="2" t="inlineStr"/>
    </row>
    <row r="5738" ht="15" customHeight="1">
      <c r="A5738" t="inlineStr">
        <is>
          <t>A 26910-2025</t>
        </is>
      </c>
      <c r="B5738" s="1" t="n">
        <v>45811.35489583333</v>
      </c>
      <c r="C5738" s="1" t="n">
        <v>45932</v>
      </c>
      <c r="D5738" t="inlineStr">
        <is>
          <t>VÄRMLANDS LÄN</t>
        </is>
      </c>
      <c r="E5738" t="inlineStr">
        <is>
          <t>KIL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41501-2024</t>
        </is>
      </c>
      <c r="B5739" s="1" t="n">
        <v>45560</v>
      </c>
      <c r="C5739" s="1" t="n">
        <v>45932</v>
      </c>
      <c r="D5739" t="inlineStr">
        <is>
          <t>VÄRMLANDS LÄN</t>
        </is>
      </c>
      <c r="E5739" t="inlineStr">
        <is>
          <t>TORSBY</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18170-2024</t>
        </is>
      </c>
      <c r="B5740" s="1" t="n">
        <v>45420</v>
      </c>
      <c r="C5740" s="1" t="n">
        <v>45932</v>
      </c>
      <c r="D5740" t="inlineStr">
        <is>
          <t>VÄRMLANDS LÄN</t>
        </is>
      </c>
      <c r="E5740" t="inlineStr">
        <is>
          <t>HAGFORS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14188-2025</t>
        </is>
      </c>
      <c r="B5741" s="1" t="n">
        <v>45740.54981481482</v>
      </c>
      <c r="C5741" s="1" t="n">
        <v>45932</v>
      </c>
      <c r="D5741" t="inlineStr">
        <is>
          <t>VÄRMLANDS LÄN</t>
        </is>
      </c>
      <c r="E5741" t="inlineStr">
        <is>
          <t>SUNNE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39583-2024</t>
        </is>
      </c>
      <c r="B5742" s="1" t="n">
        <v>45552</v>
      </c>
      <c r="C5742" s="1" t="n">
        <v>45932</v>
      </c>
      <c r="D5742" t="inlineStr">
        <is>
          <t>VÄRMLANDS LÄN</t>
        </is>
      </c>
      <c r="E5742" t="inlineStr">
        <is>
          <t>EDA</t>
        </is>
      </c>
      <c r="F5742" t="inlineStr">
        <is>
          <t>Kommuner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27129-2025</t>
        </is>
      </c>
      <c r="B5743" s="1" t="n">
        <v>45811</v>
      </c>
      <c r="C5743" s="1" t="n">
        <v>45932</v>
      </c>
      <c r="D5743" t="inlineStr">
        <is>
          <t>VÄRMLANDS LÄN</t>
        </is>
      </c>
      <c r="E5743" t="inlineStr">
        <is>
          <t>SÄFFLE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59622-2022</t>
        </is>
      </c>
      <c r="B5744" s="1" t="n">
        <v>44907.89939814815</v>
      </c>
      <c r="C5744" s="1" t="n">
        <v>45932</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59659-2022</t>
        </is>
      </c>
      <c r="B5745" s="1" t="n">
        <v>44908</v>
      </c>
      <c r="C5745" s="1" t="n">
        <v>45932</v>
      </c>
      <c r="D5745" t="inlineStr">
        <is>
          <t>VÄRMLANDS LÄN</t>
        </is>
      </c>
      <c r="E5745" t="inlineStr">
        <is>
          <t>EDA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11222-2024</t>
        </is>
      </c>
      <c r="B5746" s="1" t="n">
        <v>45371</v>
      </c>
      <c r="C5746" s="1" t="n">
        <v>45932</v>
      </c>
      <c r="D5746" t="inlineStr">
        <is>
          <t>VÄRMLANDS LÄN</t>
        </is>
      </c>
      <c r="E5746" t="inlineStr">
        <is>
          <t>TORSBY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20357-2021</t>
        </is>
      </c>
      <c r="B5747" s="1" t="n">
        <v>44315</v>
      </c>
      <c r="C5747" s="1" t="n">
        <v>45932</v>
      </c>
      <c r="D5747" t="inlineStr">
        <is>
          <t>VÄRMLANDS LÄN</t>
        </is>
      </c>
      <c r="E5747" t="inlineStr">
        <is>
          <t>KIL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3922-2024</t>
        </is>
      </c>
      <c r="B5748" s="1" t="n">
        <v>45322.57271990741</v>
      </c>
      <c r="C5748" s="1" t="n">
        <v>45932</v>
      </c>
      <c r="D5748" t="inlineStr">
        <is>
          <t>VÄRMLANDS LÄN</t>
        </is>
      </c>
      <c r="E5748" t="inlineStr">
        <is>
          <t>TORSBY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754-2025</t>
        </is>
      </c>
      <c r="B5749" s="1" t="n">
        <v>45665</v>
      </c>
      <c r="C5749" s="1" t="n">
        <v>45932</v>
      </c>
      <c r="D5749" t="inlineStr">
        <is>
          <t>VÄRMLANDS LÄN</t>
        </is>
      </c>
      <c r="E5749" t="inlineStr">
        <is>
          <t>TORSBY</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18897-2024</t>
        </is>
      </c>
      <c r="B5750" s="1" t="n">
        <v>45427.34046296297</v>
      </c>
      <c r="C5750" s="1" t="n">
        <v>45932</v>
      </c>
      <c r="D5750" t="inlineStr">
        <is>
          <t>VÄRMLANDS LÄN</t>
        </is>
      </c>
      <c r="E5750" t="inlineStr">
        <is>
          <t>TORSBY</t>
        </is>
      </c>
      <c r="F5750" t="inlineStr">
        <is>
          <t>Övriga statliga verk och myndigheter</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50092-2024</t>
        </is>
      </c>
      <c r="B5751" s="1" t="n">
        <v>45600</v>
      </c>
      <c r="C5751" s="1" t="n">
        <v>45932</v>
      </c>
      <c r="D5751" t="inlineStr">
        <is>
          <t>VÄRMLANDS LÄN</t>
        </is>
      </c>
      <c r="E5751" t="inlineStr">
        <is>
          <t>FORSHAGA</t>
        </is>
      </c>
      <c r="F5751" t="inlineStr">
        <is>
          <t>Bergvik skog väst AB</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16797-2021</t>
        </is>
      </c>
      <c r="B5752" s="1" t="n">
        <v>44295</v>
      </c>
      <c r="C5752" s="1" t="n">
        <v>45932</v>
      </c>
      <c r="D5752" t="inlineStr">
        <is>
          <t>VÄRMLANDS LÄN</t>
        </is>
      </c>
      <c r="E5752" t="inlineStr">
        <is>
          <t>ARVIKA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26946-2025</t>
        </is>
      </c>
      <c r="B5753" s="1" t="n">
        <v>45811.43113425926</v>
      </c>
      <c r="C5753" s="1" t="n">
        <v>45932</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26973-2025</t>
        </is>
      </c>
      <c r="B5754" s="1" t="n">
        <v>45811.48480324074</v>
      </c>
      <c r="C5754" s="1" t="n">
        <v>45932</v>
      </c>
      <c r="D5754" t="inlineStr">
        <is>
          <t>VÄRMLANDS LÄN</t>
        </is>
      </c>
      <c r="E5754" t="inlineStr">
        <is>
          <t>HAGFORS</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3588-2025</t>
        </is>
      </c>
      <c r="B5755" s="1" t="n">
        <v>45680.883125</v>
      </c>
      <c r="C5755" s="1" t="n">
        <v>45932</v>
      </c>
      <c r="D5755" t="inlineStr">
        <is>
          <t>VÄRMLANDS LÄN</t>
        </is>
      </c>
      <c r="E5755" t="inlineStr">
        <is>
          <t>ARVIKA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37398-2023</t>
        </is>
      </c>
      <c r="B5756" s="1" t="n">
        <v>45156.58699074074</v>
      </c>
      <c r="C5756" s="1" t="n">
        <v>45932</v>
      </c>
      <c r="D5756" t="inlineStr">
        <is>
          <t>VÄRMLANDS LÄN</t>
        </is>
      </c>
      <c r="E5756" t="inlineStr">
        <is>
          <t>ARVIKA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17944-2021</t>
        </is>
      </c>
      <c r="B5757" s="1" t="n">
        <v>44301</v>
      </c>
      <c r="C5757" s="1" t="n">
        <v>45932</v>
      </c>
      <c r="D5757" t="inlineStr">
        <is>
          <t>VÄRMLANDS LÄN</t>
        </is>
      </c>
      <c r="E5757" t="inlineStr">
        <is>
          <t>TORSBY</t>
        </is>
      </c>
      <c r="F5757" t="inlineStr">
        <is>
          <t>Kommuner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50112-2024</t>
        </is>
      </c>
      <c r="B5758" s="1" t="n">
        <v>45600</v>
      </c>
      <c r="C5758" s="1" t="n">
        <v>45932</v>
      </c>
      <c r="D5758" t="inlineStr">
        <is>
          <t>VÄRMLANDS LÄN</t>
        </is>
      </c>
      <c r="E5758" t="inlineStr">
        <is>
          <t>ÅRJÄNG</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50120-2024</t>
        </is>
      </c>
      <c r="B5759" s="1" t="n">
        <v>45600</v>
      </c>
      <c r="C5759" s="1" t="n">
        <v>45932</v>
      </c>
      <c r="D5759" t="inlineStr">
        <is>
          <t>VÄRMLANDS LÄN</t>
        </is>
      </c>
      <c r="E5759" t="inlineStr">
        <is>
          <t>EDA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58061-2024</t>
        </is>
      </c>
      <c r="B5760" s="1" t="n">
        <v>45631.89354166666</v>
      </c>
      <c r="C5760" s="1" t="n">
        <v>45932</v>
      </c>
      <c r="D5760" t="inlineStr">
        <is>
          <t>VÄRMLANDS LÄN</t>
        </is>
      </c>
      <c r="E5760" t="inlineStr">
        <is>
          <t>ARVIKA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58067-2024</t>
        </is>
      </c>
      <c r="B5761" s="1" t="n">
        <v>45631</v>
      </c>
      <c r="C5761" s="1" t="n">
        <v>45932</v>
      </c>
      <c r="D5761" t="inlineStr">
        <is>
          <t>VÄRMLANDS LÄN</t>
        </is>
      </c>
      <c r="E5761" t="inlineStr">
        <is>
          <t>SÄFFLE</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58132-2024</t>
        </is>
      </c>
      <c r="B5762" s="1" t="n">
        <v>45632.40945601852</v>
      </c>
      <c r="C5762" s="1" t="n">
        <v>45932</v>
      </c>
      <c r="D5762" t="inlineStr">
        <is>
          <t>VÄRMLANDS LÄN</t>
        </is>
      </c>
      <c r="E5762" t="inlineStr">
        <is>
          <t>HAGFORS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61157-2023</t>
        </is>
      </c>
      <c r="B5763" s="1" t="n">
        <v>45261.98796296296</v>
      </c>
      <c r="C5763" s="1" t="n">
        <v>45932</v>
      </c>
      <c r="D5763" t="inlineStr">
        <is>
          <t>VÄRMLANDS LÄN</t>
        </is>
      </c>
      <c r="E5763" t="inlineStr">
        <is>
          <t>TORSBY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23587-2021</t>
        </is>
      </c>
      <c r="B5764" s="1" t="n">
        <v>44334</v>
      </c>
      <c r="C5764" s="1" t="n">
        <v>45932</v>
      </c>
      <c r="D5764" t="inlineStr">
        <is>
          <t>VÄRMLANDS LÄN</t>
        </is>
      </c>
      <c r="E5764" t="inlineStr">
        <is>
          <t>SÄFFLE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2905-2023</t>
        </is>
      </c>
      <c r="B5765" s="1" t="n">
        <v>44943</v>
      </c>
      <c r="C5765" s="1" t="n">
        <v>45932</v>
      </c>
      <c r="D5765" t="inlineStr">
        <is>
          <t>VÄRMLANDS LÄN</t>
        </is>
      </c>
      <c r="E5765" t="inlineStr">
        <is>
          <t>EDA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12659-2025</t>
        </is>
      </c>
      <c r="B5766" s="1" t="n">
        <v>45733.42350694445</v>
      </c>
      <c r="C5766" s="1" t="n">
        <v>45932</v>
      </c>
      <c r="D5766" t="inlineStr">
        <is>
          <t>VÄRMLANDS LÄN</t>
        </is>
      </c>
      <c r="E5766" t="inlineStr">
        <is>
          <t>ÅRJÄNG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2662-2024</t>
        </is>
      </c>
      <c r="B5767" s="1" t="n">
        <v>45314.38747685185</v>
      </c>
      <c r="C5767" s="1" t="n">
        <v>45932</v>
      </c>
      <c r="D5767" t="inlineStr">
        <is>
          <t>VÄRMLANDS LÄN</t>
        </is>
      </c>
      <c r="E5767" t="inlineStr">
        <is>
          <t>TORSBY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7876-2022</t>
        </is>
      </c>
      <c r="B5768" s="1" t="n">
        <v>44608</v>
      </c>
      <c r="C5768" s="1" t="n">
        <v>45932</v>
      </c>
      <c r="D5768" t="inlineStr">
        <is>
          <t>VÄRMLANDS LÄN</t>
        </is>
      </c>
      <c r="E5768" t="inlineStr">
        <is>
          <t>SÄFFLE</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60524-2024</t>
        </is>
      </c>
      <c r="B5769" s="1" t="n">
        <v>45643.6925</v>
      </c>
      <c r="C5769" s="1" t="n">
        <v>45932</v>
      </c>
      <c r="D5769" t="inlineStr">
        <is>
          <t>VÄRMLANDS LÄN</t>
        </is>
      </c>
      <c r="E5769" t="inlineStr">
        <is>
          <t>FILIPSTAD</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8033-2022</t>
        </is>
      </c>
      <c r="B5770" s="1" t="n">
        <v>44609.43644675926</v>
      </c>
      <c r="C5770" s="1" t="n">
        <v>45932</v>
      </c>
      <c r="D5770" t="inlineStr">
        <is>
          <t>VÄRMLANDS LÄN</t>
        </is>
      </c>
      <c r="E5770" t="inlineStr">
        <is>
          <t>TORSBY</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47037-2024</t>
        </is>
      </c>
      <c r="B5771" s="1" t="n">
        <v>45586.43513888889</v>
      </c>
      <c r="C5771" s="1" t="n">
        <v>45932</v>
      </c>
      <c r="D5771" t="inlineStr">
        <is>
          <t>VÄRMLANDS LÄN</t>
        </is>
      </c>
      <c r="E5771" t="inlineStr">
        <is>
          <t>SÄFFLE</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47041-2024</t>
        </is>
      </c>
      <c r="B5772" s="1" t="n">
        <v>45586.44325231481</v>
      </c>
      <c r="C5772" s="1" t="n">
        <v>45932</v>
      </c>
      <c r="D5772" t="inlineStr">
        <is>
          <t>VÄRMLANDS LÄN</t>
        </is>
      </c>
      <c r="E5772" t="inlineStr">
        <is>
          <t>ARVIKA</t>
        </is>
      </c>
      <c r="F5772" t="inlineStr">
        <is>
          <t>Bergvik skog väst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20769-2023</t>
        </is>
      </c>
      <c r="B5773" s="1" t="n">
        <v>45058.57238425926</v>
      </c>
      <c r="C5773" s="1" t="n">
        <v>45932</v>
      </c>
      <c r="D5773" t="inlineStr">
        <is>
          <t>VÄRMLANDS LÄN</t>
        </is>
      </c>
      <c r="E5773" t="inlineStr">
        <is>
          <t>HAGFORS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8058-2022</t>
        </is>
      </c>
      <c r="B5774" s="1" t="n">
        <v>44609.47098379629</v>
      </c>
      <c r="C5774" s="1" t="n">
        <v>45932</v>
      </c>
      <c r="D5774" t="inlineStr">
        <is>
          <t>VÄRMLANDS LÄN</t>
        </is>
      </c>
      <c r="E5774" t="inlineStr">
        <is>
          <t>SÄFFLE</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48995-2021</t>
        </is>
      </c>
      <c r="B5775" s="1" t="n">
        <v>44453.44313657407</v>
      </c>
      <c r="C5775" s="1" t="n">
        <v>45932</v>
      </c>
      <c r="D5775" t="inlineStr">
        <is>
          <t>VÄRMLANDS LÄN</t>
        </is>
      </c>
      <c r="E5775" t="inlineStr">
        <is>
          <t>ARVIKA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4934-2021</t>
        </is>
      </c>
      <c r="B5776" s="1" t="n">
        <v>44227.85186342592</v>
      </c>
      <c r="C5776" s="1" t="n">
        <v>45932</v>
      </c>
      <c r="D5776" t="inlineStr">
        <is>
          <t>VÄRMLANDS LÄN</t>
        </is>
      </c>
      <c r="E5776" t="inlineStr">
        <is>
          <t>EDA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42023-2023</t>
        </is>
      </c>
      <c r="B5777" s="1" t="n">
        <v>45177.48546296296</v>
      </c>
      <c r="C5777" s="1" t="n">
        <v>45932</v>
      </c>
      <c r="D5777" t="inlineStr">
        <is>
          <t>VÄRMLANDS LÄN</t>
        </is>
      </c>
      <c r="E5777" t="inlineStr">
        <is>
          <t>ARVIKA</t>
        </is>
      </c>
      <c r="G5777" t="n">
        <v>1.2</v>
      </c>
      <c r="H5777" t="n">
        <v>0</v>
      </c>
      <c r="I5777" t="n">
        <v>0</v>
      </c>
      <c r="J5777" t="n">
        <v>0</v>
      </c>
      <c r="K5777" t="n">
        <v>0</v>
      </c>
      <c r="L5777" t="n">
        <v>0</v>
      </c>
      <c r="M5777" t="n">
        <v>0</v>
      </c>
      <c r="N5777" t="n">
        <v>0</v>
      </c>
      <c r="O5777" t="n">
        <v>0</v>
      </c>
      <c r="P5777" t="n">
        <v>0</v>
      </c>
      <c r="Q5777" t="n">
        <v>0</v>
      </c>
      <c r="R5777" s="2" t="inlineStr"/>
      <c r="U5777">
        <f>HYPERLINK("https://klasma.github.io/Logging_1784/knärot/A 42023-2023 karta knärot.png", "A 42023-2023")</f>
        <v/>
      </c>
      <c r="V5777">
        <f>HYPERLINK("https://klasma.github.io/Logging_1784/klagomål/A 42023-2023 FSC-klagomål.docx", "A 42023-2023")</f>
        <v/>
      </c>
      <c r="W5777">
        <f>HYPERLINK("https://klasma.github.io/Logging_1784/klagomålsmail/A 42023-2023 FSC-klagomål mail.docx", "A 42023-2023")</f>
        <v/>
      </c>
      <c r="X5777">
        <f>HYPERLINK("https://klasma.github.io/Logging_1784/tillsyn/A 42023-2023 tillsynsbegäran.docx", "A 42023-2023")</f>
        <v/>
      </c>
      <c r="Y5777">
        <f>HYPERLINK("https://klasma.github.io/Logging_1784/tillsynsmail/A 42023-2023 tillsynsbegäran mail.docx", "A 42023-2023")</f>
        <v/>
      </c>
    </row>
    <row r="5778" ht="15" customHeight="1">
      <c r="A5778" t="inlineStr">
        <is>
          <t>A 26501-2023</t>
        </is>
      </c>
      <c r="B5778" s="1" t="n">
        <v>45092.52130787037</v>
      </c>
      <c r="C5778" s="1" t="n">
        <v>45932</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26544-2023</t>
        </is>
      </c>
      <c r="B5779" s="1" t="n">
        <v>45092.59253472222</v>
      </c>
      <c r="C5779" s="1" t="n">
        <v>45932</v>
      </c>
      <c r="D5779" t="inlineStr">
        <is>
          <t>VÄRMLANDS LÄN</t>
        </is>
      </c>
      <c r="E5779" t="inlineStr">
        <is>
          <t>ARVIKA</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27195-2023</t>
        </is>
      </c>
      <c r="B5780" s="1" t="n">
        <v>45096</v>
      </c>
      <c r="C5780" s="1" t="n">
        <v>45932</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35157-2021</t>
        </is>
      </c>
      <c r="B5781" s="1" t="n">
        <v>44383</v>
      </c>
      <c r="C5781" s="1" t="n">
        <v>45932</v>
      </c>
      <c r="D5781" t="inlineStr">
        <is>
          <t>VÄRMLANDS LÄN</t>
        </is>
      </c>
      <c r="E5781" t="inlineStr">
        <is>
          <t>ÅRJÄNG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13728-2023</t>
        </is>
      </c>
      <c r="B5782" s="1" t="n">
        <v>45007.3412962963</v>
      </c>
      <c r="C5782" s="1" t="n">
        <v>45932</v>
      </c>
      <c r="D5782" t="inlineStr">
        <is>
          <t>VÄRMLANDS LÄN</t>
        </is>
      </c>
      <c r="E5782" t="inlineStr">
        <is>
          <t>SUNNE</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35901-2021</t>
        </is>
      </c>
      <c r="B5783" s="1" t="n">
        <v>44387.60369212963</v>
      </c>
      <c r="C5783" s="1" t="n">
        <v>45932</v>
      </c>
      <c r="D5783" t="inlineStr">
        <is>
          <t>VÄRMLANDS LÄN</t>
        </is>
      </c>
      <c r="E5783" t="inlineStr">
        <is>
          <t>SUNNE</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60796-2024</t>
        </is>
      </c>
      <c r="B5784" s="1" t="n">
        <v>45642</v>
      </c>
      <c r="C5784" s="1" t="n">
        <v>45932</v>
      </c>
      <c r="D5784" t="inlineStr">
        <is>
          <t>VÄRMLANDS LÄN</t>
        </is>
      </c>
      <c r="E5784" t="inlineStr">
        <is>
          <t>TORSBY</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43650-2024</t>
        </is>
      </c>
      <c r="B5785" s="1" t="n">
        <v>45569.53091435185</v>
      </c>
      <c r="C5785" s="1" t="n">
        <v>45932</v>
      </c>
      <c r="D5785" t="inlineStr">
        <is>
          <t>VÄRMLANDS LÄN</t>
        </is>
      </c>
      <c r="E5785" t="inlineStr">
        <is>
          <t>ÅRJÄNG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56029-2023</t>
        </is>
      </c>
      <c r="B5786" s="1" t="n">
        <v>45233</v>
      </c>
      <c r="C5786" s="1" t="n">
        <v>45932</v>
      </c>
      <c r="D5786" t="inlineStr">
        <is>
          <t>VÄRMLANDS LÄN</t>
        </is>
      </c>
      <c r="E5786" t="inlineStr">
        <is>
          <t>SUNNE</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6559-2025</t>
        </is>
      </c>
      <c r="B5787" s="1" t="n">
        <v>45699.73678240741</v>
      </c>
      <c r="C5787" s="1" t="n">
        <v>45932</v>
      </c>
      <c r="D5787" t="inlineStr">
        <is>
          <t>VÄRMLANDS LÄN</t>
        </is>
      </c>
      <c r="E5787" t="inlineStr">
        <is>
          <t>ÅRJÄNG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46220-2021</t>
        </is>
      </c>
      <c r="B5788" s="1" t="n">
        <v>44442.50498842593</v>
      </c>
      <c r="C5788" s="1" t="n">
        <v>45932</v>
      </c>
      <c r="D5788" t="inlineStr">
        <is>
          <t>VÄRMLANDS LÄN</t>
        </is>
      </c>
      <c r="E5788" t="inlineStr">
        <is>
          <t>KIL</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21974-2023</t>
        </is>
      </c>
      <c r="B5789" s="1" t="n">
        <v>45068</v>
      </c>
      <c r="C5789" s="1" t="n">
        <v>45932</v>
      </c>
      <c r="D5789" t="inlineStr">
        <is>
          <t>VÄRMLANDS LÄN</t>
        </is>
      </c>
      <c r="E5789" t="inlineStr">
        <is>
          <t>SÄFFLE</t>
        </is>
      </c>
      <c r="G5789" t="n">
        <v>11.8</v>
      </c>
      <c r="H5789" t="n">
        <v>0</v>
      </c>
      <c r="I5789" t="n">
        <v>0</v>
      </c>
      <c r="J5789" t="n">
        <v>0</v>
      </c>
      <c r="K5789" t="n">
        <v>0</v>
      </c>
      <c r="L5789" t="n">
        <v>0</v>
      </c>
      <c r="M5789" t="n">
        <v>0</v>
      </c>
      <c r="N5789" t="n">
        <v>0</v>
      </c>
      <c r="O5789" t="n">
        <v>0</v>
      </c>
      <c r="P5789" t="n">
        <v>0</v>
      </c>
      <c r="Q5789" t="n">
        <v>0</v>
      </c>
      <c r="R5789" s="2" t="inlineStr"/>
    </row>
    <row r="5790" ht="15" customHeight="1">
      <c r="A5790" t="inlineStr">
        <is>
          <t>A 18344-2021</t>
        </is>
      </c>
      <c r="B5790" s="1" t="n">
        <v>44305</v>
      </c>
      <c r="C5790" s="1" t="n">
        <v>45932</v>
      </c>
      <c r="D5790" t="inlineStr">
        <is>
          <t>VÄRMLANDS LÄN</t>
        </is>
      </c>
      <c r="E5790" t="inlineStr">
        <is>
          <t>TORSBY</t>
        </is>
      </c>
      <c r="F5790" t="inlineStr">
        <is>
          <t>Kommuner</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3162-2025</t>
        </is>
      </c>
      <c r="B5791" s="1" t="n">
        <v>45679</v>
      </c>
      <c r="C5791" s="1" t="n">
        <v>45932</v>
      </c>
      <c r="D5791" t="inlineStr">
        <is>
          <t>VÄRMLANDS LÄN</t>
        </is>
      </c>
      <c r="E5791" t="inlineStr">
        <is>
          <t>HAGFORS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57990-2023</t>
        </is>
      </c>
      <c r="B5792" s="1" t="n">
        <v>45247.60293981482</v>
      </c>
      <c r="C5792" s="1" t="n">
        <v>45932</v>
      </c>
      <c r="D5792" t="inlineStr">
        <is>
          <t>VÄRMLANDS LÄN</t>
        </is>
      </c>
      <c r="E5792" t="inlineStr">
        <is>
          <t>TORSBY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8364-2025</t>
        </is>
      </c>
      <c r="B5793" s="1" t="n">
        <v>45708</v>
      </c>
      <c r="C5793" s="1" t="n">
        <v>45932</v>
      </c>
      <c r="D5793" t="inlineStr">
        <is>
          <t>VÄRMLANDS LÄN</t>
        </is>
      </c>
      <c r="E5793" t="inlineStr">
        <is>
          <t>GRUMS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22274-2024</t>
        </is>
      </c>
      <c r="B5794" s="1" t="n">
        <v>45446</v>
      </c>
      <c r="C5794" s="1" t="n">
        <v>45932</v>
      </c>
      <c r="D5794" t="inlineStr">
        <is>
          <t>VÄRMLANDS LÄN</t>
        </is>
      </c>
      <c r="E5794" t="inlineStr">
        <is>
          <t>ÅRJÄNG</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1366-2025</t>
        </is>
      </c>
      <c r="B5795" s="1" t="n">
        <v>45667</v>
      </c>
      <c r="C5795" s="1" t="n">
        <v>45932</v>
      </c>
      <c r="D5795" t="inlineStr">
        <is>
          <t>VÄRMLANDS LÄN</t>
        </is>
      </c>
      <c r="E5795" t="inlineStr">
        <is>
          <t>SÄFFLE</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1381-2025</t>
        </is>
      </c>
      <c r="B5796" s="1" t="n">
        <v>45667</v>
      </c>
      <c r="C5796" s="1" t="n">
        <v>45932</v>
      </c>
      <c r="D5796" t="inlineStr">
        <is>
          <t>VÄRMLANDS LÄN</t>
        </is>
      </c>
      <c r="E5796" t="inlineStr">
        <is>
          <t>SÄFFLE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1382-2025</t>
        </is>
      </c>
      <c r="B5797" s="1" t="n">
        <v>45667</v>
      </c>
      <c r="C5797" s="1" t="n">
        <v>45932</v>
      </c>
      <c r="D5797" t="inlineStr">
        <is>
          <t>VÄRMLANDS LÄN</t>
        </is>
      </c>
      <c r="E5797" t="inlineStr">
        <is>
          <t>SÄFFLE</t>
        </is>
      </c>
      <c r="F5797" t="inlineStr">
        <is>
          <t>Kommuner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36231-2024</t>
        </is>
      </c>
      <c r="B5798" s="1" t="n">
        <v>45534</v>
      </c>
      <c r="C5798" s="1" t="n">
        <v>45932</v>
      </c>
      <c r="D5798" t="inlineStr">
        <is>
          <t>VÄRMLANDS LÄN</t>
        </is>
      </c>
      <c r="E5798" t="inlineStr">
        <is>
          <t>SÄFFLE</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38267-2024</t>
        </is>
      </c>
      <c r="B5799" s="1" t="n">
        <v>45545</v>
      </c>
      <c r="C5799" s="1" t="n">
        <v>45932</v>
      </c>
      <c r="D5799" t="inlineStr">
        <is>
          <t>VÄRMLANDS LÄN</t>
        </is>
      </c>
      <c r="E5799" t="inlineStr">
        <is>
          <t>HAGFORS</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3950-2022</t>
        </is>
      </c>
      <c r="B5800" s="1" t="n">
        <v>44587</v>
      </c>
      <c r="C5800" s="1" t="n">
        <v>45932</v>
      </c>
      <c r="D5800" t="inlineStr">
        <is>
          <t>VÄRMLANDS LÄN</t>
        </is>
      </c>
      <c r="E5800" t="inlineStr">
        <is>
          <t>SÄFFLE</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35726-2022</t>
        </is>
      </c>
      <c r="B5801" s="1" t="n">
        <v>44799</v>
      </c>
      <c r="C5801" s="1" t="n">
        <v>45932</v>
      </c>
      <c r="D5801" t="inlineStr">
        <is>
          <t>VÄRMLANDS LÄN</t>
        </is>
      </c>
      <c r="E5801" t="inlineStr">
        <is>
          <t>ÅRJÄNG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37609-2024</t>
        </is>
      </c>
      <c r="B5802" s="1" t="n">
        <v>45541.49884259259</v>
      </c>
      <c r="C5802" s="1" t="n">
        <v>45932</v>
      </c>
      <c r="D5802" t="inlineStr">
        <is>
          <t>VÄRMLANDS LÄN</t>
        </is>
      </c>
      <c r="E5802" t="inlineStr">
        <is>
          <t>EDA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37620-2024</t>
        </is>
      </c>
      <c r="B5803" s="1" t="n">
        <v>45541</v>
      </c>
      <c r="C5803" s="1" t="n">
        <v>45932</v>
      </c>
      <c r="D5803" t="inlineStr">
        <is>
          <t>VÄRMLANDS LÄN</t>
        </is>
      </c>
      <c r="E5803" t="inlineStr">
        <is>
          <t>KIL</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37622-2024</t>
        </is>
      </c>
      <c r="B5804" s="1" t="n">
        <v>45541</v>
      </c>
      <c r="C5804" s="1" t="n">
        <v>45932</v>
      </c>
      <c r="D5804" t="inlineStr">
        <is>
          <t>VÄRMLANDS LÄN</t>
        </is>
      </c>
      <c r="E5804" t="inlineStr">
        <is>
          <t>KIL</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37630-2024</t>
        </is>
      </c>
      <c r="B5805" s="1" t="n">
        <v>45541.53141203704</v>
      </c>
      <c r="C5805" s="1" t="n">
        <v>45932</v>
      </c>
      <c r="D5805" t="inlineStr">
        <is>
          <t>VÄRMLANDS LÄN</t>
        </is>
      </c>
      <c r="E5805" t="inlineStr">
        <is>
          <t>ARVIKA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24244-2023</t>
        </is>
      </c>
      <c r="B5806" s="1" t="n">
        <v>45079.61969907407</v>
      </c>
      <c r="C5806" s="1" t="n">
        <v>45932</v>
      </c>
      <c r="D5806" t="inlineStr">
        <is>
          <t>VÄRMLANDS LÄN</t>
        </is>
      </c>
      <c r="E5806" t="inlineStr">
        <is>
          <t>TORSBY</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15248-2025</t>
        </is>
      </c>
      <c r="B5807" s="1" t="n">
        <v>45744</v>
      </c>
      <c r="C5807" s="1" t="n">
        <v>45932</v>
      </c>
      <c r="D5807" t="inlineStr">
        <is>
          <t>VÄRMLANDS LÄN</t>
        </is>
      </c>
      <c r="E5807" t="inlineStr">
        <is>
          <t>ÅRJÄNG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12993-2025</t>
        </is>
      </c>
      <c r="B5808" s="1" t="n">
        <v>45734.48583333333</v>
      </c>
      <c r="C5808" s="1" t="n">
        <v>45932</v>
      </c>
      <c r="D5808" t="inlineStr">
        <is>
          <t>VÄRMLANDS LÄN</t>
        </is>
      </c>
      <c r="E5808" t="inlineStr">
        <is>
          <t>ÅRJÄNG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15279-2025</t>
        </is>
      </c>
      <c r="B5809" s="1" t="n">
        <v>45744</v>
      </c>
      <c r="C5809" s="1" t="n">
        <v>45932</v>
      </c>
      <c r="D5809" t="inlineStr">
        <is>
          <t>VÄRMLANDS LÄN</t>
        </is>
      </c>
      <c r="E5809" t="inlineStr">
        <is>
          <t>SÄFFLE</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15306-2025</t>
        </is>
      </c>
      <c r="B5810" s="1" t="n">
        <v>45746.69599537037</v>
      </c>
      <c r="C5810" s="1" t="n">
        <v>45932</v>
      </c>
      <c r="D5810" t="inlineStr">
        <is>
          <t>VÄRMLANDS LÄN</t>
        </is>
      </c>
      <c r="E5810" t="inlineStr">
        <is>
          <t>HAGFORS</t>
        </is>
      </c>
      <c r="G5810" t="n">
        <v>9.4</v>
      </c>
      <c r="H5810" t="n">
        <v>0</v>
      </c>
      <c r="I5810" t="n">
        <v>0</v>
      </c>
      <c r="J5810" t="n">
        <v>0</v>
      </c>
      <c r="K5810" t="n">
        <v>0</v>
      </c>
      <c r="L5810" t="n">
        <v>0</v>
      </c>
      <c r="M5810" t="n">
        <v>0</v>
      </c>
      <c r="N5810" t="n">
        <v>0</v>
      </c>
      <c r="O5810" t="n">
        <v>0</v>
      </c>
      <c r="P5810" t="n">
        <v>0</v>
      </c>
      <c r="Q5810" t="n">
        <v>0</v>
      </c>
      <c r="R5810" s="2" t="inlineStr"/>
    </row>
    <row r="5811" ht="15" customHeight="1">
      <c r="A5811" t="inlineStr">
        <is>
          <t>A 1045-2025</t>
        </is>
      </c>
      <c r="B5811" s="1" t="n">
        <v>45665</v>
      </c>
      <c r="C5811" s="1" t="n">
        <v>45932</v>
      </c>
      <c r="D5811" t="inlineStr">
        <is>
          <t>VÄRMLANDS LÄN</t>
        </is>
      </c>
      <c r="E5811" t="inlineStr">
        <is>
          <t>SÄFFLE</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51300-2020</t>
        </is>
      </c>
      <c r="B5812" s="1" t="n">
        <v>44112</v>
      </c>
      <c r="C5812" s="1" t="n">
        <v>45932</v>
      </c>
      <c r="D5812" t="inlineStr">
        <is>
          <t>VÄRMLANDS LÄN</t>
        </is>
      </c>
      <c r="E5812" t="inlineStr">
        <is>
          <t>FILIPSTAD</t>
        </is>
      </c>
      <c r="F5812" t="inlineStr">
        <is>
          <t>Bergvik skog väst AB</t>
        </is>
      </c>
      <c r="G5812" t="n">
        <v>10.8</v>
      </c>
      <c r="H5812" t="n">
        <v>0</v>
      </c>
      <c r="I5812" t="n">
        <v>0</v>
      </c>
      <c r="J5812" t="n">
        <v>0</v>
      </c>
      <c r="K5812" t="n">
        <v>0</v>
      </c>
      <c r="L5812" t="n">
        <v>0</v>
      </c>
      <c r="M5812" t="n">
        <v>0</v>
      </c>
      <c r="N5812" t="n">
        <v>0</v>
      </c>
      <c r="O5812" t="n">
        <v>0</v>
      </c>
      <c r="P5812" t="n">
        <v>0</v>
      </c>
      <c r="Q5812" t="n">
        <v>0</v>
      </c>
      <c r="R5812" s="2" t="inlineStr"/>
    </row>
    <row r="5813" ht="15" customHeight="1">
      <c r="A5813" t="inlineStr">
        <is>
          <t>A 13029-2025</t>
        </is>
      </c>
      <c r="B5813" s="1" t="n">
        <v>45734.5703125</v>
      </c>
      <c r="C5813" s="1" t="n">
        <v>45932</v>
      </c>
      <c r="D5813" t="inlineStr">
        <is>
          <t>VÄRMLANDS LÄN</t>
        </is>
      </c>
      <c r="E5813" t="inlineStr">
        <is>
          <t>ÅRJÄNG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60696-2023</t>
        </is>
      </c>
      <c r="B5814" s="1" t="n">
        <v>45260</v>
      </c>
      <c r="C5814" s="1" t="n">
        <v>45932</v>
      </c>
      <c r="D5814" t="inlineStr">
        <is>
          <t>VÄRMLANDS LÄN</t>
        </is>
      </c>
      <c r="E5814" t="inlineStr">
        <is>
          <t>SUNNE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51892-2020</t>
        </is>
      </c>
      <c r="B5815" s="1" t="n">
        <v>44116</v>
      </c>
      <c r="C5815" s="1" t="n">
        <v>45932</v>
      </c>
      <c r="D5815" t="inlineStr">
        <is>
          <t>VÄRMLANDS LÄN</t>
        </is>
      </c>
      <c r="E5815" t="inlineStr">
        <is>
          <t>SUNNE</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60738-2023</t>
        </is>
      </c>
      <c r="B5816" s="1" t="n">
        <v>45260</v>
      </c>
      <c r="C5816" s="1" t="n">
        <v>45932</v>
      </c>
      <c r="D5816" t="inlineStr">
        <is>
          <t>VÄRMLANDS LÄN</t>
        </is>
      </c>
      <c r="E5816" t="inlineStr">
        <is>
          <t>KRISTINEHAMN</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26759-2025</t>
        </is>
      </c>
      <c r="B5817" s="1" t="n">
        <v>45810.56247685185</v>
      </c>
      <c r="C5817" s="1" t="n">
        <v>45932</v>
      </c>
      <c r="D5817" t="inlineStr">
        <is>
          <t>VÄRMLANDS LÄN</t>
        </is>
      </c>
      <c r="E5817" t="inlineStr">
        <is>
          <t>SUNNE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26892-2025</t>
        </is>
      </c>
      <c r="B5818" s="1" t="n">
        <v>45811.3334837963</v>
      </c>
      <c r="C5818" s="1" t="n">
        <v>45932</v>
      </c>
      <c r="D5818" t="inlineStr">
        <is>
          <t>VÄRMLANDS LÄN</t>
        </is>
      </c>
      <c r="E5818" t="inlineStr">
        <is>
          <t>TORSBY</t>
        </is>
      </c>
      <c r="F5818" t="inlineStr">
        <is>
          <t>Bergvik skog väst AB</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26947-2025</t>
        </is>
      </c>
      <c r="B5819" s="1" t="n">
        <v>45811.43344907407</v>
      </c>
      <c r="C5819" s="1" t="n">
        <v>45932</v>
      </c>
      <c r="D5819" t="inlineStr">
        <is>
          <t>VÄRMLANDS LÄN</t>
        </is>
      </c>
      <c r="E5819" t="inlineStr">
        <is>
          <t>EDA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61102-2023</t>
        </is>
      </c>
      <c r="B5820" s="1" t="n">
        <v>45260</v>
      </c>
      <c r="C5820" s="1" t="n">
        <v>45932</v>
      </c>
      <c r="D5820" t="inlineStr">
        <is>
          <t>VÄRMLANDS LÄN</t>
        </is>
      </c>
      <c r="E5820" t="inlineStr">
        <is>
          <t>KARLSTAD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29372-2023</t>
        </is>
      </c>
      <c r="B5821" s="1" t="n">
        <v>45106</v>
      </c>
      <c r="C5821" s="1" t="n">
        <v>45932</v>
      </c>
      <c r="D5821" t="inlineStr">
        <is>
          <t>VÄRMLANDS LÄN</t>
        </is>
      </c>
      <c r="E5821" t="inlineStr">
        <is>
          <t>HAGFORS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29426-2023</t>
        </is>
      </c>
      <c r="B5822" s="1" t="n">
        <v>45106</v>
      </c>
      <c r="C5822" s="1" t="n">
        <v>45932</v>
      </c>
      <c r="D5822" t="inlineStr">
        <is>
          <t>VÄRMLANDS LÄN</t>
        </is>
      </c>
      <c r="E5822" t="inlineStr">
        <is>
          <t>FILIPSTAD</t>
        </is>
      </c>
      <c r="F5822" t="inlineStr">
        <is>
          <t>Kyrkan</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26976-2025</t>
        </is>
      </c>
      <c r="B5823" s="1" t="n">
        <v>45811.48766203703</v>
      </c>
      <c r="C5823" s="1" t="n">
        <v>45932</v>
      </c>
      <c r="D5823" t="inlineStr">
        <is>
          <t>VÄRMLANDS LÄN</t>
        </is>
      </c>
      <c r="E5823" t="inlineStr">
        <is>
          <t>HAGFORS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27076-2025</t>
        </is>
      </c>
      <c r="B5824" s="1" t="n">
        <v>45811.64729166667</v>
      </c>
      <c r="C5824" s="1" t="n">
        <v>45932</v>
      </c>
      <c r="D5824" t="inlineStr">
        <is>
          <t>VÄRMLANDS LÄN</t>
        </is>
      </c>
      <c r="E5824" t="inlineStr">
        <is>
          <t>KRISTINEHAMN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27079-2025</t>
        </is>
      </c>
      <c r="B5825" s="1" t="n">
        <v>45811.65296296297</v>
      </c>
      <c r="C5825" s="1" t="n">
        <v>45932</v>
      </c>
      <c r="D5825" t="inlineStr">
        <is>
          <t>VÄRMLANDS LÄN</t>
        </is>
      </c>
      <c r="E5825" t="inlineStr">
        <is>
          <t>KRISTINEHAMN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27094-2025</t>
        </is>
      </c>
      <c r="B5826" s="1" t="n">
        <v>45811.6766087963</v>
      </c>
      <c r="C5826" s="1" t="n">
        <v>45932</v>
      </c>
      <c r="D5826" t="inlineStr">
        <is>
          <t>VÄRMLANDS LÄN</t>
        </is>
      </c>
      <c r="E5826" t="inlineStr">
        <is>
          <t>TORSBY</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3288-2025</t>
        </is>
      </c>
      <c r="B5827" s="1" t="n">
        <v>45679</v>
      </c>
      <c r="C5827" s="1" t="n">
        <v>45932</v>
      </c>
      <c r="D5827" t="inlineStr">
        <is>
          <t>VÄRMLANDS LÄN</t>
        </is>
      </c>
      <c r="E5827" t="inlineStr">
        <is>
          <t>SÄFFLE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3316-2025</t>
        </is>
      </c>
      <c r="B5828" s="1" t="n">
        <v>45679.68590277778</v>
      </c>
      <c r="C5828" s="1" t="n">
        <v>45932</v>
      </c>
      <c r="D5828" t="inlineStr">
        <is>
          <t>VÄRMLANDS LÄN</t>
        </is>
      </c>
      <c r="E5828" t="inlineStr">
        <is>
          <t>KRISTINEHAMN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27223-2022</t>
        </is>
      </c>
      <c r="B5829" s="1" t="n">
        <v>44741</v>
      </c>
      <c r="C5829" s="1" t="n">
        <v>45932</v>
      </c>
      <c r="D5829" t="inlineStr">
        <is>
          <t>VÄRMLANDS LÄN</t>
        </is>
      </c>
      <c r="E5829" t="inlineStr">
        <is>
          <t>TORSBY</t>
        </is>
      </c>
      <c r="F5829" t="inlineStr">
        <is>
          <t>Bergvik skog väst AB</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389-2024</t>
        </is>
      </c>
      <c r="B5830" s="1" t="n">
        <v>45296</v>
      </c>
      <c r="C5830" s="1" t="n">
        <v>45932</v>
      </c>
      <c r="D5830" t="inlineStr">
        <is>
          <t>VÄRMLANDS LÄN</t>
        </is>
      </c>
      <c r="E5830" t="inlineStr">
        <is>
          <t>EDA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423-2024</t>
        </is>
      </c>
      <c r="B5831" s="1" t="n">
        <v>45296.53034722222</v>
      </c>
      <c r="C5831" s="1" t="n">
        <v>45932</v>
      </c>
      <c r="D5831" t="inlineStr">
        <is>
          <t>VÄRMLANDS LÄN</t>
        </is>
      </c>
      <c r="E5831" t="inlineStr">
        <is>
          <t>TORSBY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6118-2024</t>
        </is>
      </c>
      <c r="B5832" s="1" t="n">
        <v>45337</v>
      </c>
      <c r="C5832" s="1" t="n">
        <v>45932</v>
      </c>
      <c r="D5832" t="inlineStr">
        <is>
          <t>VÄRMLANDS LÄN</t>
        </is>
      </c>
      <c r="E5832" t="inlineStr">
        <is>
          <t>FORSHAGA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33421-2024</t>
        </is>
      </c>
      <c r="B5833" s="1" t="n">
        <v>45519.50402777778</v>
      </c>
      <c r="C5833" s="1" t="n">
        <v>45932</v>
      </c>
      <c r="D5833" t="inlineStr">
        <is>
          <t>VÄRMLANDS LÄN</t>
        </is>
      </c>
      <c r="E5833" t="inlineStr">
        <is>
          <t>ARVIKA</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55-2022</t>
        </is>
      </c>
      <c r="B5834" s="1" t="n">
        <v>44564.44407407408</v>
      </c>
      <c r="C5834" s="1" t="n">
        <v>45932</v>
      </c>
      <c r="D5834" t="inlineStr">
        <is>
          <t>VÄRMLANDS LÄN</t>
        </is>
      </c>
      <c r="E5834" t="inlineStr">
        <is>
          <t>SÄFFLE</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1166-2023</t>
        </is>
      </c>
      <c r="B5835" s="1" t="n">
        <v>44935</v>
      </c>
      <c r="C5835" s="1" t="n">
        <v>45932</v>
      </c>
      <c r="D5835" t="inlineStr">
        <is>
          <t>VÄRMLANDS LÄN</t>
        </is>
      </c>
      <c r="E5835" t="inlineStr">
        <is>
          <t>TORSBY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1248-2023</t>
        </is>
      </c>
      <c r="B5836" s="1" t="n">
        <v>44931</v>
      </c>
      <c r="C5836" s="1" t="n">
        <v>45932</v>
      </c>
      <c r="D5836" t="inlineStr">
        <is>
          <t>VÄRMLANDS LÄN</t>
        </is>
      </c>
      <c r="E5836" t="inlineStr">
        <is>
          <t>SUNNE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11121-2024</t>
        </is>
      </c>
      <c r="B5837" s="1" t="n">
        <v>45371.40634259259</v>
      </c>
      <c r="C5837" s="1" t="n">
        <v>45932</v>
      </c>
      <c r="D5837" t="inlineStr">
        <is>
          <t>VÄRMLANDS LÄN</t>
        </is>
      </c>
      <c r="E5837" t="inlineStr">
        <is>
          <t>TORSBY</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59092-2022</t>
        </is>
      </c>
      <c r="B5838" s="1" t="n">
        <v>44904.38814814815</v>
      </c>
      <c r="C5838" s="1" t="n">
        <v>45932</v>
      </c>
      <c r="D5838" t="inlineStr">
        <is>
          <t>VÄRMLANDS LÄN</t>
        </is>
      </c>
      <c r="E5838" t="inlineStr">
        <is>
          <t>HAGFORS</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59097-2022</t>
        </is>
      </c>
      <c r="B5839" s="1" t="n">
        <v>44904</v>
      </c>
      <c r="C5839" s="1" t="n">
        <v>45932</v>
      </c>
      <c r="D5839" t="inlineStr">
        <is>
          <t>VÄRMLANDS LÄN</t>
        </is>
      </c>
      <c r="E5839" t="inlineStr">
        <is>
          <t>TORSBY</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13191-2024</t>
        </is>
      </c>
      <c r="B5840" s="1" t="n">
        <v>45386</v>
      </c>
      <c r="C5840" s="1" t="n">
        <v>45932</v>
      </c>
      <c r="D5840" t="inlineStr">
        <is>
          <t>VÄRMLANDS LÄN</t>
        </is>
      </c>
      <c r="E5840" t="inlineStr">
        <is>
          <t>KARLSTAD</t>
        </is>
      </c>
      <c r="F5840" t="inlineStr">
        <is>
          <t>Kommuner</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51088-2023</t>
        </is>
      </c>
      <c r="B5841" s="1" t="n">
        <v>45218.73681712963</v>
      </c>
      <c r="C5841" s="1" t="n">
        <v>45932</v>
      </c>
      <c r="D5841" t="inlineStr">
        <is>
          <t>VÄRMLANDS LÄN</t>
        </is>
      </c>
      <c r="E5841" t="inlineStr">
        <is>
          <t>KARLSTAD</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14840-2023</t>
        </is>
      </c>
      <c r="B5842" s="1" t="n">
        <v>45014.74503472223</v>
      </c>
      <c r="C5842" s="1" t="n">
        <v>45932</v>
      </c>
      <c r="D5842" t="inlineStr">
        <is>
          <t>VÄRMLANDS LÄN</t>
        </is>
      </c>
      <c r="E5842" t="inlineStr">
        <is>
          <t>FILIPSTAD</t>
        </is>
      </c>
      <c r="F5842" t="inlineStr">
        <is>
          <t>Kyrkan</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13198-2024</t>
        </is>
      </c>
      <c r="B5843" s="1" t="n">
        <v>45386.48452546296</v>
      </c>
      <c r="C5843" s="1" t="n">
        <v>45932</v>
      </c>
      <c r="D5843" t="inlineStr">
        <is>
          <t>VÄRMLANDS LÄN</t>
        </is>
      </c>
      <c r="E5843" t="inlineStr">
        <is>
          <t>FORSHAGA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44443-2021</t>
        </is>
      </c>
      <c r="B5844" s="1" t="n">
        <v>44435</v>
      </c>
      <c r="C5844" s="1" t="n">
        <v>45932</v>
      </c>
      <c r="D5844" t="inlineStr">
        <is>
          <t>VÄRMLANDS LÄN</t>
        </is>
      </c>
      <c r="E5844" t="inlineStr">
        <is>
          <t>ARVIKA</t>
        </is>
      </c>
      <c r="G5844" t="n">
        <v>16.7</v>
      </c>
      <c r="H5844" t="n">
        <v>0</v>
      </c>
      <c r="I5844" t="n">
        <v>0</v>
      </c>
      <c r="J5844" t="n">
        <v>0</v>
      </c>
      <c r="K5844" t="n">
        <v>0</v>
      </c>
      <c r="L5844" t="n">
        <v>0</v>
      </c>
      <c r="M5844" t="n">
        <v>0</v>
      </c>
      <c r="N5844" t="n">
        <v>0</v>
      </c>
      <c r="O5844" t="n">
        <v>0</v>
      </c>
      <c r="P5844" t="n">
        <v>0</v>
      </c>
      <c r="Q5844" t="n">
        <v>0</v>
      </c>
      <c r="R5844" s="2" t="inlineStr"/>
    </row>
    <row r="5845" ht="15" customHeight="1">
      <c r="A5845" t="inlineStr">
        <is>
          <t>A 26822-2025</t>
        </is>
      </c>
      <c r="B5845" s="1" t="n">
        <v>45810</v>
      </c>
      <c r="C5845" s="1" t="n">
        <v>45932</v>
      </c>
      <c r="D5845" t="inlineStr">
        <is>
          <t>VÄRMLANDS LÄN</t>
        </is>
      </c>
      <c r="E5845" t="inlineStr">
        <is>
          <t>TORSBY</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34375-2023</t>
        </is>
      </c>
      <c r="B5846" s="1" t="n">
        <v>45131</v>
      </c>
      <c r="C5846" s="1" t="n">
        <v>45932</v>
      </c>
      <c r="D5846" t="inlineStr">
        <is>
          <t>VÄRMLANDS LÄN</t>
        </is>
      </c>
      <c r="E5846" t="inlineStr">
        <is>
          <t>SUNNE</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34409-2023</t>
        </is>
      </c>
      <c r="B5847" s="1" t="n">
        <v>45139.56662037037</v>
      </c>
      <c r="C5847" s="1" t="n">
        <v>45932</v>
      </c>
      <c r="D5847" t="inlineStr">
        <is>
          <t>VÄRMLANDS LÄN</t>
        </is>
      </c>
      <c r="E5847" t="inlineStr">
        <is>
          <t>ÅRJÄNG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27077-2025</t>
        </is>
      </c>
      <c r="B5848" s="1" t="n">
        <v>45811.64962962963</v>
      </c>
      <c r="C5848" s="1" t="n">
        <v>45932</v>
      </c>
      <c r="D5848" t="inlineStr">
        <is>
          <t>VÄRMLANDS LÄN</t>
        </is>
      </c>
      <c r="E5848" t="inlineStr">
        <is>
          <t>KRISTINEHAMN</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19410-2024</t>
        </is>
      </c>
      <c r="B5849" s="1" t="n">
        <v>45429</v>
      </c>
      <c r="C5849" s="1" t="n">
        <v>45932</v>
      </c>
      <c r="D5849" t="inlineStr">
        <is>
          <t>VÄRMLANDS LÄN</t>
        </is>
      </c>
      <c r="E5849" t="inlineStr">
        <is>
          <t>ÅRJÄNG</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19447-2024</t>
        </is>
      </c>
      <c r="B5850" s="1" t="n">
        <v>45429</v>
      </c>
      <c r="C5850" s="1" t="n">
        <v>45932</v>
      </c>
      <c r="D5850" t="inlineStr">
        <is>
          <t>VÄRMLANDS LÄN</t>
        </is>
      </c>
      <c r="E5850" t="inlineStr">
        <is>
          <t>KRISTINEHAMN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54692-2024</t>
        </is>
      </c>
      <c r="B5851" s="1" t="n">
        <v>45618</v>
      </c>
      <c r="C5851" s="1" t="n">
        <v>45932</v>
      </c>
      <c r="D5851" t="inlineStr">
        <is>
          <t>VÄRMLANDS LÄN</t>
        </is>
      </c>
      <c r="E5851" t="inlineStr">
        <is>
          <t>FORSHAGA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5329-2025</t>
        </is>
      </c>
      <c r="B5852" s="1" t="n">
        <v>45692.53505787037</v>
      </c>
      <c r="C5852" s="1" t="n">
        <v>45932</v>
      </c>
      <c r="D5852" t="inlineStr">
        <is>
          <t>VÄRMLANDS LÄN</t>
        </is>
      </c>
      <c r="E5852" t="inlineStr">
        <is>
          <t>ARVIKA</t>
        </is>
      </c>
      <c r="F5852" t="inlineStr">
        <is>
          <t>Kommuner</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37218-2021</t>
        </is>
      </c>
      <c r="B5853" s="1" t="n">
        <v>44396</v>
      </c>
      <c r="C5853" s="1" t="n">
        <v>45932</v>
      </c>
      <c r="D5853" t="inlineStr">
        <is>
          <t>VÄRMLANDS LÄN</t>
        </is>
      </c>
      <c r="E5853" t="inlineStr">
        <is>
          <t>SUNNE</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55894-2024</t>
        </is>
      </c>
      <c r="B5854" s="1" t="n">
        <v>45623</v>
      </c>
      <c r="C5854" s="1" t="n">
        <v>45932</v>
      </c>
      <c r="D5854" t="inlineStr">
        <is>
          <t>VÄRMLANDS LÄN</t>
        </is>
      </c>
      <c r="E5854" t="inlineStr">
        <is>
          <t>SUNNE</t>
        </is>
      </c>
      <c r="F5854" t="inlineStr">
        <is>
          <t>Övriga Aktiebolag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28329-2024</t>
        </is>
      </c>
      <c r="B5855" s="1" t="n">
        <v>45477</v>
      </c>
      <c r="C5855" s="1" t="n">
        <v>45932</v>
      </c>
      <c r="D5855" t="inlineStr">
        <is>
          <t>VÄRMLANDS LÄN</t>
        </is>
      </c>
      <c r="E5855" t="inlineStr">
        <is>
          <t>TORSBY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56650-2024</t>
        </is>
      </c>
      <c r="B5856" s="1" t="n">
        <v>45625.76855324074</v>
      </c>
      <c r="C5856" s="1" t="n">
        <v>45932</v>
      </c>
      <c r="D5856" t="inlineStr">
        <is>
          <t>VÄRMLANDS LÄN</t>
        </is>
      </c>
      <c r="E5856" t="inlineStr">
        <is>
          <t>FILIPSTAD</t>
        </is>
      </c>
      <c r="F5856" t="inlineStr">
        <is>
          <t>Bergvik skog väst AB</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56652-2024</t>
        </is>
      </c>
      <c r="B5857" s="1" t="n">
        <v>45625.78240740741</v>
      </c>
      <c r="C5857" s="1" t="n">
        <v>45932</v>
      </c>
      <c r="D5857" t="inlineStr">
        <is>
          <t>VÄRMLANDS LÄN</t>
        </is>
      </c>
      <c r="E5857" t="inlineStr">
        <is>
          <t>FILIPSTAD</t>
        </is>
      </c>
      <c r="F5857" t="inlineStr">
        <is>
          <t>Bergvik skog väst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56654-2024</t>
        </is>
      </c>
      <c r="B5858" s="1" t="n">
        <v>45625</v>
      </c>
      <c r="C5858" s="1" t="n">
        <v>45932</v>
      </c>
      <c r="D5858" t="inlineStr">
        <is>
          <t>VÄRMLANDS LÄN</t>
        </is>
      </c>
      <c r="E5858" t="inlineStr">
        <is>
          <t>FILIPSTAD</t>
        </is>
      </c>
      <c r="F5858" t="inlineStr">
        <is>
          <t>Bergvik skog väst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56655-2024</t>
        </is>
      </c>
      <c r="B5859" s="1" t="n">
        <v>45625</v>
      </c>
      <c r="C5859" s="1" t="n">
        <v>45932</v>
      </c>
      <c r="D5859" t="inlineStr">
        <is>
          <t>VÄRMLANDS LÄN</t>
        </is>
      </c>
      <c r="E5859" t="inlineStr">
        <is>
          <t>ÅRJÄNG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26875-2025</t>
        </is>
      </c>
      <c r="B5860" s="1" t="n">
        <v>45809</v>
      </c>
      <c r="C5860" s="1" t="n">
        <v>45932</v>
      </c>
      <c r="D5860" t="inlineStr">
        <is>
          <t>VÄRMLANDS LÄN</t>
        </is>
      </c>
      <c r="E5860" t="inlineStr">
        <is>
          <t>SUNNE</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26890-2025</t>
        </is>
      </c>
      <c r="B5861" s="1" t="n">
        <v>45811</v>
      </c>
      <c r="C5861" s="1" t="n">
        <v>45932</v>
      </c>
      <c r="D5861" t="inlineStr">
        <is>
          <t>VÄRMLANDS LÄN</t>
        </is>
      </c>
      <c r="E5861" t="inlineStr">
        <is>
          <t>TORSBY</t>
        </is>
      </c>
      <c r="F5861" t="inlineStr">
        <is>
          <t>Bergvik skog väst AB</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57780-2021</t>
        </is>
      </c>
      <c r="B5862" s="1" t="n">
        <v>44484</v>
      </c>
      <c r="C5862" s="1" t="n">
        <v>45932</v>
      </c>
      <c r="D5862" t="inlineStr">
        <is>
          <t>VÄRMLANDS LÄN</t>
        </is>
      </c>
      <c r="E5862" t="inlineStr">
        <is>
          <t>KARLSTAD</t>
        </is>
      </c>
      <c r="F5862" t="inlineStr">
        <is>
          <t>Kommuner</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26915-2025</t>
        </is>
      </c>
      <c r="B5863" s="1" t="n">
        <v>45811.36954861111</v>
      </c>
      <c r="C5863" s="1" t="n">
        <v>45932</v>
      </c>
      <c r="D5863" t="inlineStr">
        <is>
          <t>VÄRMLANDS LÄN</t>
        </is>
      </c>
      <c r="E5863" t="inlineStr">
        <is>
          <t>SUNNE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5535-2022</t>
        </is>
      </c>
      <c r="B5864" s="1" t="n">
        <v>44595</v>
      </c>
      <c r="C5864" s="1" t="n">
        <v>45932</v>
      </c>
      <c r="D5864" t="inlineStr">
        <is>
          <t>VÄRMLANDS LÄN</t>
        </is>
      </c>
      <c r="E5864" t="inlineStr">
        <is>
          <t>KARLSTAD</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42370-2025</t>
        </is>
      </c>
      <c r="B5865" s="1" t="n">
        <v>45905</v>
      </c>
      <c r="C5865" s="1" t="n">
        <v>45932</v>
      </c>
      <c r="D5865" t="inlineStr">
        <is>
          <t>VÄRMLANDS LÄN</t>
        </is>
      </c>
      <c r="E5865" t="inlineStr">
        <is>
          <t>FORSHAGA</t>
        </is>
      </c>
      <c r="F5865" t="inlineStr">
        <is>
          <t>Kommuner</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43186-2025</t>
        </is>
      </c>
      <c r="B5866" s="1" t="n">
        <v>45910</v>
      </c>
      <c r="C5866" s="1" t="n">
        <v>45932</v>
      </c>
      <c r="D5866" t="inlineStr">
        <is>
          <t>VÄRMLANDS LÄN</t>
        </is>
      </c>
      <c r="E5866" t="inlineStr">
        <is>
          <t>KIL</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26978-2025</t>
        </is>
      </c>
      <c r="B5867" s="1" t="n">
        <v>45811.48915509259</v>
      </c>
      <c r="C5867" s="1" t="n">
        <v>45932</v>
      </c>
      <c r="D5867" t="inlineStr">
        <is>
          <t>VÄRMLANDS LÄN</t>
        </is>
      </c>
      <c r="E5867" t="inlineStr">
        <is>
          <t>KIL</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12365-2022</t>
        </is>
      </c>
      <c r="B5868" s="1" t="n">
        <v>44637.70670138889</v>
      </c>
      <c r="C5868" s="1" t="n">
        <v>45932</v>
      </c>
      <c r="D5868" t="inlineStr">
        <is>
          <t>VÄRMLANDS LÄN</t>
        </is>
      </c>
      <c r="E5868" t="inlineStr">
        <is>
          <t>TORSBY</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62298-2020</t>
        </is>
      </c>
      <c r="B5869" s="1" t="n">
        <v>44160</v>
      </c>
      <c r="C5869" s="1" t="n">
        <v>45932</v>
      </c>
      <c r="D5869" t="inlineStr">
        <is>
          <t>VÄRMLANDS LÄN</t>
        </is>
      </c>
      <c r="E5869" t="inlineStr">
        <is>
          <t>SUNNE</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26783-2024</t>
        </is>
      </c>
      <c r="B5870" s="1" t="n">
        <v>45470</v>
      </c>
      <c r="C5870" s="1" t="n">
        <v>45932</v>
      </c>
      <c r="D5870" t="inlineStr">
        <is>
          <t>VÄRMLANDS LÄN</t>
        </is>
      </c>
      <c r="E5870" t="inlineStr">
        <is>
          <t>ÅRJÄNG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12311-2024</t>
        </is>
      </c>
      <c r="B5871" s="1" t="n">
        <v>45378.63476851852</v>
      </c>
      <c r="C5871" s="1" t="n">
        <v>45932</v>
      </c>
      <c r="D5871" t="inlineStr">
        <is>
          <t>VÄRMLANDS LÄN</t>
        </is>
      </c>
      <c r="E5871" t="inlineStr">
        <is>
          <t>GRUMS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18765-2024</t>
        </is>
      </c>
      <c r="B5872" s="1" t="n">
        <v>45426</v>
      </c>
      <c r="C5872" s="1" t="n">
        <v>45932</v>
      </c>
      <c r="D5872" t="inlineStr">
        <is>
          <t>VÄRMLANDS LÄN</t>
        </is>
      </c>
      <c r="E5872" t="inlineStr">
        <is>
          <t>EDA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20244-2023</t>
        </is>
      </c>
      <c r="B5873" s="1" t="n">
        <v>45055</v>
      </c>
      <c r="C5873" s="1" t="n">
        <v>45932</v>
      </c>
      <c r="D5873" t="inlineStr">
        <is>
          <t>VÄRMLANDS LÄN</t>
        </is>
      </c>
      <c r="E5873" t="inlineStr">
        <is>
          <t>FORSHAGA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33672-2024</t>
        </is>
      </c>
      <c r="B5874" s="1" t="n">
        <v>45520.48883101852</v>
      </c>
      <c r="C5874" s="1" t="n">
        <v>45932</v>
      </c>
      <c r="D5874" t="inlineStr">
        <is>
          <t>VÄRMLANDS LÄN</t>
        </is>
      </c>
      <c r="E5874" t="inlineStr">
        <is>
          <t>SÄFFLE</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37109-2024</t>
        </is>
      </c>
      <c r="B5875" s="1" t="n">
        <v>45539</v>
      </c>
      <c r="C5875" s="1" t="n">
        <v>45932</v>
      </c>
      <c r="D5875" t="inlineStr">
        <is>
          <t>VÄRMLANDS LÄN</t>
        </is>
      </c>
      <c r="E5875" t="inlineStr">
        <is>
          <t>ARVIKA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22566-2025</t>
        </is>
      </c>
      <c r="B5876" s="1" t="n">
        <v>45789</v>
      </c>
      <c r="C5876" s="1" t="n">
        <v>45932</v>
      </c>
      <c r="D5876" t="inlineStr">
        <is>
          <t>VÄRMLANDS LÄN</t>
        </is>
      </c>
      <c r="E5876" t="inlineStr">
        <is>
          <t>KIL</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25956-2025</t>
        </is>
      </c>
      <c r="B5877" s="1" t="n">
        <v>45804</v>
      </c>
      <c r="C5877" s="1" t="n">
        <v>45932</v>
      </c>
      <c r="D5877" t="inlineStr">
        <is>
          <t>VÄRMLANDS LÄN</t>
        </is>
      </c>
      <c r="E5877" t="inlineStr">
        <is>
          <t>TORSBY</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60794-2024</t>
        </is>
      </c>
      <c r="B5878" s="1" t="n">
        <v>45644</v>
      </c>
      <c r="C5878" s="1" t="n">
        <v>45932</v>
      </c>
      <c r="D5878" t="inlineStr">
        <is>
          <t>VÄRMLANDS LÄN</t>
        </is>
      </c>
      <c r="E5878" t="inlineStr">
        <is>
          <t>MUNKFORS</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43517-2024</t>
        </is>
      </c>
      <c r="B5879" s="1" t="n">
        <v>45569.32800925926</v>
      </c>
      <c r="C5879" s="1" t="n">
        <v>45932</v>
      </c>
      <c r="D5879" t="inlineStr">
        <is>
          <t>VÄRMLANDS LÄN</t>
        </is>
      </c>
      <c r="E5879" t="inlineStr">
        <is>
          <t>ÅRJÄNG</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26869-2025</t>
        </is>
      </c>
      <c r="B5880" s="1" t="n">
        <v>45810</v>
      </c>
      <c r="C5880" s="1" t="n">
        <v>45932</v>
      </c>
      <c r="D5880" t="inlineStr">
        <is>
          <t>VÄRMLANDS LÄN</t>
        </is>
      </c>
      <c r="E5880" t="inlineStr">
        <is>
          <t>KRISTINEHAMN</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8146-2024</t>
        </is>
      </c>
      <c r="B5881" s="1" t="n">
        <v>45351.57671296296</v>
      </c>
      <c r="C5881" s="1" t="n">
        <v>45932</v>
      </c>
      <c r="D5881" t="inlineStr">
        <is>
          <t>VÄRMLANDS LÄN</t>
        </is>
      </c>
      <c r="E5881" t="inlineStr">
        <is>
          <t>ÅRJÄNG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26796-2025</t>
        </is>
      </c>
      <c r="B5882" s="1" t="n">
        <v>45810.60024305555</v>
      </c>
      <c r="C5882" s="1" t="n">
        <v>45932</v>
      </c>
      <c r="D5882" t="inlineStr">
        <is>
          <t>VÄRMLANDS LÄN</t>
        </is>
      </c>
      <c r="E5882" t="inlineStr">
        <is>
          <t>EDA</t>
        </is>
      </c>
      <c r="F5882" t="inlineStr">
        <is>
          <t>Bergvik skog väst AB</t>
        </is>
      </c>
      <c r="G5882" t="n">
        <v>8.9</v>
      </c>
      <c r="H5882" t="n">
        <v>0</v>
      </c>
      <c r="I5882" t="n">
        <v>0</v>
      </c>
      <c r="J5882" t="n">
        <v>0</v>
      </c>
      <c r="K5882" t="n">
        <v>0</v>
      </c>
      <c r="L5882" t="n">
        <v>0</v>
      </c>
      <c r="M5882" t="n">
        <v>0</v>
      </c>
      <c r="N5882" t="n">
        <v>0</v>
      </c>
      <c r="O5882" t="n">
        <v>0</v>
      </c>
      <c r="P5882" t="n">
        <v>0</v>
      </c>
      <c r="Q5882" t="n">
        <v>0</v>
      </c>
      <c r="R5882" s="2" t="inlineStr"/>
    </row>
    <row r="5883" ht="15" customHeight="1">
      <c r="A5883" t="inlineStr">
        <is>
          <t>A 26812-2025</t>
        </is>
      </c>
      <c r="B5883" s="1" t="n">
        <v>45810.6196875</v>
      </c>
      <c r="C5883" s="1" t="n">
        <v>45932</v>
      </c>
      <c r="D5883" t="inlineStr">
        <is>
          <t>VÄRMLANDS LÄN</t>
        </is>
      </c>
      <c r="E5883" t="inlineStr">
        <is>
          <t>FILIPSTAD</t>
        </is>
      </c>
      <c r="F5883" t="inlineStr">
        <is>
          <t>Bergvik skog väst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26861-2025</t>
        </is>
      </c>
      <c r="B5884" s="1" t="n">
        <v>45810.68387731481</v>
      </c>
      <c r="C5884" s="1" t="n">
        <v>45932</v>
      </c>
      <c r="D5884" t="inlineStr">
        <is>
          <t>VÄRMLANDS LÄN</t>
        </is>
      </c>
      <c r="E5884" t="inlineStr">
        <is>
          <t>KARLSTAD</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18718-2023</t>
        </is>
      </c>
      <c r="B5885" s="1" t="n">
        <v>45043.65459490741</v>
      </c>
      <c r="C5885" s="1" t="n">
        <v>45932</v>
      </c>
      <c r="D5885" t="inlineStr">
        <is>
          <t>VÄRMLANDS LÄN</t>
        </is>
      </c>
      <c r="E5885" t="inlineStr">
        <is>
          <t>ÅRJÄNG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58430-2023</t>
        </is>
      </c>
      <c r="B5886" s="1" t="n">
        <v>45250.80646990741</v>
      </c>
      <c r="C5886" s="1" t="n">
        <v>45932</v>
      </c>
      <c r="D5886" t="inlineStr">
        <is>
          <t>VÄRMLANDS LÄN</t>
        </is>
      </c>
      <c r="E5886" t="inlineStr">
        <is>
          <t>TORSBY</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58436-2023</t>
        </is>
      </c>
      <c r="B5887" s="1" t="n">
        <v>45250</v>
      </c>
      <c r="C5887" s="1" t="n">
        <v>45932</v>
      </c>
      <c r="D5887" t="inlineStr">
        <is>
          <t>VÄRMLANDS LÄN</t>
        </is>
      </c>
      <c r="E5887" t="inlineStr">
        <is>
          <t>ÅRJÄNG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14774-2024</t>
        </is>
      </c>
      <c r="B5888" s="1" t="n">
        <v>45397.73640046296</v>
      </c>
      <c r="C5888" s="1" t="n">
        <v>45932</v>
      </c>
      <c r="D5888" t="inlineStr">
        <is>
          <t>VÄRMLANDS LÄN</t>
        </is>
      </c>
      <c r="E5888" t="inlineStr">
        <is>
          <t>ARVIKA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12239-2024</t>
        </is>
      </c>
      <c r="B5889" s="1" t="n">
        <v>45378</v>
      </c>
      <c r="C5889" s="1" t="n">
        <v>45932</v>
      </c>
      <c r="D5889" t="inlineStr">
        <is>
          <t>VÄRMLANDS LÄN</t>
        </is>
      </c>
      <c r="E5889" t="inlineStr">
        <is>
          <t>EDA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32173-2023</t>
        </is>
      </c>
      <c r="B5890" s="1" t="n">
        <v>45119.78493055556</v>
      </c>
      <c r="C5890" s="1" t="n">
        <v>45932</v>
      </c>
      <c r="D5890" t="inlineStr">
        <is>
          <t>VÄRMLANDS LÄN</t>
        </is>
      </c>
      <c r="E5890" t="inlineStr">
        <is>
          <t>KARLSTAD</t>
        </is>
      </c>
      <c r="G5890" t="n">
        <v>29.2</v>
      </c>
      <c r="H5890" t="n">
        <v>0</v>
      </c>
      <c r="I5890" t="n">
        <v>0</v>
      </c>
      <c r="J5890" t="n">
        <v>0</v>
      </c>
      <c r="K5890" t="n">
        <v>0</v>
      </c>
      <c r="L5890" t="n">
        <v>0</v>
      </c>
      <c r="M5890" t="n">
        <v>0</v>
      </c>
      <c r="N5890" t="n">
        <v>0</v>
      </c>
      <c r="O5890" t="n">
        <v>0</v>
      </c>
      <c r="P5890" t="n">
        <v>0</v>
      </c>
      <c r="Q5890" t="n">
        <v>0</v>
      </c>
      <c r="R5890" s="2" t="inlineStr"/>
    </row>
    <row r="5891" ht="15" customHeight="1">
      <c r="A5891" t="inlineStr">
        <is>
          <t>A 55401-2024</t>
        </is>
      </c>
      <c r="B5891" s="1" t="n">
        <v>45622</v>
      </c>
      <c r="C5891" s="1" t="n">
        <v>45932</v>
      </c>
      <c r="D5891" t="inlineStr">
        <is>
          <t>VÄRMLANDS LÄN</t>
        </is>
      </c>
      <c r="E5891" t="inlineStr">
        <is>
          <t>SUNNE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54211-2021</t>
        </is>
      </c>
      <c r="B5892" s="1" t="n">
        <v>44470.61107638889</v>
      </c>
      <c r="C5892" s="1" t="n">
        <v>45932</v>
      </c>
      <c r="D5892" t="inlineStr">
        <is>
          <t>VÄRMLANDS LÄN</t>
        </is>
      </c>
      <c r="E5892" t="inlineStr">
        <is>
          <t>ARVIKA</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26876-2025</t>
        </is>
      </c>
      <c r="B5893" s="1" t="n">
        <v>45809</v>
      </c>
      <c r="C5893" s="1" t="n">
        <v>45932</v>
      </c>
      <c r="D5893" t="inlineStr">
        <is>
          <t>VÄRMLANDS LÄN</t>
        </is>
      </c>
      <c r="E5893" t="inlineStr">
        <is>
          <t>SUNNE</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26878-2025</t>
        </is>
      </c>
      <c r="B5894" s="1" t="n">
        <v>45809</v>
      </c>
      <c r="C5894" s="1" t="n">
        <v>45932</v>
      </c>
      <c r="D5894" t="inlineStr">
        <is>
          <t>VÄRMLANDS LÄN</t>
        </is>
      </c>
      <c r="E5894" t="inlineStr">
        <is>
          <t>ARVIKA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26879-2025</t>
        </is>
      </c>
      <c r="B5895" s="1" t="n">
        <v>45809</v>
      </c>
      <c r="C5895" s="1" t="n">
        <v>45932</v>
      </c>
      <c r="D5895" t="inlineStr">
        <is>
          <t>VÄRMLANDS LÄN</t>
        </is>
      </c>
      <c r="E5895" t="inlineStr">
        <is>
          <t>ARVIKA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12408-2024</t>
        </is>
      </c>
      <c r="B5896" s="1" t="n">
        <v>45379.39612268518</v>
      </c>
      <c r="C5896" s="1" t="n">
        <v>45932</v>
      </c>
      <c r="D5896" t="inlineStr">
        <is>
          <t>VÄRMLANDS LÄN</t>
        </is>
      </c>
      <c r="E5896" t="inlineStr">
        <is>
          <t>SUNNE</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27270-2024</t>
        </is>
      </c>
      <c r="B5897" s="1" t="n">
        <v>45471.81967592592</v>
      </c>
      <c r="C5897" s="1" t="n">
        <v>45932</v>
      </c>
      <c r="D5897" t="inlineStr">
        <is>
          <t>VÄRMLANDS LÄN</t>
        </is>
      </c>
      <c r="E5897" t="inlineStr">
        <is>
          <t>TORSBY</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40180-2024</t>
        </is>
      </c>
      <c r="B5898" s="1" t="n">
        <v>45554.55413194445</v>
      </c>
      <c r="C5898" s="1" t="n">
        <v>45932</v>
      </c>
      <c r="D5898" t="inlineStr">
        <is>
          <t>VÄRMLANDS LÄN</t>
        </is>
      </c>
      <c r="E5898" t="inlineStr">
        <is>
          <t>TORSBY</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27128-2025</t>
        </is>
      </c>
      <c r="B5899" s="1" t="n">
        <v>45811</v>
      </c>
      <c r="C5899" s="1" t="n">
        <v>45932</v>
      </c>
      <c r="D5899" t="inlineStr">
        <is>
          <t>VÄRMLANDS LÄN</t>
        </is>
      </c>
      <c r="E5899" t="inlineStr">
        <is>
          <t>SÄFFLE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12416-2024</t>
        </is>
      </c>
      <c r="B5900" s="1" t="n">
        <v>45379.42040509259</v>
      </c>
      <c r="C5900" s="1" t="n">
        <v>45932</v>
      </c>
      <c r="D5900" t="inlineStr">
        <is>
          <t>VÄRMLANDS LÄN</t>
        </is>
      </c>
      <c r="E5900" t="inlineStr">
        <is>
          <t>KRISTINEHAMN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12423-2024</t>
        </is>
      </c>
      <c r="B5901" s="1" t="n">
        <v>45379</v>
      </c>
      <c r="C5901" s="1" t="n">
        <v>45932</v>
      </c>
      <c r="D5901" t="inlineStr">
        <is>
          <t>VÄRMLANDS LÄN</t>
        </is>
      </c>
      <c r="E5901" t="inlineStr">
        <is>
          <t>KRISTINEHAMN</t>
        </is>
      </c>
      <c r="G5901" t="n">
        <v>12.6</v>
      </c>
      <c r="H5901" t="n">
        <v>0</v>
      </c>
      <c r="I5901" t="n">
        <v>0</v>
      </c>
      <c r="J5901" t="n">
        <v>0</v>
      </c>
      <c r="K5901" t="n">
        <v>0</v>
      </c>
      <c r="L5901" t="n">
        <v>0</v>
      </c>
      <c r="M5901" t="n">
        <v>0</v>
      </c>
      <c r="N5901" t="n">
        <v>0</v>
      </c>
      <c r="O5901" t="n">
        <v>0</v>
      </c>
      <c r="P5901" t="n">
        <v>0</v>
      </c>
      <c r="Q5901" t="n">
        <v>0</v>
      </c>
      <c r="R5901" s="2" t="inlineStr"/>
    </row>
    <row r="5902" ht="15" customHeight="1">
      <c r="A5902" t="inlineStr">
        <is>
          <t>A 4819-2023</t>
        </is>
      </c>
      <c r="B5902" s="1" t="n">
        <v>44957</v>
      </c>
      <c r="C5902" s="1" t="n">
        <v>45932</v>
      </c>
      <c r="D5902" t="inlineStr">
        <is>
          <t>VÄRMLANDS LÄN</t>
        </is>
      </c>
      <c r="E5902" t="inlineStr">
        <is>
          <t>FILIPSTAD</t>
        </is>
      </c>
      <c r="F5902" t="inlineStr">
        <is>
          <t>Bergvik skog väst AB</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26607-2025</t>
        </is>
      </c>
      <c r="B5903" s="1" t="n">
        <v>45809.92239583333</v>
      </c>
      <c r="C5903" s="1" t="n">
        <v>45932</v>
      </c>
      <c r="D5903" t="inlineStr">
        <is>
          <t>VÄRMLANDS LÄN</t>
        </is>
      </c>
      <c r="E5903" t="inlineStr">
        <is>
          <t>TORSBY</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26617-2025</t>
        </is>
      </c>
      <c r="B5904" s="1" t="n">
        <v>45810.30788194444</v>
      </c>
      <c r="C5904" s="1" t="n">
        <v>45932</v>
      </c>
      <c r="D5904" t="inlineStr">
        <is>
          <t>VÄRMLANDS LÄN</t>
        </is>
      </c>
      <c r="E5904" t="inlineStr">
        <is>
          <t>HAGFORS</t>
        </is>
      </c>
      <c r="F5904" t="inlineStr">
        <is>
          <t>Bergvik skog väst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39008-2023</t>
        </is>
      </c>
      <c r="B5905" s="1" t="n">
        <v>45162</v>
      </c>
      <c r="C5905" s="1" t="n">
        <v>45932</v>
      </c>
      <c r="D5905" t="inlineStr">
        <is>
          <t>VÄRMLANDS LÄN</t>
        </is>
      </c>
      <c r="E5905" t="inlineStr">
        <is>
          <t>ÅRJÄNG</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26728-2025</t>
        </is>
      </c>
      <c r="B5906" s="1" t="n">
        <v>45810.50186342592</v>
      </c>
      <c r="C5906" s="1" t="n">
        <v>45932</v>
      </c>
      <c r="D5906" t="inlineStr">
        <is>
          <t>VÄRMLANDS LÄN</t>
        </is>
      </c>
      <c r="E5906" t="inlineStr">
        <is>
          <t>ÅRJÄNG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17079-2022</t>
        </is>
      </c>
      <c r="B5907" s="1" t="n">
        <v>44677</v>
      </c>
      <c r="C5907" s="1" t="n">
        <v>45932</v>
      </c>
      <c r="D5907" t="inlineStr">
        <is>
          <t>VÄRMLANDS LÄN</t>
        </is>
      </c>
      <c r="E5907" t="inlineStr">
        <is>
          <t>ARVIKA</t>
        </is>
      </c>
      <c r="F5907" t="inlineStr">
        <is>
          <t>Bergvik skog väst AB</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20057-2024</t>
        </is>
      </c>
      <c r="B5908" s="1" t="n">
        <v>45434.3966087963</v>
      </c>
      <c r="C5908" s="1" t="n">
        <v>45932</v>
      </c>
      <c r="D5908" t="inlineStr">
        <is>
          <t>VÄRMLANDS LÄN</t>
        </is>
      </c>
      <c r="E5908" t="inlineStr">
        <is>
          <t>SUNNE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35969-2022</t>
        </is>
      </c>
      <c r="B5909" s="1" t="n">
        <v>44802.57747685185</v>
      </c>
      <c r="C5909" s="1" t="n">
        <v>45932</v>
      </c>
      <c r="D5909" t="inlineStr">
        <is>
          <t>VÄRMLANDS LÄN</t>
        </is>
      </c>
      <c r="E5909" t="inlineStr">
        <is>
          <t>ARVIKA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22254-2023</t>
        </is>
      </c>
      <c r="B5910" s="1" t="n">
        <v>45070.33251157407</v>
      </c>
      <c r="C5910" s="1" t="n">
        <v>45932</v>
      </c>
      <c r="D5910" t="inlineStr">
        <is>
          <t>VÄRMLANDS LÄN</t>
        </is>
      </c>
      <c r="E5910" t="inlineStr">
        <is>
          <t>SÄFFLE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11765-2025</t>
        </is>
      </c>
      <c r="B5911" s="1" t="n">
        <v>45727.6646412037</v>
      </c>
      <c r="C5911" s="1" t="n">
        <v>45932</v>
      </c>
      <c r="D5911" t="inlineStr">
        <is>
          <t>VÄRMLANDS LÄN</t>
        </is>
      </c>
      <c r="E5911" t="inlineStr">
        <is>
          <t>FORSHAGA</t>
        </is>
      </c>
      <c r="F5911" t="inlineStr">
        <is>
          <t>Bergvik skog väst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13089-2024</t>
        </is>
      </c>
      <c r="B5912" s="1" t="n">
        <v>45385.67703703704</v>
      </c>
      <c r="C5912" s="1" t="n">
        <v>45932</v>
      </c>
      <c r="D5912" t="inlineStr">
        <is>
          <t>VÄRMLANDS LÄN</t>
        </is>
      </c>
      <c r="E5912" t="inlineStr">
        <is>
          <t>KARLSTAD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36420-2023</t>
        </is>
      </c>
      <c r="B5913" s="1" t="n">
        <v>45152</v>
      </c>
      <c r="C5913" s="1" t="n">
        <v>45932</v>
      </c>
      <c r="D5913" t="inlineStr">
        <is>
          <t>VÄRMLANDS LÄN</t>
        </is>
      </c>
      <c r="E5913" t="inlineStr">
        <is>
          <t>GRUMS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51420-2021</t>
        </is>
      </c>
      <c r="B5914" s="1" t="n">
        <v>44461.90510416667</v>
      </c>
      <c r="C5914" s="1" t="n">
        <v>45932</v>
      </c>
      <c r="D5914" t="inlineStr">
        <is>
          <t>VÄRMLANDS LÄN</t>
        </is>
      </c>
      <c r="E5914" t="inlineStr">
        <is>
          <t>SUNNE</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1838-2023</t>
        </is>
      </c>
      <c r="B5915" s="1" t="n">
        <v>44938.67820601852</v>
      </c>
      <c r="C5915" s="1" t="n">
        <v>45932</v>
      </c>
      <c r="D5915" t="inlineStr">
        <is>
          <t>VÄRMLANDS LÄN</t>
        </is>
      </c>
      <c r="E5915" t="inlineStr">
        <is>
          <t>SÄFFLE</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12482-2025</t>
        </is>
      </c>
      <c r="B5916" s="1" t="n">
        <v>45730</v>
      </c>
      <c r="C5916" s="1" t="n">
        <v>45932</v>
      </c>
      <c r="D5916" t="inlineStr">
        <is>
          <t>VÄRMLANDS LÄN</t>
        </is>
      </c>
      <c r="E5916" t="inlineStr">
        <is>
          <t>STORFORS</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10134-2024</t>
        </is>
      </c>
      <c r="B5917" s="1" t="n">
        <v>45364.59402777778</v>
      </c>
      <c r="C5917" s="1" t="n">
        <v>45932</v>
      </c>
      <c r="D5917" t="inlineStr">
        <is>
          <t>VÄRMLANDS LÄN</t>
        </is>
      </c>
      <c r="E5917" t="inlineStr">
        <is>
          <t>SUNNE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7400-2023</t>
        </is>
      </c>
      <c r="B5918" s="1" t="n">
        <v>44971</v>
      </c>
      <c r="C5918" s="1" t="n">
        <v>45932</v>
      </c>
      <c r="D5918" t="inlineStr">
        <is>
          <t>VÄRMLANDS LÄN</t>
        </is>
      </c>
      <c r="E5918" t="inlineStr">
        <is>
          <t>SUNNE</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904-2025</t>
        </is>
      </c>
      <c r="B5919" s="1" t="n">
        <v>45665.70130787037</v>
      </c>
      <c r="C5919" s="1" t="n">
        <v>45932</v>
      </c>
      <c r="D5919" t="inlineStr">
        <is>
          <t>VÄRMLANDS LÄN</t>
        </is>
      </c>
      <c r="E5919" t="inlineStr">
        <is>
          <t>KARLSTAD</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9942-2025</t>
        </is>
      </c>
      <c r="B5920" s="1" t="n">
        <v>45719</v>
      </c>
      <c r="C5920" s="1" t="n">
        <v>45932</v>
      </c>
      <c r="D5920" t="inlineStr">
        <is>
          <t>VÄRMLANDS LÄN</t>
        </is>
      </c>
      <c r="E5920" t="inlineStr">
        <is>
          <t>TORSBY</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7686-2023</t>
        </is>
      </c>
      <c r="B5921" s="1" t="n">
        <v>44972</v>
      </c>
      <c r="C5921" s="1" t="n">
        <v>45932</v>
      </c>
      <c r="D5921" t="inlineStr">
        <is>
          <t>VÄRMLANDS LÄN</t>
        </is>
      </c>
      <c r="E5921" t="inlineStr">
        <is>
          <t>ARVIKA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10581-2023</t>
        </is>
      </c>
      <c r="B5922" s="1" t="n">
        <v>44988.36252314815</v>
      </c>
      <c r="C5922" s="1" t="n">
        <v>45932</v>
      </c>
      <c r="D5922" t="inlineStr">
        <is>
          <t>VÄRMLANDS LÄN</t>
        </is>
      </c>
      <c r="E5922" t="inlineStr">
        <is>
          <t>ARVIKA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10584-2023</t>
        </is>
      </c>
      <c r="B5923" s="1" t="n">
        <v>44988.36736111111</v>
      </c>
      <c r="C5923" s="1" t="n">
        <v>45932</v>
      </c>
      <c r="D5923" t="inlineStr">
        <is>
          <t>VÄRMLANDS LÄN</t>
        </is>
      </c>
      <c r="E5923" t="inlineStr">
        <is>
          <t>TORSBY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2927-2025</t>
        </is>
      </c>
      <c r="B5924" s="1" t="n">
        <v>45678</v>
      </c>
      <c r="C5924" s="1" t="n">
        <v>45932</v>
      </c>
      <c r="D5924" t="inlineStr">
        <is>
          <t>VÄRMLANDS LÄN</t>
        </is>
      </c>
      <c r="E5924" t="inlineStr">
        <is>
          <t>KRISTINEHAMN</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540-2024</t>
        </is>
      </c>
      <c r="B5925" s="1" t="n">
        <v>45299</v>
      </c>
      <c r="C5925" s="1" t="n">
        <v>45932</v>
      </c>
      <c r="D5925" t="inlineStr">
        <is>
          <t>VÄRMLANDS LÄN</t>
        </is>
      </c>
      <c r="E5925" t="inlineStr">
        <is>
          <t>ÅRJÄNG</t>
        </is>
      </c>
      <c r="F5925" t="inlineStr">
        <is>
          <t>Kyrkan</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42632-2023</t>
        </is>
      </c>
      <c r="B5926" s="1" t="n">
        <v>45181</v>
      </c>
      <c r="C5926" s="1" t="n">
        <v>45932</v>
      </c>
      <c r="D5926" t="inlineStr">
        <is>
          <t>VÄRMLANDS LÄN</t>
        </is>
      </c>
      <c r="E5926" t="inlineStr">
        <is>
          <t>TORSBY</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42635-2023</t>
        </is>
      </c>
      <c r="B5927" s="1" t="n">
        <v>45181.49310185185</v>
      </c>
      <c r="C5927" s="1" t="n">
        <v>45932</v>
      </c>
      <c r="D5927" t="inlineStr">
        <is>
          <t>VÄRMLANDS LÄN</t>
        </is>
      </c>
      <c r="E5927" t="inlineStr">
        <is>
          <t>TORSBY</t>
        </is>
      </c>
      <c r="G5927" t="n">
        <v>16.1</v>
      </c>
      <c r="H5927" t="n">
        <v>0</v>
      </c>
      <c r="I5927" t="n">
        <v>0</v>
      </c>
      <c r="J5927" t="n">
        <v>0</v>
      </c>
      <c r="K5927" t="n">
        <v>0</v>
      </c>
      <c r="L5927" t="n">
        <v>0</v>
      </c>
      <c r="M5927" t="n">
        <v>0</v>
      </c>
      <c r="N5927" t="n">
        <v>0</v>
      </c>
      <c r="O5927" t="n">
        <v>0</v>
      </c>
      <c r="P5927" t="n">
        <v>0</v>
      </c>
      <c r="Q5927" t="n">
        <v>0</v>
      </c>
      <c r="R5927" s="2" t="inlineStr"/>
    </row>
    <row r="5928" ht="15" customHeight="1">
      <c r="A5928" t="inlineStr">
        <is>
          <t>A 62896-2023</t>
        </is>
      </c>
      <c r="B5928" s="1" t="n">
        <v>45272.42737268518</v>
      </c>
      <c r="C5928" s="1" t="n">
        <v>45932</v>
      </c>
      <c r="D5928" t="inlineStr">
        <is>
          <t>VÄRMLANDS LÄN</t>
        </is>
      </c>
      <c r="E5928" t="inlineStr">
        <is>
          <t>GRUMS</t>
        </is>
      </c>
      <c r="G5928" t="n">
        <v>13.8</v>
      </c>
      <c r="H5928" t="n">
        <v>0</v>
      </c>
      <c r="I5928" t="n">
        <v>0</v>
      </c>
      <c r="J5928" t="n">
        <v>0</v>
      </c>
      <c r="K5928" t="n">
        <v>0</v>
      </c>
      <c r="L5928" t="n">
        <v>0</v>
      </c>
      <c r="M5928" t="n">
        <v>0</v>
      </c>
      <c r="N5928" t="n">
        <v>0</v>
      </c>
      <c r="O5928" t="n">
        <v>0</v>
      </c>
      <c r="P5928" t="n">
        <v>0</v>
      </c>
      <c r="Q5928" t="n">
        <v>0</v>
      </c>
      <c r="R5928" s="2" t="inlineStr"/>
    </row>
    <row r="5929" ht="15" customHeight="1">
      <c r="A5929" t="inlineStr">
        <is>
          <t>A 13118-2023</t>
        </is>
      </c>
      <c r="B5929" s="1" t="n">
        <v>45002.4803125</v>
      </c>
      <c r="C5929" s="1" t="n">
        <v>45932</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27985-2022</t>
        </is>
      </c>
      <c r="B5930" s="1" t="n">
        <v>44745.57325231482</v>
      </c>
      <c r="C5930" s="1" t="n">
        <v>45932</v>
      </c>
      <c r="D5930" t="inlineStr">
        <is>
          <t>VÄRMLANDS LÄN</t>
        </is>
      </c>
      <c r="E5930" t="inlineStr">
        <is>
          <t>SÄFFLE</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17286-2024</t>
        </is>
      </c>
      <c r="B5931" s="1" t="n">
        <v>45414.46113425926</v>
      </c>
      <c r="C5931" s="1" t="n">
        <v>45932</v>
      </c>
      <c r="D5931" t="inlineStr">
        <is>
          <t>VÄRMLANDS LÄN</t>
        </is>
      </c>
      <c r="E5931" t="inlineStr">
        <is>
          <t>HAGFORS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36697-2023</t>
        </is>
      </c>
      <c r="B5932" s="1" t="n">
        <v>45153.63313657408</v>
      </c>
      <c r="C5932" s="1" t="n">
        <v>45932</v>
      </c>
      <c r="D5932" t="inlineStr">
        <is>
          <t>VÄRMLANDS LÄN</t>
        </is>
      </c>
      <c r="E5932" t="inlineStr">
        <is>
          <t>STORFORS</t>
        </is>
      </c>
      <c r="F5932" t="inlineStr">
        <is>
          <t>Kyrkan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46575-2024</t>
        </is>
      </c>
      <c r="B5933" s="1" t="n">
        <v>45582</v>
      </c>
      <c r="C5933" s="1" t="n">
        <v>45932</v>
      </c>
      <c r="D5933" t="inlineStr">
        <is>
          <t>VÄRMLANDS LÄN</t>
        </is>
      </c>
      <c r="E5933" t="inlineStr">
        <is>
          <t>SÄFFLE</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20463-2024</t>
        </is>
      </c>
      <c r="B5934" s="1" t="n">
        <v>45435</v>
      </c>
      <c r="C5934" s="1" t="n">
        <v>45932</v>
      </c>
      <c r="D5934" t="inlineStr">
        <is>
          <t>VÄRMLANDS LÄN</t>
        </is>
      </c>
      <c r="E5934" t="inlineStr">
        <is>
          <t>ÅRJÄNG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26948-2025</t>
        </is>
      </c>
      <c r="B5935" s="1" t="n">
        <v>45811.43605324074</v>
      </c>
      <c r="C5935" s="1" t="n">
        <v>45932</v>
      </c>
      <c r="D5935" t="inlineStr">
        <is>
          <t>VÄRMLANDS LÄN</t>
        </is>
      </c>
      <c r="E5935" t="inlineStr">
        <is>
          <t>SÄFFLE</t>
        </is>
      </c>
      <c r="F5935" t="inlineStr">
        <is>
          <t>Bergvik skog väst AB</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18210-2024</t>
        </is>
      </c>
      <c r="B5936" s="1" t="n">
        <v>45420.74119212963</v>
      </c>
      <c r="C5936" s="1" t="n">
        <v>45932</v>
      </c>
      <c r="D5936" t="inlineStr">
        <is>
          <t>VÄRMLANDS LÄN</t>
        </is>
      </c>
      <c r="E5936" t="inlineStr">
        <is>
          <t>FILIPSTAD</t>
        </is>
      </c>
      <c r="F5936" t="inlineStr">
        <is>
          <t>Bergvik skog väst AB</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36717-2023</t>
        </is>
      </c>
      <c r="B5937" s="1" t="n">
        <v>45153</v>
      </c>
      <c r="C5937" s="1" t="n">
        <v>45932</v>
      </c>
      <c r="D5937" t="inlineStr">
        <is>
          <t>VÄRMLANDS LÄN</t>
        </is>
      </c>
      <c r="E5937" t="inlineStr">
        <is>
          <t>ARVIKA</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26960-2025</t>
        </is>
      </c>
      <c r="B5938" s="1" t="n">
        <v>45811.46167824074</v>
      </c>
      <c r="C5938" s="1" t="n">
        <v>45932</v>
      </c>
      <c r="D5938" t="inlineStr">
        <is>
          <t>VÄRMLANDS LÄN</t>
        </is>
      </c>
      <c r="E5938" t="inlineStr">
        <is>
          <t>TORSBY</t>
        </is>
      </c>
      <c r="F5938" t="inlineStr">
        <is>
          <t>Kyrkan</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26967-2025</t>
        </is>
      </c>
      <c r="B5939" s="1" t="n">
        <v>45811.47222222222</v>
      </c>
      <c r="C5939" s="1" t="n">
        <v>45932</v>
      </c>
      <c r="D5939" t="inlineStr">
        <is>
          <t>VÄRMLANDS LÄN</t>
        </is>
      </c>
      <c r="E5939" t="inlineStr">
        <is>
          <t>KIL</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26998-2025</t>
        </is>
      </c>
      <c r="B5940" s="1" t="n">
        <v>45811</v>
      </c>
      <c r="C5940" s="1" t="n">
        <v>45932</v>
      </c>
      <c r="D5940" t="inlineStr">
        <is>
          <t>VÄRMLANDS LÄN</t>
        </is>
      </c>
      <c r="E5940" t="inlineStr">
        <is>
          <t>ÅRJÄNG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14897-2024</t>
        </is>
      </c>
      <c r="B5941" s="1" t="n">
        <v>45398</v>
      </c>
      <c r="C5941" s="1" t="n">
        <v>45932</v>
      </c>
      <c r="D5941" t="inlineStr">
        <is>
          <t>VÄRMLANDS LÄN</t>
        </is>
      </c>
      <c r="E5941" t="inlineStr">
        <is>
          <t>HAGFORS</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46293-2023</t>
        </is>
      </c>
      <c r="B5942" s="1" t="n">
        <v>45197.32480324074</v>
      </c>
      <c r="C5942" s="1" t="n">
        <v>45932</v>
      </c>
      <c r="D5942" t="inlineStr">
        <is>
          <t>VÄRMLANDS LÄN</t>
        </is>
      </c>
      <c r="E5942" t="inlineStr">
        <is>
          <t>EDA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31199-2024</t>
        </is>
      </c>
      <c r="B5943" s="1" t="n">
        <v>45503</v>
      </c>
      <c r="C5943" s="1" t="n">
        <v>45932</v>
      </c>
      <c r="D5943" t="inlineStr">
        <is>
          <t>VÄRMLANDS LÄN</t>
        </is>
      </c>
      <c r="E5943" t="inlineStr">
        <is>
          <t>SÄFFLE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31221-2024</t>
        </is>
      </c>
      <c r="B5944" s="1" t="n">
        <v>45503</v>
      </c>
      <c r="C5944" s="1" t="n">
        <v>45932</v>
      </c>
      <c r="D5944" t="inlineStr">
        <is>
          <t>VÄRMLANDS LÄN</t>
        </is>
      </c>
      <c r="E5944" t="inlineStr">
        <is>
          <t>SUNNE</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6490-2023</t>
        </is>
      </c>
      <c r="B5945" s="1" t="n">
        <v>44966</v>
      </c>
      <c r="C5945" s="1" t="n">
        <v>45932</v>
      </c>
      <c r="D5945" t="inlineStr">
        <is>
          <t>VÄRMLANDS LÄN</t>
        </is>
      </c>
      <c r="E5945" t="inlineStr">
        <is>
          <t>EDA</t>
        </is>
      </c>
      <c r="F5945" t="inlineStr">
        <is>
          <t>Övriga statliga verk och myndigheter</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32601-2023</t>
        </is>
      </c>
      <c r="B5946" s="1" t="n">
        <v>45121.525625</v>
      </c>
      <c r="C5946" s="1" t="n">
        <v>45932</v>
      </c>
      <c r="D5946" t="inlineStr">
        <is>
          <t>VÄRMLANDS LÄN</t>
        </is>
      </c>
      <c r="E5946" t="inlineStr">
        <is>
          <t>ARVIKA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38806-2024</t>
        </is>
      </c>
      <c r="B5947" s="1" t="n">
        <v>45547</v>
      </c>
      <c r="C5947" s="1" t="n">
        <v>45932</v>
      </c>
      <c r="D5947" t="inlineStr">
        <is>
          <t>VÄRMLANDS LÄN</t>
        </is>
      </c>
      <c r="E5947" t="inlineStr">
        <is>
          <t>HAGFORS</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27093-2025</t>
        </is>
      </c>
      <c r="B5948" s="1" t="n">
        <v>45811.67347222222</v>
      </c>
      <c r="C5948" s="1" t="n">
        <v>45932</v>
      </c>
      <c r="D5948" t="inlineStr">
        <is>
          <t>VÄRMLANDS LÄN</t>
        </is>
      </c>
      <c r="E5948" t="inlineStr">
        <is>
          <t>TORSBY</t>
        </is>
      </c>
      <c r="F5948" t="inlineStr">
        <is>
          <t>Bergvik skog väst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13745-2022</t>
        </is>
      </c>
      <c r="B5949" s="1" t="n">
        <v>44649</v>
      </c>
      <c r="C5949" s="1" t="n">
        <v>45932</v>
      </c>
      <c r="D5949" t="inlineStr">
        <is>
          <t>VÄRMLANDS LÄN</t>
        </is>
      </c>
      <c r="E5949" t="inlineStr">
        <is>
          <t>KARLSTAD</t>
        </is>
      </c>
      <c r="F5949" t="inlineStr">
        <is>
          <t>Bergvik skog väst AB</t>
        </is>
      </c>
      <c r="G5949" t="n">
        <v>20.8</v>
      </c>
      <c r="H5949" t="n">
        <v>0</v>
      </c>
      <c r="I5949" t="n">
        <v>0</v>
      </c>
      <c r="J5949" t="n">
        <v>0</v>
      </c>
      <c r="K5949" t="n">
        <v>0</v>
      </c>
      <c r="L5949" t="n">
        <v>0</v>
      </c>
      <c r="M5949" t="n">
        <v>0</v>
      </c>
      <c r="N5949" t="n">
        <v>0</v>
      </c>
      <c r="O5949" t="n">
        <v>0</v>
      </c>
      <c r="P5949" t="n">
        <v>0</v>
      </c>
      <c r="Q5949" t="n">
        <v>0</v>
      </c>
      <c r="R5949" s="2" t="inlineStr"/>
    </row>
    <row r="5950" ht="15" customHeight="1">
      <c r="A5950" t="inlineStr">
        <is>
          <t>A 27126-2025</t>
        </is>
      </c>
      <c r="B5950" s="1" t="n">
        <v>45811</v>
      </c>
      <c r="C5950" s="1" t="n">
        <v>45932</v>
      </c>
      <c r="D5950" t="inlineStr">
        <is>
          <t>VÄRMLANDS LÄN</t>
        </is>
      </c>
      <c r="E5950" t="inlineStr">
        <is>
          <t>FILIPSTAD</t>
        </is>
      </c>
      <c r="F5950" t="inlineStr">
        <is>
          <t>Bergvik skog väst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26884-2025</t>
        </is>
      </c>
      <c r="B5951" s="1" t="n">
        <v>45810.89060185185</v>
      </c>
      <c r="C5951" s="1" t="n">
        <v>45932</v>
      </c>
      <c r="D5951" t="inlineStr">
        <is>
          <t>VÄRMLANDS LÄN</t>
        </is>
      </c>
      <c r="E5951" t="inlineStr">
        <is>
          <t>SUNNE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14119-2024</t>
        </is>
      </c>
      <c r="B5952" s="1" t="n">
        <v>45392</v>
      </c>
      <c r="C5952" s="1" t="n">
        <v>45932</v>
      </c>
      <c r="D5952" t="inlineStr">
        <is>
          <t>VÄRMLANDS LÄN</t>
        </is>
      </c>
      <c r="E5952" t="inlineStr">
        <is>
          <t>SUNNE</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9252-2024</t>
        </is>
      </c>
      <c r="B5953" s="1" t="n">
        <v>45358</v>
      </c>
      <c r="C5953" s="1" t="n">
        <v>45932</v>
      </c>
      <c r="D5953" t="inlineStr">
        <is>
          <t>VÄRMLANDS LÄN</t>
        </is>
      </c>
      <c r="E5953" t="inlineStr">
        <is>
          <t>SÄFFLE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42947-2021</t>
        </is>
      </c>
      <c r="B5954" s="1" t="n">
        <v>44431</v>
      </c>
      <c r="C5954" s="1" t="n">
        <v>45932</v>
      </c>
      <c r="D5954" t="inlineStr">
        <is>
          <t>VÄRMLANDS LÄN</t>
        </is>
      </c>
      <c r="E5954" t="inlineStr">
        <is>
          <t>KRISTINEHAMN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57517-2024</t>
        </is>
      </c>
      <c r="B5955" s="1" t="n">
        <v>45630</v>
      </c>
      <c r="C5955" s="1" t="n">
        <v>45932</v>
      </c>
      <c r="D5955" t="inlineStr">
        <is>
          <t>VÄRMLANDS LÄN</t>
        </is>
      </c>
      <c r="E5955" t="inlineStr">
        <is>
          <t>SÄFFLE</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12350-2025</t>
        </is>
      </c>
      <c r="B5956" s="1" t="n">
        <v>45730</v>
      </c>
      <c r="C5956" s="1" t="n">
        <v>45932</v>
      </c>
      <c r="D5956" t="inlineStr">
        <is>
          <t>VÄRMLANDS LÄN</t>
        </is>
      </c>
      <c r="E5956" t="inlineStr">
        <is>
          <t>EDA</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52187-2023</t>
        </is>
      </c>
      <c r="B5957" s="1" t="n">
        <v>45224</v>
      </c>
      <c r="C5957" s="1" t="n">
        <v>45932</v>
      </c>
      <c r="D5957" t="inlineStr">
        <is>
          <t>VÄRMLANDS LÄN</t>
        </is>
      </c>
      <c r="E5957" t="inlineStr">
        <is>
          <t>EDA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46351-2023</t>
        </is>
      </c>
      <c r="B5958" s="1" t="n">
        <v>45197.42811342593</v>
      </c>
      <c r="C5958" s="1" t="n">
        <v>45932</v>
      </c>
      <c r="D5958" t="inlineStr">
        <is>
          <t>VÄRMLANDS LÄN</t>
        </is>
      </c>
      <c r="E5958" t="inlineStr">
        <is>
          <t>ÅRJÄNG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1158-2025</t>
        </is>
      </c>
      <c r="B5959" s="1" t="n">
        <v>45666.76282407407</v>
      </c>
      <c r="C5959" s="1" t="n">
        <v>45932</v>
      </c>
      <c r="D5959" t="inlineStr">
        <is>
          <t>VÄRMLANDS LÄN</t>
        </is>
      </c>
      <c r="E5959" t="inlineStr">
        <is>
          <t>SUNNE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49217-2023</t>
        </is>
      </c>
      <c r="B5960" s="1" t="n">
        <v>45210.61206018519</v>
      </c>
      <c r="C5960" s="1" t="n">
        <v>45932</v>
      </c>
      <c r="D5960" t="inlineStr">
        <is>
          <t>VÄRMLANDS LÄN</t>
        </is>
      </c>
      <c r="E5960" t="inlineStr">
        <is>
          <t>SUNNE</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17742-2025</t>
        </is>
      </c>
      <c r="B5961" s="1" t="n">
        <v>45758.47685185185</v>
      </c>
      <c r="C5961" s="1" t="n">
        <v>45932</v>
      </c>
      <c r="D5961" t="inlineStr">
        <is>
          <t>VÄRMLANDS LÄN</t>
        </is>
      </c>
      <c r="E5961" t="inlineStr">
        <is>
          <t>EDA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37668-2024</t>
        </is>
      </c>
      <c r="B5962" s="1" t="n">
        <v>45541</v>
      </c>
      <c r="C5962" s="1" t="n">
        <v>45932</v>
      </c>
      <c r="D5962" t="inlineStr">
        <is>
          <t>VÄRMLANDS LÄN</t>
        </is>
      </c>
      <c r="E5962" t="inlineStr">
        <is>
          <t>ARVIKA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10260-2025</t>
        </is>
      </c>
      <c r="B5963" s="1" t="n">
        <v>45720.37982638889</v>
      </c>
      <c r="C5963" s="1" t="n">
        <v>45932</v>
      </c>
      <c r="D5963" t="inlineStr">
        <is>
          <t>VÄRMLANDS LÄN</t>
        </is>
      </c>
      <c r="E5963" t="inlineStr">
        <is>
          <t>KARLSTAD</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26897-2025</t>
        </is>
      </c>
      <c r="B5964" s="1" t="n">
        <v>45811.34108796297</v>
      </c>
      <c r="C5964" s="1" t="n">
        <v>45932</v>
      </c>
      <c r="D5964" t="inlineStr">
        <is>
          <t>VÄRMLANDS LÄN</t>
        </is>
      </c>
      <c r="E5964" t="inlineStr">
        <is>
          <t>TORSBY</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7256-2021</t>
        </is>
      </c>
      <c r="B5965" s="1" t="n">
        <v>44238</v>
      </c>
      <c r="C5965" s="1" t="n">
        <v>45932</v>
      </c>
      <c r="D5965" t="inlineStr">
        <is>
          <t>VÄRMLANDS LÄN</t>
        </is>
      </c>
      <c r="E5965" t="inlineStr">
        <is>
          <t>ARVIKA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32256-2021</t>
        </is>
      </c>
      <c r="B5966" s="1" t="n">
        <v>44370</v>
      </c>
      <c r="C5966" s="1" t="n">
        <v>45932</v>
      </c>
      <c r="D5966" t="inlineStr">
        <is>
          <t>VÄRMLANDS LÄN</t>
        </is>
      </c>
      <c r="E5966" t="inlineStr">
        <is>
          <t>SÄFFLE</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4510-2023</t>
        </is>
      </c>
      <c r="B5967" s="1" t="n">
        <v>44956.57528935185</v>
      </c>
      <c r="C5967" s="1" t="n">
        <v>45932</v>
      </c>
      <c r="D5967" t="inlineStr">
        <is>
          <t>VÄRMLANDS LÄN</t>
        </is>
      </c>
      <c r="E5967" t="inlineStr">
        <is>
          <t>TORSBY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4137-2025</t>
        </is>
      </c>
      <c r="B5968" s="1" t="n">
        <v>45685.35232638889</v>
      </c>
      <c r="C5968" s="1" t="n">
        <v>45932</v>
      </c>
      <c r="D5968" t="inlineStr">
        <is>
          <t>VÄRMLANDS LÄN</t>
        </is>
      </c>
      <c r="E5968" t="inlineStr">
        <is>
          <t>ÅRJÄNG</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56671-2023</t>
        </is>
      </c>
      <c r="B5969" s="1" t="n">
        <v>45243.89223379629</v>
      </c>
      <c r="C5969" s="1" t="n">
        <v>45932</v>
      </c>
      <c r="D5969" t="inlineStr">
        <is>
          <t>VÄRMLANDS LÄN</t>
        </is>
      </c>
      <c r="E5969" t="inlineStr">
        <is>
          <t>KRISTINEHAMN</t>
        </is>
      </c>
      <c r="G5969" t="n">
        <v>8.699999999999999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57306-2023</t>
        </is>
      </c>
      <c r="B5970" s="1" t="n">
        <v>45245.62431712963</v>
      </c>
      <c r="C5970" s="1" t="n">
        <v>45932</v>
      </c>
      <c r="D5970" t="inlineStr">
        <is>
          <t>VÄRMLANDS LÄN</t>
        </is>
      </c>
      <c r="E5970" t="inlineStr">
        <is>
          <t>ÅRJÄNG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3884-2021</t>
        </is>
      </c>
      <c r="B5971" s="1" t="n">
        <v>44221</v>
      </c>
      <c r="C5971" s="1" t="n">
        <v>45932</v>
      </c>
      <c r="D5971" t="inlineStr">
        <is>
          <t>VÄRMLANDS LÄN</t>
        </is>
      </c>
      <c r="E5971" t="inlineStr">
        <is>
          <t>SÄFFLE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32830-2023</t>
        </is>
      </c>
      <c r="B5972" s="1" t="n">
        <v>45124.58128472222</v>
      </c>
      <c r="C5972" s="1" t="n">
        <v>45932</v>
      </c>
      <c r="D5972" t="inlineStr">
        <is>
          <t>VÄRMLANDS LÄN</t>
        </is>
      </c>
      <c r="E5972" t="inlineStr">
        <is>
          <t>FORSHAGA</t>
        </is>
      </c>
      <c r="F5972" t="inlineStr">
        <is>
          <t>Kommuner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59784-2023</t>
        </is>
      </c>
      <c r="B5973" s="1" t="n">
        <v>45257</v>
      </c>
      <c r="C5973" s="1" t="n">
        <v>45932</v>
      </c>
      <c r="D5973" t="inlineStr">
        <is>
          <t>VÄRMLANDS LÄN</t>
        </is>
      </c>
      <c r="E5973" t="inlineStr">
        <is>
          <t>ÅRJÄNG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41514-2024</t>
        </is>
      </c>
      <c r="B5974" s="1" t="n">
        <v>45560</v>
      </c>
      <c r="C5974" s="1" t="n">
        <v>45932</v>
      </c>
      <c r="D5974" t="inlineStr">
        <is>
          <t>VÄRMLANDS LÄN</t>
        </is>
      </c>
      <c r="E5974" t="inlineStr">
        <is>
          <t>KARLSTAD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26871-2025</t>
        </is>
      </c>
      <c r="B5975" s="1" t="n">
        <v>45810</v>
      </c>
      <c r="C5975" s="1" t="n">
        <v>45932</v>
      </c>
      <c r="D5975" t="inlineStr">
        <is>
          <t>VÄRMLANDS LÄN</t>
        </is>
      </c>
      <c r="E5975" t="inlineStr">
        <is>
          <t>KRISTINEHAMN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26877-2025</t>
        </is>
      </c>
      <c r="B5976" s="1" t="n">
        <v>45809</v>
      </c>
      <c r="C5976" s="1" t="n">
        <v>45932</v>
      </c>
      <c r="D5976" t="inlineStr">
        <is>
          <t>VÄRMLANDS LÄN</t>
        </is>
      </c>
      <c r="E5976" t="inlineStr">
        <is>
          <t>SUNNE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26980-2025</t>
        </is>
      </c>
      <c r="B5977" s="1" t="n">
        <v>45811.48958333334</v>
      </c>
      <c r="C5977" s="1" t="n">
        <v>45932</v>
      </c>
      <c r="D5977" t="inlineStr">
        <is>
          <t>VÄRMLANDS LÄN</t>
        </is>
      </c>
      <c r="E5977" t="inlineStr">
        <is>
          <t>HAGFORS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26982-2025</t>
        </is>
      </c>
      <c r="B5978" s="1" t="n">
        <v>45811.49100694444</v>
      </c>
      <c r="C5978" s="1" t="n">
        <v>45932</v>
      </c>
      <c r="D5978" t="inlineStr">
        <is>
          <t>VÄRMLANDS LÄN</t>
        </is>
      </c>
      <c r="E5978" t="inlineStr">
        <is>
          <t>HAGFORS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26968-2025</t>
        </is>
      </c>
      <c r="B5979" s="1" t="n">
        <v>45811.47616898148</v>
      </c>
      <c r="C5979" s="1" t="n">
        <v>45932</v>
      </c>
      <c r="D5979" t="inlineStr">
        <is>
          <t>VÄRMLANDS LÄN</t>
        </is>
      </c>
      <c r="E5979" t="inlineStr">
        <is>
          <t>KIL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12840-2025</t>
        </is>
      </c>
      <c r="B5980" s="1" t="n">
        <v>45733</v>
      </c>
      <c r="C5980" s="1" t="n">
        <v>45932</v>
      </c>
      <c r="D5980" t="inlineStr">
        <is>
          <t>VÄRMLANDS LÄN</t>
        </is>
      </c>
      <c r="E5980" t="inlineStr">
        <is>
          <t>ÅRJÄNG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26685-2025</t>
        </is>
      </c>
      <c r="B5981" s="1" t="n">
        <v>45810</v>
      </c>
      <c r="C5981" s="1" t="n">
        <v>45932</v>
      </c>
      <c r="D5981" t="inlineStr">
        <is>
          <t>VÄRMLANDS LÄN</t>
        </is>
      </c>
      <c r="E5981" t="inlineStr">
        <is>
          <t>ARVIKA</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26695-2025</t>
        </is>
      </c>
      <c r="B5982" s="1" t="n">
        <v>45810</v>
      </c>
      <c r="C5982" s="1" t="n">
        <v>45932</v>
      </c>
      <c r="D5982" t="inlineStr">
        <is>
          <t>VÄRMLANDS LÄN</t>
        </is>
      </c>
      <c r="E5982" t="inlineStr">
        <is>
          <t>ARVIKA</t>
        </is>
      </c>
      <c r="F5982" t="inlineStr">
        <is>
          <t>Bergvik skog väst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24789-2024</t>
        </is>
      </c>
      <c r="B5983" s="1" t="n">
        <v>45460</v>
      </c>
      <c r="C5983" s="1" t="n">
        <v>45932</v>
      </c>
      <c r="D5983" t="inlineStr">
        <is>
          <t>VÄRMLANDS LÄN</t>
        </is>
      </c>
      <c r="E5983" t="inlineStr">
        <is>
          <t>ÅRJÄNG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31077-2024</t>
        </is>
      </c>
      <c r="B5984" s="1" t="n">
        <v>45502.4609375</v>
      </c>
      <c r="C5984" s="1" t="n">
        <v>45932</v>
      </c>
      <c r="D5984" t="inlineStr">
        <is>
          <t>VÄRMLANDS LÄN</t>
        </is>
      </c>
      <c r="E5984" t="inlineStr">
        <is>
          <t>EDA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26843-2024</t>
        </is>
      </c>
      <c r="B5985" s="1" t="n">
        <v>45470.57790509259</v>
      </c>
      <c r="C5985" s="1" t="n">
        <v>45932</v>
      </c>
      <c r="D5985" t="inlineStr">
        <is>
          <t>VÄRMLANDS LÄN</t>
        </is>
      </c>
      <c r="E5985" t="inlineStr">
        <is>
          <t>FILIPSTAD</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26876-2024</t>
        </is>
      </c>
      <c r="B5986" s="1" t="n">
        <v>45470.62181712963</v>
      </c>
      <c r="C5986" s="1" t="n">
        <v>45932</v>
      </c>
      <c r="D5986" t="inlineStr">
        <is>
          <t>VÄRMLANDS LÄN</t>
        </is>
      </c>
      <c r="E5986" t="inlineStr">
        <is>
          <t>TORSBY</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35705-2024</t>
        </is>
      </c>
      <c r="B5987" s="1" t="n">
        <v>45532.46422453703</v>
      </c>
      <c r="C5987" s="1" t="n">
        <v>45932</v>
      </c>
      <c r="D5987" t="inlineStr">
        <is>
          <t>VÄRMLANDS LÄN</t>
        </is>
      </c>
      <c r="E5987" t="inlineStr">
        <is>
          <t>EDA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33078-2024</t>
        </is>
      </c>
      <c r="B5988" s="1" t="n">
        <v>45517</v>
      </c>
      <c r="C5988" s="1" t="n">
        <v>45932</v>
      </c>
      <c r="D5988" t="inlineStr">
        <is>
          <t>VÄRMLANDS LÄN</t>
        </is>
      </c>
      <c r="E5988" t="inlineStr">
        <is>
          <t>TORSBY</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59645-2020</t>
        </is>
      </c>
      <c r="B5989" s="1" t="n">
        <v>44150</v>
      </c>
      <c r="C5989" s="1" t="n">
        <v>45932</v>
      </c>
      <c r="D5989" t="inlineStr">
        <is>
          <t>VÄRMLANDS LÄN</t>
        </is>
      </c>
      <c r="E5989" t="inlineStr">
        <is>
          <t>SUNNE</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36175-2024</t>
        </is>
      </c>
      <c r="B5990" s="1" t="n">
        <v>45534.40834490741</v>
      </c>
      <c r="C5990" s="1" t="n">
        <v>45932</v>
      </c>
      <c r="D5990" t="inlineStr">
        <is>
          <t>VÄRMLANDS LÄN</t>
        </is>
      </c>
      <c r="E5990" t="inlineStr">
        <is>
          <t>TORSBY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42662-2024</t>
        </is>
      </c>
      <c r="B5991" s="1" t="n">
        <v>45566</v>
      </c>
      <c r="C5991" s="1" t="n">
        <v>45932</v>
      </c>
      <c r="D5991" t="inlineStr">
        <is>
          <t>VÄRMLANDS LÄN</t>
        </is>
      </c>
      <c r="E5991" t="inlineStr">
        <is>
          <t>TORSBY</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39039-2024</t>
        </is>
      </c>
      <c r="B5992" s="1" t="n">
        <v>45548</v>
      </c>
      <c r="C5992" s="1" t="n">
        <v>45932</v>
      </c>
      <c r="D5992" t="inlineStr">
        <is>
          <t>VÄRMLANDS LÄN</t>
        </is>
      </c>
      <c r="E5992" t="inlineStr">
        <is>
          <t>KIL</t>
        </is>
      </c>
      <c r="F5992" t="inlineStr">
        <is>
          <t>Kyrkan</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39040-2024</t>
        </is>
      </c>
      <c r="B5993" s="1" t="n">
        <v>45548</v>
      </c>
      <c r="C5993" s="1" t="n">
        <v>45932</v>
      </c>
      <c r="D5993" t="inlineStr">
        <is>
          <t>VÄRMLANDS LÄN</t>
        </is>
      </c>
      <c r="E5993" t="inlineStr">
        <is>
          <t>SUNNE</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33948-2023</t>
        </is>
      </c>
      <c r="B5994" s="1" t="n">
        <v>45124</v>
      </c>
      <c r="C5994" s="1" t="n">
        <v>45932</v>
      </c>
      <c r="D5994" t="inlineStr">
        <is>
          <t>VÄRMLANDS LÄN</t>
        </is>
      </c>
      <c r="E5994" t="inlineStr">
        <is>
          <t>GRUMS</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29204-2023</t>
        </is>
      </c>
      <c r="B5995" s="1" t="n">
        <v>45105.5669212963</v>
      </c>
      <c r="C5995" s="1" t="n">
        <v>45932</v>
      </c>
      <c r="D5995" t="inlineStr">
        <is>
          <t>VÄRMLANDS LÄN</t>
        </is>
      </c>
      <c r="E5995" t="inlineStr">
        <is>
          <t>ÅRJÄNG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53539-2023</t>
        </is>
      </c>
      <c r="B5996" s="1" t="n">
        <v>45230.45539351852</v>
      </c>
      <c r="C5996" s="1" t="n">
        <v>45932</v>
      </c>
      <c r="D5996" t="inlineStr">
        <is>
          <t>VÄRMLANDS LÄN</t>
        </is>
      </c>
      <c r="E5996" t="inlineStr">
        <is>
          <t>ARVIKA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46019-2023</t>
        </is>
      </c>
      <c r="B5997" s="1" t="n">
        <v>45196.39324074074</v>
      </c>
      <c r="C5997" s="1" t="n">
        <v>45932</v>
      </c>
      <c r="D5997" t="inlineStr">
        <is>
          <t>VÄRMLANDS LÄN</t>
        </is>
      </c>
      <c r="E5997" t="inlineStr">
        <is>
          <t>KARLSTAD</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59340-2024</t>
        </is>
      </c>
      <c r="B5998" s="1" t="n">
        <v>45637.86574074074</v>
      </c>
      <c r="C5998" s="1" t="n">
        <v>45932</v>
      </c>
      <c r="D5998" t="inlineStr">
        <is>
          <t>VÄRMLANDS LÄN</t>
        </is>
      </c>
      <c r="E5998" t="inlineStr">
        <is>
          <t>MUNKFORS</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53619-2023</t>
        </is>
      </c>
      <c r="B5999" s="1" t="n">
        <v>45230.57813657408</v>
      </c>
      <c r="C5999" s="1" t="n">
        <v>45932</v>
      </c>
      <c r="D5999" t="inlineStr">
        <is>
          <t>VÄRMLANDS LÄN</t>
        </is>
      </c>
      <c r="E5999" t="inlineStr">
        <is>
          <t>FILIPSTAD</t>
        </is>
      </c>
      <c r="F5999" t="inlineStr">
        <is>
          <t>Bergvik skog väst AB</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20633-2024</t>
        </is>
      </c>
      <c r="B6000" s="1" t="n">
        <v>45436</v>
      </c>
      <c r="C6000" s="1" t="n">
        <v>45932</v>
      </c>
      <c r="D6000" t="inlineStr">
        <is>
          <t>VÄRMLANDS LÄN</t>
        </is>
      </c>
      <c r="E6000" t="inlineStr">
        <is>
          <t>TORSBY</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20662-2024</t>
        </is>
      </c>
      <c r="B6001" s="1" t="n">
        <v>45436</v>
      </c>
      <c r="C6001" s="1" t="n">
        <v>45932</v>
      </c>
      <c r="D6001" t="inlineStr">
        <is>
          <t>VÄRMLANDS LÄN</t>
        </is>
      </c>
      <c r="E6001" t="inlineStr">
        <is>
          <t>HAGFORS</t>
        </is>
      </c>
      <c r="F6001" t="inlineStr">
        <is>
          <t>Bergvik skog väst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68603-2020</t>
        </is>
      </c>
      <c r="B6002" s="1" t="n">
        <v>44186</v>
      </c>
      <c r="C6002" s="1" t="n">
        <v>45932</v>
      </c>
      <c r="D6002" t="inlineStr">
        <is>
          <t>VÄRMLANDS LÄN</t>
        </is>
      </c>
      <c r="E6002" t="inlineStr">
        <is>
          <t>TORSBY</t>
        </is>
      </c>
      <c r="G6002" t="n">
        <v>11.2</v>
      </c>
      <c r="H6002" t="n">
        <v>0</v>
      </c>
      <c r="I6002" t="n">
        <v>0</v>
      </c>
      <c r="J6002" t="n">
        <v>0</v>
      </c>
      <c r="K6002" t="n">
        <v>0</v>
      </c>
      <c r="L6002" t="n">
        <v>0</v>
      </c>
      <c r="M6002" t="n">
        <v>0</v>
      </c>
      <c r="N6002" t="n">
        <v>0</v>
      </c>
      <c r="O6002" t="n">
        <v>0</v>
      </c>
      <c r="P6002" t="n">
        <v>0</v>
      </c>
      <c r="Q6002" t="n">
        <v>0</v>
      </c>
      <c r="R6002" s="2" t="inlineStr"/>
    </row>
    <row r="6003" ht="15" customHeight="1">
      <c r="A6003" t="inlineStr">
        <is>
          <t>A 45231-2023</t>
        </is>
      </c>
      <c r="B6003" s="1" t="n">
        <v>45191</v>
      </c>
      <c r="C6003" s="1" t="n">
        <v>45932</v>
      </c>
      <c r="D6003" t="inlineStr">
        <is>
          <t>VÄRMLANDS LÄN</t>
        </is>
      </c>
      <c r="E6003" t="inlineStr">
        <is>
          <t>TORSBY</t>
        </is>
      </c>
      <c r="F6003" t="inlineStr">
        <is>
          <t>Bergvik skog väst AB</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40590-2021</t>
        </is>
      </c>
      <c r="B6004" s="1" t="n">
        <v>44420</v>
      </c>
      <c r="C6004" s="1" t="n">
        <v>45932</v>
      </c>
      <c r="D6004" t="inlineStr">
        <is>
          <t>VÄRMLANDS LÄN</t>
        </is>
      </c>
      <c r="E6004" t="inlineStr">
        <is>
          <t>TORSBY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52574-2024</t>
        </is>
      </c>
      <c r="B6005" s="1" t="n">
        <v>45609</v>
      </c>
      <c r="C6005" s="1" t="n">
        <v>45932</v>
      </c>
      <c r="D6005" t="inlineStr">
        <is>
          <t>VÄRMLANDS LÄN</t>
        </is>
      </c>
      <c r="E6005" t="inlineStr">
        <is>
          <t>ÅRJÄNG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74463-2021</t>
        </is>
      </c>
      <c r="B6006" s="1" t="n">
        <v>44560.5255787037</v>
      </c>
      <c r="C6006" s="1" t="n">
        <v>45932</v>
      </c>
      <c r="D6006" t="inlineStr">
        <is>
          <t>VÄRMLANDS LÄN</t>
        </is>
      </c>
      <c r="E6006" t="inlineStr">
        <is>
          <t>ÅRJÄNG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64121-2023</t>
        </is>
      </c>
      <c r="B6007" s="1" t="n">
        <v>45279</v>
      </c>
      <c r="C6007" s="1" t="n">
        <v>45932</v>
      </c>
      <c r="D6007" t="inlineStr">
        <is>
          <t>VÄRMLANDS LÄN</t>
        </is>
      </c>
      <c r="E6007" t="inlineStr">
        <is>
          <t>FORSHAGA</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64140-2023</t>
        </is>
      </c>
      <c r="B6008" s="1" t="n">
        <v>45279.5659375</v>
      </c>
      <c r="C6008" s="1" t="n">
        <v>45932</v>
      </c>
      <c r="D6008" t="inlineStr">
        <is>
          <t>VÄRMLANDS LÄN</t>
        </is>
      </c>
      <c r="E6008" t="inlineStr">
        <is>
          <t>KIL</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64151-2023</t>
        </is>
      </c>
      <c r="B6009" s="1" t="n">
        <v>45279.58803240741</v>
      </c>
      <c r="C6009" s="1" t="n">
        <v>45932</v>
      </c>
      <c r="D6009" t="inlineStr">
        <is>
          <t>VÄRMLANDS LÄN</t>
        </is>
      </c>
      <c r="E6009" t="inlineStr">
        <is>
          <t>ÅRJÄNG</t>
        </is>
      </c>
      <c r="G6009" t="n">
        <v>24.5</v>
      </c>
      <c r="H6009" t="n">
        <v>0</v>
      </c>
      <c r="I6009" t="n">
        <v>0</v>
      </c>
      <c r="J6009" t="n">
        <v>0</v>
      </c>
      <c r="K6009" t="n">
        <v>0</v>
      </c>
      <c r="L6009" t="n">
        <v>0</v>
      </c>
      <c r="M6009" t="n">
        <v>0</v>
      </c>
      <c r="N6009" t="n">
        <v>0</v>
      </c>
      <c r="O6009" t="n">
        <v>0</v>
      </c>
      <c r="P6009" t="n">
        <v>0</v>
      </c>
      <c r="Q6009" t="n">
        <v>0</v>
      </c>
      <c r="R6009" s="2" t="inlineStr"/>
    </row>
    <row r="6010" ht="15" customHeight="1">
      <c r="A6010" t="inlineStr">
        <is>
          <t>A 64155-2023</t>
        </is>
      </c>
      <c r="B6010" s="1" t="n">
        <v>45279.59862268518</v>
      </c>
      <c r="C6010" s="1" t="n">
        <v>45932</v>
      </c>
      <c r="D6010" t="inlineStr">
        <is>
          <t>VÄRMLANDS LÄN</t>
        </is>
      </c>
      <c r="E6010" t="inlineStr">
        <is>
          <t>HAGFORS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10218-2023</t>
        </is>
      </c>
      <c r="B6011" s="1" t="n">
        <v>44986.59697916666</v>
      </c>
      <c r="C6011" s="1" t="n">
        <v>45932</v>
      </c>
      <c r="D6011" t="inlineStr">
        <is>
          <t>VÄRMLANDS LÄN</t>
        </is>
      </c>
      <c r="E6011" t="inlineStr">
        <is>
          <t>TORSBY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47688-2023</t>
        </is>
      </c>
      <c r="B6012" s="1" t="n">
        <v>45203</v>
      </c>
      <c r="C6012" s="1" t="n">
        <v>45932</v>
      </c>
      <c r="D6012" t="inlineStr">
        <is>
          <t>VÄRMLANDS LÄN</t>
        </is>
      </c>
      <c r="E6012" t="inlineStr">
        <is>
          <t>ÅRJÄNG</t>
        </is>
      </c>
      <c r="F6012" t="inlineStr">
        <is>
          <t>Övriga Aktiebolag</t>
        </is>
      </c>
      <c r="G6012" t="n">
        <v>20.3</v>
      </c>
      <c r="H6012" t="n">
        <v>0</v>
      </c>
      <c r="I6012" t="n">
        <v>0</v>
      </c>
      <c r="J6012" t="n">
        <v>0</v>
      </c>
      <c r="K6012" t="n">
        <v>0</v>
      </c>
      <c r="L6012" t="n">
        <v>0</v>
      </c>
      <c r="M6012" t="n">
        <v>0</v>
      </c>
      <c r="N6012" t="n">
        <v>0</v>
      </c>
      <c r="O6012" t="n">
        <v>0</v>
      </c>
      <c r="P6012" t="n">
        <v>0</v>
      </c>
      <c r="Q6012" t="n">
        <v>0</v>
      </c>
      <c r="R6012" s="2" t="inlineStr"/>
    </row>
    <row r="6013" ht="15" customHeight="1">
      <c r="A6013" t="inlineStr">
        <is>
          <t>A 33218-2023</t>
        </is>
      </c>
      <c r="B6013" s="1" t="n">
        <v>45127</v>
      </c>
      <c r="C6013" s="1" t="n">
        <v>45932</v>
      </c>
      <c r="D6013" t="inlineStr">
        <is>
          <t>VÄRMLANDS LÄN</t>
        </is>
      </c>
      <c r="E6013" t="inlineStr">
        <is>
          <t>FORSHAGA</t>
        </is>
      </c>
      <c r="F6013" t="inlineStr">
        <is>
          <t>Kommuner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33224-2023</t>
        </is>
      </c>
      <c r="B6014" s="1" t="n">
        <v>45127</v>
      </c>
      <c r="C6014" s="1" t="n">
        <v>45932</v>
      </c>
      <c r="D6014" t="inlineStr">
        <is>
          <t>VÄRMLANDS LÄN</t>
        </is>
      </c>
      <c r="E6014" t="inlineStr">
        <is>
          <t>FORSHAGA</t>
        </is>
      </c>
      <c r="F6014" t="inlineStr">
        <is>
          <t>Kommuner</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33598-2024</t>
        </is>
      </c>
      <c r="B6015" s="1" t="n">
        <v>45520.36878472222</v>
      </c>
      <c r="C6015" s="1" t="n">
        <v>45932</v>
      </c>
      <c r="D6015" t="inlineStr">
        <is>
          <t>VÄRMLANDS LÄN</t>
        </is>
      </c>
      <c r="E6015" t="inlineStr">
        <is>
          <t>ARVIKA</t>
        </is>
      </c>
      <c r="F6015" t="inlineStr">
        <is>
          <t>Bergvik skog väst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28004-2024</t>
        </is>
      </c>
      <c r="B6016" s="1" t="n">
        <v>45476.44668981482</v>
      </c>
      <c r="C6016" s="1" t="n">
        <v>45932</v>
      </c>
      <c r="D6016" t="inlineStr">
        <is>
          <t>VÄRMLANDS LÄN</t>
        </is>
      </c>
      <c r="E6016" t="inlineStr">
        <is>
          <t>SUNNE</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49883-2024</t>
        </is>
      </c>
      <c r="B6017" s="1" t="n">
        <v>45597</v>
      </c>
      <c r="C6017" s="1" t="n">
        <v>45932</v>
      </c>
      <c r="D6017" t="inlineStr">
        <is>
          <t>VÄRMLANDS LÄN</t>
        </is>
      </c>
      <c r="E6017" t="inlineStr">
        <is>
          <t>ARVIKA</t>
        </is>
      </c>
      <c r="F6017" t="inlineStr">
        <is>
          <t>Bergvik skog väst AB</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61643-2024</t>
        </is>
      </c>
      <c r="B6018" s="1" t="n">
        <v>45646</v>
      </c>
      <c r="C6018" s="1" t="n">
        <v>45932</v>
      </c>
      <c r="D6018" t="inlineStr">
        <is>
          <t>VÄRMLANDS LÄN</t>
        </is>
      </c>
      <c r="E6018" t="inlineStr">
        <is>
          <t>FILIPSTAD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25947-2022</t>
        </is>
      </c>
      <c r="B6019" s="1" t="n">
        <v>44734</v>
      </c>
      <c r="C6019" s="1" t="n">
        <v>45932</v>
      </c>
      <c r="D6019" t="inlineStr">
        <is>
          <t>VÄRMLANDS LÄN</t>
        </is>
      </c>
      <c r="E6019" t="inlineStr">
        <is>
          <t>SÄFFLE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33499-2024</t>
        </is>
      </c>
      <c r="B6020" s="1" t="n">
        <v>45519.62280092593</v>
      </c>
      <c r="C6020" s="1" t="n">
        <v>45932</v>
      </c>
      <c r="D6020" t="inlineStr">
        <is>
          <t>VÄRMLANDS LÄN</t>
        </is>
      </c>
      <c r="E6020" t="inlineStr">
        <is>
          <t>TORSBY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69839-2021</t>
        </is>
      </c>
      <c r="B6021" s="1" t="n">
        <v>44532</v>
      </c>
      <c r="C6021" s="1" t="n">
        <v>45932</v>
      </c>
      <c r="D6021" t="inlineStr">
        <is>
          <t>VÄRMLANDS LÄN</t>
        </is>
      </c>
      <c r="E6021" t="inlineStr">
        <is>
          <t>ÅRJÄNG</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69847-2021</t>
        </is>
      </c>
      <c r="B6022" s="1" t="n">
        <v>44532</v>
      </c>
      <c r="C6022" s="1" t="n">
        <v>45932</v>
      </c>
      <c r="D6022" t="inlineStr">
        <is>
          <t>VÄRMLANDS LÄN</t>
        </is>
      </c>
      <c r="E6022" t="inlineStr">
        <is>
          <t>GRUMS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46698-2024</t>
        </is>
      </c>
      <c r="B6023" s="1" t="n">
        <v>45583.43209490741</v>
      </c>
      <c r="C6023" s="1" t="n">
        <v>45932</v>
      </c>
      <c r="D6023" t="inlineStr">
        <is>
          <t>VÄRMLANDS LÄN</t>
        </is>
      </c>
      <c r="E6023" t="inlineStr">
        <is>
          <t>TORSBY</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20920-2023</t>
        </is>
      </c>
      <c r="B6024" s="1" t="n">
        <v>45061.32634259259</v>
      </c>
      <c r="C6024" s="1" t="n">
        <v>45932</v>
      </c>
      <c r="D6024" t="inlineStr">
        <is>
          <t>VÄRMLANDS LÄN</t>
        </is>
      </c>
      <c r="E6024" t="inlineStr">
        <is>
          <t>EDA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1708-2025</t>
        </is>
      </c>
      <c r="B6025" s="1" t="n">
        <v>45670</v>
      </c>
      <c r="C6025" s="1" t="n">
        <v>45932</v>
      </c>
      <c r="D6025" t="inlineStr">
        <is>
          <t>VÄRMLANDS LÄN</t>
        </is>
      </c>
      <c r="E6025" t="inlineStr">
        <is>
          <t>TORSBY</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21468-2023</t>
        </is>
      </c>
      <c r="B6026" s="1" t="n">
        <v>45063.47018518519</v>
      </c>
      <c r="C6026" s="1" t="n">
        <v>45932</v>
      </c>
      <c r="D6026" t="inlineStr">
        <is>
          <t>VÄRMLANDS LÄN</t>
        </is>
      </c>
      <c r="E6026" t="inlineStr">
        <is>
          <t>ARVIKA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62669-2023</t>
        </is>
      </c>
      <c r="B6027" s="1" t="n">
        <v>45271.46321759259</v>
      </c>
      <c r="C6027" s="1" t="n">
        <v>45932</v>
      </c>
      <c r="D6027" t="inlineStr">
        <is>
          <t>VÄRMLANDS LÄN</t>
        </is>
      </c>
      <c r="E6027" t="inlineStr">
        <is>
          <t>KIL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62703-2023</t>
        </is>
      </c>
      <c r="B6028" s="1" t="n">
        <v>45271.54547453704</v>
      </c>
      <c r="C6028" s="1" t="n">
        <v>45932</v>
      </c>
      <c r="D6028" t="inlineStr">
        <is>
          <t>VÄRMLANDS LÄN</t>
        </is>
      </c>
      <c r="E6028" t="inlineStr">
        <is>
          <t>SUNNE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51265-2024</t>
        </is>
      </c>
      <c r="B6029" s="1" t="n">
        <v>45602</v>
      </c>
      <c r="C6029" s="1" t="n">
        <v>45932</v>
      </c>
      <c r="D6029" t="inlineStr">
        <is>
          <t>VÄRMLANDS LÄN</t>
        </is>
      </c>
      <c r="E6029" t="inlineStr">
        <is>
          <t>ÅRJÄNG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45985-2024</t>
        </is>
      </c>
      <c r="B6030" s="1" t="n">
        <v>45580</v>
      </c>
      <c r="C6030" s="1" t="n">
        <v>45932</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51640-2022</t>
        </is>
      </c>
      <c r="B6031" s="1" t="n">
        <v>44872</v>
      </c>
      <c r="C6031" s="1" t="n">
        <v>45932</v>
      </c>
      <c r="D6031" t="inlineStr">
        <is>
          <t>VÄRMLANDS LÄN</t>
        </is>
      </c>
      <c r="E6031" t="inlineStr">
        <is>
          <t>SÄFFLE</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2326-2023</t>
        </is>
      </c>
      <c r="B6032" s="1" t="n">
        <v>44942.59430555555</v>
      </c>
      <c r="C6032" s="1" t="n">
        <v>45932</v>
      </c>
      <c r="D6032" t="inlineStr">
        <is>
          <t>VÄRMLANDS LÄN</t>
        </is>
      </c>
      <c r="E6032" t="inlineStr">
        <is>
          <t>EDA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27083-2025</t>
        </is>
      </c>
      <c r="B6033" s="1" t="n">
        <v>45811.65487268518</v>
      </c>
      <c r="C6033" s="1" t="n">
        <v>45932</v>
      </c>
      <c r="D6033" t="inlineStr">
        <is>
          <t>VÄRMLANDS LÄN</t>
        </is>
      </c>
      <c r="E6033" t="inlineStr">
        <is>
          <t>KRISTINEHAMN</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15973-2024</t>
        </is>
      </c>
      <c r="B6034" s="1" t="n">
        <v>45405</v>
      </c>
      <c r="C6034" s="1" t="n">
        <v>45932</v>
      </c>
      <c r="D6034" t="inlineStr">
        <is>
          <t>VÄRMLANDS LÄN</t>
        </is>
      </c>
      <c r="E6034" t="inlineStr">
        <is>
          <t>ARVIKA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15710-2024</t>
        </is>
      </c>
      <c r="B6035" s="1" t="n">
        <v>45404</v>
      </c>
      <c r="C6035" s="1" t="n">
        <v>45932</v>
      </c>
      <c r="D6035" t="inlineStr">
        <is>
          <t>VÄRMLANDS LÄN</t>
        </is>
      </c>
      <c r="E6035" t="inlineStr">
        <is>
          <t>SUNNE</t>
        </is>
      </c>
      <c r="G6035" t="n">
        <v>14.4</v>
      </c>
      <c r="H6035" t="n">
        <v>0</v>
      </c>
      <c r="I6035" t="n">
        <v>0</v>
      </c>
      <c r="J6035" t="n">
        <v>0</v>
      </c>
      <c r="K6035" t="n">
        <v>0</v>
      </c>
      <c r="L6035" t="n">
        <v>0</v>
      </c>
      <c r="M6035" t="n">
        <v>0</v>
      </c>
      <c r="N6035" t="n">
        <v>0</v>
      </c>
      <c r="O6035" t="n">
        <v>0</v>
      </c>
      <c r="P6035" t="n">
        <v>0</v>
      </c>
      <c r="Q6035" t="n">
        <v>0</v>
      </c>
      <c r="R6035" s="2" t="inlineStr"/>
    </row>
    <row r="6036" ht="15" customHeight="1">
      <c r="A6036" t="inlineStr">
        <is>
          <t>A 10476-2025</t>
        </is>
      </c>
      <c r="B6036" s="1" t="n">
        <v>45720</v>
      </c>
      <c r="C6036" s="1" t="n">
        <v>45932</v>
      </c>
      <c r="D6036" t="inlineStr">
        <is>
          <t>VÄRMLANDS LÄN</t>
        </is>
      </c>
      <c r="E6036" t="inlineStr">
        <is>
          <t>KIL</t>
        </is>
      </c>
      <c r="F6036" t="inlineStr">
        <is>
          <t>Kyrkan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15085-2023</t>
        </is>
      </c>
      <c r="B6037" s="1" t="n">
        <v>45016</v>
      </c>
      <c r="C6037" s="1" t="n">
        <v>45932</v>
      </c>
      <c r="D6037" t="inlineStr">
        <is>
          <t>VÄRMLANDS LÄN</t>
        </is>
      </c>
      <c r="E6037" t="inlineStr">
        <is>
          <t>TORSBY</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15144-2023</t>
        </is>
      </c>
      <c r="B6038" s="1" t="n">
        <v>45016</v>
      </c>
      <c r="C6038" s="1" t="n">
        <v>45932</v>
      </c>
      <c r="D6038" t="inlineStr">
        <is>
          <t>VÄRMLANDS LÄN</t>
        </is>
      </c>
      <c r="E6038" t="inlineStr">
        <is>
          <t>EDA</t>
        </is>
      </c>
      <c r="F6038" t="inlineStr">
        <is>
          <t>Övriga statliga verk och myndigheter</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43364-2023</t>
        </is>
      </c>
      <c r="B6039" s="1" t="n">
        <v>45183</v>
      </c>
      <c r="C6039" s="1" t="n">
        <v>45932</v>
      </c>
      <c r="D6039" t="inlineStr">
        <is>
          <t>VÄRMLANDS LÄN</t>
        </is>
      </c>
      <c r="E6039" t="inlineStr">
        <is>
          <t>ARVIKA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24087-2024</t>
        </is>
      </c>
      <c r="B6040" s="1" t="n">
        <v>45456</v>
      </c>
      <c r="C6040" s="1" t="n">
        <v>45932</v>
      </c>
      <c r="D6040" t="inlineStr">
        <is>
          <t>VÄRMLANDS LÄN</t>
        </is>
      </c>
      <c r="E6040" t="inlineStr">
        <is>
          <t>TORSBY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30002-2024</t>
        </is>
      </c>
      <c r="B6041" s="1" t="n">
        <v>45488</v>
      </c>
      <c r="C6041" s="1" t="n">
        <v>45932</v>
      </c>
      <c r="D6041" t="inlineStr">
        <is>
          <t>VÄRMLANDS LÄN</t>
        </is>
      </c>
      <c r="E6041" t="inlineStr">
        <is>
          <t>TORSBY</t>
        </is>
      </c>
      <c r="F6041" t="inlineStr">
        <is>
          <t>Kommuner</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44004-2023</t>
        </is>
      </c>
      <c r="B6042" s="1" t="n">
        <v>45188.30134259259</v>
      </c>
      <c r="C6042" s="1" t="n">
        <v>45932</v>
      </c>
      <c r="D6042" t="inlineStr">
        <is>
          <t>VÄRMLANDS LÄN</t>
        </is>
      </c>
      <c r="E6042" t="inlineStr">
        <is>
          <t>ÅRJÄNG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44007-2023</t>
        </is>
      </c>
      <c r="B6043" s="1" t="n">
        <v>45188.31231481482</v>
      </c>
      <c r="C6043" s="1" t="n">
        <v>45932</v>
      </c>
      <c r="D6043" t="inlineStr">
        <is>
          <t>VÄRMLANDS LÄN</t>
        </is>
      </c>
      <c r="E6043" t="inlineStr">
        <is>
          <t>ÅRJÄNG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44083-2023</t>
        </is>
      </c>
      <c r="B6044" s="1" t="n">
        <v>45182</v>
      </c>
      <c r="C6044" s="1" t="n">
        <v>45932</v>
      </c>
      <c r="D6044" t="inlineStr">
        <is>
          <t>VÄRMLANDS LÄN</t>
        </is>
      </c>
      <c r="E6044" t="inlineStr">
        <is>
          <t>TORSBY</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30218-2024</t>
        </is>
      </c>
      <c r="B6045" s="1" t="n">
        <v>45490</v>
      </c>
      <c r="C6045" s="1" t="n">
        <v>45932</v>
      </c>
      <c r="D6045" t="inlineStr">
        <is>
          <t>VÄRMLANDS LÄN</t>
        </is>
      </c>
      <c r="E6045" t="inlineStr">
        <is>
          <t>SUNNE</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11155-2024</t>
        </is>
      </c>
      <c r="B6046" s="1" t="n">
        <v>45371.47960648148</v>
      </c>
      <c r="C6046" s="1" t="n">
        <v>45932</v>
      </c>
      <c r="D6046" t="inlineStr">
        <is>
          <t>VÄRMLANDS LÄN</t>
        </is>
      </c>
      <c r="E6046" t="inlineStr">
        <is>
          <t>ARVIKA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19815-2025</t>
        </is>
      </c>
      <c r="B6047" s="1" t="n">
        <v>45771</v>
      </c>
      <c r="C6047" s="1" t="n">
        <v>45932</v>
      </c>
      <c r="D6047" t="inlineStr">
        <is>
          <t>VÄRMLANDS LÄN</t>
        </is>
      </c>
      <c r="E6047" t="inlineStr">
        <is>
          <t>SÄFFLE</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27342-2025</t>
        </is>
      </c>
      <c r="B6048" s="1" t="n">
        <v>45812.6177662037</v>
      </c>
      <c r="C6048" s="1" t="n">
        <v>45932</v>
      </c>
      <c r="D6048" t="inlineStr">
        <is>
          <t>VÄRMLANDS LÄN</t>
        </is>
      </c>
      <c r="E6048" t="inlineStr">
        <is>
          <t>SUNNE</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27346-2025</t>
        </is>
      </c>
      <c r="B6049" s="1" t="n">
        <v>45812.62319444444</v>
      </c>
      <c r="C6049" s="1" t="n">
        <v>45932</v>
      </c>
      <c r="D6049" t="inlineStr">
        <is>
          <t>VÄRMLANDS LÄN</t>
        </is>
      </c>
      <c r="E6049" t="inlineStr">
        <is>
          <t>FORSHAGA</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27380-2025</t>
        </is>
      </c>
      <c r="B6050" s="1" t="n">
        <v>45812</v>
      </c>
      <c r="C6050" s="1" t="n">
        <v>45932</v>
      </c>
      <c r="D6050" t="inlineStr">
        <is>
          <t>VÄRMLANDS LÄN</t>
        </is>
      </c>
      <c r="E6050" t="inlineStr">
        <is>
          <t>KIL</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56715-2024</t>
        </is>
      </c>
      <c r="B6051" s="1" t="n">
        <v>45628.31179398148</v>
      </c>
      <c r="C6051" s="1" t="n">
        <v>45932</v>
      </c>
      <c r="D6051" t="inlineStr">
        <is>
          <t>VÄRMLANDS LÄN</t>
        </is>
      </c>
      <c r="E6051" t="inlineStr">
        <is>
          <t>EDA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27149-2025</t>
        </is>
      </c>
      <c r="B6052" s="1" t="n">
        <v>45812.31924768518</v>
      </c>
      <c r="C6052" s="1" t="n">
        <v>45932</v>
      </c>
      <c r="D6052" t="inlineStr">
        <is>
          <t>VÄRMLANDS LÄN</t>
        </is>
      </c>
      <c r="E6052" t="inlineStr">
        <is>
          <t>TORSBY</t>
        </is>
      </c>
      <c r="F6052" t="inlineStr">
        <is>
          <t>Bergvik skog väst AB</t>
        </is>
      </c>
      <c r="G6052" t="n">
        <v>9.699999999999999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27162-2025</t>
        </is>
      </c>
      <c r="B6053" s="1" t="n">
        <v>45812.34395833333</v>
      </c>
      <c r="C6053" s="1" t="n">
        <v>45932</v>
      </c>
      <c r="D6053" t="inlineStr">
        <is>
          <t>VÄRMLANDS LÄN</t>
        </is>
      </c>
      <c r="E6053" t="inlineStr">
        <is>
          <t>MUNKFORS</t>
        </is>
      </c>
      <c r="F6053" t="inlineStr">
        <is>
          <t>Kommuner</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27263-2025</t>
        </is>
      </c>
      <c r="B6054" s="1" t="n">
        <v>45812.4793287037</v>
      </c>
      <c r="C6054" s="1" t="n">
        <v>45932</v>
      </c>
      <c r="D6054" t="inlineStr">
        <is>
          <t>VÄRMLANDS LÄN</t>
        </is>
      </c>
      <c r="E6054" t="inlineStr">
        <is>
          <t>HAGFORS</t>
        </is>
      </c>
      <c r="F6054" t="inlineStr">
        <is>
          <t>Bergvik skog väst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45265-2023</t>
        </is>
      </c>
      <c r="B6055" s="1" t="n">
        <v>45187</v>
      </c>
      <c r="C6055" s="1" t="n">
        <v>45932</v>
      </c>
      <c r="D6055" t="inlineStr">
        <is>
          <t>VÄRMLANDS LÄN</t>
        </is>
      </c>
      <c r="E6055" t="inlineStr">
        <is>
          <t>KARLSTAD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27489-2025</t>
        </is>
      </c>
      <c r="B6056" s="1" t="n">
        <v>45813.39135416667</v>
      </c>
      <c r="C6056" s="1" t="n">
        <v>45932</v>
      </c>
      <c r="D6056" t="inlineStr">
        <is>
          <t>VÄRMLANDS LÄN</t>
        </is>
      </c>
      <c r="E6056" t="inlineStr">
        <is>
          <t>KARLSTAD</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27492-2025</t>
        </is>
      </c>
      <c r="B6057" s="1" t="n">
        <v>45813.39403935185</v>
      </c>
      <c r="C6057" s="1" t="n">
        <v>45932</v>
      </c>
      <c r="D6057" t="inlineStr">
        <is>
          <t>VÄRMLANDS LÄN</t>
        </is>
      </c>
      <c r="E6057" t="inlineStr">
        <is>
          <t>KARLSTAD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27353-2025</t>
        </is>
      </c>
      <c r="B6058" s="1" t="n">
        <v>45812.62880787037</v>
      </c>
      <c r="C6058" s="1" t="n">
        <v>45932</v>
      </c>
      <c r="D6058" t="inlineStr">
        <is>
          <t>VÄRMLANDS LÄN</t>
        </is>
      </c>
      <c r="E6058" t="inlineStr">
        <is>
          <t>FORSHAGA</t>
        </is>
      </c>
      <c r="F6058" t="inlineStr">
        <is>
          <t>Bergvik skog väst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26869-2024</t>
        </is>
      </c>
      <c r="B6059" s="1" t="n">
        <v>45470.6132175926</v>
      </c>
      <c r="C6059" s="1" t="n">
        <v>45932</v>
      </c>
      <c r="D6059" t="inlineStr">
        <is>
          <t>VÄRMLANDS LÄN</t>
        </is>
      </c>
      <c r="E6059" t="inlineStr">
        <is>
          <t>FORSHAGA</t>
        </is>
      </c>
      <c r="F6059" t="inlineStr">
        <is>
          <t>Bergvik skog väst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40299-2023</t>
        </is>
      </c>
      <c r="B6060" s="1" t="n">
        <v>45169</v>
      </c>
      <c r="C6060" s="1" t="n">
        <v>45932</v>
      </c>
      <c r="D6060" t="inlineStr">
        <is>
          <t>VÄRMLANDS LÄN</t>
        </is>
      </c>
      <c r="E6060" t="inlineStr">
        <is>
          <t>ARVIKA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52026-2024</t>
        </is>
      </c>
      <c r="B6061" s="1" t="n">
        <v>45607</v>
      </c>
      <c r="C6061" s="1" t="n">
        <v>45932</v>
      </c>
      <c r="D6061" t="inlineStr">
        <is>
          <t>VÄRMLANDS LÄN</t>
        </is>
      </c>
      <c r="E6061" t="inlineStr">
        <is>
          <t>SÄFFLE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21271-2025</t>
        </is>
      </c>
      <c r="B6062" s="1" t="n">
        <v>45771</v>
      </c>
      <c r="C6062" s="1" t="n">
        <v>45932</v>
      </c>
      <c r="D6062" t="inlineStr">
        <is>
          <t>VÄRMLANDS LÄN</t>
        </is>
      </c>
      <c r="E6062" t="inlineStr">
        <is>
          <t>KRISTINEHAMN</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27242-2025</t>
        </is>
      </c>
      <c r="B6063" s="1" t="n">
        <v>45812.46127314815</v>
      </c>
      <c r="C6063" s="1" t="n">
        <v>45932</v>
      </c>
      <c r="D6063" t="inlineStr">
        <is>
          <t>VÄRMLANDS LÄN</t>
        </is>
      </c>
      <c r="E6063" t="inlineStr">
        <is>
          <t>FILIPSTAD</t>
        </is>
      </c>
      <c r="F6063" t="inlineStr">
        <is>
          <t>Bergvik skog väst AB</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27653-2025</t>
        </is>
      </c>
      <c r="B6064" s="1" t="n">
        <v>45813.59876157407</v>
      </c>
      <c r="C6064" s="1" t="n">
        <v>45932</v>
      </c>
      <c r="D6064" t="inlineStr">
        <is>
          <t>VÄRMLANDS LÄN</t>
        </is>
      </c>
      <c r="E6064" t="inlineStr">
        <is>
          <t>EDA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27229-2025</t>
        </is>
      </c>
      <c r="B6065" s="1" t="n">
        <v>45812.43690972222</v>
      </c>
      <c r="C6065" s="1" t="n">
        <v>45932</v>
      </c>
      <c r="D6065" t="inlineStr">
        <is>
          <t>VÄRMLANDS LÄN</t>
        </is>
      </c>
      <c r="E6065" t="inlineStr">
        <is>
          <t>HAGFORS</t>
        </is>
      </c>
      <c r="F6065" t="inlineStr">
        <is>
          <t>Bergvik skog väst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27139-2025</t>
        </is>
      </c>
      <c r="B6066" s="1" t="n">
        <v>45812.18076388889</v>
      </c>
      <c r="C6066" s="1" t="n">
        <v>45932</v>
      </c>
      <c r="D6066" t="inlineStr">
        <is>
          <t>VÄRMLANDS LÄN</t>
        </is>
      </c>
      <c r="E6066" t="inlineStr">
        <is>
          <t>KRISTINEHAMN</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27140-2025</t>
        </is>
      </c>
      <c r="B6067" s="1" t="n">
        <v>45812.18193287037</v>
      </c>
      <c r="C6067" s="1" t="n">
        <v>45932</v>
      </c>
      <c r="D6067" t="inlineStr">
        <is>
          <t>VÄRMLANDS LÄN</t>
        </is>
      </c>
      <c r="E6067" t="inlineStr">
        <is>
          <t>KRISTINEHAMN</t>
        </is>
      </c>
      <c r="F6067" t="inlineStr">
        <is>
          <t>Sveaskog</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27481-2025</t>
        </is>
      </c>
      <c r="B6068" s="1" t="n">
        <v>45813.3796412037</v>
      </c>
      <c r="C6068" s="1" t="n">
        <v>45932</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27667-2025</t>
        </is>
      </c>
      <c r="B6069" s="1" t="n">
        <v>45813.62092592593</v>
      </c>
      <c r="C6069" s="1" t="n">
        <v>45932</v>
      </c>
      <c r="D6069" t="inlineStr">
        <is>
          <t>VÄRMLANDS LÄN</t>
        </is>
      </c>
      <c r="E6069" t="inlineStr">
        <is>
          <t>TORSBY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27674-2025</t>
        </is>
      </c>
      <c r="B6070" s="1" t="n">
        <v>45813.62936342593</v>
      </c>
      <c r="C6070" s="1" t="n">
        <v>45932</v>
      </c>
      <c r="D6070" t="inlineStr">
        <is>
          <t>VÄRMLANDS LÄN</t>
        </is>
      </c>
      <c r="E6070" t="inlineStr">
        <is>
          <t>TORSBY</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27120-2025</t>
        </is>
      </c>
      <c r="B6071" s="1" t="n">
        <v>45811.76232638889</v>
      </c>
      <c r="C6071" s="1" t="n">
        <v>45932</v>
      </c>
      <c r="D6071" t="inlineStr">
        <is>
          <t>VÄRMLANDS LÄN</t>
        </is>
      </c>
      <c r="E6071" t="inlineStr">
        <is>
          <t>ÅRJÄNG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27121-2025</t>
        </is>
      </c>
      <c r="B6072" s="1" t="n">
        <v>45811.76255787037</v>
      </c>
      <c r="C6072" s="1" t="n">
        <v>45932</v>
      </c>
      <c r="D6072" t="inlineStr">
        <is>
          <t>VÄRMLANDS LÄN</t>
        </is>
      </c>
      <c r="E6072" t="inlineStr">
        <is>
          <t>HAGFORS</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27154-2025</t>
        </is>
      </c>
      <c r="B6073" s="1" t="n">
        <v>45812.32699074074</v>
      </c>
      <c r="C6073" s="1" t="n">
        <v>45932</v>
      </c>
      <c r="D6073" t="inlineStr">
        <is>
          <t>VÄRMLANDS LÄN</t>
        </is>
      </c>
      <c r="E6073" t="inlineStr">
        <is>
          <t>HAGFORS</t>
        </is>
      </c>
      <c r="F6073" t="inlineStr">
        <is>
          <t>Bergvik skog väst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27191-2025</t>
        </is>
      </c>
      <c r="B6074" s="1" t="n">
        <v>45812.37256944444</v>
      </c>
      <c r="C6074" s="1" t="n">
        <v>45932</v>
      </c>
      <c r="D6074" t="inlineStr">
        <is>
          <t>VÄRMLANDS LÄN</t>
        </is>
      </c>
      <c r="E6074" t="inlineStr">
        <is>
          <t>EDA</t>
        </is>
      </c>
      <c r="F6074" t="inlineStr">
        <is>
          <t>Bergvik skog väst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27218-2025</t>
        </is>
      </c>
      <c r="B6075" s="1" t="n">
        <v>45812.42153935185</v>
      </c>
      <c r="C6075" s="1" t="n">
        <v>45932</v>
      </c>
      <c r="D6075" t="inlineStr">
        <is>
          <t>VÄRMLANDS LÄN</t>
        </is>
      </c>
      <c r="E6075" t="inlineStr">
        <is>
          <t>FILIPSTAD</t>
        </is>
      </c>
      <c r="F6075" t="inlineStr">
        <is>
          <t>Bergvik skog väst AB</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27324-2025</t>
        </is>
      </c>
      <c r="B6076" s="1" t="n">
        <v>45812.60622685185</v>
      </c>
      <c r="C6076" s="1" t="n">
        <v>45932</v>
      </c>
      <c r="D6076" t="inlineStr">
        <is>
          <t>VÄRMLANDS LÄN</t>
        </is>
      </c>
      <c r="E6076" t="inlineStr">
        <is>
          <t>HAGFORS</t>
        </is>
      </c>
      <c r="F6076" t="inlineStr">
        <is>
          <t>Bergvik skog väst AB</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27260-2025</t>
        </is>
      </c>
      <c r="B6077" s="1" t="n">
        <v>45812.4759375</v>
      </c>
      <c r="C6077" s="1" t="n">
        <v>45932</v>
      </c>
      <c r="D6077" t="inlineStr">
        <is>
          <t>VÄRMLANDS LÄN</t>
        </is>
      </c>
      <c r="E6077" t="inlineStr">
        <is>
          <t>HAGFORS</t>
        </is>
      </c>
      <c r="F6077" t="inlineStr">
        <is>
          <t>Bergvik skog väst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53416-2023</t>
        </is>
      </c>
      <c r="B6078" s="1" t="n">
        <v>45229</v>
      </c>
      <c r="C6078" s="1" t="n">
        <v>45932</v>
      </c>
      <c r="D6078" t="inlineStr">
        <is>
          <t>VÄRMLANDS LÄN</t>
        </is>
      </c>
      <c r="E6078" t="inlineStr">
        <is>
          <t>KIL</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8357-2025</t>
        </is>
      </c>
      <c r="B6079" s="1" t="n">
        <v>45708.79896990741</v>
      </c>
      <c r="C6079" s="1" t="n">
        <v>45932</v>
      </c>
      <c r="D6079" t="inlineStr">
        <is>
          <t>VÄRMLANDS LÄN</t>
        </is>
      </c>
      <c r="E6079" t="inlineStr">
        <is>
          <t>ÅRJÄNG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10321-2025</t>
        </is>
      </c>
      <c r="B6080" s="1" t="n">
        <v>45720</v>
      </c>
      <c r="C6080" s="1" t="n">
        <v>45932</v>
      </c>
      <c r="D6080" t="inlineStr">
        <is>
          <t>VÄRMLANDS LÄN</t>
        </is>
      </c>
      <c r="E6080" t="inlineStr">
        <is>
          <t>ÅRJÄNG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27475-2025</t>
        </is>
      </c>
      <c r="B6081" s="1" t="n">
        <v>45813.37496527778</v>
      </c>
      <c r="C6081" s="1" t="n">
        <v>45932</v>
      </c>
      <c r="D6081" t="inlineStr">
        <is>
          <t>VÄRMLANDS LÄN</t>
        </is>
      </c>
      <c r="E6081" t="inlineStr">
        <is>
          <t>SUNNE</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998-2023</t>
        </is>
      </c>
      <c r="B6082" s="1" t="n">
        <v>44935.41436342592</v>
      </c>
      <c r="C6082" s="1" t="n">
        <v>45932</v>
      </c>
      <c r="D6082" t="inlineStr">
        <is>
          <t>VÄRMLANDS LÄN</t>
        </is>
      </c>
      <c r="E6082" t="inlineStr">
        <is>
          <t>EDA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27419-2025</t>
        </is>
      </c>
      <c r="B6083" s="1" t="n">
        <v>45812</v>
      </c>
      <c r="C6083" s="1" t="n">
        <v>45932</v>
      </c>
      <c r="D6083" t="inlineStr">
        <is>
          <t>VÄRMLANDS LÄN</t>
        </is>
      </c>
      <c r="E6083" t="inlineStr">
        <is>
          <t>FILIPSTAD</t>
        </is>
      </c>
      <c r="F6083" t="inlineStr">
        <is>
          <t>Bergvik skog väst AB</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16885-2025</t>
        </is>
      </c>
      <c r="B6084" s="1" t="n">
        <v>45755.30469907408</v>
      </c>
      <c r="C6084" s="1" t="n">
        <v>45932</v>
      </c>
      <c r="D6084" t="inlineStr">
        <is>
          <t>VÄRMLANDS LÄN</t>
        </is>
      </c>
      <c r="E6084" t="inlineStr">
        <is>
          <t>FORSHAGA</t>
        </is>
      </c>
      <c r="G6084" t="n">
        <v>7.1</v>
      </c>
      <c r="H6084" t="n">
        <v>0</v>
      </c>
      <c r="I6084" t="n">
        <v>0</v>
      </c>
      <c r="J6084" t="n">
        <v>0</v>
      </c>
      <c r="K6084" t="n">
        <v>0</v>
      </c>
      <c r="L6084" t="n">
        <v>0</v>
      </c>
      <c r="M6084" t="n">
        <v>0</v>
      </c>
      <c r="N6084" t="n">
        <v>0</v>
      </c>
      <c r="O6084" t="n">
        <v>0</v>
      </c>
      <c r="P6084" t="n">
        <v>0</v>
      </c>
      <c r="Q6084" t="n">
        <v>0</v>
      </c>
      <c r="R6084" s="2" t="inlineStr"/>
    </row>
    <row r="6085" ht="15" customHeight="1">
      <c r="A6085" t="inlineStr">
        <is>
          <t>A 3072-2024</t>
        </is>
      </c>
      <c r="B6085" s="1" t="n">
        <v>45316.42262731482</v>
      </c>
      <c r="C6085" s="1" t="n">
        <v>45932</v>
      </c>
      <c r="D6085" t="inlineStr">
        <is>
          <t>VÄRMLANDS LÄN</t>
        </is>
      </c>
      <c r="E6085" t="inlineStr">
        <is>
          <t>SUNNE</t>
        </is>
      </c>
      <c r="F6085" t="inlineStr">
        <is>
          <t>Kommuner</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27540-2025</t>
        </is>
      </c>
      <c r="B6086" s="1" t="n">
        <v>45813</v>
      </c>
      <c r="C6086" s="1" t="n">
        <v>45932</v>
      </c>
      <c r="D6086" t="inlineStr">
        <is>
          <t>VÄRMLANDS LÄN</t>
        </is>
      </c>
      <c r="E6086" t="inlineStr">
        <is>
          <t>SÄFFLE</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26599-2024</t>
        </is>
      </c>
      <c r="B6087" s="1" t="n">
        <v>45469</v>
      </c>
      <c r="C6087" s="1" t="n">
        <v>45932</v>
      </c>
      <c r="D6087" t="inlineStr">
        <is>
          <t>VÄRMLANDS LÄN</t>
        </is>
      </c>
      <c r="E6087" t="inlineStr">
        <is>
          <t>FILIPSTAD</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45138-2024</t>
        </is>
      </c>
      <c r="B6088" s="1" t="n">
        <v>45575.63483796296</v>
      </c>
      <c r="C6088" s="1" t="n">
        <v>45932</v>
      </c>
      <c r="D6088" t="inlineStr">
        <is>
          <t>VÄRMLANDS LÄN</t>
        </is>
      </c>
      <c r="E6088" t="inlineStr">
        <is>
          <t>SÄFFLE</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27319-2025</t>
        </is>
      </c>
      <c r="B6089" s="1" t="n">
        <v>45812.5916087963</v>
      </c>
      <c r="C6089" s="1" t="n">
        <v>45932</v>
      </c>
      <c r="D6089" t="inlineStr">
        <is>
          <t>VÄRMLANDS LÄN</t>
        </is>
      </c>
      <c r="E6089" t="inlineStr">
        <is>
          <t>HAGFORS</t>
        </is>
      </c>
      <c r="F6089" t="inlineStr">
        <is>
          <t>Bergvik skog väst AB</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27335-2025</t>
        </is>
      </c>
      <c r="B6090" s="1" t="n">
        <v>45812.61487268518</v>
      </c>
      <c r="C6090" s="1" t="n">
        <v>45932</v>
      </c>
      <c r="D6090" t="inlineStr">
        <is>
          <t>VÄRMLANDS LÄN</t>
        </is>
      </c>
      <c r="E6090" t="inlineStr">
        <is>
          <t>HAGFORS</t>
        </is>
      </c>
      <c r="F6090" t="inlineStr">
        <is>
          <t>Bergvik skog väst AB</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47141-2022</t>
        </is>
      </c>
      <c r="B6091" s="1" t="n">
        <v>44852.56548611111</v>
      </c>
      <c r="C6091" s="1" t="n">
        <v>45932</v>
      </c>
      <c r="D6091" t="inlineStr">
        <is>
          <t>VÄRMLANDS LÄN</t>
        </is>
      </c>
      <c r="E6091" t="inlineStr">
        <is>
          <t>TORSBY</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27344-2025</t>
        </is>
      </c>
      <c r="B6092" s="1" t="n">
        <v>45812</v>
      </c>
      <c r="C6092" s="1" t="n">
        <v>45932</v>
      </c>
      <c r="D6092" t="inlineStr">
        <is>
          <t>VÄRMLANDS LÄN</t>
        </is>
      </c>
      <c r="E6092" t="inlineStr">
        <is>
          <t>ARVIKA</t>
        </is>
      </c>
      <c r="F6092" t="inlineStr">
        <is>
          <t>Bergvik skog väst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27351-2025</t>
        </is>
      </c>
      <c r="B6093" s="1" t="n">
        <v>45812.62601851852</v>
      </c>
      <c r="C6093" s="1" t="n">
        <v>45932</v>
      </c>
      <c r="D6093" t="inlineStr">
        <is>
          <t>VÄRMLANDS LÄN</t>
        </is>
      </c>
      <c r="E6093" t="inlineStr">
        <is>
          <t>FORSHAGA</t>
        </is>
      </c>
      <c r="F6093" t="inlineStr">
        <is>
          <t>Bergvik skog väst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8548-2025</t>
        </is>
      </c>
      <c r="B6094" s="1" t="n">
        <v>45709</v>
      </c>
      <c r="C6094" s="1" t="n">
        <v>45932</v>
      </c>
      <c r="D6094" t="inlineStr">
        <is>
          <t>VÄRMLANDS LÄN</t>
        </is>
      </c>
      <c r="E6094" t="inlineStr">
        <is>
          <t>SÄFFLE</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10649-2024</t>
        </is>
      </c>
      <c r="B6095" s="1" t="n">
        <v>45368</v>
      </c>
      <c r="C6095" s="1" t="n">
        <v>45932</v>
      </c>
      <c r="D6095" t="inlineStr">
        <is>
          <t>VÄRMLANDS LÄN</t>
        </is>
      </c>
      <c r="E6095" t="inlineStr">
        <is>
          <t>SÄFFLE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23737-2024</t>
        </is>
      </c>
      <c r="B6096" s="1" t="n">
        <v>45454</v>
      </c>
      <c r="C6096" s="1" t="n">
        <v>45932</v>
      </c>
      <c r="D6096" t="inlineStr">
        <is>
          <t>VÄRMLANDS LÄN</t>
        </is>
      </c>
      <c r="E6096" t="inlineStr">
        <is>
          <t>SÄFFLE</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42834-2024</t>
        </is>
      </c>
      <c r="B6097" s="1" t="n">
        <v>45566</v>
      </c>
      <c r="C6097" s="1" t="n">
        <v>45932</v>
      </c>
      <c r="D6097" t="inlineStr">
        <is>
          <t>VÄRMLANDS LÄN</t>
        </is>
      </c>
      <c r="E6097" t="inlineStr">
        <is>
          <t>TORSBY</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62074-2022</t>
        </is>
      </c>
      <c r="B6098" s="1" t="n">
        <v>44918.70763888889</v>
      </c>
      <c r="C6098" s="1" t="n">
        <v>45932</v>
      </c>
      <c r="D6098" t="inlineStr">
        <is>
          <t>VÄRMLANDS LÄN</t>
        </is>
      </c>
      <c r="E6098" t="inlineStr">
        <is>
          <t>ARVIKA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2063-2025</t>
        </is>
      </c>
      <c r="B6099" s="1" t="n">
        <v>45672</v>
      </c>
      <c r="C6099" s="1" t="n">
        <v>45932</v>
      </c>
      <c r="D6099" t="inlineStr">
        <is>
          <t>VÄRMLANDS LÄN</t>
        </is>
      </c>
      <c r="E6099" t="inlineStr">
        <is>
          <t>SUNNE</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2525-2025</t>
        </is>
      </c>
      <c r="B6100" s="1" t="n">
        <v>45674.60668981481</v>
      </c>
      <c r="C6100" s="1" t="n">
        <v>45932</v>
      </c>
      <c r="D6100" t="inlineStr">
        <is>
          <t>VÄRMLANDS LÄN</t>
        </is>
      </c>
      <c r="E6100" t="inlineStr">
        <is>
          <t>STORFORS</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27444-2025</t>
        </is>
      </c>
      <c r="B6101" s="1" t="n">
        <v>45813.321875</v>
      </c>
      <c r="C6101" s="1" t="n">
        <v>45932</v>
      </c>
      <c r="D6101" t="inlineStr">
        <is>
          <t>VÄRMLANDS LÄN</t>
        </is>
      </c>
      <c r="E6101" t="inlineStr">
        <is>
          <t>SUNNE</t>
        </is>
      </c>
      <c r="F6101" t="inlineStr">
        <is>
          <t>Bergvik skog väst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27467-2025</t>
        </is>
      </c>
      <c r="B6102" s="1" t="n">
        <v>45813.35497685185</v>
      </c>
      <c r="C6102" s="1" t="n">
        <v>45932</v>
      </c>
      <c r="D6102" t="inlineStr">
        <is>
          <t>VÄRMLANDS LÄN</t>
        </is>
      </c>
      <c r="E6102" t="inlineStr">
        <is>
          <t>TORSBY</t>
        </is>
      </c>
      <c r="F6102" t="inlineStr">
        <is>
          <t>Bergvik skog väst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57607-2024</t>
        </is>
      </c>
      <c r="B6103" s="1" t="n">
        <v>45630</v>
      </c>
      <c r="C6103" s="1" t="n">
        <v>45932</v>
      </c>
      <c r="D6103" t="inlineStr">
        <is>
          <t>VÄRMLANDS LÄN</t>
        </is>
      </c>
      <c r="E6103" t="inlineStr">
        <is>
          <t>KARLSTAD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31052-2023</t>
        </is>
      </c>
      <c r="B6104" s="1" t="n">
        <v>45113</v>
      </c>
      <c r="C6104" s="1" t="n">
        <v>45932</v>
      </c>
      <c r="D6104" t="inlineStr">
        <is>
          <t>VÄRMLANDS LÄN</t>
        </is>
      </c>
      <c r="E6104" t="inlineStr">
        <is>
          <t>TORSBY</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27472-2025</t>
        </is>
      </c>
      <c r="B6105" s="1" t="n">
        <v>45813</v>
      </c>
      <c r="C6105" s="1" t="n">
        <v>45932</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2309-2024</t>
        </is>
      </c>
      <c r="B6106" s="1" t="n">
        <v>45310</v>
      </c>
      <c r="C6106" s="1" t="n">
        <v>45932</v>
      </c>
      <c r="D6106" t="inlineStr">
        <is>
          <t>VÄRMLANDS LÄN</t>
        </is>
      </c>
      <c r="E6106" t="inlineStr">
        <is>
          <t>KIL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54264-2020</t>
        </is>
      </c>
      <c r="B6107" s="1" t="n">
        <v>44124</v>
      </c>
      <c r="C6107" s="1" t="n">
        <v>45932</v>
      </c>
      <c r="D6107" t="inlineStr">
        <is>
          <t>VÄRMLANDS LÄN</t>
        </is>
      </c>
      <c r="E6107" t="inlineStr">
        <is>
          <t>ARVIKA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38873-2024</t>
        </is>
      </c>
      <c r="B6108" s="1" t="n">
        <v>45547.64424768519</v>
      </c>
      <c r="C6108" s="1" t="n">
        <v>45932</v>
      </c>
      <c r="D6108" t="inlineStr">
        <is>
          <t>VÄRMLANDS LÄN</t>
        </is>
      </c>
      <c r="E6108" t="inlineStr">
        <is>
          <t>SUNNE</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13320-2024</t>
        </is>
      </c>
      <c r="B6109" s="1" t="n">
        <v>45386.77172453704</v>
      </c>
      <c r="C6109" s="1" t="n">
        <v>45932</v>
      </c>
      <c r="D6109" t="inlineStr">
        <is>
          <t>VÄRMLANDS LÄN</t>
        </is>
      </c>
      <c r="E6109" t="inlineStr">
        <is>
          <t>GRUMS</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55227-2023</t>
        </is>
      </c>
      <c r="B6110" s="1" t="n">
        <v>45231</v>
      </c>
      <c r="C6110" s="1" t="n">
        <v>45932</v>
      </c>
      <c r="D6110" t="inlineStr">
        <is>
          <t>VÄRMLANDS LÄN</t>
        </is>
      </c>
      <c r="E6110" t="inlineStr">
        <is>
          <t>GRUMS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11245-2022</t>
        </is>
      </c>
      <c r="B6111" s="1" t="n">
        <v>44629.61861111111</v>
      </c>
      <c r="C6111" s="1" t="n">
        <v>45932</v>
      </c>
      <c r="D6111" t="inlineStr">
        <is>
          <t>VÄRMLANDS LÄN</t>
        </is>
      </c>
      <c r="E6111" t="inlineStr">
        <is>
          <t>SÄFFLE</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57708-2024</t>
        </is>
      </c>
      <c r="B6112" s="1" t="n">
        <v>45630</v>
      </c>
      <c r="C6112" s="1" t="n">
        <v>45932</v>
      </c>
      <c r="D6112" t="inlineStr">
        <is>
          <t>VÄRMLANDS LÄN</t>
        </is>
      </c>
      <c r="E6112" t="inlineStr">
        <is>
          <t>ÅRJÄNG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58382-2024</t>
        </is>
      </c>
      <c r="B6113" s="1" t="n">
        <v>45632</v>
      </c>
      <c r="C6113" s="1" t="n">
        <v>45932</v>
      </c>
      <c r="D6113" t="inlineStr">
        <is>
          <t>VÄRMLANDS LÄN</t>
        </is>
      </c>
      <c r="E6113" t="inlineStr">
        <is>
          <t>HAMMARÖ</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42441-2023</t>
        </is>
      </c>
      <c r="B6114" s="1" t="n">
        <v>45180.64069444445</v>
      </c>
      <c r="C6114" s="1" t="n">
        <v>45932</v>
      </c>
      <c r="D6114" t="inlineStr">
        <is>
          <t>VÄRMLANDS LÄN</t>
        </is>
      </c>
      <c r="E6114" t="inlineStr">
        <is>
          <t>ARVIKA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29698-2024</t>
        </is>
      </c>
      <c r="B6115" s="1" t="n">
        <v>45484</v>
      </c>
      <c r="C6115" s="1" t="n">
        <v>45932</v>
      </c>
      <c r="D6115" t="inlineStr">
        <is>
          <t>VÄRMLANDS LÄN</t>
        </is>
      </c>
      <c r="E6115" t="inlineStr">
        <is>
          <t>KIL</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51194-2022</t>
        </is>
      </c>
      <c r="B6116" s="1" t="n">
        <v>44868</v>
      </c>
      <c r="C6116" s="1" t="n">
        <v>45932</v>
      </c>
      <c r="D6116" t="inlineStr">
        <is>
          <t>VÄRMLANDS LÄN</t>
        </is>
      </c>
      <c r="E6116" t="inlineStr">
        <is>
          <t>HAGFORS</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18167-2024</t>
        </is>
      </c>
      <c r="B6117" s="1" t="n">
        <v>45420</v>
      </c>
      <c r="C6117" s="1" t="n">
        <v>45932</v>
      </c>
      <c r="D6117" t="inlineStr">
        <is>
          <t>VÄRMLANDS LÄN</t>
        </is>
      </c>
      <c r="E6117" t="inlineStr">
        <is>
          <t>MUNKFORS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29231-2023</t>
        </is>
      </c>
      <c r="B6118" s="1" t="n">
        <v>45105.61543981481</v>
      </c>
      <c r="C6118" s="1" t="n">
        <v>45932</v>
      </c>
      <c r="D6118" t="inlineStr">
        <is>
          <t>VÄRMLANDS LÄN</t>
        </is>
      </c>
      <c r="E6118" t="inlineStr">
        <is>
          <t>FORSHAGA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25014-2024</t>
        </is>
      </c>
      <c r="B6119" s="1" t="n">
        <v>45461</v>
      </c>
      <c r="C6119" s="1" t="n">
        <v>45932</v>
      </c>
      <c r="D6119" t="inlineStr">
        <is>
          <t>VÄRMLANDS LÄN</t>
        </is>
      </c>
      <c r="E6119" t="inlineStr">
        <is>
          <t>GRUMS</t>
        </is>
      </c>
      <c r="G6119" t="n">
        <v>12.8</v>
      </c>
      <c r="H6119" t="n">
        <v>0</v>
      </c>
      <c r="I6119" t="n">
        <v>0</v>
      </c>
      <c r="J6119" t="n">
        <v>0</v>
      </c>
      <c r="K6119" t="n">
        <v>0</v>
      </c>
      <c r="L6119" t="n">
        <v>0</v>
      </c>
      <c r="M6119" t="n">
        <v>0</v>
      </c>
      <c r="N6119" t="n">
        <v>0</v>
      </c>
      <c r="O6119" t="n">
        <v>0</v>
      </c>
      <c r="P6119" t="n">
        <v>0</v>
      </c>
      <c r="Q6119" t="n">
        <v>0</v>
      </c>
      <c r="R6119" s="2" t="inlineStr"/>
    </row>
    <row r="6120" ht="15" customHeight="1">
      <c r="A6120" t="inlineStr">
        <is>
          <t>A 27358-2024</t>
        </is>
      </c>
      <c r="B6120" s="1" t="n">
        <v>45473.71635416667</v>
      </c>
      <c r="C6120" s="1" t="n">
        <v>45932</v>
      </c>
      <c r="D6120" t="inlineStr">
        <is>
          <t>VÄRMLANDS LÄN</t>
        </is>
      </c>
      <c r="E6120" t="inlineStr">
        <is>
          <t>TORSBY</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27360-2024</t>
        </is>
      </c>
      <c r="B6121" s="1" t="n">
        <v>45473</v>
      </c>
      <c r="C6121" s="1" t="n">
        <v>45932</v>
      </c>
      <c r="D6121" t="inlineStr">
        <is>
          <t>VÄRMLANDS LÄN</t>
        </is>
      </c>
      <c r="E6121" t="inlineStr">
        <is>
          <t>TORSBY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70554-2021</t>
        </is>
      </c>
      <c r="B6122" s="1" t="n">
        <v>44537.31429398148</v>
      </c>
      <c r="C6122" s="1" t="n">
        <v>45932</v>
      </c>
      <c r="D6122" t="inlineStr">
        <is>
          <t>VÄRMLANDS LÄN</t>
        </is>
      </c>
      <c r="E6122" t="inlineStr">
        <is>
          <t>EDA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48108-2023</t>
        </is>
      </c>
      <c r="B6123" s="1" t="n">
        <v>45205.34498842592</v>
      </c>
      <c r="C6123" s="1" t="n">
        <v>45932</v>
      </c>
      <c r="D6123" t="inlineStr">
        <is>
          <t>VÄRMLANDS LÄN</t>
        </is>
      </c>
      <c r="E6123" t="inlineStr">
        <is>
          <t>SUNNE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8212-2025</t>
        </is>
      </c>
      <c r="B6124" s="1" t="n">
        <v>45707</v>
      </c>
      <c r="C6124" s="1" t="n">
        <v>45932</v>
      </c>
      <c r="D6124" t="inlineStr">
        <is>
          <t>VÄRMLANDS LÄN</t>
        </is>
      </c>
      <c r="E6124" t="inlineStr">
        <is>
          <t>KARLSTAD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8232-2025</t>
        </is>
      </c>
      <c r="B6125" s="1" t="n">
        <v>45708.47144675926</v>
      </c>
      <c r="C6125" s="1" t="n">
        <v>45932</v>
      </c>
      <c r="D6125" t="inlineStr">
        <is>
          <t>VÄRMLANDS LÄN</t>
        </is>
      </c>
      <c r="E6125" t="inlineStr">
        <is>
          <t>ÅRJÄNG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27400-2024</t>
        </is>
      </c>
      <c r="B6126" s="1" t="n">
        <v>45474.34940972222</v>
      </c>
      <c r="C6126" s="1" t="n">
        <v>45932</v>
      </c>
      <c r="D6126" t="inlineStr">
        <is>
          <t>VÄRMLANDS LÄN</t>
        </is>
      </c>
      <c r="E6126" t="inlineStr">
        <is>
          <t>FILIPSTAD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298-2024</t>
        </is>
      </c>
      <c r="B6127" s="1" t="n">
        <v>45295</v>
      </c>
      <c r="C6127" s="1" t="n">
        <v>45932</v>
      </c>
      <c r="D6127" t="inlineStr">
        <is>
          <t>VÄRMLANDS LÄN</t>
        </is>
      </c>
      <c r="E6127" t="inlineStr">
        <is>
          <t>ARVIKA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27239-2025</t>
        </is>
      </c>
      <c r="B6128" s="1" t="n">
        <v>45812.45039351852</v>
      </c>
      <c r="C6128" s="1" t="n">
        <v>45932</v>
      </c>
      <c r="D6128" t="inlineStr">
        <is>
          <t>VÄRMLANDS LÄN</t>
        </is>
      </c>
      <c r="E6128" t="inlineStr">
        <is>
          <t>SUNNE</t>
        </is>
      </c>
      <c r="F6128" t="inlineStr">
        <is>
          <t>Bergvik skog väst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27388-2025</t>
        </is>
      </c>
      <c r="B6129" s="1" t="n">
        <v>45812.67489583333</v>
      </c>
      <c r="C6129" s="1" t="n">
        <v>45932</v>
      </c>
      <c r="D6129" t="inlineStr">
        <is>
          <t>VÄRMLANDS LÄN</t>
        </is>
      </c>
      <c r="E6129" t="inlineStr">
        <is>
          <t>STORFORS</t>
        </is>
      </c>
      <c r="F6129" t="inlineStr">
        <is>
          <t>Bergvik skog väst AB</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46645-2025</t>
        </is>
      </c>
      <c r="B6130" s="1" t="n">
        <v>45926.47527777778</v>
      </c>
      <c r="C6130" s="1" t="n">
        <v>45932</v>
      </c>
      <c r="D6130" t="inlineStr">
        <is>
          <t>VÄRMLANDS LÄN</t>
        </is>
      </c>
      <c r="E6130" t="inlineStr">
        <is>
          <t>ÅRJÄNG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27450-2025</t>
        </is>
      </c>
      <c r="B6131" s="1" t="n">
        <v>45813.33738425926</v>
      </c>
      <c r="C6131" s="1" t="n">
        <v>45932</v>
      </c>
      <c r="D6131" t="inlineStr">
        <is>
          <t>VÄRMLANDS LÄN</t>
        </is>
      </c>
      <c r="E6131" t="inlineStr">
        <is>
          <t>TORSBY</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27422-2025</t>
        </is>
      </c>
      <c r="B6132" s="1" t="n">
        <v>45812</v>
      </c>
      <c r="C6132" s="1" t="n">
        <v>45932</v>
      </c>
      <c r="D6132" t="inlineStr">
        <is>
          <t>VÄRMLANDS LÄN</t>
        </is>
      </c>
      <c r="E6132" t="inlineStr">
        <is>
          <t>FILIPSTAD</t>
        </is>
      </c>
      <c r="F6132" t="inlineStr">
        <is>
          <t>Bergvik skog väst AB</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27710-2025</t>
        </is>
      </c>
      <c r="B6133" s="1" t="n">
        <v>45813</v>
      </c>
      <c r="C6133" s="1" t="n">
        <v>45932</v>
      </c>
      <c r="D6133" t="inlineStr">
        <is>
          <t>VÄRMLANDS LÄN</t>
        </is>
      </c>
      <c r="E6133" t="inlineStr">
        <is>
          <t>SUNNE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27711-2025</t>
        </is>
      </c>
      <c r="B6134" s="1" t="n">
        <v>45813</v>
      </c>
      <c r="C6134" s="1" t="n">
        <v>45932</v>
      </c>
      <c r="D6134" t="inlineStr">
        <is>
          <t>VÄRMLANDS LÄN</t>
        </is>
      </c>
      <c r="E6134" t="inlineStr">
        <is>
          <t>SUNNE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27119-2025</t>
        </is>
      </c>
      <c r="B6135" s="1" t="n">
        <v>45811.75707175926</v>
      </c>
      <c r="C6135" s="1" t="n">
        <v>45932</v>
      </c>
      <c r="D6135" t="inlineStr">
        <is>
          <t>VÄRMLANDS LÄN</t>
        </is>
      </c>
      <c r="E6135" t="inlineStr">
        <is>
          <t>HAGFORS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27470-2025</t>
        </is>
      </c>
      <c r="B6136" s="1" t="n">
        <v>45813.36284722222</v>
      </c>
      <c r="C6136" s="1" t="n">
        <v>45932</v>
      </c>
      <c r="D6136" t="inlineStr">
        <is>
          <t>VÄRMLANDS LÄN</t>
        </is>
      </c>
      <c r="E6136" t="inlineStr">
        <is>
          <t>TORSBY</t>
        </is>
      </c>
      <c r="G6136" t="n">
        <v>17.9</v>
      </c>
      <c r="H6136" t="n">
        <v>0</v>
      </c>
      <c r="I6136" t="n">
        <v>0</v>
      </c>
      <c r="J6136" t="n">
        <v>0</v>
      </c>
      <c r="K6136" t="n">
        <v>0</v>
      </c>
      <c r="L6136" t="n">
        <v>0</v>
      </c>
      <c r="M6136" t="n">
        <v>0</v>
      </c>
      <c r="N6136" t="n">
        <v>0</v>
      </c>
      <c r="O6136" t="n">
        <v>0</v>
      </c>
      <c r="P6136" t="n">
        <v>0</v>
      </c>
      <c r="Q6136" t="n">
        <v>0</v>
      </c>
      <c r="R6136" s="2" t="inlineStr"/>
    </row>
    <row r="6137" ht="15" customHeight="1">
      <c r="A6137" t="inlineStr">
        <is>
          <t>A 27493-2025</t>
        </is>
      </c>
      <c r="B6137" s="1" t="n">
        <v>45813.39688657408</v>
      </c>
      <c r="C6137" s="1" t="n">
        <v>45932</v>
      </c>
      <c r="D6137" t="inlineStr">
        <is>
          <t>VÄRMLANDS LÄN</t>
        </is>
      </c>
      <c r="E6137" t="inlineStr">
        <is>
          <t>KARLSTAD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27495-2025</t>
        </is>
      </c>
      <c r="B6138" s="1" t="n">
        <v>45813.39833333333</v>
      </c>
      <c r="C6138" s="1" t="n">
        <v>45932</v>
      </c>
      <c r="D6138" t="inlineStr">
        <is>
          <t>VÄRMLANDS LÄN</t>
        </is>
      </c>
      <c r="E6138" t="inlineStr">
        <is>
          <t>KARLSTAD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27181-2025</t>
        </is>
      </c>
      <c r="B6139" s="1" t="n">
        <v>45812</v>
      </c>
      <c r="C6139" s="1" t="n">
        <v>45932</v>
      </c>
      <c r="D6139" t="inlineStr">
        <is>
          <t>VÄRMLANDS LÄN</t>
        </is>
      </c>
      <c r="E6139" t="inlineStr">
        <is>
          <t>HAGFORS</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24117-2024</t>
        </is>
      </c>
      <c r="B6140" s="1" t="n">
        <v>45456</v>
      </c>
      <c r="C6140" s="1" t="n">
        <v>45932</v>
      </c>
      <c r="D6140" t="inlineStr">
        <is>
          <t>VÄRMLANDS LÄN</t>
        </is>
      </c>
      <c r="E6140" t="inlineStr">
        <is>
          <t>KRISTINEHAMN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3298-2025</t>
        </is>
      </c>
      <c r="B6141" s="1" t="n">
        <v>45679.64770833333</v>
      </c>
      <c r="C6141" s="1" t="n">
        <v>45932</v>
      </c>
      <c r="D6141" t="inlineStr">
        <is>
          <t>VÄRMLANDS LÄN</t>
        </is>
      </c>
      <c r="E6141" t="inlineStr">
        <is>
          <t>ÅRJÄNG</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27195-2025</t>
        </is>
      </c>
      <c r="B6142" s="1" t="n">
        <v>45812.38479166666</v>
      </c>
      <c r="C6142" s="1" t="n">
        <v>45932</v>
      </c>
      <c r="D6142" t="inlineStr">
        <is>
          <t>VÄRMLANDS LÄN</t>
        </is>
      </c>
      <c r="E6142" t="inlineStr">
        <is>
          <t>HAGFORS</t>
        </is>
      </c>
      <c r="F6142" t="inlineStr">
        <is>
          <t>Bergvik skog väst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15771-2025</t>
        </is>
      </c>
      <c r="B6143" s="1" t="n">
        <v>45748.58888888889</v>
      </c>
      <c r="C6143" s="1" t="n">
        <v>45932</v>
      </c>
      <c r="D6143" t="inlineStr">
        <is>
          <t>VÄRMLANDS LÄN</t>
        </is>
      </c>
      <c r="E6143" t="inlineStr">
        <is>
          <t>FILIPSTAD</t>
        </is>
      </c>
      <c r="G6143" t="n">
        <v>13.4</v>
      </c>
      <c r="H6143" t="n">
        <v>0</v>
      </c>
      <c r="I6143" t="n">
        <v>0</v>
      </c>
      <c r="J6143" t="n">
        <v>0</v>
      </c>
      <c r="K6143" t="n">
        <v>0</v>
      </c>
      <c r="L6143" t="n">
        <v>0</v>
      </c>
      <c r="M6143" t="n">
        <v>0</v>
      </c>
      <c r="N6143" t="n">
        <v>0</v>
      </c>
      <c r="O6143" t="n">
        <v>0</v>
      </c>
      <c r="P6143" t="n">
        <v>0</v>
      </c>
      <c r="Q6143" t="n">
        <v>0</v>
      </c>
      <c r="R6143" s="2" t="inlineStr"/>
    </row>
    <row r="6144" ht="15" customHeight="1">
      <c r="A6144" t="inlineStr">
        <is>
          <t>A 8154-2025</t>
        </is>
      </c>
      <c r="B6144" s="1" t="n">
        <v>45708.33135416666</v>
      </c>
      <c r="C6144" s="1" t="n">
        <v>45932</v>
      </c>
      <c r="D6144" t="inlineStr">
        <is>
          <t>VÄRMLANDS LÄN</t>
        </is>
      </c>
      <c r="E6144" t="inlineStr">
        <is>
          <t>ARVIKA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23786-2022</t>
        </is>
      </c>
      <c r="B6145" s="1" t="n">
        <v>44722</v>
      </c>
      <c r="C6145" s="1" t="n">
        <v>45932</v>
      </c>
      <c r="D6145" t="inlineStr">
        <is>
          <t>VÄRMLANDS LÄN</t>
        </is>
      </c>
      <c r="E6145" t="inlineStr">
        <is>
          <t>KIL</t>
        </is>
      </c>
      <c r="G6145" t="n">
        <v>7.3</v>
      </c>
      <c r="H6145" t="n">
        <v>0</v>
      </c>
      <c r="I6145" t="n">
        <v>0</v>
      </c>
      <c r="J6145" t="n">
        <v>0</v>
      </c>
      <c r="K6145" t="n">
        <v>0</v>
      </c>
      <c r="L6145" t="n">
        <v>0</v>
      </c>
      <c r="M6145" t="n">
        <v>0</v>
      </c>
      <c r="N6145" t="n">
        <v>0</v>
      </c>
      <c r="O6145" t="n">
        <v>0</v>
      </c>
      <c r="P6145" t="n">
        <v>0</v>
      </c>
      <c r="Q6145" t="n">
        <v>0</v>
      </c>
      <c r="R6145" s="2" t="inlineStr"/>
    </row>
    <row r="6146" ht="15" customHeight="1">
      <c r="A6146" t="inlineStr">
        <is>
          <t>A 11475-2023</t>
        </is>
      </c>
      <c r="B6146" s="1" t="n">
        <v>44993</v>
      </c>
      <c r="C6146" s="1" t="n">
        <v>45932</v>
      </c>
      <c r="D6146" t="inlineStr">
        <is>
          <t>VÄRMLANDS LÄN</t>
        </is>
      </c>
      <c r="E6146" t="inlineStr">
        <is>
          <t>SÄFFLE</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27291-2025</t>
        </is>
      </c>
      <c r="B6147" s="1" t="n">
        <v>45812.55769675926</v>
      </c>
      <c r="C6147" s="1" t="n">
        <v>45932</v>
      </c>
      <c r="D6147" t="inlineStr">
        <is>
          <t>VÄRMLANDS LÄN</t>
        </is>
      </c>
      <c r="E6147" t="inlineStr">
        <is>
          <t>TORSBY</t>
        </is>
      </c>
      <c r="G6147" t="n">
        <v>8</v>
      </c>
      <c r="H6147" t="n">
        <v>0</v>
      </c>
      <c r="I6147" t="n">
        <v>0</v>
      </c>
      <c r="J6147" t="n">
        <v>0</v>
      </c>
      <c r="K6147" t="n">
        <v>0</v>
      </c>
      <c r="L6147" t="n">
        <v>0</v>
      </c>
      <c r="M6147" t="n">
        <v>0</v>
      </c>
      <c r="N6147" t="n">
        <v>0</v>
      </c>
      <c r="O6147" t="n">
        <v>0</v>
      </c>
      <c r="P6147" t="n">
        <v>0</v>
      </c>
      <c r="Q6147" t="n">
        <v>0</v>
      </c>
      <c r="R6147" s="2" t="inlineStr"/>
    </row>
    <row r="6148" ht="15" customHeight="1">
      <c r="A6148" t="inlineStr">
        <is>
          <t>A 23041-2024</t>
        </is>
      </c>
      <c r="B6148" s="1" t="n">
        <v>45450.41297453704</v>
      </c>
      <c r="C6148" s="1" t="n">
        <v>45932</v>
      </c>
      <c r="D6148" t="inlineStr">
        <is>
          <t>VÄRMLANDS LÄN</t>
        </is>
      </c>
      <c r="E6148" t="inlineStr">
        <is>
          <t>HAGFORS</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23047-2024</t>
        </is>
      </c>
      <c r="B6149" s="1" t="n">
        <v>45450.42415509259</v>
      </c>
      <c r="C6149" s="1" t="n">
        <v>45932</v>
      </c>
      <c r="D6149" t="inlineStr">
        <is>
          <t>VÄRMLANDS LÄN</t>
        </is>
      </c>
      <c r="E6149" t="inlineStr">
        <is>
          <t>HAGFORS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39768-2024</t>
        </is>
      </c>
      <c r="B6150" s="1" t="n">
        <v>45552</v>
      </c>
      <c r="C6150" s="1" t="n">
        <v>45932</v>
      </c>
      <c r="D6150" t="inlineStr">
        <is>
          <t>VÄRMLANDS LÄN</t>
        </is>
      </c>
      <c r="E6150" t="inlineStr">
        <is>
          <t>TORSBY</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60145-2022</t>
        </is>
      </c>
      <c r="B6151" s="1" t="n">
        <v>44909</v>
      </c>
      <c r="C6151" s="1" t="n">
        <v>45932</v>
      </c>
      <c r="D6151" t="inlineStr">
        <is>
          <t>VÄRMLANDS LÄN</t>
        </is>
      </c>
      <c r="E6151" t="inlineStr">
        <is>
          <t>SUNNE</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60909-2024</t>
        </is>
      </c>
      <c r="B6152" s="1" t="n">
        <v>45645</v>
      </c>
      <c r="C6152" s="1" t="n">
        <v>45932</v>
      </c>
      <c r="D6152" t="inlineStr">
        <is>
          <t>VÄRMLANDS LÄN</t>
        </is>
      </c>
      <c r="E6152" t="inlineStr">
        <is>
          <t>ÅRJÄNG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46171-2023</t>
        </is>
      </c>
      <c r="B6153" s="1" t="n">
        <v>45196</v>
      </c>
      <c r="C6153" s="1" t="n">
        <v>45932</v>
      </c>
      <c r="D6153" t="inlineStr">
        <is>
          <t>VÄRMLANDS LÄN</t>
        </is>
      </c>
      <c r="E6153" t="inlineStr">
        <is>
          <t>ARVIKA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18684-2025</t>
        </is>
      </c>
      <c r="B6154" s="1" t="n">
        <v>45763.61064814815</v>
      </c>
      <c r="C6154" s="1" t="n">
        <v>45932</v>
      </c>
      <c r="D6154" t="inlineStr">
        <is>
          <t>VÄRMLANDS LÄN</t>
        </is>
      </c>
      <c r="E6154" t="inlineStr">
        <is>
          <t>TORSBY</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27707-2025</t>
        </is>
      </c>
      <c r="B6155" s="1" t="n">
        <v>45813.69709490741</v>
      </c>
      <c r="C6155" s="1" t="n">
        <v>45932</v>
      </c>
      <c r="D6155" t="inlineStr">
        <is>
          <t>VÄRMLANDS LÄN</t>
        </is>
      </c>
      <c r="E6155" t="inlineStr">
        <is>
          <t>ARVIKA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24964-2025</t>
        </is>
      </c>
      <c r="B6156" s="1" t="n">
        <v>45799</v>
      </c>
      <c r="C6156" s="1" t="n">
        <v>45932</v>
      </c>
      <c r="D6156" t="inlineStr">
        <is>
          <t>VÄRMLANDS LÄN</t>
        </is>
      </c>
      <c r="E6156" t="inlineStr">
        <is>
          <t>ÅRJÄNG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27420-2025</t>
        </is>
      </c>
      <c r="B6157" s="1" t="n">
        <v>45812</v>
      </c>
      <c r="C6157" s="1" t="n">
        <v>45932</v>
      </c>
      <c r="D6157" t="inlineStr">
        <is>
          <t>VÄRMLANDS LÄN</t>
        </is>
      </c>
      <c r="E6157" t="inlineStr">
        <is>
          <t>FILIPSTAD</t>
        </is>
      </c>
      <c r="F6157" t="inlineStr">
        <is>
          <t>Bergvik skog väst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40509-2024</t>
        </is>
      </c>
      <c r="B6158" s="1" t="n">
        <v>45555.58422453704</v>
      </c>
      <c r="C6158" s="1" t="n">
        <v>45932</v>
      </c>
      <c r="D6158" t="inlineStr">
        <is>
          <t>VÄRMLANDS LÄN</t>
        </is>
      </c>
      <c r="E6158" t="inlineStr">
        <is>
          <t>ARVIKA</t>
        </is>
      </c>
      <c r="F6158" t="inlineStr">
        <is>
          <t>Kommuner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17780-2023</t>
        </is>
      </c>
      <c r="B6159" s="1" t="n">
        <v>45037.53892361111</v>
      </c>
      <c r="C6159" s="1" t="n">
        <v>45932</v>
      </c>
      <c r="D6159" t="inlineStr">
        <is>
          <t>VÄRMLANDS LÄN</t>
        </is>
      </c>
      <c r="E6159" t="inlineStr">
        <is>
          <t>EDA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27811-2023</t>
        </is>
      </c>
      <c r="B6160" s="1" t="n">
        <v>45098.48512731482</v>
      </c>
      <c r="C6160" s="1" t="n">
        <v>45932</v>
      </c>
      <c r="D6160" t="inlineStr">
        <is>
          <t>VÄRMLANDS LÄN</t>
        </is>
      </c>
      <c r="E6160" t="inlineStr">
        <is>
          <t>SÄFFLE</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46646-2024</t>
        </is>
      </c>
      <c r="B6161" s="1" t="n">
        <v>45583.35133101852</v>
      </c>
      <c r="C6161" s="1" t="n">
        <v>45932</v>
      </c>
      <c r="D6161" t="inlineStr">
        <is>
          <t>VÄRMLANDS LÄN</t>
        </is>
      </c>
      <c r="E6161" t="inlineStr">
        <is>
          <t>EDA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17971-2024</t>
        </is>
      </c>
      <c r="B6162" s="1" t="n">
        <v>45419</v>
      </c>
      <c r="C6162" s="1" t="n">
        <v>45932</v>
      </c>
      <c r="D6162" t="inlineStr">
        <is>
          <t>VÄRMLANDS LÄN</t>
        </is>
      </c>
      <c r="E6162" t="inlineStr">
        <is>
          <t>SÄFFLE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17830-2023</t>
        </is>
      </c>
      <c r="B6163" s="1" t="n">
        <v>45037</v>
      </c>
      <c r="C6163" s="1" t="n">
        <v>45932</v>
      </c>
      <c r="D6163" t="inlineStr">
        <is>
          <t>VÄRMLANDS LÄN</t>
        </is>
      </c>
      <c r="E6163" t="inlineStr">
        <is>
          <t>SUNNE</t>
        </is>
      </c>
      <c r="G6163" t="n">
        <v>13.1</v>
      </c>
      <c r="H6163" t="n">
        <v>0</v>
      </c>
      <c r="I6163" t="n">
        <v>0</v>
      </c>
      <c r="J6163" t="n">
        <v>0</v>
      </c>
      <c r="K6163" t="n">
        <v>0</v>
      </c>
      <c r="L6163" t="n">
        <v>0</v>
      </c>
      <c r="M6163" t="n">
        <v>0</v>
      </c>
      <c r="N6163" t="n">
        <v>0</v>
      </c>
      <c r="O6163" t="n">
        <v>0</v>
      </c>
      <c r="P6163" t="n">
        <v>0</v>
      </c>
      <c r="Q6163" t="n">
        <v>0</v>
      </c>
      <c r="R6163" s="2" t="inlineStr"/>
    </row>
    <row r="6164" ht="15" customHeight="1">
      <c r="A6164" t="inlineStr">
        <is>
          <t>A 21920-2023</t>
        </is>
      </c>
      <c r="B6164" s="1" t="n">
        <v>45068</v>
      </c>
      <c r="C6164" s="1" t="n">
        <v>45932</v>
      </c>
      <c r="D6164" t="inlineStr">
        <is>
          <t>VÄRMLANDS LÄN</t>
        </is>
      </c>
      <c r="E6164" t="inlineStr">
        <is>
          <t>SUNNE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31936-2023</t>
        </is>
      </c>
      <c r="B6165" s="1" t="n">
        <v>45107</v>
      </c>
      <c r="C6165" s="1" t="n">
        <v>45932</v>
      </c>
      <c r="D6165" t="inlineStr">
        <is>
          <t>VÄRMLANDS LÄN</t>
        </is>
      </c>
      <c r="E6165" t="inlineStr">
        <is>
          <t>TORSBY</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27640-2025</t>
        </is>
      </c>
      <c r="B6166" s="1" t="n">
        <v>45813.58407407408</v>
      </c>
      <c r="C6166" s="1" t="n">
        <v>45932</v>
      </c>
      <c r="D6166" t="inlineStr">
        <is>
          <t>VÄRMLANDS LÄN</t>
        </is>
      </c>
      <c r="E6166" t="inlineStr">
        <is>
          <t>EDA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1900-2025</t>
        </is>
      </c>
      <c r="B6167" s="1" t="n">
        <v>45671.64324074074</v>
      </c>
      <c r="C6167" s="1" t="n">
        <v>45932</v>
      </c>
      <c r="D6167" t="inlineStr">
        <is>
          <t>VÄRMLANDS LÄN</t>
        </is>
      </c>
      <c r="E6167" t="inlineStr">
        <is>
          <t>EDA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31964-2023</t>
        </is>
      </c>
      <c r="B6168" s="1" t="n">
        <v>45107</v>
      </c>
      <c r="C6168" s="1" t="n">
        <v>45932</v>
      </c>
      <c r="D6168" t="inlineStr">
        <is>
          <t>VÄRMLANDS LÄN</t>
        </is>
      </c>
      <c r="E6168" t="inlineStr">
        <is>
          <t>GRUMS</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46343-2024</t>
        </is>
      </c>
      <c r="B6169" s="1" t="n">
        <v>45582</v>
      </c>
      <c r="C6169" s="1" t="n">
        <v>45932</v>
      </c>
      <c r="D6169" t="inlineStr">
        <is>
          <t>VÄRMLANDS LÄN</t>
        </is>
      </c>
      <c r="E6169" t="inlineStr">
        <is>
          <t>TORSBY</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3678-2024</t>
        </is>
      </c>
      <c r="B6170" s="1" t="n">
        <v>45321.37844907407</v>
      </c>
      <c r="C6170" s="1" t="n">
        <v>45932</v>
      </c>
      <c r="D6170" t="inlineStr">
        <is>
          <t>VÄRMLANDS LÄN</t>
        </is>
      </c>
      <c r="E6170" t="inlineStr">
        <is>
          <t>TORSBY</t>
        </is>
      </c>
      <c r="G6170" t="n">
        <v>24.6</v>
      </c>
      <c r="H6170" t="n">
        <v>0</v>
      </c>
      <c r="I6170" t="n">
        <v>0</v>
      </c>
      <c r="J6170" t="n">
        <v>0</v>
      </c>
      <c r="K6170" t="n">
        <v>0</v>
      </c>
      <c r="L6170" t="n">
        <v>0</v>
      </c>
      <c r="M6170" t="n">
        <v>0</v>
      </c>
      <c r="N6170" t="n">
        <v>0</v>
      </c>
      <c r="O6170" t="n">
        <v>0</v>
      </c>
      <c r="P6170" t="n">
        <v>0</v>
      </c>
      <c r="Q6170" t="n">
        <v>0</v>
      </c>
      <c r="R6170" s="2" t="inlineStr"/>
    </row>
    <row r="6171" ht="15" customHeight="1">
      <c r="A6171" t="inlineStr">
        <is>
          <t>A 27484-2025</t>
        </is>
      </c>
      <c r="B6171" s="1" t="n">
        <v>45813.38362268519</v>
      </c>
      <c r="C6171" s="1" t="n">
        <v>45932</v>
      </c>
      <c r="D6171" t="inlineStr">
        <is>
          <t>VÄRMLANDS LÄN</t>
        </is>
      </c>
      <c r="E6171" t="inlineStr">
        <is>
          <t>SUNNE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27708-2025</t>
        </is>
      </c>
      <c r="B6172" s="1" t="n">
        <v>45813</v>
      </c>
      <c r="C6172" s="1" t="n">
        <v>45932</v>
      </c>
      <c r="D6172" t="inlineStr">
        <is>
          <t>VÄRMLANDS LÄN</t>
        </is>
      </c>
      <c r="E6172" t="inlineStr">
        <is>
          <t>ARVIKA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3679-2024</t>
        </is>
      </c>
      <c r="B6173" s="1" t="n">
        <v>45321.37962962963</v>
      </c>
      <c r="C6173" s="1" t="n">
        <v>45932</v>
      </c>
      <c r="D6173" t="inlineStr">
        <is>
          <t>VÄRMLANDS LÄN</t>
        </is>
      </c>
      <c r="E6173" t="inlineStr">
        <is>
          <t>SUNNE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51386-2023</t>
        </is>
      </c>
      <c r="B6174" s="1" t="n">
        <v>45219.65394675926</v>
      </c>
      <c r="C6174" s="1" t="n">
        <v>45932</v>
      </c>
      <c r="D6174" t="inlineStr">
        <is>
          <t>VÄRMLANDS LÄN</t>
        </is>
      </c>
      <c r="E6174" t="inlineStr">
        <is>
          <t>TORSBY</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27245-2025</t>
        </is>
      </c>
      <c r="B6175" s="1" t="n">
        <v>45812</v>
      </c>
      <c r="C6175" s="1" t="n">
        <v>45932</v>
      </c>
      <c r="D6175" t="inlineStr">
        <is>
          <t>VÄRMLANDS LÄN</t>
        </is>
      </c>
      <c r="E6175" t="inlineStr">
        <is>
          <t>ARVIKA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27293-2025</t>
        </is>
      </c>
      <c r="B6176" s="1" t="n">
        <v>45812.56776620371</v>
      </c>
      <c r="C6176" s="1" t="n">
        <v>45932</v>
      </c>
      <c r="D6176" t="inlineStr">
        <is>
          <t>VÄRMLANDS LÄN</t>
        </is>
      </c>
      <c r="E6176" t="inlineStr">
        <is>
          <t>HAGFORS</t>
        </is>
      </c>
      <c r="F6176" t="inlineStr">
        <is>
          <t>Bergvik skog väst AB</t>
        </is>
      </c>
      <c r="G6176" t="n">
        <v>10.4</v>
      </c>
      <c r="H6176" t="n">
        <v>0</v>
      </c>
      <c r="I6176" t="n">
        <v>0</v>
      </c>
      <c r="J6176" t="n">
        <v>0</v>
      </c>
      <c r="K6176" t="n">
        <v>0</v>
      </c>
      <c r="L6176" t="n">
        <v>0</v>
      </c>
      <c r="M6176" t="n">
        <v>0</v>
      </c>
      <c r="N6176" t="n">
        <v>0</v>
      </c>
      <c r="O6176" t="n">
        <v>0</v>
      </c>
      <c r="P6176" t="n">
        <v>0</v>
      </c>
      <c r="Q6176" t="n">
        <v>0</v>
      </c>
      <c r="R6176" s="2" t="inlineStr"/>
    </row>
    <row r="6177" ht="15" customHeight="1">
      <c r="A6177" t="inlineStr">
        <is>
          <t>A 40465-2023</t>
        </is>
      </c>
      <c r="B6177" s="1" t="n">
        <v>45170.34325231481</v>
      </c>
      <c r="C6177" s="1" t="n">
        <v>45932</v>
      </c>
      <c r="D6177" t="inlineStr">
        <is>
          <t>VÄRMLANDS LÄN</t>
        </is>
      </c>
      <c r="E6177" t="inlineStr">
        <is>
          <t>ÅRJÄNG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30587-2023</t>
        </is>
      </c>
      <c r="B6178" s="1" t="n">
        <v>45112.33359953704</v>
      </c>
      <c r="C6178" s="1" t="n">
        <v>45932</v>
      </c>
      <c r="D6178" t="inlineStr">
        <is>
          <t>VÄRMLANDS LÄN</t>
        </is>
      </c>
      <c r="E6178" t="inlineStr">
        <is>
          <t>STORFORS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54011-2024</t>
        </is>
      </c>
      <c r="B6179" s="1" t="n">
        <v>45616.37576388889</v>
      </c>
      <c r="C6179" s="1" t="n">
        <v>45932</v>
      </c>
      <c r="D6179" t="inlineStr">
        <is>
          <t>VÄRMLANDS LÄN</t>
        </is>
      </c>
      <c r="E6179" t="inlineStr">
        <is>
          <t>TORSBY</t>
        </is>
      </c>
      <c r="F6179" t="inlineStr">
        <is>
          <t>Kommuner</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54026-2024</t>
        </is>
      </c>
      <c r="B6180" s="1" t="n">
        <v>45616</v>
      </c>
      <c r="C6180" s="1" t="n">
        <v>45932</v>
      </c>
      <c r="D6180" t="inlineStr">
        <is>
          <t>VÄRMLANDS LÄN</t>
        </is>
      </c>
      <c r="E6180" t="inlineStr">
        <is>
          <t>TORSBY</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27247-2025</t>
        </is>
      </c>
      <c r="B6181" s="1" t="n">
        <v>45812.46612268518</v>
      </c>
      <c r="C6181" s="1" t="n">
        <v>45932</v>
      </c>
      <c r="D6181" t="inlineStr">
        <is>
          <t>VÄRMLANDS LÄN</t>
        </is>
      </c>
      <c r="E6181" t="inlineStr">
        <is>
          <t>ÅRJÄNG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14744-2025</t>
        </is>
      </c>
      <c r="B6182" s="1" t="n">
        <v>45742</v>
      </c>
      <c r="C6182" s="1" t="n">
        <v>45932</v>
      </c>
      <c r="D6182" t="inlineStr">
        <is>
          <t>VÄRMLANDS LÄN</t>
        </is>
      </c>
      <c r="E6182" t="inlineStr">
        <is>
          <t>EDA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27302-2025</t>
        </is>
      </c>
      <c r="B6183" s="1" t="n">
        <v>45812.57192129629</v>
      </c>
      <c r="C6183" s="1" t="n">
        <v>45932</v>
      </c>
      <c r="D6183" t="inlineStr">
        <is>
          <t>VÄRMLANDS LÄN</t>
        </is>
      </c>
      <c r="E6183" t="inlineStr">
        <is>
          <t>SUNNE</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27325-2025</t>
        </is>
      </c>
      <c r="B6184" s="1" t="n">
        <v>45812.60623842593</v>
      </c>
      <c r="C6184" s="1" t="n">
        <v>45932</v>
      </c>
      <c r="D6184" t="inlineStr">
        <is>
          <t>VÄRMLANDS LÄN</t>
        </is>
      </c>
      <c r="E6184" t="inlineStr">
        <is>
          <t>HAGFORS</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27328-2025</t>
        </is>
      </c>
      <c r="B6185" s="1" t="n">
        <v>45812</v>
      </c>
      <c r="C6185" s="1" t="n">
        <v>45932</v>
      </c>
      <c r="D6185" t="inlineStr">
        <is>
          <t>VÄRMLANDS LÄN</t>
        </is>
      </c>
      <c r="E6185" t="inlineStr">
        <is>
          <t>ARVIKA</t>
        </is>
      </c>
      <c r="F6185" t="inlineStr">
        <is>
          <t>Bergvik skog väst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3637-2025</t>
        </is>
      </c>
      <c r="B6186" s="1" t="n">
        <v>45681</v>
      </c>
      <c r="C6186" s="1" t="n">
        <v>45932</v>
      </c>
      <c r="D6186" t="inlineStr">
        <is>
          <t>VÄRMLANDS LÄN</t>
        </is>
      </c>
      <c r="E6186" t="inlineStr">
        <is>
          <t>SUNNE</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25251-2023</t>
        </is>
      </c>
      <c r="B6187" s="1" t="n">
        <v>45086</v>
      </c>
      <c r="C6187" s="1" t="n">
        <v>45932</v>
      </c>
      <c r="D6187" t="inlineStr">
        <is>
          <t>VÄRMLANDS LÄN</t>
        </is>
      </c>
      <c r="E6187" t="inlineStr">
        <is>
          <t>ARVIKA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23216-2023</t>
        </is>
      </c>
      <c r="B6188" s="1" t="n">
        <v>45075</v>
      </c>
      <c r="C6188" s="1" t="n">
        <v>45932</v>
      </c>
      <c r="D6188" t="inlineStr">
        <is>
          <t>VÄRMLANDS LÄN</t>
        </is>
      </c>
      <c r="E6188" t="inlineStr">
        <is>
          <t>ÅRJÄNG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24339-2024</t>
        </is>
      </c>
      <c r="B6189" s="1" t="n">
        <v>45457</v>
      </c>
      <c r="C6189" s="1" t="n">
        <v>45932</v>
      </c>
      <c r="D6189" t="inlineStr">
        <is>
          <t>VÄRMLANDS LÄN</t>
        </is>
      </c>
      <c r="E6189" t="inlineStr">
        <is>
          <t>ÅRJÄNG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39886-2024</t>
        </is>
      </c>
      <c r="B6190" s="1" t="n">
        <v>45553.47413194444</v>
      </c>
      <c r="C6190" s="1" t="n">
        <v>45932</v>
      </c>
      <c r="D6190" t="inlineStr">
        <is>
          <t>VÄRMLANDS LÄN</t>
        </is>
      </c>
      <c r="E6190" t="inlineStr">
        <is>
          <t>KARLSTAD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7738-2025</t>
        </is>
      </c>
      <c r="B6191" s="1" t="n">
        <v>45706.47546296296</v>
      </c>
      <c r="C6191" s="1" t="n">
        <v>45932</v>
      </c>
      <c r="D6191" t="inlineStr">
        <is>
          <t>VÄRMLANDS LÄN</t>
        </is>
      </c>
      <c r="E6191" t="inlineStr">
        <is>
          <t>SUNNE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31998-2024</t>
        </is>
      </c>
      <c r="B6192" s="1" t="n">
        <v>45510</v>
      </c>
      <c r="C6192" s="1" t="n">
        <v>45932</v>
      </c>
      <c r="D6192" t="inlineStr">
        <is>
          <t>VÄRMLANDS LÄN</t>
        </is>
      </c>
      <c r="E6192" t="inlineStr">
        <is>
          <t>ARVIKA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58656-2024</t>
        </is>
      </c>
      <c r="B6193" s="1" t="n">
        <v>45635</v>
      </c>
      <c r="C6193" s="1" t="n">
        <v>45932</v>
      </c>
      <c r="D6193" t="inlineStr">
        <is>
          <t>VÄRMLANDS LÄN</t>
        </is>
      </c>
      <c r="E6193" t="inlineStr">
        <is>
          <t>KARLSTAD</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12397-2024</t>
        </is>
      </c>
      <c r="B6194" s="1" t="n">
        <v>45379.3791087963</v>
      </c>
      <c r="C6194" s="1" t="n">
        <v>45932</v>
      </c>
      <c r="D6194" t="inlineStr">
        <is>
          <t>VÄRMLANDS LÄN</t>
        </is>
      </c>
      <c r="E6194" t="inlineStr">
        <is>
          <t>KARLSTAD</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24916-2024</t>
        </is>
      </c>
      <c r="B6195" s="1" t="n">
        <v>45461.6058449074</v>
      </c>
      <c r="C6195" s="1" t="n">
        <v>45932</v>
      </c>
      <c r="D6195" t="inlineStr">
        <is>
          <t>VÄRMLANDS LÄN</t>
        </is>
      </c>
      <c r="E6195" t="inlineStr">
        <is>
          <t>ÅRJÄNG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37221-2022</t>
        </is>
      </c>
      <c r="B6196" s="1" t="n">
        <v>44806.74005787037</v>
      </c>
      <c r="C6196" s="1" t="n">
        <v>45932</v>
      </c>
      <c r="D6196" t="inlineStr">
        <is>
          <t>VÄRMLANDS LÄN</t>
        </is>
      </c>
      <c r="E6196" t="inlineStr">
        <is>
          <t>SUNNE</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10129-2025</t>
        </is>
      </c>
      <c r="B6197" s="1" t="n">
        <v>45719.60755787037</v>
      </c>
      <c r="C6197" s="1" t="n">
        <v>45932</v>
      </c>
      <c r="D6197" t="inlineStr">
        <is>
          <t>VÄRMLANDS LÄN</t>
        </is>
      </c>
      <c r="E6197" t="inlineStr">
        <is>
          <t>ARVIKA</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10154-2025</t>
        </is>
      </c>
      <c r="B6198" s="1" t="n">
        <v>45719</v>
      </c>
      <c r="C6198" s="1" t="n">
        <v>45932</v>
      </c>
      <c r="D6198" t="inlineStr">
        <is>
          <t>VÄRMLANDS LÄN</t>
        </is>
      </c>
      <c r="E6198" t="inlineStr">
        <is>
          <t>EDA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58705-2024</t>
        </is>
      </c>
      <c r="B6199" s="1" t="n">
        <v>45635</v>
      </c>
      <c r="C6199" s="1" t="n">
        <v>45932</v>
      </c>
      <c r="D6199" t="inlineStr">
        <is>
          <t>VÄRMLANDS LÄN</t>
        </is>
      </c>
      <c r="E6199" t="inlineStr">
        <is>
          <t>GRUMS</t>
        </is>
      </c>
      <c r="F6199" t="inlineStr">
        <is>
          <t>Bergvik skog väst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6641-2024</t>
        </is>
      </c>
      <c r="B6200" s="1" t="n">
        <v>45341.65578703704</v>
      </c>
      <c r="C6200" s="1" t="n">
        <v>45932</v>
      </c>
      <c r="D6200" t="inlineStr">
        <is>
          <t>VÄRMLANDS LÄN</t>
        </is>
      </c>
      <c r="E6200" t="inlineStr">
        <is>
          <t>SUNNE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12341-2025</t>
        </is>
      </c>
      <c r="B6201" s="1" t="n">
        <v>45730.33796296296</v>
      </c>
      <c r="C6201" s="1" t="n">
        <v>45932</v>
      </c>
      <c r="D6201" t="inlineStr">
        <is>
          <t>VÄRMLANDS LÄN</t>
        </is>
      </c>
      <c r="E6201" t="inlineStr">
        <is>
          <t>EDA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12349-2025</t>
        </is>
      </c>
      <c r="B6202" s="1" t="n">
        <v>45730</v>
      </c>
      <c r="C6202" s="1" t="n">
        <v>45932</v>
      </c>
      <c r="D6202" t="inlineStr">
        <is>
          <t>VÄRMLANDS LÄN</t>
        </is>
      </c>
      <c r="E6202" t="inlineStr">
        <is>
          <t>KIL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58261-2022</t>
        </is>
      </c>
      <c r="B6203" s="1" t="n">
        <v>44901.45045138889</v>
      </c>
      <c r="C6203" s="1" t="n">
        <v>45932</v>
      </c>
      <c r="D6203" t="inlineStr">
        <is>
          <t>VÄRMLANDS LÄN</t>
        </is>
      </c>
      <c r="E6203" t="inlineStr">
        <is>
          <t>EDA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7888-2022</t>
        </is>
      </c>
      <c r="B6204" s="1" t="n">
        <v>44608.64030092592</v>
      </c>
      <c r="C6204" s="1" t="n">
        <v>45932</v>
      </c>
      <c r="D6204" t="inlineStr">
        <is>
          <t>VÄRMLANDS LÄN</t>
        </is>
      </c>
      <c r="E6204" t="inlineStr">
        <is>
          <t>SÄFFLE</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27160-2025</t>
        </is>
      </c>
      <c r="B6205" s="1" t="n">
        <v>45812</v>
      </c>
      <c r="C6205" s="1" t="n">
        <v>45932</v>
      </c>
      <c r="D6205" t="inlineStr">
        <is>
          <t>VÄRMLANDS LÄN</t>
        </is>
      </c>
      <c r="E6205" t="inlineStr">
        <is>
          <t>ARVIKA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27174-2025</t>
        </is>
      </c>
      <c r="B6206" s="1" t="n">
        <v>45812.34997685185</v>
      </c>
      <c r="C6206" s="1" t="n">
        <v>45932</v>
      </c>
      <c r="D6206" t="inlineStr">
        <is>
          <t>VÄRMLANDS LÄN</t>
        </is>
      </c>
      <c r="E6206" t="inlineStr">
        <is>
          <t>TORSBY</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2920-2025</t>
        </is>
      </c>
      <c r="B6207" s="1" t="n">
        <v>45678.32096064815</v>
      </c>
      <c r="C6207" s="1" t="n">
        <v>45932</v>
      </c>
      <c r="D6207" t="inlineStr">
        <is>
          <t>VÄRMLANDS LÄN</t>
        </is>
      </c>
      <c r="E6207" t="inlineStr">
        <is>
          <t>KRISTINEHAMN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49770-2023</t>
        </is>
      </c>
      <c r="B6208" s="1" t="n">
        <v>45212.56989583333</v>
      </c>
      <c r="C6208" s="1" t="n">
        <v>45932</v>
      </c>
      <c r="D6208" t="inlineStr">
        <is>
          <t>VÄRMLANDS LÄN</t>
        </is>
      </c>
      <c r="E6208" t="inlineStr">
        <is>
          <t>SÄFFLE</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52174-2024</t>
        </is>
      </c>
      <c r="B6209" s="1" t="n">
        <v>45608</v>
      </c>
      <c r="C6209" s="1" t="n">
        <v>45932</v>
      </c>
      <c r="D6209" t="inlineStr">
        <is>
          <t>VÄRMLANDS LÄN</t>
        </is>
      </c>
      <c r="E6209" t="inlineStr">
        <is>
          <t>SÄFFLE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15442-2024</t>
        </is>
      </c>
      <c r="B6210" s="1" t="n">
        <v>45401.42217592592</v>
      </c>
      <c r="C6210" s="1" t="n">
        <v>45932</v>
      </c>
      <c r="D6210" t="inlineStr">
        <is>
          <t>VÄRMLANDS LÄN</t>
        </is>
      </c>
      <c r="E6210" t="inlineStr">
        <is>
          <t>STORFORS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54885-2022</t>
        </is>
      </c>
      <c r="B6211" s="1" t="n">
        <v>44886</v>
      </c>
      <c r="C6211" s="1" t="n">
        <v>45932</v>
      </c>
      <c r="D6211" t="inlineStr">
        <is>
          <t>VÄRMLANDS LÄN</t>
        </is>
      </c>
      <c r="E6211" t="inlineStr">
        <is>
          <t>TORSBY</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22392-2021</t>
        </is>
      </c>
      <c r="B6212" s="1" t="n">
        <v>44326.59961805555</v>
      </c>
      <c r="C6212" s="1" t="n">
        <v>45932</v>
      </c>
      <c r="D6212" t="inlineStr">
        <is>
          <t>VÄRMLANDS LÄN</t>
        </is>
      </c>
      <c r="E6212" t="inlineStr">
        <is>
          <t>SUNNE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38776-2024</t>
        </is>
      </c>
      <c r="B6213" s="1" t="n">
        <v>45547.4672337963</v>
      </c>
      <c r="C6213" s="1" t="n">
        <v>45932</v>
      </c>
      <c r="D6213" t="inlineStr">
        <is>
          <t>VÄRMLANDS LÄN</t>
        </is>
      </c>
      <c r="E6213" t="inlineStr">
        <is>
          <t>SUNNE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39648-2023</t>
        </is>
      </c>
      <c r="B6214" s="1" t="n">
        <v>45167.5528587963</v>
      </c>
      <c r="C6214" s="1" t="n">
        <v>45932</v>
      </c>
      <c r="D6214" t="inlineStr">
        <is>
          <t>VÄRMLANDS LÄN</t>
        </is>
      </c>
      <c r="E6214" t="inlineStr">
        <is>
          <t>TORSBY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42522-2021</t>
        </is>
      </c>
      <c r="B6215" s="1" t="n">
        <v>44427</v>
      </c>
      <c r="C6215" s="1" t="n">
        <v>45932</v>
      </c>
      <c r="D6215" t="inlineStr">
        <is>
          <t>VÄRMLANDS LÄN</t>
        </is>
      </c>
      <c r="E6215" t="inlineStr">
        <is>
          <t>KIL</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15420-2024</t>
        </is>
      </c>
      <c r="B6216" s="1" t="n">
        <v>45401</v>
      </c>
      <c r="C6216" s="1" t="n">
        <v>45932</v>
      </c>
      <c r="D6216" t="inlineStr">
        <is>
          <t>VÄRMLANDS LÄN</t>
        </is>
      </c>
      <c r="E6216" t="inlineStr">
        <is>
          <t>ARVIKA</t>
        </is>
      </c>
      <c r="F6216" t="inlineStr">
        <is>
          <t>Bergvik skog väst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56509-2024</t>
        </is>
      </c>
      <c r="B6217" s="1" t="n">
        <v>45625</v>
      </c>
      <c r="C6217" s="1" t="n">
        <v>45932</v>
      </c>
      <c r="D6217" t="inlineStr">
        <is>
          <t>VÄRMLANDS LÄN</t>
        </is>
      </c>
      <c r="E6217" t="inlineStr">
        <is>
          <t>TORSBY</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53599-2023</t>
        </is>
      </c>
      <c r="B6218" s="1" t="n">
        <v>45230.55438657408</v>
      </c>
      <c r="C6218" s="1" t="n">
        <v>45932</v>
      </c>
      <c r="D6218" t="inlineStr">
        <is>
          <t>VÄRMLANDS LÄN</t>
        </is>
      </c>
      <c r="E6218" t="inlineStr">
        <is>
          <t>HAGFORS</t>
        </is>
      </c>
      <c r="F6218" t="inlineStr">
        <is>
          <t>Bergvik skog väst AB</t>
        </is>
      </c>
      <c r="G6218" t="n">
        <v>34.7</v>
      </c>
      <c r="H6218" t="n">
        <v>0</v>
      </c>
      <c r="I6218" t="n">
        <v>0</v>
      </c>
      <c r="J6218" t="n">
        <v>0</v>
      </c>
      <c r="K6218" t="n">
        <v>0</v>
      </c>
      <c r="L6218" t="n">
        <v>0</v>
      </c>
      <c r="M6218" t="n">
        <v>0</v>
      </c>
      <c r="N6218" t="n">
        <v>0</v>
      </c>
      <c r="O6218" t="n">
        <v>0</v>
      </c>
      <c r="P6218" t="n">
        <v>0</v>
      </c>
      <c r="Q6218" t="n">
        <v>0</v>
      </c>
      <c r="R6218" s="2" t="inlineStr"/>
    </row>
    <row r="6219" ht="15" customHeight="1">
      <c r="A6219" t="inlineStr">
        <is>
          <t>A 7683-2023</t>
        </is>
      </c>
      <c r="B6219" s="1" t="n">
        <v>44972</v>
      </c>
      <c r="C6219" s="1" t="n">
        <v>45932</v>
      </c>
      <c r="D6219" t="inlineStr">
        <is>
          <t>VÄRMLANDS LÄN</t>
        </is>
      </c>
      <c r="E6219" t="inlineStr">
        <is>
          <t>MUNKFORS</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32185-2024</t>
        </is>
      </c>
      <c r="B6220" s="1" t="n">
        <v>45511.64414351852</v>
      </c>
      <c r="C6220" s="1" t="n">
        <v>45932</v>
      </c>
      <c r="D6220" t="inlineStr">
        <is>
          <t>VÄRMLANDS LÄN</t>
        </is>
      </c>
      <c r="E6220" t="inlineStr">
        <is>
          <t>FILIPSTAD</t>
        </is>
      </c>
      <c r="F6220" t="inlineStr">
        <is>
          <t>Bergvik skog väst AB</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63745-2021</t>
        </is>
      </c>
      <c r="B6221" s="1" t="n">
        <v>44509.46195601852</v>
      </c>
      <c r="C6221" s="1" t="n">
        <v>45932</v>
      </c>
      <c r="D6221" t="inlineStr">
        <is>
          <t>VÄRMLANDS LÄN</t>
        </is>
      </c>
      <c r="E6221" t="inlineStr">
        <is>
          <t>SÄFFLE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34121-2024</t>
        </is>
      </c>
      <c r="B6222" s="1" t="n">
        <v>45524</v>
      </c>
      <c r="C6222" s="1" t="n">
        <v>45932</v>
      </c>
      <c r="D6222" t="inlineStr">
        <is>
          <t>VÄRMLANDS LÄN</t>
        </is>
      </c>
      <c r="E6222" t="inlineStr">
        <is>
          <t>SÄFFLE</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27212-2025</t>
        </is>
      </c>
      <c r="B6223" s="1" t="n">
        <v>45812.40777777778</v>
      </c>
      <c r="C6223" s="1" t="n">
        <v>45932</v>
      </c>
      <c r="D6223" t="inlineStr">
        <is>
          <t>VÄRMLANDS LÄN</t>
        </is>
      </c>
      <c r="E6223" t="inlineStr">
        <is>
          <t>EDA</t>
        </is>
      </c>
      <c r="F6223" t="inlineStr">
        <is>
          <t>Bergvik skog väst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34145-2024</t>
        </is>
      </c>
      <c r="B6224" s="1" t="n">
        <v>45524</v>
      </c>
      <c r="C6224" s="1" t="n">
        <v>45932</v>
      </c>
      <c r="D6224" t="inlineStr">
        <is>
          <t>VÄRMLANDS LÄN</t>
        </is>
      </c>
      <c r="E6224" t="inlineStr">
        <is>
          <t>FILIPSTAD</t>
        </is>
      </c>
      <c r="F6224" t="inlineStr">
        <is>
          <t>Bergvik skog väst AB</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32869-2023</t>
        </is>
      </c>
      <c r="B6225" s="1" t="n">
        <v>45124</v>
      </c>
      <c r="C6225" s="1" t="n">
        <v>45932</v>
      </c>
      <c r="D6225" t="inlineStr">
        <is>
          <t>VÄRMLANDS LÄN</t>
        </is>
      </c>
      <c r="E6225" t="inlineStr">
        <is>
          <t>ARVIKA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32875-2023</t>
        </is>
      </c>
      <c r="B6226" s="1" t="n">
        <v>45112</v>
      </c>
      <c r="C6226" s="1" t="n">
        <v>45932</v>
      </c>
      <c r="D6226" t="inlineStr">
        <is>
          <t>VÄRMLANDS LÄN</t>
        </is>
      </c>
      <c r="E6226" t="inlineStr">
        <is>
          <t>KARLSTAD</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8598-2025</t>
        </is>
      </c>
      <c r="B6227" s="1" t="n">
        <v>45709.78695601852</v>
      </c>
      <c r="C6227" s="1" t="n">
        <v>45932</v>
      </c>
      <c r="D6227" t="inlineStr">
        <is>
          <t>VÄRMLANDS LÄN</t>
        </is>
      </c>
      <c r="E6227" t="inlineStr">
        <is>
          <t>ARVIKA</t>
        </is>
      </c>
      <c r="G6227" t="n">
        <v>14.1</v>
      </c>
      <c r="H6227" t="n">
        <v>0</v>
      </c>
      <c r="I6227" t="n">
        <v>0</v>
      </c>
      <c r="J6227" t="n">
        <v>0</v>
      </c>
      <c r="K6227" t="n">
        <v>0</v>
      </c>
      <c r="L6227" t="n">
        <v>0</v>
      </c>
      <c r="M6227" t="n">
        <v>0</v>
      </c>
      <c r="N6227" t="n">
        <v>0</v>
      </c>
      <c r="O6227" t="n">
        <v>0</v>
      </c>
      <c r="P6227" t="n">
        <v>0</v>
      </c>
      <c r="Q6227" t="n">
        <v>0</v>
      </c>
      <c r="R6227" s="2" t="inlineStr"/>
    </row>
    <row r="6228" ht="15" customHeight="1">
      <c r="A6228" t="inlineStr">
        <is>
          <t>A 55795-2024</t>
        </is>
      </c>
      <c r="B6228" s="1" t="n">
        <v>45623</v>
      </c>
      <c r="C6228" s="1" t="n">
        <v>45932</v>
      </c>
      <c r="D6228" t="inlineStr">
        <is>
          <t>VÄRMLANDS LÄN</t>
        </is>
      </c>
      <c r="E6228" t="inlineStr">
        <is>
          <t>SÄFFLE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28055-2025</t>
        </is>
      </c>
      <c r="B6229" s="1" t="n">
        <v>45817.66105324074</v>
      </c>
      <c r="C6229" s="1" t="n">
        <v>45932</v>
      </c>
      <c r="D6229" t="inlineStr">
        <is>
          <t>VÄRMLANDS LÄN</t>
        </is>
      </c>
      <c r="E6229" t="inlineStr">
        <is>
          <t>SUNNE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27995-2024</t>
        </is>
      </c>
      <c r="B6230" s="1" t="n">
        <v>45476</v>
      </c>
      <c r="C6230" s="1" t="n">
        <v>45932</v>
      </c>
      <c r="D6230" t="inlineStr">
        <is>
          <t>VÄRMLANDS LÄN</t>
        </is>
      </c>
      <c r="E6230" t="inlineStr">
        <is>
          <t>FORSHAGA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27759-2025</t>
        </is>
      </c>
      <c r="B6231" s="1" t="n">
        <v>45816.48986111111</v>
      </c>
      <c r="C6231" s="1" t="n">
        <v>45932</v>
      </c>
      <c r="D6231" t="inlineStr">
        <is>
          <t>VÄRMLANDS LÄN</t>
        </is>
      </c>
      <c r="E6231" t="inlineStr">
        <is>
          <t>TORSBY</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32194-2024</t>
        </is>
      </c>
      <c r="B6232" s="1" t="n">
        <v>45511</v>
      </c>
      <c r="C6232" s="1" t="n">
        <v>45932</v>
      </c>
      <c r="D6232" t="inlineStr">
        <is>
          <t>VÄRMLANDS LÄN</t>
        </is>
      </c>
      <c r="E6232" t="inlineStr">
        <is>
          <t>ARVIKA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49979-2024</t>
        </is>
      </c>
      <c r="B6233" s="1" t="n">
        <v>45597</v>
      </c>
      <c r="C6233" s="1" t="n">
        <v>45932</v>
      </c>
      <c r="D6233" t="inlineStr">
        <is>
          <t>VÄRMLANDS LÄN</t>
        </is>
      </c>
      <c r="E6233" t="inlineStr">
        <is>
          <t>SÄFFLE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50042-2024</t>
        </is>
      </c>
      <c r="B6234" s="1" t="n">
        <v>45597</v>
      </c>
      <c r="C6234" s="1" t="n">
        <v>45932</v>
      </c>
      <c r="D6234" t="inlineStr">
        <is>
          <t>VÄRMLANDS LÄN</t>
        </is>
      </c>
      <c r="E6234" t="inlineStr">
        <is>
          <t>SÄFFLE</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27692-2024</t>
        </is>
      </c>
      <c r="B6235" s="1" t="n">
        <v>45474</v>
      </c>
      <c r="C6235" s="1" t="n">
        <v>45932</v>
      </c>
      <c r="D6235" t="inlineStr">
        <is>
          <t>VÄRMLANDS LÄN</t>
        </is>
      </c>
      <c r="E6235" t="inlineStr">
        <is>
          <t>ÅRJÄNG</t>
        </is>
      </c>
      <c r="F6235" t="inlineStr">
        <is>
          <t>Övriga Aktiebolag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54223-2023</t>
        </is>
      </c>
      <c r="B6236" s="1" t="n">
        <v>45232</v>
      </c>
      <c r="C6236" s="1" t="n">
        <v>45932</v>
      </c>
      <c r="D6236" t="inlineStr">
        <is>
          <t>VÄRMLANDS LÄN</t>
        </is>
      </c>
      <c r="E6236" t="inlineStr">
        <is>
          <t>TORSBY</t>
        </is>
      </c>
      <c r="F6236" t="inlineStr">
        <is>
          <t>Bergvik skog väst AB</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56808-2023</t>
        </is>
      </c>
      <c r="B6237" s="1" t="n">
        <v>45244</v>
      </c>
      <c r="C6237" s="1" t="n">
        <v>45932</v>
      </c>
      <c r="D6237" t="inlineStr">
        <is>
          <t>VÄRMLANDS LÄN</t>
        </is>
      </c>
      <c r="E6237" t="inlineStr">
        <is>
          <t>HAGFORS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18549-2025</t>
        </is>
      </c>
      <c r="B6238" s="1" t="n">
        <v>45763</v>
      </c>
      <c r="C6238" s="1" t="n">
        <v>45932</v>
      </c>
      <c r="D6238" t="inlineStr">
        <is>
          <t>VÄRMLANDS LÄN</t>
        </is>
      </c>
      <c r="E6238" t="inlineStr">
        <is>
          <t>SÄFFLE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40157-2024</t>
        </is>
      </c>
      <c r="B6239" s="1" t="n">
        <v>45554</v>
      </c>
      <c r="C6239" s="1" t="n">
        <v>45932</v>
      </c>
      <c r="D6239" t="inlineStr">
        <is>
          <t>VÄRMLANDS LÄN</t>
        </is>
      </c>
      <c r="E6239" t="inlineStr">
        <is>
          <t>TORSBY</t>
        </is>
      </c>
      <c r="F6239" t="inlineStr">
        <is>
          <t>Bergvik skog väst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56880-2023</t>
        </is>
      </c>
      <c r="B6240" s="1" t="n">
        <v>45244</v>
      </c>
      <c r="C6240" s="1" t="n">
        <v>45932</v>
      </c>
      <c r="D6240" t="inlineStr">
        <is>
          <t>VÄRMLANDS LÄN</t>
        </is>
      </c>
      <c r="E6240" t="inlineStr">
        <is>
          <t>TORSBY</t>
        </is>
      </c>
      <c r="F6240" t="inlineStr">
        <is>
          <t>Övriga Aktiebolag</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14484-2025</t>
        </is>
      </c>
      <c r="B6241" s="1" t="n">
        <v>45741.60081018518</v>
      </c>
      <c r="C6241" s="1" t="n">
        <v>45932</v>
      </c>
      <c r="D6241" t="inlineStr">
        <is>
          <t>VÄRMLANDS LÄN</t>
        </is>
      </c>
      <c r="E6241" t="inlineStr">
        <is>
          <t>KARLSTAD</t>
        </is>
      </c>
      <c r="F6241" t="inlineStr">
        <is>
          <t>Bergvik skog väst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14488-2025</t>
        </is>
      </c>
      <c r="B6242" s="1" t="n">
        <v>45741</v>
      </c>
      <c r="C6242" s="1" t="n">
        <v>45932</v>
      </c>
      <c r="D6242" t="inlineStr">
        <is>
          <t>VÄRMLANDS LÄN</t>
        </is>
      </c>
      <c r="E6242" t="inlineStr">
        <is>
          <t>ARVIKA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27863-2025</t>
        </is>
      </c>
      <c r="B6243" s="1" t="n">
        <v>45817.42118055555</v>
      </c>
      <c r="C6243" s="1" t="n">
        <v>45932</v>
      </c>
      <c r="D6243" t="inlineStr">
        <is>
          <t>VÄRMLANDS LÄN</t>
        </is>
      </c>
      <c r="E6243" t="inlineStr">
        <is>
          <t>TORSBY</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35608-2025</t>
        </is>
      </c>
      <c r="B6244" s="1" t="n">
        <v>45859.34502314815</v>
      </c>
      <c r="C6244" s="1" t="n">
        <v>45932</v>
      </c>
      <c r="D6244" t="inlineStr">
        <is>
          <t>VÄRMLANDS LÄN</t>
        </is>
      </c>
      <c r="E6244" t="inlineStr">
        <is>
          <t>SUNNE</t>
        </is>
      </c>
      <c r="F6244" t="inlineStr">
        <is>
          <t>Bergvik skog väst AB</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57348-2024</t>
        </is>
      </c>
      <c r="B6245" s="1" t="n">
        <v>45629.64354166666</v>
      </c>
      <c r="C6245" s="1" t="n">
        <v>45932</v>
      </c>
      <c r="D6245" t="inlineStr">
        <is>
          <t>VÄRMLANDS LÄN</t>
        </is>
      </c>
      <c r="E6245" t="inlineStr">
        <is>
          <t>ARVIKA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5749-2022</t>
        </is>
      </c>
      <c r="B6246" s="1" t="n">
        <v>44596.46431712963</v>
      </c>
      <c r="C6246" s="1" t="n">
        <v>45932</v>
      </c>
      <c r="D6246" t="inlineStr">
        <is>
          <t>VÄRMLANDS LÄN</t>
        </is>
      </c>
      <c r="E6246" t="inlineStr">
        <is>
          <t>HAGFORS</t>
        </is>
      </c>
      <c r="F6246" t="inlineStr">
        <is>
          <t>Bergvik skog väst AB</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5754-2022</t>
        </is>
      </c>
      <c r="B6247" s="1" t="n">
        <v>44596</v>
      </c>
      <c r="C6247" s="1" t="n">
        <v>45932</v>
      </c>
      <c r="D6247" t="inlineStr">
        <is>
          <t>VÄRMLANDS LÄN</t>
        </is>
      </c>
      <c r="E6247" t="inlineStr">
        <is>
          <t>FILIPSTAD</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18447-2025</t>
        </is>
      </c>
      <c r="B6248" s="1" t="n">
        <v>45762</v>
      </c>
      <c r="C6248" s="1" t="n">
        <v>45932</v>
      </c>
      <c r="D6248" t="inlineStr">
        <is>
          <t>VÄRMLANDS LÄN</t>
        </is>
      </c>
      <c r="E6248" t="inlineStr">
        <is>
          <t>TORSBY</t>
        </is>
      </c>
      <c r="G6248" t="n">
        <v>12.8</v>
      </c>
      <c r="H6248" t="n">
        <v>0</v>
      </c>
      <c r="I6248" t="n">
        <v>0</v>
      </c>
      <c r="J6248" t="n">
        <v>0</v>
      </c>
      <c r="K6248" t="n">
        <v>0</v>
      </c>
      <c r="L6248" t="n">
        <v>0</v>
      </c>
      <c r="M6248" t="n">
        <v>0</v>
      </c>
      <c r="N6248" t="n">
        <v>0</v>
      </c>
      <c r="O6248" t="n">
        <v>0</v>
      </c>
      <c r="P6248" t="n">
        <v>0</v>
      </c>
      <c r="Q6248" t="n">
        <v>0</v>
      </c>
      <c r="R6248" s="2" t="inlineStr"/>
    </row>
    <row r="6249" ht="15" customHeight="1">
      <c r="A6249" t="inlineStr">
        <is>
          <t>A 60172-2023</t>
        </is>
      </c>
      <c r="B6249" s="1" t="n">
        <v>45257</v>
      </c>
      <c r="C6249" s="1" t="n">
        <v>45932</v>
      </c>
      <c r="D6249" t="inlineStr">
        <is>
          <t>VÄRMLANDS LÄN</t>
        </is>
      </c>
      <c r="E6249" t="inlineStr">
        <is>
          <t>ÅRJÄNG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38298-2021</t>
        </is>
      </c>
      <c r="B6250" s="1" t="n">
        <v>44406</v>
      </c>
      <c r="C6250" s="1" t="n">
        <v>45932</v>
      </c>
      <c r="D6250" t="inlineStr">
        <is>
          <t>VÄRMLANDS LÄN</t>
        </is>
      </c>
      <c r="E6250" t="inlineStr">
        <is>
          <t>TORSBY</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40207-2023</t>
        </is>
      </c>
      <c r="B6251" s="1" t="n">
        <v>45169.44604166667</v>
      </c>
      <c r="C6251" s="1" t="n">
        <v>45932</v>
      </c>
      <c r="D6251" t="inlineStr">
        <is>
          <t>VÄRMLANDS LÄN</t>
        </is>
      </c>
      <c r="E6251" t="inlineStr">
        <is>
          <t>TORSBY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49335-2021</t>
        </is>
      </c>
      <c r="B6252" s="1" t="n">
        <v>44454</v>
      </c>
      <c r="C6252" s="1" t="n">
        <v>45932</v>
      </c>
      <c r="D6252" t="inlineStr">
        <is>
          <t>VÄRMLANDS LÄN</t>
        </is>
      </c>
      <c r="E6252" t="inlineStr">
        <is>
          <t>KRISTINEHAMN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41607-2023</t>
        </is>
      </c>
      <c r="B6253" s="1" t="n">
        <v>45175.65452546296</v>
      </c>
      <c r="C6253" s="1" t="n">
        <v>45932</v>
      </c>
      <c r="D6253" t="inlineStr">
        <is>
          <t>VÄRMLANDS LÄN</t>
        </is>
      </c>
      <c r="E6253" t="inlineStr">
        <is>
          <t>ARVIKA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43635-2023</t>
        </is>
      </c>
      <c r="B6254" s="1" t="n">
        <v>45186.41872685185</v>
      </c>
      <c r="C6254" s="1" t="n">
        <v>45932</v>
      </c>
      <c r="D6254" t="inlineStr">
        <is>
          <t>VÄRMLANDS LÄN</t>
        </is>
      </c>
      <c r="E6254" t="inlineStr">
        <is>
          <t>FILIPSTAD</t>
        </is>
      </c>
      <c r="G6254" t="n">
        <v>15.3</v>
      </c>
      <c r="H6254" t="n">
        <v>0</v>
      </c>
      <c r="I6254" t="n">
        <v>0</v>
      </c>
      <c r="J6254" t="n">
        <v>0</v>
      </c>
      <c r="K6254" t="n">
        <v>0</v>
      </c>
      <c r="L6254" t="n">
        <v>0</v>
      </c>
      <c r="M6254" t="n">
        <v>0</v>
      </c>
      <c r="N6254" t="n">
        <v>0</v>
      </c>
      <c r="O6254" t="n">
        <v>0</v>
      </c>
      <c r="P6254" t="n">
        <v>0</v>
      </c>
      <c r="Q6254" t="n">
        <v>0</v>
      </c>
      <c r="R6254" s="2" t="inlineStr"/>
    </row>
    <row r="6255" ht="15" customHeight="1">
      <c r="A6255" t="inlineStr">
        <is>
          <t>A 30712-2023</t>
        </is>
      </c>
      <c r="B6255" s="1" t="n">
        <v>45112</v>
      </c>
      <c r="C6255" s="1" t="n">
        <v>45932</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55485-2023</t>
        </is>
      </c>
      <c r="B6256" s="1" t="n">
        <v>45238.52023148148</v>
      </c>
      <c r="C6256" s="1" t="n">
        <v>45932</v>
      </c>
      <c r="D6256" t="inlineStr">
        <is>
          <t>VÄRMLANDS LÄN</t>
        </is>
      </c>
      <c r="E6256" t="inlineStr">
        <is>
          <t>TORSBY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22347-2023</t>
        </is>
      </c>
      <c r="B6257" s="1" t="n">
        <v>45070.57208333333</v>
      </c>
      <c r="C6257" s="1" t="n">
        <v>45932</v>
      </c>
      <c r="D6257" t="inlineStr">
        <is>
          <t>VÄRMLANDS LÄN</t>
        </is>
      </c>
      <c r="E6257" t="inlineStr">
        <is>
          <t>GRUMS</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52185-2024</t>
        </is>
      </c>
      <c r="B6258" s="1" t="n">
        <v>45608</v>
      </c>
      <c r="C6258" s="1" t="n">
        <v>45932</v>
      </c>
      <c r="D6258" t="inlineStr">
        <is>
          <t>VÄRMLANDS LÄN</t>
        </is>
      </c>
      <c r="E6258" t="inlineStr">
        <is>
          <t>ARVIKA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54714-2023</t>
        </is>
      </c>
      <c r="B6259" s="1" t="n">
        <v>45236.3515162037</v>
      </c>
      <c r="C6259" s="1" t="n">
        <v>45932</v>
      </c>
      <c r="D6259" t="inlineStr">
        <is>
          <t>VÄRMLANDS LÄN</t>
        </is>
      </c>
      <c r="E6259" t="inlineStr">
        <is>
          <t>TORSBY</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21094-2022</t>
        </is>
      </c>
      <c r="B6260" s="1" t="n">
        <v>44704</v>
      </c>
      <c r="C6260" s="1" t="n">
        <v>45932</v>
      </c>
      <c r="D6260" t="inlineStr">
        <is>
          <t>VÄRMLANDS LÄN</t>
        </is>
      </c>
      <c r="E6260" t="inlineStr">
        <is>
          <t>TORSBY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12082-2024</t>
        </is>
      </c>
      <c r="B6261" s="1" t="n">
        <v>45377.54760416667</v>
      </c>
      <c r="C6261" s="1" t="n">
        <v>45932</v>
      </c>
      <c r="D6261" t="inlineStr">
        <is>
          <t>VÄRMLANDS LÄN</t>
        </is>
      </c>
      <c r="E6261" t="inlineStr">
        <is>
          <t>GRUMS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9762-2023</t>
        </is>
      </c>
      <c r="B6262" s="1" t="n">
        <v>44984</v>
      </c>
      <c r="C6262" s="1" t="n">
        <v>45932</v>
      </c>
      <c r="D6262" t="inlineStr">
        <is>
          <t>VÄRMLANDS LÄN</t>
        </is>
      </c>
      <c r="E6262" t="inlineStr">
        <is>
          <t>KARLSTAD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12084-2024</t>
        </is>
      </c>
      <c r="B6263" s="1" t="n">
        <v>45377.55229166667</v>
      </c>
      <c r="C6263" s="1" t="n">
        <v>45932</v>
      </c>
      <c r="D6263" t="inlineStr">
        <is>
          <t>VÄRMLANDS LÄN</t>
        </is>
      </c>
      <c r="E6263" t="inlineStr">
        <is>
          <t>GRUMS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50941-2023</t>
        </is>
      </c>
      <c r="B6264" s="1" t="n">
        <v>45218</v>
      </c>
      <c r="C6264" s="1" t="n">
        <v>45932</v>
      </c>
      <c r="D6264" t="inlineStr">
        <is>
          <t>VÄRMLANDS LÄN</t>
        </is>
      </c>
      <c r="E6264" t="inlineStr">
        <is>
          <t>ÅRJÄNG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27914-2025</t>
        </is>
      </c>
      <c r="B6265" s="1" t="n">
        <v>45817.48005787037</v>
      </c>
      <c r="C6265" s="1" t="n">
        <v>45932</v>
      </c>
      <c r="D6265" t="inlineStr">
        <is>
          <t>VÄRMLANDS LÄN</t>
        </is>
      </c>
      <c r="E6265" t="inlineStr">
        <is>
          <t>ARVIKA</t>
        </is>
      </c>
      <c r="F6265" t="inlineStr">
        <is>
          <t>Bergvik skog väst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27931-2025</t>
        </is>
      </c>
      <c r="B6266" s="1" t="n">
        <v>45817.4943287037</v>
      </c>
      <c r="C6266" s="1" t="n">
        <v>45932</v>
      </c>
      <c r="D6266" t="inlineStr">
        <is>
          <t>VÄRMLANDS LÄN</t>
        </is>
      </c>
      <c r="E6266" t="inlineStr">
        <is>
          <t>ARVIKA</t>
        </is>
      </c>
      <c r="F6266" t="inlineStr">
        <is>
          <t>Bergvik skog väst AB</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61608-2024</t>
        </is>
      </c>
      <c r="B6267" s="1" t="n">
        <v>45646</v>
      </c>
      <c r="C6267" s="1" t="n">
        <v>45932</v>
      </c>
      <c r="D6267" t="inlineStr">
        <is>
          <t>VÄRMLANDS LÄN</t>
        </is>
      </c>
      <c r="E6267" t="inlineStr">
        <is>
          <t>SÄFFLE</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21365-2022</t>
        </is>
      </c>
      <c r="B6268" s="1" t="n">
        <v>44705</v>
      </c>
      <c r="C6268" s="1" t="n">
        <v>45932</v>
      </c>
      <c r="D6268" t="inlineStr">
        <is>
          <t>VÄRMLANDS LÄN</t>
        </is>
      </c>
      <c r="E6268" t="inlineStr">
        <is>
          <t>ÅRJÄNG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6944-2025</t>
        </is>
      </c>
      <c r="B6269" s="1" t="n">
        <v>45701</v>
      </c>
      <c r="C6269" s="1" t="n">
        <v>45932</v>
      </c>
      <c r="D6269" t="inlineStr">
        <is>
          <t>VÄRMLANDS LÄN</t>
        </is>
      </c>
      <c r="E6269" t="inlineStr">
        <is>
          <t>SUNNE</t>
        </is>
      </c>
      <c r="F6269" t="inlineStr">
        <is>
          <t>Bergvik skog väst AB</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50973-2023</t>
        </is>
      </c>
      <c r="B6270" s="1" t="n">
        <v>45218.50408564815</v>
      </c>
      <c r="C6270" s="1" t="n">
        <v>45932</v>
      </c>
      <c r="D6270" t="inlineStr">
        <is>
          <t>VÄRMLANDS LÄN</t>
        </is>
      </c>
      <c r="E6270" t="inlineStr">
        <is>
          <t>TORSBY</t>
        </is>
      </c>
      <c r="G6270" t="n">
        <v>10.7</v>
      </c>
      <c r="H6270" t="n">
        <v>0</v>
      </c>
      <c r="I6270" t="n">
        <v>0</v>
      </c>
      <c r="J6270" t="n">
        <v>0</v>
      </c>
      <c r="K6270" t="n">
        <v>0</v>
      </c>
      <c r="L6270" t="n">
        <v>0</v>
      </c>
      <c r="M6270" t="n">
        <v>0</v>
      </c>
      <c r="N6270" t="n">
        <v>0</v>
      </c>
      <c r="O6270" t="n">
        <v>0</v>
      </c>
      <c r="P6270" t="n">
        <v>0</v>
      </c>
      <c r="Q6270" t="n">
        <v>0</v>
      </c>
      <c r="R6270" s="2" t="inlineStr"/>
    </row>
    <row r="6271" ht="15" customHeight="1">
      <c r="A6271" t="inlineStr">
        <is>
          <t>A 27410-2023</t>
        </is>
      </c>
      <c r="B6271" s="1" t="n">
        <v>45097.32498842593</v>
      </c>
      <c r="C6271" s="1" t="n">
        <v>45932</v>
      </c>
      <c r="D6271" t="inlineStr">
        <is>
          <t>VÄRMLANDS LÄN</t>
        </is>
      </c>
      <c r="E6271" t="inlineStr">
        <is>
          <t>HAGFORS</t>
        </is>
      </c>
      <c r="F6271" t="inlineStr">
        <is>
          <t>Kyrkan</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10108-2021</t>
        </is>
      </c>
      <c r="B6272" s="1" t="n">
        <v>44256</v>
      </c>
      <c r="C6272" s="1" t="n">
        <v>45932</v>
      </c>
      <c r="D6272" t="inlineStr">
        <is>
          <t>VÄRMLANDS LÄN</t>
        </is>
      </c>
      <c r="E6272" t="inlineStr">
        <is>
          <t>KRISTINEHAMN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51836-2024</t>
        </is>
      </c>
      <c r="B6273" s="1" t="n">
        <v>45607</v>
      </c>
      <c r="C6273" s="1" t="n">
        <v>45932</v>
      </c>
      <c r="D6273" t="inlineStr">
        <is>
          <t>VÄRMLANDS LÄN</t>
        </is>
      </c>
      <c r="E6273" t="inlineStr">
        <is>
          <t>TORSBY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61070-2023</t>
        </is>
      </c>
      <c r="B6274" s="1" t="n">
        <v>45260</v>
      </c>
      <c r="C6274" s="1" t="n">
        <v>45932</v>
      </c>
      <c r="D6274" t="inlineStr">
        <is>
          <t>VÄRMLANDS LÄN</t>
        </is>
      </c>
      <c r="E6274" t="inlineStr">
        <is>
          <t>KARLSTAD</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3110-2021</t>
        </is>
      </c>
      <c r="B6275" s="1" t="n">
        <v>44217</v>
      </c>
      <c r="C6275" s="1" t="n">
        <v>45932</v>
      </c>
      <c r="D6275" t="inlineStr">
        <is>
          <t>VÄRMLANDS LÄN</t>
        </is>
      </c>
      <c r="E6275" t="inlineStr">
        <is>
          <t>EDA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54136-2024</t>
        </is>
      </c>
      <c r="B6276" s="1" t="n">
        <v>45616</v>
      </c>
      <c r="C6276" s="1" t="n">
        <v>45932</v>
      </c>
      <c r="D6276" t="inlineStr">
        <is>
          <t>VÄRMLANDS LÄN</t>
        </is>
      </c>
      <c r="E6276" t="inlineStr">
        <is>
          <t>SÄFFLE</t>
        </is>
      </c>
      <c r="F6276" t="inlineStr">
        <is>
          <t>Bergvik skog väst AB</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50442-2022</t>
        </is>
      </c>
      <c r="B6277" s="1" t="n">
        <v>44861</v>
      </c>
      <c r="C6277" s="1" t="n">
        <v>45932</v>
      </c>
      <c r="D6277" t="inlineStr">
        <is>
          <t>VÄRMLANDS LÄN</t>
        </is>
      </c>
      <c r="E6277" t="inlineStr">
        <is>
          <t>SÄFFLE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66194-2020</t>
        </is>
      </c>
      <c r="B6278" s="1" t="n">
        <v>44175</v>
      </c>
      <c r="C6278" s="1" t="n">
        <v>45932</v>
      </c>
      <c r="D6278" t="inlineStr">
        <is>
          <t>VÄRMLANDS LÄN</t>
        </is>
      </c>
      <c r="E6278" t="inlineStr">
        <is>
          <t>TORSBY</t>
        </is>
      </c>
      <c r="F6278" t="inlineStr">
        <is>
          <t>Bergvik skog väst AB</t>
        </is>
      </c>
      <c r="G6278" t="n">
        <v>18.4</v>
      </c>
      <c r="H6278" t="n">
        <v>0</v>
      </c>
      <c r="I6278" t="n">
        <v>0</v>
      </c>
      <c r="J6278" t="n">
        <v>0</v>
      </c>
      <c r="K6278" t="n">
        <v>0</v>
      </c>
      <c r="L6278" t="n">
        <v>0</v>
      </c>
      <c r="M6278" t="n">
        <v>0</v>
      </c>
      <c r="N6278" t="n">
        <v>0</v>
      </c>
      <c r="O6278" t="n">
        <v>0</v>
      </c>
      <c r="P6278" t="n">
        <v>0</v>
      </c>
      <c r="Q6278" t="n">
        <v>0</v>
      </c>
      <c r="R6278" s="2" t="inlineStr"/>
    </row>
    <row r="6279" ht="15" customHeight="1">
      <c r="A6279" t="inlineStr">
        <is>
          <t>A 183-2021</t>
        </is>
      </c>
      <c r="B6279" s="1" t="n">
        <v>44200</v>
      </c>
      <c r="C6279" s="1" t="n">
        <v>45932</v>
      </c>
      <c r="D6279" t="inlineStr">
        <is>
          <t>VÄRMLANDS LÄN</t>
        </is>
      </c>
      <c r="E6279" t="inlineStr">
        <is>
          <t>SUNNE</t>
        </is>
      </c>
      <c r="F6279" t="inlineStr">
        <is>
          <t>Övriga Aktiebolag</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31339-2023</t>
        </is>
      </c>
      <c r="B6280" s="1" t="n">
        <v>45114</v>
      </c>
      <c r="C6280" s="1" t="n">
        <v>45932</v>
      </c>
      <c r="D6280" t="inlineStr">
        <is>
          <t>VÄRMLANDS LÄN</t>
        </is>
      </c>
      <c r="E6280" t="inlineStr">
        <is>
          <t>SUNNE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36926-2024</t>
        </is>
      </c>
      <c r="B6281" s="1" t="n">
        <v>45538.66530092592</v>
      </c>
      <c r="C6281" s="1" t="n">
        <v>45932</v>
      </c>
      <c r="D6281" t="inlineStr">
        <is>
          <t>VÄRMLANDS LÄN</t>
        </is>
      </c>
      <c r="E6281" t="inlineStr">
        <is>
          <t>SUNNE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38513-2025</t>
        </is>
      </c>
      <c r="B6282" s="1" t="n">
        <v>45884</v>
      </c>
      <c r="C6282" s="1" t="n">
        <v>45932</v>
      </c>
      <c r="D6282" t="inlineStr">
        <is>
          <t>VÄRMLANDS LÄN</t>
        </is>
      </c>
      <c r="E6282" t="inlineStr">
        <is>
          <t>ARVIKA</t>
        </is>
      </c>
      <c r="F6282" t="inlineStr">
        <is>
          <t>Bergvik skog väst AB</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18040-2025</t>
        </is>
      </c>
      <c r="B6283" s="1" t="n">
        <v>45761</v>
      </c>
      <c r="C6283" s="1" t="n">
        <v>45932</v>
      </c>
      <c r="D6283" t="inlineStr">
        <is>
          <t>VÄRMLANDS LÄN</t>
        </is>
      </c>
      <c r="E6283" t="inlineStr">
        <is>
          <t>SÄFFLE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27730-2025</t>
        </is>
      </c>
      <c r="B6284" s="1" t="n">
        <v>45814</v>
      </c>
      <c r="C6284" s="1" t="n">
        <v>45932</v>
      </c>
      <c r="D6284" t="inlineStr">
        <is>
          <t>VÄRMLANDS LÄN</t>
        </is>
      </c>
      <c r="E6284" t="inlineStr">
        <is>
          <t>TORSBY</t>
        </is>
      </c>
      <c r="F6284" t="inlineStr">
        <is>
          <t>Bergvik skog väst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4976-2024</t>
        </is>
      </c>
      <c r="B6285" s="1" t="n">
        <v>45329</v>
      </c>
      <c r="C6285" s="1" t="n">
        <v>45932</v>
      </c>
      <c r="D6285" t="inlineStr">
        <is>
          <t>VÄRMLANDS LÄN</t>
        </is>
      </c>
      <c r="E6285" t="inlineStr">
        <is>
          <t>GRUMS</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27670-2021</t>
        </is>
      </c>
      <c r="B6286" s="1" t="n">
        <v>44354.41733796296</v>
      </c>
      <c r="C6286" s="1" t="n">
        <v>45932</v>
      </c>
      <c r="D6286" t="inlineStr">
        <is>
          <t>VÄRMLANDS LÄN</t>
        </is>
      </c>
      <c r="E6286" t="inlineStr">
        <is>
          <t>KARLSTAD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27688-2021</t>
        </is>
      </c>
      <c r="B6287" s="1" t="n">
        <v>44354</v>
      </c>
      <c r="C6287" s="1" t="n">
        <v>45932</v>
      </c>
      <c r="D6287" t="inlineStr">
        <is>
          <t>VÄRMLANDS LÄN</t>
        </is>
      </c>
      <c r="E6287" t="inlineStr">
        <is>
          <t>KARLSTAD</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24505-2023</t>
        </is>
      </c>
      <c r="B6288" s="1" t="n">
        <v>45082</v>
      </c>
      <c r="C6288" s="1" t="n">
        <v>45932</v>
      </c>
      <c r="D6288" t="inlineStr">
        <is>
          <t>VÄRMLANDS LÄN</t>
        </is>
      </c>
      <c r="E6288" t="inlineStr">
        <is>
          <t>ÅRJÄNG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24536-2023</t>
        </is>
      </c>
      <c r="B6289" s="1" t="n">
        <v>45082</v>
      </c>
      <c r="C6289" s="1" t="n">
        <v>45932</v>
      </c>
      <c r="D6289" t="inlineStr">
        <is>
          <t>VÄRMLANDS LÄN</t>
        </is>
      </c>
      <c r="E6289" t="inlineStr">
        <is>
          <t>SUNNE</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63272-2023</t>
        </is>
      </c>
      <c r="B6290" s="1" t="n">
        <v>45273.78820601852</v>
      </c>
      <c r="C6290" s="1" t="n">
        <v>45932</v>
      </c>
      <c r="D6290" t="inlineStr">
        <is>
          <t>VÄRMLANDS LÄN</t>
        </is>
      </c>
      <c r="E6290" t="inlineStr">
        <is>
          <t>EDA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5634-2021</t>
        </is>
      </c>
      <c r="B6291" s="1" t="n">
        <v>44230</v>
      </c>
      <c r="C6291" s="1" t="n">
        <v>45932</v>
      </c>
      <c r="D6291" t="inlineStr">
        <is>
          <t>VÄRMLANDS LÄN</t>
        </is>
      </c>
      <c r="E6291" t="inlineStr">
        <is>
          <t>SUNNE</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38497-2025</t>
        </is>
      </c>
      <c r="B6292" s="1" t="n">
        <v>45884</v>
      </c>
      <c r="C6292" s="1" t="n">
        <v>45932</v>
      </c>
      <c r="D6292" t="inlineStr">
        <is>
          <t>VÄRMLANDS LÄN</t>
        </is>
      </c>
      <c r="E6292" t="inlineStr">
        <is>
          <t>TORSBY</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38504-2025</t>
        </is>
      </c>
      <c r="B6293" s="1" t="n">
        <v>45884</v>
      </c>
      <c r="C6293" s="1" t="n">
        <v>45932</v>
      </c>
      <c r="D6293" t="inlineStr">
        <is>
          <t>VÄRMLANDS LÄN</t>
        </is>
      </c>
      <c r="E6293" t="inlineStr">
        <is>
          <t>ARVIKA</t>
        </is>
      </c>
      <c r="F6293" t="inlineStr">
        <is>
          <t>Bergvik skog väst AB</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24717-2024</t>
        </is>
      </c>
      <c r="B6294" s="1" t="n">
        <v>45460</v>
      </c>
      <c r="C6294" s="1" t="n">
        <v>45932</v>
      </c>
      <c r="D6294" t="inlineStr">
        <is>
          <t>VÄRMLANDS LÄN</t>
        </is>
      </c>
      <c r="E6294" t="inlineStr">
        <is>
          <t>TORSBY</t>
        </is>
      </c>
      <c r="F6294" t="inlineStr">
        <is>
          <t>Övriga statliga verk och myndigheter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10338-2025</t>
        </is>
      </c>
      <c r="B6295" s="1" t="n">
        <v>45720</v>
      </c>
      <c r="C6295" s="1" t="n">
        <v>45932</v>
      </c>
      <c r="D6295" t="inlineStr">
        <is>
          <t>VÄRMLANDS LÄN</t>
        </is>
      </c>
      <c r="E6295" t="inlineStr">
        <is>
          <t>FILIPSTAD</t>
        </is>
      </c>
      <c r="F6295" t="inlineStr">
        <is>
          <t>Bergvik skog väst AB</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10348-2025</t>
        </is>
      </c>
      <c r="B6296" s="1" t="n">
        <v>45720</v>
      </c>
      <c r="C6296" s="1" t="n">
        <v>45932</v>
      </c>
      <c r="D6296" t="inlineStr">
        <is>
          <t>VÄRMLANDS LÄN</t>
        </is>
      </c>
      <c r="E6296" t="inlineStr">
        <is>
          <t>HAGFORS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43194-2025</t>
        </is>
      </c>
      <c r="B6297" s="1" t="n">
        <v>45910</v>
      </c>
      <c r="C6297" s="1" t="n">
        <v>45932</v>
      </c>
      <c r="D6297" t="inlineStr">
        <is>
          <t>VÄRMLANDS LÄN</t>
        </is>
      </c>
      <c r="E6297" t="inlineStr">
        <is>
          <t>KIL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50253-2023</t>
        </is>
      </c>
      <c r="B6298" s="1" t="n">
        <v>45216.3637037037</v>
      </c>
      <c r="C6298" s="1" t="n">
        <v>45932</v>
      </c>
      <c r="D6298" t="inlineStr">
        <is>
          <t>VÄRMLANDS LÄN</t>
        </is>
      </c>
      <c r="E6298" t="inlineStr">
        <is>
          <t>HAGFORS</t>
        </is>
      </c>
      <c r="F6298" t="inlineStr">
        <is>
          <t>Bergvik skog väst AB</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24893-2024</t>
        </is>
      </c>
      <c r="B6299" s="1" t="n">
        <v>45461.57194444445</v>
      </c>
      <c r="C6299" s="1" t="n">
        <v>45932</v>
      </c>
      <c r="D6299" t="inlineStr">
        <is>
          <t>VÄRMLANDS LÄN</t>
        </is>
      </c>
      <c r="E6299" t="inlineStr">
        <is>
          <t>ÅRJÄNG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14607-2023</t>
        </is>
      </c>
      <c r="B6300" s="1" t="n">
        <v>45013.61559027778</v>
      </c>
      <c r="C6300" s="1" t="n">
        <v>45932</v>
      </c>
      <c r="D6300" t="inlineStr">
        <is>
          <t>VÄRMLANDS LÄN</t>
        </is>
      </c>
      <c r="E6300" t="inlineStr">
        <is>
          <t>SÄFFLE</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36592-2024</t>
        </is>
      </c>
      <c r="B6301" s="1" t="n">
        <v>45537</v>
      </c>
      <c r="C6301" s="1" t="n">
        <v>45932</v>
      </c>
      <c r="D6301" t="inlineStr">
        <is>
          <t>VÄRMLANDS LÄN</t>
        </is>
      </c>
      <c r="E6301" t="inlineStr">
        <is>
          <t>ÅRJÄNG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12520-2024</t>
        </is>
      </c>
      <c r="B6302" s="1" t="n">
        <v>45379.60784722222</v>
      </c>
      <c r="C6302" s="1" t="n">
        <v>45932</v>
      </c>
      <c r="D6302" t="inlineStr">
        <is>
          <t>VÄRMLANDS LÄN</t>
        </is>
      </c>
      <c r="E6302" t="inlineStr">
        <is>
          <t>KRISTINEHAMN</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19292-2023</t>
        </is>
      </c>
      <c r="B6303" s="1" t="n">
        <v>45049</v>
      </c>
      <c r="C6303" s="1" t="n">
        <v>45932</v>
      </c>
      <c r="D6303" t="inlineStr">
        <is>
          <t>VÄRMLANDS LÄN</t>
        </is>
      </c>
      <c r="E6303" t="inlineStr">
        <is>
          <t>KARLSTAD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19364-2023</t>
        </is>
      </c>
      <c r="B6304" s="1" t="n">
        <v>45049.62046296296</v>
      </c>
      <c r="C6304" s="1" t="n">
        <v>45932</v>
      </c>
      <c r="D6304" t="inlineStr">
        <is>
          <t>VÄRMLANDS LÄN</t>
        </is>
      </c>
      <c r="E6304" t="inlineStr">
        <is>
          <t>ARVIKA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24170-2023</t>
        </is>
      </c>
      <c r="B6305" s="1" t="n">
        <v>45079</v>
      </c>
      <c r="C6305" s="1" t="n">
        <v>45932</v>
      </c>
      <c r="D6305" t="inlineStr">
        <is>
          <t>VÄRMLANDS LÄN</t>
        </is>
      </c>
      <c r="E6305" t="inlineStr">
        <is>
          <t>TORSBY</t>
        </is>
      </c>
      <c r="F6305" t="inlineStr">
        <is>
          <t>Bergvik skog väst AB</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25601-2023</t>
        </is>
      </c>
      <c r="B6306" s="1" t="n">
        <v>45083</v>
      </c>
      <c r="C6306" s="1" t="n">
        <v>45932</v>
      </c>
      <c r="D6306" t="inlineStr">
        <is>
          <t>VÄRMLANDS LÄN</t>
        </is>
      </c>
      <c r="E6306" t="inlineStr">
        <is>
          <t>ARVIKA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49717-2023</t>
        </is>
      </c>
      <c r="B6307" s="1" t="n">
        <v>45208</v>
      </c>
      <c r="C6307" s="1" t="n">
        <v>45932</v>
      </c>
      <c r="D6307" t="inlineStr">
        <is>
          <t>VÄRMLANDS LÄN</t>
        </is>
      </c>
      <c r="E6307" t="inlineStr">
        <is>
          <t>TORSBY</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33368-2022</t>
        </is>
      </c>
      <c r="B6308" s="1" t="n">
        <v>44788</v>
      </c>
      <c r="C6308" s="1" t="n">
        <v>45932</v>
      </c>
      <c r="D6308" t="inlineStr">
        <is>
          <t>VÄRMLANDS LÄN</t>
        </is>
      </c>
      <c r="E6308" t="inlineStr">
        <is>
          <t>FILIPSTAD</t>
        </is>
      </c>
      <c r="F6308" t="inlineStr">
        <is>
          <t>Bergvik skog väst AB</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9793-2024</t>
        </is>
      </c>
      <c r="B6309" s="1" t="n">
        <v>45362.71013888889</v>
      </c>
      <c r="C6309" s="1" t="n">
        <v>45932</v>
      </c>
      <c r="D6309" t="inlineStr">
        <is>
          <t>VÄRMLANDS LÄN</t>
        </is>
      </c>
      <c r="E6309" t="inlineStr">
        <is>
          <t>TORSBY</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50833-2020</t>
        </is>
      </c>
      <c r="B6310" s="1" t="n">
        <v>44111</v>
      </c>
      <c r="C6310" s="1" t="n">
        <v>45932</v>
      </c>
      <c r="D6310" t="inlineStr">
        <is>
          <t>VÄRMLANDS LÄN</t>
        </is>
      </c>
      <c r="E6310" t="inlineStr">
        <is>
          <t>KARLSTAD</t>
        </is>
      </c>
      <c r="F6310" t="inlineStr">
        <is>
          <t>Kommuner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58224-2024</t>
        </is>
      </c>
      <c r="B6311" s="1" t="n">
        <v>45632.50833333333</v>
      </c>
      <c r="C6311" s="1" t="n">
        <v>45932</v>
      </c>
      <c r="D6311" t="inlineStr">
        <is>
          <t>VÄRMLANDS LÄN</t>
        </is>
      </c>
      <c r="E6311" t="inlineStr">
        <is>
          <t>SUNNE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20060-2025</t>
        </is>
      </c>
      <c r="B6312" s="1" t="n">
        <v>45772.41831018519</v>
      </c>
      <c r="C6312" s="1" t="n">
        <v>45932</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3434-2025</t>
        </is>
      </c>
      <c r="B6313" s="1" t="n">
        <v>45680.4343287037</v>
      </c>
      <c r="C6313" s="1" t="n">
        <v>45932</v>
      </c>
      <c r="D6313" t="inlineStr">
        <is>
          <t>VÄRMLANDS LÄN</t>
        </is>
      </c>
      <c r="E6313" t="inlineStr">
        <is>
          <t>EDA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28242-2024</t>
        </is>
      </c>
      <c r="B6314" s="1" t="n">
        <v>45477</v>
      </c>
      <c r="C6314" s="1" t="n">
        <v>45932</v>
      </c>
      <c r="D6314" t="inlineStr">
        <is>
          <t>VÄRMLANDS LÄN</t>
        </is>
      </c>
      <c r="E6314" t="inlineStr">
        <is>
          <t>FORSHAGA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61216-2024</t>
        </is>
      </c>
      <c r="B6315" s="1" t="n">
        <v>45644</v>
      </c>
      <c r="C6315" s="1" t="n">
        <v>45932</v>
      </c>
      <c r="D6315" t="inlineStr">
        <is>
          <t>VÄRMLANDS LÄN</t>
        </is>
      </c>
      <c r="E6315" t="inlineStr">
        <is>
          <t>SUNNE</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61226-2024</t>
        </is>
      </c>
      <c r="B6316" s="1" t="n">
        <v>45645.66853009259</v>
      </c>
      <c r="C6316" s="1" t="n">
        <v>45932</v>
      </c>
      <c r="D6316" t="inlineStr">
        <is>
          <t>VÄRMLANDS LÄN</t>
        </is>
      </c>
      <c r="E6316" t="inlineStr">
        <is>
          <t>ÅRJÄNG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32338-2024</t>
        </is>
      </c>
      <c r="B6317" s="1" t="n">
        <v>45512</v>
      </c>
      <c r="C6317" s="1" t="n">
        <v>45932</v>
      </c>
      <c r="D6317" t="inlineStr">
        <is>
          <t>VÄRMLANDS LÄN</t>
        </is>
      </c>
      <c r="E6317" t="inlineStr">
        <is>
          <t>ÅRJÄNG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1354-2025</t>
        </is>
      </c>
      <c r="B6318" s="1" t="n">
        <v>45667</v>
      </c>
      <c r="C6318" s="1" t="n">
        <v>45932</v>
      </c>
      <c r="D6318" t="inlineStr">
        <is>
          <t>VÄRMLANDS LÄN</t>
        </is>
      </c>
      <c r="E6318" t="inlineStr">
        <is>
          <t>SUNNE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20175-2023</t>
        </is>
      </c>
      <c r="B6319" s="1" t="n">
        <v>45055</v>
      </c>
      <c r="C6319" s="1" t="n">
        <v>45932</v>
      </c>
      <c r="D6319" t="inlineStr">
        <is>
          <t>VÄRMLANDS LÄN</t>
        </is>
      </c>
      <c r="E6319" t="inlineStr">
        <is>
          <t>SÄFFLE</t>
        </is>
      </c>
      <c r="F6319" t="inlineStr">
        <is>
          <t>Kommuner</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48406-2024</t>
        </is>
      </c>
      <c r="B6320" s="1" t="n">
        <v>45590</v>
      </c>
      <c r="C6320" s="1" t="n">
        <v>45932</v>
      </c>
      <c r="D6320" t="inlineStr">
        <is>
          <t>VÄRMLANDS LÄN</t>
        </is>
      </c>
      <c r="E6320" t="inlineStr">
        <is>
          <t>EDA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20735-2025</t>
        </is>
      </c>
      <c r="B6321" s="1" t="n">
        <v>45776</v>
      </c>
      <c r="C6321" s="1" t="n">
        <v>45932</v>
      </c>
      <c r="D6321" t="inlineStr">
        <is>
          <t>VÄRMLANDS LÄN</t>
        </is>
      </c>
      <c r="E6321" t="inlineStr">
        <is>
          <t>ARVIKA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27845-2025</t>
        </is>
      </c>
      <c r="B6322" s="1" t="n">
        <v>45817</v>
      </c>
      <c r="C6322" s="1" t="n">
        <v>45932</v>
      </c>
      <c r="D6322" t="inlineStr">
        <is>
          <t>VÄRMLANDS LÄN</t>
        </is>
      </c>
      <c r="E6322" t="inlineStr">
        <is>
          <t>ARVIKA</t>
        </is>
      </c>
      <c r="F6322" t="inlineStr">
        <is>
          <t>Bergvik skog väst AB</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27939-2025</t>
        </is>
      </c>
      <c r="B6323" s="1" t="n">
        <v>45817.50368055556</v>
      </c>
      <c r="C6323" s="1" t="n">
        <v>45932</v>
      </c>
      <c r="D6323" t="inlineStr">
        <is>
          <t>VÄRMLANDS LÄN</t>
        </is>
      </c>
      <c r="E6323" t="inlineStr">
        <is>
          <t>ARVIKA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8541-2025</t>
        </is>
      </c>
      <c r="B6324" s="1" t="n">
        <v>45709.605</v>
      </c>
      <c r="C6324" s="1" t="n">
        <v>45932</v>
      </c>
      <c r="D6324" t="inlineStr">
        <is>
          <t>VÄRMLANDS LÄN</t>
        </is>
      </c>
      <c r="E6324" t="inlineStr">
        <is>
          <t>KIL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51014-2024</t>
        </is>
      </c>
      <c r="B6325" s="1" t="n">
        <v>45603.39746527778</v>
      </c>
      <c r="C6325" s="1" t="n">
        <v>45932</v>
      </c>
      <c r="D6325" t="inlineStr">
        <is>
          <t>VÄRMLANDS LÄN</t>
        </is>
      </c>
      <c r="E6325" t="inlineStr">
        <is>
          <t>ARVIKA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9214-2025</t>
        </is>
      </c>
      <c r="B6326" s="1" t="n">
        <v>45714</v>
      </c>
      <c r="C6326" s="1" t="n">
        <v>45932</v>
      </c>
      <c r="D6326" t="inlineStr">
        <is>
          <t>VÄRMLANDS LÄN</t>
        </is>
      </c>
      <c r="E6326" t="inlineStr">
        <is>
          <t>ARVIKA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28017-2025</t>
        </is>
      </c>
      <c r="B6327" s="1" t="n">
        <v>45817.61508101852</v>
      </c>
      <c r="C6327" s="1" t="n">
        <v>45932</v>
      </c>
      <c r="D6327" t="inlineStr">
        <is>
          <t>VÄRMLANDS LÄN</t>
        </is>
      </c>
      <c r="E6327" t="inlineStr">
        <is>
          <t>STORFORS</t>
        </is>
      </c>
      <c r="F6327" t="inlineStr">
        <is>
          <t>Bergvik skog väst AB</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27961-2025</t>
        </is>
      </c>
      <c r="B6328" s="1" t="n">
        <v>45817.54268518519</v>
      </c>
      <c r="C6328" s="1" t="n">
        <v>45932</v>
      </c>
      <c r="D6328" t="inlineStr">
        <is>
          <t>VÄRMLANDS LÄN</t>
        </is>
      </c>
      <c r="E6328" t="inlineStr">
        <is>
          <t>ARVIKA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27967-2025</t>
        </is>
      </c>
      <c r="B6329" s="1" t="n">
        <v>45817</v>
      </c>
      <c r="C6329" s="1" t="n">
        <v>45932</v>
      </c>
      <c r="D6329" t="inlineStr">
        <is>
          <t>VÄRMLANDS LÄN</t>
        </is>
      </c>
      <c r="E6329" t="inlineStr">
        <is>
          <t>ARVIKA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18999-2024</t>
        </is>
      </c>
      <c r="B6330" s="1" t="n">
        <v>45427.63145833334</v>
      </c>
      <c r="C6330" s="1" t="n">
        <v>45932</v>
      </c>
      <c r="D6330" t="inlineStr">
        <is>
          <t>VÄRMLANDS LÄN</t>
        </is>
      </c>
      <c r="E6330" t="inlineStr">
        <is>
          <t>FILIPSTAD</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27968-2025</t>
        </is>
      </c>
      <c r="B6331" s="1" t="n">
        <v>45817.55846064815</v>
      </c>
      <c r="C6331" s="1" t="n">
        <v>45932</v>
      </c>
      <c r="D6331" t="inlineStr">
        <is>
          <t>VÄRMLANDS LÄN</t>
        </is>
      </c>
      <c r="E6331" t="inlineStr">
        <is>
          <t>TORSBY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27092-2025</t>
        </is>
      </c>
      <c r="B6332" s="1" t="n">
        <v>45811</v>
      </c>
      <c r="C6332" s="1" t="n">
        <v>45932</v>
      </c>
      <c r="D6332" t="inlineStr">
        <is>
          <t>VÄRMLANDS LÄN</t>
        </is>
      </c>
      <c r="E6332" t="inlineStr">
        <is>
          <t>STORFORS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28109-2025</t>
        </is>
      </c>
      <c r="B6333" s="1" t="n">
        <v>45817</v>
      </c>
      <c r="C6333" s="1" t="n">
        <v>45932</v>
      </c>
      <c r="D6333" t="inlineStr">
        <is>
          <t>VÄRMLANDS LÄN</t>
        </is>
      </c>
      <c r="E6333" t="inlineStr">
        <is>
          <t>ARVIKA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62720-2023</t>
        </is>
      </c>
      <c r="B6334" s="1" t="n">
        <v>45271.5799537037</v>
      </c>
      <c r="C6334" s="1" t="n">
        <v>45932</v>
      </c>
      <c r="D6334" t="inlineStr">
        <is>
          <t>VÄRMLANDS LÄN</t>
        </is>
      </c>
      <c r="E6334" t="inlineStr">
        <is>
          <t>ÅRJÄNG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7822-2024</t>
        </is>
      </c>
      <c r="B6335" s="1" t="n">
        <v>45349.71133101852</v>
      </c>
      <c r="C6335" s="1" t="n">
        <v>45932</v>
      </c>
      <c r="D6335" t="inlineStr">
        <is>
          <t>VÄRMLANDS LÄN</t>
        </is>
      </c>
      <c r="E6335" t="inlineStr">
        <is>
          <t>KIL</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4408-2025</t>
        </is>
      </c>
      <c r="B6336" s="1" t="n">
        <v>45686</v>
      </c>
      <c r="C6336" s="1" t="n">
        <v>45932</v>
      </c>
      <c r="D6336" t="inlineStr">
        <is>
          <t>VÄRMLANDS LÄN</t>
        </is>
      </c>
      <c r="E6336" t="inlineStr">
        <is>
          <t>ÅRJÄNG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59436-2024</t>
        </is>
      </c>
      <c r="B6337" s="1" t="n">
        <v>45638</v>
      </c>
      <c r="C6337" s="1" t="n">
        <v>45932</v>
      </c>
      <c r="D6337" t="inlineStr">
        <is>
          <t>VÄRMLANDS LÄN</t>
        </is>
      </c>
      <c r="E6337" t="inlineStr">
        <is>
          <t>FILIPSTAD</t>
        </is>
      </c>
      <c r="F6337" t="inlineStr">
        <is>
          <t>Kyrkan</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27856-2025</t>
        </is>
      </c>
      <c r="B6338" s="1" t="n">
        <v>45817.41006944444</v>
      </c>
      <c r="C6338" s="1" t="n">
        <v>45932</v>
      </c>
      <c r="D6338" t="inlineStr">
        <is>
          <t>VÄRMLANDS LÄN</t>
        </is>
      </c>
      <c r="E6338" t="inlineStr">
        <is>
          <t>TORSBY</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40470-2023</t>
        </is>
      </c>
      <c r="B6339" s="1" t="n">
        <v>45170</v>
      </c>
      <c r="C6339" s="1" t="n">
        <v>45932</v>
      </c>
      <c r="D6339" t="inlineStr">
        <is>
          <t>VÄRMLANDS LÄN</t>
        </is>
      </c>
      <c r="E6339" t="inlineStr">
        <is>
          <t>TORSBY</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71472-2021</t>
        </is>
      </c>
      <c r="B6340" s="1" t="n">
        <v>44540</v>
      </c>
      <c r="C6340" s="1" t="n">
        <v>45932</v>
      </c>
      <c r="D6340" t="inlineStr">
        <is>
          <t>VÄRMLANDS LÄN</t>
        </is>
      </c>
      <c r="E6340" t="inlineStr">
        <is>
          <t>ÅRJÄNG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834-2024</t>
        </is>
      </c>
      <c r="B6341" s="1" t="n">
        <v>45300</v>
      </c>
      <c r="C6341" s="1" t="n">
        <v>45932</v>
      </c>
      <c r="D6341" t="inlineStr">
        <is>
          <t>VÄRMLANDS LÄN</t>
        </is>
      </c>
      <c r="E6341" t="inlineStr">
        <is>
          <t>SUNNE</t>
        </is>
      </c>
      <c r="F6341" t="inlineStr">
        <is>
          <t>Övriga statliga verk och myndigheter</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862-2024</t>
        </is>
      </c>
      <c r="B6342" s="1" t="n">
        <v>45301.28457175926</v>
      </c>
      <c r="C6342" s="1" t="n">
        <v>45932</v>
      </c>
      <c r="D6342" t="inlineStr">
        <is>
          <t>VÄRMLANDS LÄN</t>
        </is>
      </c>
      <c r="E6342" t="inlineStr">
        <is>
          <t>EDA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54481-2024</t>
        </is>
      </c>
      <c r="B6343" s="1" t="n">
        <v>45617</v>
      </c>
      <c r="C6343" s="1" t="n">
        <v>45932</v>
      </c>
      <c r="D6343" t="inlineStr">
        <is>
          <t>VÄRMLANDS LÄN</t>
        </is>
      </c>
      <c r="E6343" t="inlineStr">
        <is>
          <t>EDA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54489-2024</t>
        </is>
      </c>
      <c r="B6344" s="1" t="n">
        <v>45617.56674768519</v>
      </c>
      <c r="C6344" s="1" t="n">
        <v>45932</v>
      </c>
      <c r="D6344" t="inlineStr">
        <is>
          <t>VÄRMLANDS LÄN</t>
        </is>
      </c>
      <c r="E6344" t="inlineStr">
        <is>
          <t>TORSBY</t>
        </is>
      </c>
      <c r="F6344" t="inlineStr">
        <is>
          <t>Bergvik skog väst AB</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54494-2024</t>
        </is>
      </c>
      <c r="B6345" s="1" t="n">
        <v>45617</v>
      </c>
      <c r="C6345" s="1" t="n">
        <v>45932</v>
      </c>
      <c r="D6345" t="inlineStr">
        <is>
          <t>VÄRMLANDS LÄN</t>
        </is>
      </c>
      <c r="E6345" t="inlineStr">
        <is>
          <t>SÄFFLE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61614-2024</t>
        </is>
      </c>
      <c r="B6346" s="1" t="n">
        <v>45646</v>
      </c>
      <c r="C6346" s="1" t="n">
        <v>45932</v>
      </c>
      <c r="D6346" t="inlineStr">
        <is>
          <t>VÄRMLANDS LÄN</t>
        </is>
      </c>
      <c r="E6346" t="inlineStr">
        <is>
          <t>SÄFFLE</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38143-2025</t>
        </is>
      </c>
      <c r="B6347" s="1" t="n">
        <v>45882</v>
      </c>
      <c r="C6347" s="1" t="n">
        <v>45932</v>
      </c>
      <c r="D6347" t="inlineStr">
        <is>
          <t>VÄRMLANDS LÄN</t>
        </is>
      </c>
      <c r="E6347" t="inlineStr">
        <is>
          <t>TORSBY</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24493-2024</t>
        </is>
      </c>
      <c r="B6348" s="1" t="n">
        <v>45459.72136574074</v>
      </c>
      <c r="C6348" s="1" t="n">
        <v>45932</v>
      </c>
      <c r="D6348" t="inlineStr">
        <is>
          <t>VÄRMLANDS LÄN</t>
        </is>
      </c>
      <c r="E6348" t="inlineStr">
        <is>
          <t>TORSBY</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924-2024</t>
        </is>
      </c>
      <c r="B6349" s="1" t="n">
        <v>45301</v>
      </c>
      <c r="C6349" s="1" t="n">
        <v>45932</v>
      </c>
      <c r="D6349" t="inlineStr">
        <is>
          <t>VÄRMLANDS LÄN</t>
        </is>
      </c>
      <c r="E6349" t="inlineStr">
        <is>
          <t>TORSBY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17399-2025</t>
        </is>
      </c>
      <c r="B6350" s="1" t="n">
        <v>45757</v>
      </c>
      <c r="C6350" s="1" t="n">
        <v>45932</v>
      </c>
      <c r="D6350" t="inlineStr">
        <is>
          <t>VÄRMLANDS LÄN</t>
        </is>
      </c>
      <c r="E6350" t="inlineStr">
        <is>
          <t>GRUMS</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27995-2025</t>
        </is>
      </c>
      <c r="B6351" s="1" t="n">
        <v>45817</v>
      </c>
      <c r="C6351" s="1" t="n">
        <v>45932</v>
      </c>
      <c r="D6351" t="inlineStr">
        <is>
          <t>VÄRMLANDS LÄN</t>
        </is>
      </c>
      <c r="E6351" t="inlineStr">
        <is>
          <t>SÄFFLE</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50922-2023</t>
        </is>
      </c>
      <c r="B6352" s="1" t="n">
        <v>45211</v>
      </c>
      <c r="C6352" s="1" t="n">
        <v>45932</v>
      </c>
      <c r="D6352" t="inlineStr">
        <is>
          <t>VÄRMLANDS LÄN</t>
        </is>
      </c>
      <c r="E6352" t="inlineStr">
        <is>
          <t>HAGFORS</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27906-2025</t>
        </is>
      </c>
      <c r="B6353" s="1" t="n">
        <v>45817.47108796296</v>
      </c>
      <c r="C6353" s="1" t="n">
        <v>45932</v>
      </c>
      <c r="D6353" t="inlineStr">
        <is>
          <t>VÄRMLANDS LÄN</t>
        </is>
      </c>
      <c r="E6353" t="inlineStr">
        <is>
          <t>TORSBY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29825-2023</t>
        </is>
      </c>
      <c r="B6354" s="1" t="n">
        <v>45107</v>
      </c>
      <c r="C6354" s="1" t="n">
        <v>45932</v>
      </c>
      <c r="D6354" t="inlineStr">
        <is>
          <t>VÄRMLANDS LÄN</t>
        </is>
      </c>
      <c r="E6354" t="inlineStr">
        <is>
          <t>FILIPSTAD</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11104-2022</t>
        </is>
      </c>
      <c r="B6355" s="1" t="n">
        <v>44628</v>
      </c>
      <c r="C6355" s="1" t="n">
        <v>45932</v>
      </c>
      <c r="D6355" t="inlineStr">
        <is>
          <t>VÄRMLANDS LÄN</t>
        </is>
      </c>
      <c r="E6355" t="inlineStr">
        <is>
          <t>HAGFORS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34914-2023</t>
        </is>
      </c>
      <c r="B6356" s="1" t="n">
        <v>45142</v>
      </c>
      <c r="C6356" s="1" t="n">
        <v>45932</v>
      </c>
      <c r="D6356" t="inlineStr">
        <is>
          <t>VÄRMLANDS LÄN</t>
        </is>
      </c>
      <c r="E6356" t="inlineStr">
        <is>
          <t>EDA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34917-2023</t>
        </is>
      </c>
      <c r="B6357" s="1" t="n">
        <v>45142.46916666667</v>
      </c>
      <c r="C6357" s="1" t="n">
        <v>45932</v>
      </c>
      <c r="D6357" t="inlineStr">
        <is>
          <t>VÄRMLANDS LÄN</t>
        </is>
      </c>
      <c r="E6357" t="inlineStr">
        <is>
          <t>EDA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53925-2023</t>
        </is>
      </c>
      <c r="B6358" s="1" t="n">
        <v>45231</v>
      </c>
      <c r="C6358" s="1" t="n">
        <v>45932</v>
      </c>
      <c r="D6358" t="inlineStr">
        <is>
          <t>VÄRMLANDS LÄN</t>
        </is>
      </c>
      <c r="E6358" t="inlineStr">
        <is>
          <t>EDA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46560-2025</t>
        </is>
      </c>
      <c r="B6359" s="1" t="n">
        <v>45926.35246527778</v>
      </c>
      <c r="C6359" s="1" t="n">
        <v>45932</v>
      </c>
      <c r="D6359" t="inlineStr">
        <is>
          <t>VÄRMLANDS LÄN</t>
        </is>
      </c>
      <c r="E6359" t="inlineStr">
        <is>
          <t>HAGFORS</t>
        </is>
      </c>
      <c r="F6359" t="inlineStr">
        <is>
          <t>Bergvik skog väst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11620-2021</t>
        </is>
      </c>
      <c r="B6360" s="1" t="n">
        <v>44264</v>
      </c>
      <c r="C6360" s="1" t="n">
        <v>45932</v>
      </c>
      <c r="D6360" t="inlineStr">
        <is>
          <t>VÄRMLANDS LÄN</t>
        </is>
      </c>
      <c r="E6360" t="inlineStr">
        <is>
          <t>SUNNE</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23114-2024</t>
        </is>
      </c>
      <c r="B6361" s="1" t="n">
        <v>45450</v>
      </c>
      <c r="C6361" s="1" t="n">
        <v>45932</v>
      </c>
      <c r="D6361" t="inlineStr">
        <is>
          <t>VÄRMLANDS LÄN</t>
        </is>
      </c>
      <c r="E6361" t="inlineStr">
        <is>
          <t>KARLSTAD</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11695-2021</t>
        </is>
      </c>
      <c r="B6362" s="1" t="n">
        <v>44264.87736111111</v>
      </c>
      <c r="C6362" s="1" t="n">
        <v>45932</v>
      </c>
      <c r="D6362" t="inlineStr">
        <is>
          <t>VÄRMLANDS LÄN</t>
        </is>
      </c>
      <c r="E6362" t="inlineStr">
        <is>
          <t>TORSBY</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23690-2024</t>
        </is>
      </c>
      <c r="B6363" s="1" t="n">
        <v>45454.65612268518</v>
      </c>
      <c r="C6363" s="1" t="n">
        <v>45932</v>
      </c>
      <c r="D6363" t="inlineStr">
        <is>
          <t>VÄRMLANDS LÄN</t>
        </is>
      </c>
      <c r="E6363" t="inlineStr">
        <is>
          <t>ÅRJÄNG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59639-2021</t>
        </is>
      </c>
      <c r="B6364" s="1" t="n">
        <v>44493</v>
      </c>
      <c r="C6364" s="1" t="n">
        <v>45932</v>
      </c>
      <c r="D6364" t="inlineStr">
        <is>
          <t>VÄRMLANDS LÄN</t>
        </is>
      </c>
      <c r="E6364" t="inlineStr">
        <is>
          <t>KARLSTAD</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1090-2025</t>
        </is>
      </c>
      <c r="B6365" s="1" t="n">
        <v>45666.631875</v>
      </c>
      <c r="C6365" s="1" t="n">
        <v>45932</v>
      </c>
      <c r="D6365" t="inlineStr">
        <is>
          <t>VÄRMLANDS LÄN</t>
        </is>
      </c>
      <c r="E6365" t="inlineStr">
        <is>
          <t>KRISTINEHAMN</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1092-2025</t>
        </is>
      </c>
      <c r="B6366" s="1" t="n">
        <v>45666.6333912037</v>
      </c>
      <c r="C6366" s="1" t="n">
        <v>45932</v>
      </c>
      <c r="D6366" t="inlineStr">
        <is>
          <t>VÄRMLANDS LÄN</t>
        </is>
      </c>
      <c r="E6366" t="inlineStr">
        <is>
          <t>TORSBY</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30681-2022</t>
        </is>
      </c>
      <c r="B6367" s="1" t="n">
        <v>44763.60128472222</v>
      </c>
      <c r="C6367" s="1" t="n">
        <v>45932</v>
      </c>
      <c r="D6367" t="inlineStr">
        <is>
          <t>VÄRMLANDS LÄN</t>
        </is>
      </c>
      <c r="E6367" t="inlineStr">
        <is>
          <t>SÄFFLE</t>
        </is>
      </c>
      <c r="F6367" t="inlineStr">
        <is>
          <t>Kyrkan</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46924-2025</t>
        </is>
      </c>
      <c r="B6368" s="1" t="n">
        <v>45929</v>
      </c>
      <c r="C6368" s="1" t="n">
        <v>45932</v>
      </c>
      <c r="D6368" t="inlineStr">
        <is>
          <t>VÄRMLANDS LÄN</t>
        </is>
      </c>
      <c r="E6368" t="inlineStr">
        <is>
          <t>FILIPSTAD</t>
        </is>
      </c>
      <c r="F6368" t="inlineStr">
        <is>
          <t>Bergvik skog väst AB</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22463-2021</t>
        </is>
      </c>
      <c r="B6369" s="1" t="n">
        <v>44326.67366898148</v>
      </c>
      <c r="C6369" s="1" t="n">
        <v>45932</v>
      </c>
      <c r="D6369" t="inlineStr">
        <is>
          <t>VÄRMLANDS LÄN</t>
        </is>
      </c>
      <c r="E6369" t="inlineStr">
        <is>
          <t>TORSBY</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20309-2025</t>
        </is>
      </c>
      <c r="B6370" s="1" t="n">
        <v>45775.28427083333</v>
      </c>
      <c r="C6370" s="1" t="n">
        <v>45932</v>
      </c>
      <c r="D6370" t="inlineStr">
        <is>
          <t>VÄRMLANDS LÄN</t>
        </is>
      </c>
      <c r="E6370" t="inlineStr">
        <is>
          <t>TORSBY</t>
        </is>
      </c>
      <c r="F6370" t="inlineStr">
        <is>
          <t>Bergvik skog väst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46927-2025</t>
        </is>
      </c>
      <c r="B6371" s="1" t="n">
        <v>45929</v>
      </c>
      <c r="C6371" s="1" t="n">
        <v>45932</v>
      </c>
      <c r="D6371" t="inlineStr">
        <is>
          <t>VÄRMLANDS LÄN</t>
        </is>
      </c>
      <c r="E6371" t="inlineStr">
        <is>
          <t>EDA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38867-2025</t>
        </is>
      </c>
      <c r="B6372" s="1" t="n">
        <v>45887</v>
      </c>
      <c r="C6372" s="1" t="n">
        <v>45932</v>
      </c>
      <c r="D6372" t="inlineStr">
        <is>
          <t>VÄRMLANDS LÄN</t>
        </is>
      </c>
      <c r="E6372" t="inlineStr">
        <is>
          <t>ÅRJÄNG</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20318-2025</t>
        </is>
      </c>
      <c r="B6373" s="1" t="n">
        <v>45775</v>
      </c>
      <c r="C6373" s="1" t="n">
        <v>45932</v>
      </c>
      <c r="D6373" t="inlineStr">
        <is>
          <t>VÄRMLANDS LÄN</t>
        </is>
      </c>
      <c r="E6373" t="inlineStr">
        <is>
          <t>ARVIKA</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15039-2022</t>
        </is>
      </c>
      <c r="B6374" s="1" t="n">
        <v>44657.619375</v>
      </c>
      <c r="C6374" s="1" t="n">
        <v>45932</v>
      </c>
      <c r="D6374" t="inlineStr">
        <is>
          <t>VÄRMLANDS LÄN</t>
        </is>
      </c>
      <c r="E6374" t="inlineStr">
        <is>
          <t>KIL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38917-2025</t>
        </is>
      </c>
      <c r="B6375" s="1" t="n">
        <v>45887.62321759259</v>
      </c>
      <c r="C6375" s="1" t="n">
        <v>45932</v>
      </c>
      <c r="D6375" t="inlineStr">
        <is>
          <t>VÄRMLANDS LÄN</t>
        </is>
      </c>
      <c r="E6375" t="inlineStr">
        <is>
          <t>FILIPSTAD</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38946-2025</t>
        </is>
      </c>
      <c r="B6376" s="1" t="n">
        <v>45887</v>
      </c>
      <c r="C6376" s="1" t="n">
        <v>45932</v>
      </c>
      <c r="D6376" t="inlineStr">
        <is>
          <t>VÄRMLANDS LÄN</t>
        </is>
      </c>
      <c r="E6376" t="inlineStr">
        <is>
          <t>KRISTINEHAMN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64304-2023</t>
        </is>
      </c>
      <c r="B6377" s="1" t="n">
        <v>45280</v>
      </c>
      <c r="C6377" s="1" t="n">
        <v>45932</v>
      </c>
      <c r="D6377" t="inlineStr">
        <is>
          <t>VÄRMLANDS LÄN</t>
        </is>
      </c>
      <c r="E6377" t="inlineStr">
        <is>
          <t>GRUMS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27962-2025</t>
        </is>
      </c>
      <c r="B6378" s="1" t="n">
        <v>45817.54878472222</v>
      </c>
      <c r="C6378" s="1" t="n">
        <v>45932</v>
      </c>
      <c r="D6378" t="inlineStr">
        <is>
          <t>VÄRMLANDS LÄN</t>
        </is>
      </c>
      <c r="E6378" t="inlineStr">
        <is>
          <t>TORSBY</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20255-2025</t>
        </is>
      </c>
      <c r="B6379" s="1" t="n">
        <v>45772.9009375</v>
      </c>
      <c r="C6379" s="1" t="n">
        <v>45932</v>
      </c>
      <c r="D6379" t="inlineStr">
        <is>
          <t>VÄRMLANDS LÄN</t>
        </is>
      </c>
      <c r="E6379" t="inlineStr">
        <is>
          <t>TORSBY</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27709-2025</t>
        </is>
      </c>
      <c r="B6380" s="1" t="n">
        <v>45813.7941087963</v>
      </c>
      <c r="C6380" s="1" t="n">
        <v>45932</v>
      </c>
      <c r="D6380" t="inlineStr">
        <is>
          <t>VÄRMLANDS LÄN</t>
        </is>
      </c>
      <c r="E6380" t="inlineStr">
        <is>
          <t>ARVIKA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64322-2023</t>
        </is>
      </c>
      <c r="B6381" s="1" t="n">
        <v>45280.40775462963</v>
      </c>
      <c r="C6381" s="1" t="n">
        <v>45932</v>
      </c>
      <c r="D6381" t="inlineStr">
        <is>
          <t>VÄRMLANDS LÄN</t>
        </is>
      </c>
      <c r="E6381" t="inlineStr">
        <is>
          <t>SÄFFLE</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33804-2024</t>
        </is>
      </c>
      <c r="B6382" s="1" t="n">
        <v>45520</v>
      </c>
      <c r="C6382" s="1" t="n">
        <v>45932</v>
      </c>
      <c r="D6382" t="inlineStr">
        <is>
          <t>VÄRMLANDS LÄN</t>
        </is>
      </c>
      <c r="E6382" t="inlineStr">
        <is>
          <t>KARLSTAD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64368-2023</t>
        </is>
      </c>
      <c r="B6383" s="1" t="n">
        <v>45278</v>
      </c>
      <c r="C6383" s="1" t="n">
        <v>45932</v>
      </c>
      <c r="D6383" t="inlineStr">
        <is>
          <t>VÄRMLANDS LÄN</t>
        </is>
      </c>
      <c r="E6383" t="inlineStr">
        <is>
          <t>SÄFFLE</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64381-2023</t>
        </is>
      </c>
      <c r="B6384" s="1" t="n">
        <v>45280</v>
      </c>
      <c r="C6384" s="1" t="n">
        <v>45932</v>
      </c>
      <c r="D6384" t="inlineStr">
        <is>
          <t>VÄRMLANDS LÄN</t>
        </is>
      </c>
      <c r="E6384" t="inlineStr">
        <is>
          <t>ÅRJÄNG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27946-2025</t>
        </is>
      </c>
      <c r="B6385" s="1" t="n">
        <v>45817</v>
      </c>
      <c r="C6385" s="1" t="n">
        <v>45932</v>
      </c>
      <c r="D6385" t="inlineStr">
        <is>
          <t>VÄRMLANDS LÄN</t>
        </is>
      </c>
      <c r="E6385" t="inlineStr">
        <is>
          <t>FILIPSTAD</t>
        </is>
      </c>
      <c r="F6385" t="inlineStr">
        <is>
          <t>Bergvik skog väst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33639-2024</t>
        </is>
      </c>
      <c r="B6386" s="1" t="n">
        <v>45520</v>
      </c>
      <c r="C6386" s="1" t="n">
        <v>45932</v>
      </c>
      <c r="D6386" t="inlineStr">
        <is>
          <t>VÄRMLANDS LÄN</t>
        </is>
      </c>
      <c r="E6386" t="inlineStr">
        <is>
          <t>ARVIKA</t>
        </is>
      </c>
      <c r="F6386" t="inlineStr">
        <is>
          <t>Bergvik skog väst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48553-2023</t>
        </is>
      </c>
      <c r="B6387" s="1" t="n">
        <v>45208.40232638889</v>
      </c>
      <c r="C6387" s="1" t="n">
        <v>45932</v>
      </c>
      <c r="D6387" t="inlineStr">
        <is>
          <t>VÄRMLANDS LÄN</t>
        </is>
      </c>
      <c r="E6387" t="inlineStr">
        <is>
          <t>GRUMS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27758-2025</t>
        </is>
      </c>
      <c r="B6388" s="1" t="n">
        <v>45816</v>
      </c>
      <c r="C6388" s="1" t="n">
        <v>45932</v>
      </c>
      <c r="D6388" t="inlineStr">
        <is>
          <t>VÄRMLANDS LÄN</t>
        </is>
      </c>
      <c r="E6388" t="inlineStr">
        <is>
          <t>TORSBY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58757-2021</t>
        </is>
      </c>
      <c r="B6389" s="1" t="n">
        <v>44489.53834490741</v>
      </c>
      <c r="C6389" s="1" t="n">
        <v>45932</v>
      </c>
      <c r="D6389" t="inlineStr">
        <is>
          <t>VÄRMLANDS LÄN</t>
        </is>
      </c>
      <c r="E6389" t="inlineStr">
        <is>
          <t>SUNNE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54690-2022</t>
        </is>
      </c>
      <c r="B6390" s="1" t="n">
        <v>44883.48738425926</v>
      </c>
      <c r="C6390" s="1" t="n">
        <v>45932</v>
      </c>
      <c r="D6390" t="inlineStr">
        <is>
          <t>VÄRMLANDS LÄN</t>
        </is>
      </c>
      <c r="E6390" t="inlineStr">
        <is>
          <t>KRISTINEHAMN</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70571-2021</t>
        </is>
      </c>
      <c r="B6391" s="1" t="n">
        <v>44537.35434027778</v>
      </c>
      <c r="C6391" s="1" t="n">
        <v>45932</v>
      </c>
      <c r="D6391" t="inlineStr">
        <is>
          <t>VÄRMLANDS LÄN</t>
        </is>
      </c>
      <c r="E6391" t="inlineStr">
        <is>
          <t>EDA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4748-2023</t>
        </is>
      </c>
      <c r="B6392" s="1" t="n">
        <v>44957</v>
      </c>
      <c r="C6392" s="1" t="n">
        <v>45932</v>
      </c>
      <c r="D6392" t="inlineStr">
        <is>
          <t>VÄRMLANDS LÄN</t>
        </is>
      </c>
      <c r="E6392" t="inlineStr">
        <is>
          <t>ÅRJÄNG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29855-2023</t>
        </is>
      </c>
      <c r="B6393" s="1" t="n">
        <v>45107.59769675926</v>
      </c>
      <c r="C6393" s="1" t="n">
        <v>45932</v>
      </c>
      <c r="D6393" t="inlineStr">
        <is>
          <t>VÄRMLANDS LÄN</t>
        </is>
      </c>
      <c r="E6393" t="inlineStr">
        <is>
          <t>HAGFORS</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16809-2023</t>
        </is>
      </c>
      <c r="B6394" s="1" t="n">
        <v>45033.36878472222</v>
      </c>
      <c r="C6394" s="1" t="n">
        <v>45932</v>
      </c>
      <c r="D6394" t="inlineStr">
        <is>
          <t>VÄRMLANDS LÄN</t>
        </is>
      </c>
      <c r="E6394" t="inlineStr">
        <is>
          <t>ARVIKA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16824-2023</t>
        </is>
      </c>
      <c r="B6395" s="1" t="n">
        <v>45033</v>
      </c>
      <c r="C6395" s="1" t="n">
        <v>45932</v>
      </c>
      <c r="D6395" t="inlineStr">
        <is>
          <t>VÄRMLANDS LÄN</t>
        </is>
      </c>
      <c r="E6395" t="inlineStr">
        <is>
          <t>HAGFORS</t>
        </is>
      </c>
      <c r="F6395" t="inlineStr">
        <is>
          <t>Bergvik skog väst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16498-2022</t>
        </is>
      </c>
      <c r="B6396" s="1" t="n">
        <v>44671</v>
      </c>
      <c r="C6396" s="1" t="n">
        <v>45932</v>
      </c>
      <c r="D6396" t="inlineStr">
        <is>
          <t>VÄRMLANDS LÄN</t>
        </is>
      </c>
      <c r="E6396" t="inlineStr">
        <is>
          <t>TORSBY</t>
        </is>
      </c>
      <c r="F6396" t="inlineStr">
        <is>
          <t>Kommuner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63032-2023</t>
        </is>
      </c>
      <c r="B6397" s="1" t="n">
        <v>45272.72728009259</v>
      </c>
      <c r="C6397" s="1" t="n">
        <v>45932</v>
      </c>
      <c r="D6397" t="inlineStr">
        <is>
          <t>VÄRMLANDS LÄN</t>
        </is>
      </c>
      <c r="E6397" t="inlineStr">
        <is>
          <t>TORSBY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24796-2023</t>
        </is>
      </c>
      <c r="B6398" s="1" t="n">
        <v>45084.71806712963</v>
      </c>
      <c r="C6398" s="1" t="n">
        <v>45932</v>
      </c>
      <c r="D6398" t="inlineStr">
        <is>
          <t>VÄRMLANDS LÄN</t>
        </is>
      </c>
      <c r="E6398" t="inlineStr">
        <is>
          <t>SUNNE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21392-2023</t>
        </is>
      </c>
      <c r="B6399" s="1" t="n">
        <v>45061</v>
      </c>
      <c r="C6399" s="1" t="n">
        <v>45932</v>
      </c>
      <c r="D6399" t="inlineStr">
        <is>
          <t>VÄRMLANDS LÄN</t>
        </is>
      </c>
      <c r="E6399" t="inlineStr">
        <is>
          <t>ÅRJÄNG</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46889-2025</t>
        </is>
      </c>
      <c r="B6400" s="1" t="n">
        <v>45929.36962962963</v>
      </c>
      <c r="C6400" s="1" t="n">
        <v>45932</v>
      </c>
      <c r="D6400" t="inlineStr">
        <is>
          <t>VÄRMLANDS LÄN</t>
        </is>
      </c>
      <c r="E6400" t="inlineStr">
        <is>
          <t>ARVIKA</t>
        </is>
      </c>
      <c r="F6400" t="inlineStr">
        <is>
          <t>Bergvik skog väst AB</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21411-2023</t>
        </is>
      </c>
      <c r="B6401" s="1" t="n">
        <v>45063.38505787037</v>
      </c>
      <c r="C6401" s="1" t="n">
        <v>45932</v>
      </c>
      <c r="D6401" t="inlineStr">
        <is>
          <t>VÄRMLANDS LÄN</t>
        </is>
      </c>
      <c r="E6401" t="inlineStr">
        <is>
          <t>TORSBY</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48320-2022</t>
        </is>
      </c>
      <c r="B6402" s="1" t="n">
        <v>44853</v>
      </c>
      <c r="C6402" s="1" t="n">
        <v>45932</v>
      </c>
      <c r="D6402" t="inlineStr">
        <is>
          <t>VÄRMLANDS LÄN</t>
        </is>
      </c>
      <c r="E6402" t="inlineStr">
        <is>
          <t>TORSBY</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47027-2023</t>
        </is>
      </c>
      <c r="B6403" s="1" t="n">
        <v>45201</v>
      </c>
      <c r="C6403" s="1" t="n">
        <v>45932</v>
      </c>
      <c r="D6403" t="inlineStr">
        <is>
          <t>VÄRMLANDS LÄN</t>
        </is>
      </c>
      <c r="E6403" t="inlineStr">
        <is>
          <t>HAGFORS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47033-2023</t>
        </is>
      </c>
      <c r="B6404" s="1" t="n">
        <v>45201.5355324074</v>
      </c>
      <c r="C6404" s="1" t="n">
        <v>45932</v>
      </c>
      <c r="D6404" t="inlineStr">
        <is>
          <t>VÄRMLANDS LÄN</t>
        </is>
      </c>
      <c r="E6404" t="inlineStr">
        <is>
          <t>HAGFORS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47076-2023</t>
        </is>
      </c>
      <c r="B6405" s="1" t="n">
        <v>45201.60648148148</v>
      </c>
      <c r="C6405" s="1" t="n">
        <v>45932</v>
      </c>
      <c r="D6405" t="inlineStr">
        <is>
          <t>VÄRMLANDS LÄN</t>
        </is>
      </c>
      <c r="E6405" t="inlineStr">
        <is>
          <t>SUNNE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52834-2023</t>
        </is>
      </c>
      <c r="B6406" s="1" t="n">
        <v>45226.41116898148</v>
      </c>
      <c r="C6406" s="1" t="n">
        <v>45932</v>
      </c>
      <c r="D6406" t="inlineStr">
        <is>
          <t>VÄRMLANDS LÄN</t>
        </is>
      </c>
      <c r="E6406" t="inlineStr">
        <is>
          <t>STORFORS</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28411-2024</t>
        </is>
      </c>
      <c r="B6407" s="1" t="n">
        <v>45477</v>
      </c>
      <c r="C6407" s="1" t="n">
        <v>45932</v>
      </c>
      <c r="D6407" t="inlineStr">
        <is>
          <t>VÄRMLANDS LÄN</t>
        </is>
      </c>
      <c r="E6407" t="inlineStr">
        <is>
          <t>ARVIKA</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54254-2024</t>
        </is>
      </c>
      <c r="B6408" s="1" t="n">
        <v>45616.70063657407</v>
      </c>
      <c r="C6408" s="1" t="n">
        <v>45932</v>
      </c>
      <c r="D6408" t="inlineStr">
        <is>
          <t>VÄRMLANDS LÄN</t>
        </is>
      </c>
      <c r="E6408" t="inlineStr">
        <is>
          <t>KARLSTAD</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22407-2024</t>
        </is>
      </c>
      <c r="B6409" s="1" t="n">
        <v>45446</v>
      </c>
      <c r="C6409" s="1" t="n">
        <v>45932</v>
      </c>
      <c r="D6409" t="inlineStr">
        <is>
          <t>VÄRMLANDS LÄN</t>
        </is>
      </c>
      <c r="E6409" t="inlineStr">
        <is>
          <t>FORSHAGA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27728-2025</t>
        </is>
      </c>
      <c r="B6410" s="1" t="n">
        <v>45814</v>
      </c>
      <c r="C6410" s="1" t="n">
        <v>45932</v>
      </c>
      <c r="D6410" t="inlineStr">
        <is>
          <t>VÄRMLANDS LÄN</t>
        </is>
      </c>
      <c r="E6410" t="inlineStr">
        <is>
          <t>TORSBY</t>
        </is>
      </c>
      <c r="F6410" t="inlineStr">
        <is>
          <t>Bergvik skog väst AB</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10475-2025</t>
        </is>
      </c>
      <c r="B6411" s="1" t="n">
        <v>45720</v>
      </c>
      <c r="C6411" s="1" t="n">
        <v>45932</v>
      </c>
      <c r="D6411" t="inlineStr">
        <is>
          <t>VÄRMLANDS LÄN</t>
        </is>
      </c>
      <c r="E6411" t="inlineStr">
        <is>
          <t>ARVIKA</t>
        </is>
      </c>
      <c r="F6411" t="inlineStr">
        <is>
          <t>Kyrkan</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20725-2023</t>
        </is>
      </c>
      <c r="B6412" s="1" t="n">
        <v>45058.47887731482</v>
      </c>
      <c r="C6412" s="1" t="n">
        <v>45932</v>
      </c>
      <c r="D6412" t="inlineStr">
        <is>
          <t>VÄRMLANDS LÄN</t>
        </is>
      </c>
      <c r="E6412" t="inlineStr">
        <is>
          <t>STORFORS</t>
        </is>
      </c>
      <c r="F6412" t="inlineStr">
        <is>
          <t>Bergvik skog väst AB</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15857-2025</t>
        </is>
      </c>
      <c r="B6413" s="1" t="n">
        <v>45749</v>
      </c>
      <c r="C6413" s="1" t="n">
        <v>45932</v>
      </c>
      <c r="D6413" t="inlineStr">
        <is>
          <t>VÄRMLANDS LÄN</t>
        </is>
      </c>
      <c r="E6413" t="inlineStr">
        <is>
          <t>ARVIKA</t>
        </is>
      </c>
      <c r="F6413" t="inlineStr">
        <is>
          <t>Bergvik skog väst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30624-2024</t>
        </is>
      </c>
      <c r="B6414" s="1" t="n">
        <v>45495.46560185185</v>
      </c>
      <c r="C6414" s="1" t="n">
        <v>45932</v>
      </c>
      <c r="D6414" t="inlineStr">
        <is>
          <t>VÄRMLANDS LÄN</t>
        </is>
      </c>
      <c r="E6414" t="inlineStr">
        <is>
          <t>SÄFFLE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28689-2025</t>
        </is>
      </c>
      <c r="B6415" s="1" t="n">
        <v>45819</v>
      </c>
      <c r="C6415" s="1" t="n">
        <v>45932</v>
      </c>
      <c r="D6415" t="inlineStr">
        <is>
          <t>VÄRMLANDS LÄN</t>
        </is>
      </c>
      <c r="E6415" t="inlineStr">
        <is>
          <t>FILIPSTAD</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43633-2024</t>
        </is>
      </c>
      <c r="B6416" s="1" t="n">
        <v>45569</v>
      </c>
      <c r="C6416" s="1" t="n">
        <v>45932</v>
      </c>
      <c r="D6416" t="inlineStr">
        <is>
          <t>VÄRMLANDS LÄN</t>
        </is>
      </c>
      <c r="E6416" t="inlineStr">
        <is>
          <t>FILIPSTAD</t>
        </is>
      </c>
      <c r="F6416" t="inlineStr">
        <is>
          <t>Bergvik skog väst AB</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28214-2025</t>
        </is>
      </c>
      <c r="B6417" s="1" t="n">
        <v>45818</v>
      </c>
      <c r="C6417" s="1" t="n">
        <v>45932</v>
      </c>
      <c r="D6417" t="inlineStr">
        <is>
          <t>VÄRMLANDS LÄN</t>
        </is>
      </c>
      <c r="E6417" t="inlineStr">
        <is>
          <t>TORSBY</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28136-2023</t>
        </is>
      </c>
      <c r="B6418" s="1" t="n">
        <v>45099.48193287037</v>
      </c>
      <c r="C6418" s="1" t="n">
        <v>45932</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51786-2021</t>
        </is>
      </c>
      <c r="B6419" s="1" t="n">
        <v>44462.62216435185</v>
      </c>
      <c r="C6419" s="1" t="n">
        <v>45932</v>
      </c>
      <c r="D6419" t="inlineStr">
        <is>
          <t>VÄRMLANDS LÄN</t>
        </is>
      </c>
      <c r="E6419" t="inlineStr">
        <is>
          <t>SUNNE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28574-2025</t>
        </is>
      </c>
      <c r="B6420" s="1" t="n">
        <v>45819</v>
      </c>
      <c r="C6420" s="1" t="n">
        <v>45932</v>
      </c>
      <c r="D6420" t="inlineStr">
        <is>
          <t>VÄRMLANDS LÄN</t>
        </is>
      </c>
      <c r="E6420" t="inlineStr">
        <is>
          <t>ARVIKA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44085-2023</t>
        </is>
      </c>
      <c r="B6421" s="1" t="n">
        <v>45188.42696759259</v>
      </c>
      <c r="C6421" s="1" t="n">
        <v>45932</v>
      </c>
      <c r="D6421" t="inlineStr">
        <is>
          <t>VÄRMLANDS LÄN</t>
        </is>
      </c>
      <c r="E6421" t="inlineStr">
        <is>
          <t>KRISTINEHAMN</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39778-2023</t>
        </is>
      </c>
      <c r="B6422" s="1" t="n">
        <v>45167.8615162037</v>
      </c>
      <c r="C6422" s="1" t="n">
        <v>45932</v>
      </c>
      <c r="D6422" t="inlineStr">
        <is>
          <t>VÄRMLANDS LÄN</t>
        </is>
      </c>
      <c r="E6422" t="inlineStr">
        <is>
          <t>KRISTINEHAMN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4284-2022</t>
        </is>
      </c>
      <c r="B6423" s="1" t="n">
        <v>44588.71736111111</v>
      </c>
      <c r="C6423" s="1" t="n">
        <v>45932</v>
      </c>
      <c r="D6423" t="inlineStr">
        <is>
          <t>VÄRMLANDS LÄN</t>
        </is>
      </c>
      <c r="E6423" t="inlineStr">
        <is>
          <t>KRISTINEHAMN</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44098-2023</t>
        </is>
      </c>
      <c r="B6424" s="1" t="n">
        <v>45188.43074074074</v>
      </c>
      <c r="C6424" s="1" t="n">
        <v>45932</v>
      </c>
      <c r="D6424" t="inlineStr">
        <is>
          <t>VÄRMLANDS LÄN</t>
        </is>
      </c>
      <c r="E6424" t="inlineStr">
        <is>
          <t>MUNKFORS</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52378-2021</t>
        </is>
      </c>
      <c r="B6425" s="1" t="n">
        <v>44465</v>
      </c>
      <c r="C6425" s="1" t="n">
        <v>45932</v>
      </c>
      <c r="D6425" t="inlineStr">
        <is>
          <t>VÄRMLANDS LÄN</t>
        </is>
      </c>
      <c r="E6425" t="inlineStr">
        <is>
          <t>HAGFORS</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26815-2023</t>
        </is>
      </c>
      <c r="B6426" s="1" t="n">
        <v>45093.531875</v>
      </c>
      <c r="C6426" s="1" t="n">
        <v>45932</v>
      </c>
      <c r="D6426" t="inlineStr">
        <is>
          <t>VÄRMLANDS LÄN</t>
        </is>
      </c>
      <c r="E6426" t="inlineStr">
        <is>
          <t>GRUMS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28484-2025</t>
        </is>
      </c>
      <c r="B6427" s="1" t="n">
        <v>45818</v>
      </c>
      <c r="C6427" s="1" t="n">
        <v>45932</v>
      </c>
      <c r="D6427" t="inlineStr">
        <is>
          <t>VÄRMLANDS LÄN</t>
        </is>
      </c>
      <c r="E6427" t="inlineStr">
        <is>
          <t>SÄFFLE</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11095-2025</t>
        </is>
      </c>
      <c r="B6428" s="1" t="n">
        <v>45723.5812037037</v>
      </c>
      <c r="C6428" s="1" t="n">
        <v>45932</v>
      </c>
      <c r="D6428" t="inlineStr">
        <is>
          <t>VÄRMLANDS LÄN</t>
        </is>
      </c>
      <c r="E6428" t="inlineStr">
        <is>
          <t>EDA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39779-2023</t>
        </is>
      </c>
      <c r="B6429" s="1" t="n">
        <v>45167.86685185185</v>
      </c>
      <c r="C6429" s="1" t="n">
        <v>45932</v>
      </c>
      <c r="D6429" t="inlineStr">
        <is>
          <t>VÄRMLANDS LÄN</t>
        </is>
      </c>
      <c r="E6429" t="inlineStr">
        <is>
          <t>KRISTINEHAMN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28255-2025</t>
        </is>
      </c>
      <c r="B6430" s="1" t="n">
        <v>45818.54848379629</v>
      </c>
      <c r="C6430" s="1" t="n">
        <v>45932</v>
      </c>
      <c r="D6430" t="inlineStr">
        <is>
          <t>VÄRMLANDS LÄN</t>
        </is>
      </c>
      <c r="E6430" t="inlineStr">
        <is>
          <t>STORFORS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28347-2025</t>
        </is>
      </c>
      <c r="B6431" s="1" t="n">
        <v>45818.70811342593</v>
      </c>
      <c r="C6431" s="1" t="n">
        <v>45932</v>
      </c>
      <c r="D6431" t="inlineStr">
        <is>
          <t>VÄRMLANDS LÄN</t>
        </is>
      </c>
      <c r="E6431" t="inlineStr">
        <is>
          <t>KRISTINEHAMN</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3841-2022</t>
        </is>
      </c>
      <c r="B6432" s="1" t="n">
        <v>44587</v>
      </c>
      <c r="C6432" s="1" t="n">
        <v>45932</v>
      </c>
      <c r="D6432" t="inlineStr">
        <is>
          <t>VÄRMLANDS LÄN</t>
        </is>
      </c>
      <c r="E6432" t="inlineStr">
        <is>
          <t>TORSBY</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31358-2023</t>
        </is>
      </c>
      <c r="B6433" s="1" t="n">
        <v>45114</v>
      </c>
      <c r="C6433" s="1" t="n">
        <v>45932</v>
      </c>
      <c r="D6433" t="inlineStr">
        <is>
          <t>VÄRMLANDS LÄN</t>
        </is>
      </c>
      <c r="E6433" t="inlineStr">
        <is>
          <t>FILIPSTAD</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28554-2025</t>
        </is>
      </c>
      <c r="B6434" s="1" t="n">
        <v>45819.53761574074</v>
      </c>
      <c r="C6434" s="1" t="n">
        <v>45932</v>
      </c>
      <c r="D6434" t="inlineStr">
        <is>
          <t>VÄRMLANDS LÄN</t>
        </is>
      </c>
      <c r="E6434" t="inlineStr">
        <is>
          <t>ÅRJÄNG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28571-2025</t>
        </is>
      </c>
      <c r="B6435" s="1" t="n">
        <v>45819</v>
      </c>
      <c r="C6435" s="1" t="n">
        <v>45932</v>
      </c>
      <c r="D6435" t="inlineStr">
        <is>
          <t>VÄRMLANDS LÄN</t>
        </is>
      </c>
      <c r="E6435" t="inlineStr">
        <is>
          <t>HAGFORS</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9524-2024</t>
        </is>
      </c>
      <c r="B6436" s="1" t="n">
        <v>45359</v>
      </c>
      <c r="C6436" s="1" t="n">
        <v>45932</v>
      </c>
      <c r="D6436" t="inlineStr">
        <is>
          <t>VÄRMLANDS LÄN</t>
        </is>
      </c>
      <c r="E6436" t="inlineStr">
        <is>
          <t>FORSHAGA</t>
        </is>
      </c>
      <c r="F6436" t="inlineStr">
        <is>
          <t>Kommuner</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58185-2023</t>
        </is>
      </c>
      <c r="B6437" s="1" t="n">
        <v>45250.41873842593</v>
      </c>
      <c r="C6437" s="1" t="n">
        <v>45932</v>
      </c>
      <c r="D6437" t="inlineStr">
        <is>
          <t>VÄRMLANDS LÄN</t>
        </is>
      </c>
      <c r="E6437" t="inlineStr">
        <is>
          <t>TORSBY</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34500-2024</t>
        </is>
      </c>
      <c r="B6438" s="1" t="n">
        <v>45525</v>
      </c>
      <c r="C6438" s="1" t="n">
        <v>45932</v>
      </c>
      <c r="D6438" t="inlineStr">
        <is>
          <t>VÄRMLANDS LÄN</t>
        </is>
      </c>
      <c r="E6438" t="inlineStr">
        <is>
          <t>TORSBY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28433-2025</t>
        </is>
      </c>
      <c r="B6439" s="1" t="n">
        <v>45819.38116898148</v>
      </c>
      <c r="C6439" s="1" t="n">
        <v>45932</v>
      </c>
      <c r="D6439" t="inlineStr">
        <is>
          <t>VÄRMLANDS LÄN</t>
        </is>
      </c>
      <c r="E6439" t="inlineStr">
        <is>
          <t>KARLSTAD</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25008-2023</t>
        </is>
      </c>
      <c r="B6440" s="1" t="n">
        <v>45085</v>
      </c>
      <c r="C6440" s="1" t="n">
        <v>45932</v>
      </c>
      <c r="D6440" t="inlineStr">
        <is>
          <t>VÄRMLANDS LÄN</t>
        </is>
      </c>
      <c r="E6440" t="inlineStr">
        <is>
          <t>FORSHAGA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61864-2024</t>
        </is>
      </c>
      <c r="B6441" s="1" t="n">
        <v>45650</v>
      </c>
      <c r="C6441" s="1" t="n">
        <v>45932</v>
      </c>
      <c r="D6441" t="inlineStr">
        <is>
          <t>VÄRMLANDS LÄN</t>
        </is>
      </c>
      <c r="E6441" t="inlineStr">
        <is>
          <t>ARVIKA</t>
        </is>
      </c>
      <c r="G6441" t="n">
        <v>13.3</v>
      </c>
      <c r="H6441" t="n">
        <v>0</v>
      </c>
      <c r="I6441" t="n">
        <v>0</v>
      </c>
      <c r="J6441" t="n">
        <v>0</v>
      </c>
      <c r="K6441" t="n">
        <v>0</v>
      </c>
      <c r="L6441" t="n">
        <v>0</v>
      </c>
      <c r="M6441" t="n">
        <v>0</v>
      </c>
      <c r="N6441" t="n">
        <v>0</v>
      </c>
      <c r="O6441" t="n">
        <v>0</v>
      </c>
      <c r="P6441" t="n">
        <v>0</v>
      </c>
      <c r="Q6441" t="n">
        <v>0</v>
      </c>
      <c r="R6441" s="2" t="inlineStr"/>
    </row>
    <row r="6442" ht="15" customHeight="1">
      <c r="A6442" t="inlineStr">
        <is>
          <t>A 15256-2021</t>
        </is>
      </c>
      <c r="B6442" s="1" t="n">
        <v>44284.54657407408</v>
      </c>
      <c r="C6442" s="1" t="n">
        <v>45932</v>
      </c>
      <c r="D6442" t="inlineStr">
        <is>
          <t>VÄRMLANDS LÄN</t>
        </is>
      </c>
      <c r="E6442" t="inlineStr">
        <is>
          <t>SÄFFLE</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27038-2024</t>
        </is>
      </c>
      <c r="B6443" s="1" t="n">
        <v>45471</v>
      </c>
      <c r="C6443" s="1" t="n">
        <v>45932</v>
      </c>
      <c r="D6443" t="inlineStr">
        <is>
          <t>VÄRMLANDS LÄN</t>
        </is>
      </c>
      <c r="E6443" t="inlineStr">
        <is>
          <t>TORSBY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27045-2024</t>
        </is>
      </c>
      <c r="B6444" s="1" t="n">
        <v>45471</v>
      </c>
      <c r="C6444" s="1" t="n">
        <v>45932</v>
      </c>
      <c r="D6444" t="inlineStr">
        <is>
          <t>VÄRMLANDS LÄN</t>
        </is>
      </c>
      <c r="E6444" t="inlineStr">
        <is>
          <t>TORSBY</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17431-2025</t>
        </is>
      </c>
      <c r="B6445" s="1" t="n">
        <v>45757.40585648148</v>
      </c>
      <c r="C6445" s="1" t="n">
        <v>45932</v>
      </c>
      <c r="D6445" t="inlineStr">
        <is>
          <t>VÄRMLANDS LÄN</t>
        </is>
      </c>
      <c r="E6445" t="inlineStr">
        <is>
          <t>SÄFFLE</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28322-2025</t>
        </is>
      </c>
      <c r="B6446" s="1" t="n">
        <v>45818.64170138889</v>
      </c>
      <c r="C6446" s="1" t="n">
        <v>45932</v>
      </c>
      <c r="D6446" t="inlineStr">
        <is>
          <t>VÄRMLANDS LÄN</t>
        </is>
      </c>
      <c r="E6446" t="inlineStr">
        <is>
          <t>SUNNE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28324-2025</t>
        </is>
      </c>
      <c r="B6447" s="1" t="n">
        <v>45818</v>
      </c>
      <c r="C6447" s="1" t="n">
        <v>45932</v>
      </c>
      <c r="D6447" t="inlineStr">
        <is>
          <t>VÄRMLANDS LÄN</t>
        </is>
      </c>
      <c r="E6447" t="inlineStr">
        <is>
          <t>EDA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28326-2025</t>
        </is>
      </c>
      <c r="B6448" s="1" t="n">
        <v>45818</v>
      </c>
      <c r="C6448" s="1" t="n">
        <v>45932</v>
      </c>
      <c r="D6448" t="inlineStr">
        <is>
          <t>VÄRMLANDS LÄN</t>
        </is>
      </c>
      <c r="E6448" t="inlineStr">
        <is>
          <t>EDA</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666-2023</t>
        </is>
      </c>
      <c r="B6449" s="1" t="n">
        <v>44930</v>
      </c>
      <c r="C6449" s="1" t="n">
        <v>45932</v>
      </c>
      <c r="D6449" t="inlineStr">
        <is>
          <t>VÄRMLANDS LÄN</t>
        </is>
      </c>
      <c r="E6449" t="inlineStr">
        <is>
          <t>KIL</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61612-2024</t>
        </is>
      </c>
      <c r="B6450" s="1" t="n">
        <v>45646</v>
      </c>
      <c r="C6450" s="1" t="n">
        <v>45932</v>
      </c>
      <c r="D6450" t="inlineStr">
        <is>
          <t>VÄRMLANDS LÄN</t>
        </is>
      </c>
      <c r="E6450" t="inlineStr">
        <is>
          <t>SÄFFLE</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28215-2025</t>
        </is>
      </c>
      <c r="B6451" s="1" t="n">
        <v>45818.46724537037</v>
      </c>
      <c r="C6451" s="1" t="n">
        <v>45932</v>
      </c>
      <c r="D6451" t="inlineStr">
        <is>
          <t>VÄRMLANDS LÄN</t>
        </is>
      </c>
      <c r="E6451" t="inlineStr">
        <is>
          <t>SUNNE</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16674-2023</t>
        </is>
      </c>
      <c r="B6452" s="1" t="n">
        <v>45030.57305555556</v>
      </c>
      <c r="C6452" s="1" t="n">
        <v>45932</v>
      </c>
      <c r="D6452" t="inlineStr">
        <is>
          <t>VÄRMLANDS LÄN</t>
        </is>
      </c>
      <c r="E6452" t="inlineStr">
        <is>
          <t>ARVIKA</t>
        </is>
      </c>
      <c r="F6452" t="inlineStr">
        <is>
          <t>Bergvik skog väst AB</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28437-2025</t>
        </is>
      </c>
      <c r="B6453" s="1" t="n">
        <v>45819.38481481482</v>
      </c>
      <c r="C6453" s="1" t="n">
        <v>45932</v>
      </c>
      <c r="D6453" t="inlineStr">
        <is>
          <t>VÄRMLANDS LÄN</t>
        </is>
      </c>
      <c r="E6453" t="inlineStr">
        <is>
          <t>HAGFORS</t>
        </is>
      </c>
      <c r="F6453" t="inlineStr">
        <is>
          <t>Kyrkan</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7410-2022</t>
        </is>
      </c>
      <c r="B6454" s="1" t="n">
        <v>44606</v>
      </c>
      <c r="C6454" s="1" t="n">
        <v>45932</v>
      </c>
      <c r="D6454" t="inlineStr">
        <is>
          <t>VÄRMLANDS LÄN</t>
        </is>
      </c>
      <c r="E6454" t="inlineStr">
        <is>
          <t>SÄFFLE</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28687-2025</t>
        </is>
      </c>
      <c r="B6455" s="1" t="n">
        <v>45819</v>
      </c>
      <c r="C6455" s="1" t="n">
        <v>45932</v>
      </c>
      <c r="D6455" t="inlineStr">
        <is>
          <t>VÄRMLANDS LÄN</t>
        </is>
      </c>
      <c r="E6455" t="inlineStr">
        <is>
          <t>FILIPSTAD</t>
        </is>
      </c>
      <c r="F6455" t="inlineStr">
        <is>
          <t>Bergvik skog väst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28092-2025</t>
        </is>
      </c>
      <c r="B6456" s="1" t="n">
        <v>45817.77731481481</v>
      </c>
      <c r="C6456" s="1" t="n">
        <v>45932</v>
      </c>
      <c r="D6456" t="inlineStr">
        <is>
          <t>VÄRMLANDS LÄN</t>
        </is>
      </c>
      <c r="E6456" t="inlineStr">
        <is>
          <t>EDA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57026-2023</t>
        </is>
      </c>
      <c r="B6457" s="1" t="n">
        <v>45244.82778935185</v>
      </c>
      <c r="C6457" s="1" t="n">
        <v>45932</v>
      </c>
      <c r="D6457" t="inlineStr">
        <is>
          <t>VÄRMLANDS LÄN</t>
        </is>
      </c>
      <c r="E6457" t="inlineStr">
        <is>
          <t>FILIPSTAD</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30989-2023</t>
        </is>
      </c>
      <c r="B6458" s="1" t="n">
        <v>45113.52239583333</v>
      </c>
      <c r="C6458" s="1" t="n">
        <v>45932</v>
      </c>
      <c r="D6458" t="inlineStr">
        <is>
          <t>VÄRMLANDS LÄN</t>
        </is>
      </c>
      <c r="E6458" t="inlineStr">
        <is>
          <t>SUNNE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44973-2024</t>
        </is>
      </c>
      <c r="B6459" s="1" t="n">
        <v>45575</v>
      </c>
      <c r="C6459" s="1" t="n">
        <v>45932</v>
      </c>
      <c r="D6459" t="inlineStr">
        <is>
          <t>VÄRMLANDS LÄN</t>
        </is>
      </c>
      <c r="E6459" t="inlineStr">
        <is>
          <t>SÄFFLE</t>
        </is>
      </c>
      <c r="F6459" t="inlineStr">
        <is>
          <t>Bergvik skog väst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56634-2024</t>
        </is>
      </c>
      <c r="B6460" s="1" t="n">
        <v>45625.68491898148</v>
      </c>
      <c r="C6460" s="1" t="n">
        <v>45932</v>
      </c>
      <c r="D6460" t="inlineStr">
        <is>
          <t>VÄRMLANDS LÄN</t>
        </is>
      </c>
      <c r="E6460" t="inlineStr">
        <is>
          <t>TORSBY</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56668-2023</t>
        </is>
      </c>
      <c r="B6461" s="1" t="n">
        <v>45243.87305555555</v>
      </c>
      <c r="C6461" s="1" t="n">
        <v>45932</v>
      </c>
      <c r="D6461" t="inlineStr">
        <is>
          <t>VÄRMLANDS LÄN</t>
        </is>
      </c>
      <c r="E6461" t="inlineStr">
        <is>
          <t>KRISTINEHAMN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59801-2023</t>
        </is>
      </c>
      <c r="B6462" s="1" t="n">
        <v>45254</v>
      </c>
      <c r="C6462" s="1" t="n">
        <v>45932</v>
      </c>
      <c r="D6462" t="inlineStr">
        <is>
          <t>VÄRMLANDS LÄN</t>
        </is>
      </c>
      <c r="E6462" t="inlineStr">
        <is>
          <t>ÅRJÄNG</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36072-2024</t>
        </is>
      </c>
      <c r="B6463" s="1" t="n">
        <v>45533.65609953704</v>
      </c>
      <c r="C6463" s="1" t="n">
        <v>45932</v>
      </c>
      <c r="D6463" t="inlineStr">
        <is>
          <t>VÄRMLANDS LÄN</t>
        </is>
      </c>
      <c r="E6463" t="inlineStr">
        <is>
          <t>KARLSTAD</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16791-2025</t>
        </is>
      </c>
      <c r="B6464" s="1" t="n">
        <v>45754</v>
      </c>
      <c r="C6464" s="1" t="n">
        <v>45932</v>
      </c>
      <c r="D6464" t="inlineStr">
        <is>
          <t>VÄRMLANDS LÄN</t>
        </is>
      </c>
      <c r="E6464" t="inlineStr">
        <is>
          <t>ÅRJÄNG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59811-2023</t>
        </is>
      </c>
      <c r="B6465" s="1" t="n">
        <v>45254</v>
      </c>
      <c r="C6465" s="1" t="n">
        <v>45932</v>
      </c>
      <c r="D6465" t="inlineStr">
        <is>
          <t>VÄRMLANDS LÄN</t>
        </is>
      </c>
      <c r="E6465" t="inlineStr">
        <is>
          <t>ÅRJÄNG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34224-2024</t>
        </is>
      </c>
      <c r="B6466" s="1" t="n">
        <v>45524.54856481482</v>
      </c>
      <c r="C6466" s="1" t="n">
        <v>45932</v>
      </c>
      <c r="D6466" t="inlineStr">
        <is>
          <t>VÄRMLANDS LÄN</t>
        </is>
      </c>
      <c r="E6466" t="inlineStr">
        <is>
          <t>FILIPSTAD</t>
        </is>
      </c>
      <c r="F6466" t="inlineStr">
        <is>
          <t>Bergvik skog väst AB</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28412-2025</t>
        </is>
      </c>
      <c r="B6467" s="1" t="n">
        <v>45819.34829861111</v>
      </c>
      <c r="C6467" s="1" t="n">
        <v>45932</v>
      </c>
      <c r="D6467" t="inlineStr">
        <is>
          <t>VÄRMLANDS LÄN</t>
        </is>
      </c>
      <c r="E6467" t="inlineStr">
        <is>
          <t>ARVIKA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28471-2025</t>
        </is>
      </c>
      <c r="B6468" s="1" t="n">
        <v>45819.43547453704</v>
      </c>
      <c r="C6468" s="1" t="n">
        <v>45932</v>
      </c>
      <c r="D6468" t="inlineStr">
        <is>
          <t>VÄRMLANDS LÄN</t>
        </is>
      </c>
      <c r="E6468" t="inlineStr">
        <is>
          <t>ARVIKA</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49520-2023</t>
        </is>
      </c>
      <c r="B6469" s="1" t="n">
        <v>45211.58881944444</v>
      </c>
      <c r="C6469" s="1" t="n">
        <v>45932</v>
      </c>
      <c r="D6469" t="inlineStr">
        <is>
          <t>VÄRMLANDS LÄN</t>
        </is>
      </c>
      <c r="E6469" t="inlineStr">
        <is>
          <t>SÄFFLE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49528-2023</t>
        </is>
      </c>
      <c r="B6470" s="1" t="n">
        <v>45211.60106481481</v>
      </c>
      <c r="C6470" s="1" t="n">
        <v>45932</v>
      </c>
      <c r="D6470" t="inlineStr">
        <is>
          <t>VÄRMLANDS LÄN</t>
        </is>
      </c>
      <c r="E6470" t="inlineStr">
        <is>
          <t>SÄFFLE</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20402-2025</t>
        </is>
      </c>
      <c r="B6471" s="1" t="n">
        <v>45775</v>
      </c>
      <c r="C6471" s="1" t="n">
        <v>45932</v>
      </c>
      <c r="D6471" t="inlineStr">
        <is>
          <t>VÄRMLANDS LÄN</t>
        </is>
      </c>
      <c r="E6471" t="inlineStr">
        <is>
          <t>SÄFFLE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20416-2025</t>
        </is>
      </c>
      <c r="B6472" s="1" t="n">
        <v>45775.4625</v>
      </c>
      <c r="C6472" s="1" t="n">
        <v>45932</v>
      </c>
      <c r="D6472" t="inlineStr">
        <is>
          <t>VÄRMLANDS LÄN</t>
        </is>
      </c>
      <c r="E6472" t="inlineStr">
        <is>
          <t>SÄFFLE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37888-2021</t>
        </is>
      </c>
      <c r="B6473" s="1" t="n">
        <v>44403.5144212963</v>
      </c>
      <c r="C6473" s="1" t="n">
        <v>45932</v>
      </c>
      <c r="D6473" t="inlineStr">
        <is>
          <t>VÄRMLANDS LÄN</t>
        </is>
      </c>
      <c r="E6473" t="inlineStr">
        <is>
          <t>KARLSTAD</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28309-2025</t>
        </is>
      </c>
      <c r="B6474" s="1" t="n">
        <v>45818.62083333333</v>
      </c>
      <c r="C6474" s="1" t="n">
        <v>45932</v>
      </c>
      <c r="D6474" t="inlineStr">
        <is>
          <t>VÄRMLANDS LÄN</t>
        </is>
      </c>
      <c r="E6474" t="inlineStr">
        <is>
          <t>HAGFORS</t>
        </is>
      </c>
      <c r="F6474" t="inlineStr">
        <is>
          <t>Kyrkan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20528-2025</t>
        </is>
      </c>
      <c r="B6475" s="1" t="n">
        <v>45775</v>
      </c>
      <c r="C6475" s="1" t="n">
        <v>45932</v>
      </c>
      <c r="D6475" t="inlineStr">
        <is>
          <t>VÄRMLANDS LÄN</t>
        </is>
      </c>
      <c r="E6475" t="inlineStr">
        <is>
          <t>FILIPSTAD</t>
        </is>
      </c>
      <c r="F6475" t="inlineStr">
        <is>
          <t>Bergvik skog väst AB</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28149-2025</t>
        </is>
      </c>
      <c r="B6476" s="1" t="n">
        <v>45818</v>
      </c>
      <c r="C6476" s="1" t="n">
        <v>45932</v>
      </c>
      <c r="D6476" t="inlineStr">
        <is>
          <t>VÄRMLANDS LÄN</t>
        </is>
      </c>
      <c r="E6476" t="inlineStr">
        <is>
          <t>FILIPSTAD</t>
        </is>
      </c>
      <c r="F6476" t="inlineStr">
        <is>
          <t>Bergvik skog väst AB</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20056-2023</t>
        </is>
      </c>
      <c r="B6477" s="1" t="n">
        <v>45054</v>
      </c>
      <c r="C6477" s="1" t="n">
        <v>45932</v>
      </c>
      <c r="D6477" t="inlineStr">
        <is>
          <t>VÄRMLANDS LÄN</t>
        </is>
      </c>
      <c r="E6477" t="inlineStr">
        <is>
          <t>EDA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20060-2023</t>
        </is>
      </c>
      <c r="B6478" s="1" t="n">
        <v>45054.68832175926</v>
      </c>
      <c r="C6478" s="1" t="n">
        <v>45932</v>
      </c>
      <c r="D6478" t="inlineStr">
        <is>
          <t>VÄRMLANDS LÄN</t>
        </is>
      </c>
      <c r="E6478" t="inlineStr">
        <is>
          <t>HAGFORS</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58408-2022</t>
        </is>
      </c>
      <c r="B6479" s="1" t="n">
        <v>44901</v>
      </c>
      <c r="C6479" s="1" t="n">
        <v>45932</v>
      </c>
      <c r="D6479" t="inlineStr">
        <is>
          <t>VÄRMLANDS LÄN</t>
        </is>
      </c>
      <c r="E6479" t="inlineStr">
        <is>
          <t>ARVIKA</t>
        </is>
      </c>
      <c r="G6479" t="n">
        <v>16.4</v>
      </c>
      <c r="H6479" t="n">
        <v>0</v>
      </c>
      <c r="I6479" t="n">
        <v>0</v>
      </c>
      <c r="J6479" t="n">
        <v>0</v>
      </c>
      <c r="K6479" t="n">
        <v>0</v>
      </c>
      <c r="L6479" t="n">
        <v>0</v>
      </c>
      <c r="M6479" t="n">
        <v>0</v>
      </c>
      <c r="N6479" t="n">
        <v>0</v>
      </c>
      <c r="O6479" t="n">
        <v>0</v>
      </c>
      <c r="P6479" t="n">
        <v>0</v>
      </c>
      <c r="Q6479" t="n">
        <v>0</v>
      </c>
      <c r="R6479" s="2" t="inlineStr"/>
    </row>
    <row r="6480" ht="15" customHeight="1">
      <c r="A6480" t="inlineStr">
        <is>
          <t>A 28525-2025</t>
        </is>
      </c>
      <c r="B6480" s="1" t="n">
        <v>45819.49429398148</v>
      </c>
      <c r="C6480" s="1" t="n">
        <v>45932</v>
      </c>
      <c r="D6480" t="inlineStr">
        <is>
          <t>VÄRMLANDS LÄN</t>
        </is>
      </c>
      <c r="E6480" t="inlineStr">
        <is>
          <t>SUNNE</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28529-2025</t>
        </is>
      </c>
      <c r="B6481" s="1" t="n">
        <v>45819</v>
      </c>
      <c r="C6481" s="1" t="n">
        <v>45932</v>
      </c>
      <c r="D6481" t="inlineStr">
        <is>
          <t>VÄRMLANDS LÄN</t>
        </is>
      </c>
      <c r="E6481" t="inlineStr">
        <is>
          <t>ARVIKA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59012-2024</t>
        </is>
      </c>
      <c r="B6482" s="1" t="n">
        <v>45636</v>
      </c>
      <c r="C6482" s="1" t="n">
        <v>45932</v>
      </c>
      <c r="D6482" t="inlineStr">
        <is>
          <t>VÄRMLANDS LÄN</t>
        </is>
      </c>
      <c r="E6482" t="inlineStr">
        <is>
          <t>KIL</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59047-2024</t>
        </is>
      </c>
      <c r="B6483" s="1" t="n">
        <v>45636.77380787037</v>
      </c>
      <c r="C6483" s="1" t="n">
        <v>45932</v>
      </c>
      <c r="D6483" t="inlineStr">
        <is>
          <t>VÄRMLANDS LÄN</t>
        </is>
      </c>
      <c r="E6483" t="inlineStr">
        <is>
          <t>SUNNE</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59071-2024</t>
        </is>
      </c>
      <c r="B6484" s="1" t="n">
        <v>45636.96637731481</v>
      </c>
      <c r="C6484" s="1" t="n">
        <v>45932</v>
      </c>
      <c r="D6484" t="inlineStr">
        <is>
          <t>VÄRMLANDS LÄN</t>
        </is>
      </c>
      <c r="E6484" t="inlineStr">
        <is>
          <t>ÅRJÄNG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59073-2024</t>
        </is>
      </c>
      <c r="B6485" s="1" t="n">
        <v>45636.97232638889</v>
      </c>
      <c r="C6485" s="1" t="n">
        <v>45932</v>
      </c>
      <c r="D6485" t="inlineStr">
        <is>
          <t>VÄRMLANDS LÄN</t>
        </is>
      </c>
      <c r="E6485" t="inlineStr">
        <is>
          <t>ÅRJÄNG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38549-2025</t>
        </is>
      </c>
      <c r="B6486" s="1" t="n">
        <v>45884.4390625</v>
      </c>
      <c r="C6486" s="1" t="n">
        <v>45932</v>
      </c>
      <c r="D6486" t="inlineStr">
        <is>
          <t>VÄRMLANDS LÄN</t>
        </is>
      </c>
      <c r="E6486" t="inlineStr">
        <is>
          <t>ARVIKA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38554-2025</t>
        </is>
      </c>
      <c r="B6487" s="1" t="n">
        <v>45884.44082175926</v>
      </c>
      <c r="C6487" s="1" t="n">
        <v>45932</v>
      </c>
      <c r="D6487" t="inlineStr">
        <is>
          <t>VÄRMLANDS LÄN</t>
        </is>
      </c>
      <c r="E6487" t="inlineStr">
        <is>
          <t>ARVIKA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59104-2024</t>
        </is>
      </c>
      <c r="B6488" s="1" t="n">
        <v>45637</v>
      </c>
      <c r="C6488" s="1" t="n">
        <v>45932</v>
      </c>
      <c r="D6488" t="inlineStr">
        <is>
          <t>VÄRMLANDS LÄN</t>
        </is>
      </c>
      <c r="E6488" t="inlineStr">
        <is>
          <t>ARVIKA</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57146-2024</t>
        </is>
      </c>
      <c r="B6489" s="1" t="n">
        <v>45629</v>
      </c>
      <c r="C6489" s="1" t="n">
        <v>45932</v>
      </c>
      <c r="D6489" t="inlineStr">
        <is>
          <t>VÄRMLANDS LÄN</t>
        </is>
      </c>
      <c r="E6489" t="inlineStr">
        <is>
          <t>KARLSTAD</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57152-2024</t>
        </is>
      </c>
      <c r="B6490" s="1" t="n">
        <v>45628</v>
      </c>
      <c r="C6490" s="1" t="n">
        <v>45932</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57158-2024</t>
        </is>
      </c>
      <c r="B6491" s="1" t="n">
        <v>45628</v>
      </c>
      <c r="C6491" s="1" t="n">
        <v>45932</v>
      </c>
      <c r="D6491" t="inlineStr">
        <is>
          <t>VÄRMLANDS LÄN</t>
        </is>
      </c>
      <c r="E6491" t="inlineStr">
        <is>
          <t>ÅRJÄNG</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57162-2024</t>
        </is>
      </c>
      <c r="B6492" s="1" t="n">
        <v>45629.40688657408</v>
      </c>
      <c r="C6492" s="1" t="n">
        <v>45932</v>
      </c>
      <c r="D6492" t="inlineStr">
        <is>
          <t>VÄRMLANDS LÄN</t>
        </is>
      </c>
      <c r="E6492" t="inlineStr">
        <is>
          <t>HAGFORS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16772-2024</t>
        </is>
      </c>
      <c r="B6493" s="1" t="n">
        <v>45411</v>
      </c>
      <c r="C6493" s="1" t="n">
        <v>45932</v>
      </c>
      <c r="D6493" t="inlineStr">
        <is>
          <t>VÄRMLANDS LÄN</t>
        </is>
      </c>
      <c r="E6493" t="inlineStr">
        <is>
          <t>GRUMS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32262-2024</t>
        </is>
      </c>
      <c r="B6494" s="1" t="n">
        <v>45512</v>
      </c>
      <c r="C6494" s="1" t="n">
        <v>45932</v>
      </c>
      <c r="D6494" t="inlineStr">
        <is>
          <t>VÄRMLANDS LÄN</t>
        </is>
      </c>
      <c r="E6494" t="inlineStr">
        <is>
          <t>ARVIKA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32263-2024</t>
        </is>
      </c>
      <c r="B6495" s="1" t="n">
        <v>45512</v>
      </c>
      <c r="C6495" s="1" t="n">
        <v>45932</v>
      </c>
      <c r="D6495" t="inlineStr">
        <is>
          <t>VÄRMLANDS LÄN</t>
        </is>
      </c>
      <c r="E6495" t="inlineStr">
        <is>
          <t>ARVIKA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53388-2024</t>
        </is>
      </c>
      <c r="B6496" s="1" t="n">
        <v>45614</v>
      </c>
      <c r="C6496" s="1" t="n">
        <v>45932</v>
      </c>
      <c r="D6496" t="inlineStr">
        <is>
          <t>VÄRMLANDS LÄN</t>
        </is>
      </c>
      <c r="E6496" t="inlineStr">
        <is>
          <t>STORFORS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32572-2024</t>
        </is>
      </c>
      <c r="B6497" s="1" t="n">
        <v>45513.56510416666</v>
      </c>
      <c r="C6497" s="1" t="n">
        <v>45932</v>
      </c>
      <c r="D6497" t="inlineStr">
        <is>
          <t>VÄRMLANDS LÄN</t>
        </is>
      </c>
      <c r="E6497" t="inlineStr">
        <is>
          <t>SUNNE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64432-2023</t>
        </is>
      </c>
      <c r="B6498" s="1" t="n">
        <v>45280.67184027778</v>
      </c>
      <c r="C6498" s="1" t="n">
        <v>45932</v>
      </c>
      <c r="D6498" t="inlineStr">
        <is>
          <t>VÄRMLANDS LÄN</t>
        </is>
      </c>
      <c r="E6498" t="inlineStr">
        <is>
          <t>TORSBY</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46680-2024</t>
        </is>
      </c>
      <c r="B6499" s="1" t="n">
        <v>45583</v>
      </c>
      <c r="C6499" s="1" t="n">
        <v>45932</v>
      </c>
      <c r="D6499" t="inlineStr">
        <is>
          <t>VÄRMLANDS LÄN</t>
        </is>
      </c>
      <c r="E6499" t="inlineStr">
        <is>
          <t>FILIPSTAD</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28116-2025</t>
        </is>
      </c>
      <c r="B6500" s="1" t="n">
        <v>45818.28697916667</v>
      </c>
      <c r="C6500" s="1" t="n">
        <v>45932</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28117-2025</t>
        </is>
      </c>
      <c r="B6501" s="1" t="n">
        <v>45818</v>
      </c>
      <c r="C6501" s="1" t="n">
        <v>45932</v>
      </c>
      <c r="D6501" t="inlineStr">
        <is>
          <t>VÄRMLANDS LÄN</t>
        </is>
      </c>
      <c r="E6501" t="inlineStr">
        <is>
          <t>TORSBY</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28118-2025</t>
        </is>
      </c>
      <c r="B6502" s="1" t="n">
        <v>45818</v>
      </c>
      <c r="C6502" s="1" t="n">
        <v>45932</v>
      </c>
      <c r="D6502" t="inlineStr">
        <is>
          <t>VÄRMLANDS LÄN</t>
        </is>
      </c>
      <c r="E6502" t="inlineStr">
        <is>
          <t>TORSBY</t>
        </is>
      </c>
      <c r="F6502" t="inlineStr">
        <is>
          <t>Bergvik skog väst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39213-2024</t>
        </is>
      </c>
      <c r="B6503" s="1" t="n">
        <v>45549.29730324074</v>
      </c>
      <c r="C6503" s="1" t="n">
        <v>45932</v>
      </c>
      <c r="D6503" t="inlineStr">
        <is>
          <t>VÄRMLANDS LÄN</t>
        </is>
      </c>
      <c r="E6503" t="inlineStr">
        <is>
          <t>EDA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28627-2025</t>
        </is>
      </c>
      <c r="B6504" s="1" t="n">
        <v>45819.62074074074</v>
      </c>
      <c r="C6504" s="1" t="n">
        <v>45932</v>
      </c>
      <c r="D6504" t="inlineStr">
        <is>
          <t>VÄRMLANDS LÄN</t>
        </is>
      </c>
      <c r="E6504" t="inlineStr">
        <is>
          <t>SUNNE</t>
        </is>
      </c>
      <c r="F6504" t="inlineStr">
        <is>
          <t>Bergvik skog väst AB</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47162-2024</t>
        </is>
      </c>
      <c r="B6505" s="1" t="n">
        <v>45586.60469907407</v>
      </c>
      <c r="C6505" s="1" t="n">
        <v>45932</v>
      </c>
      <c r="D6505" t="inlineStr">
        <is>
          <t>VÄRMLANDS LÄN</t>
        </is>
      </c>
      <c r="E6505" t="inlineStr">
        <is>
          <t>SUNNE</t>
        </is>
      </c>
      <c r="F6505" t="inlineStr">
        <is>
          <t>Kommuner</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13830-2022</t>
        </is>
      </c>
      <c r="B6506" s="1" t="n">
        <v>44649</v>
      </c>
      <c r="C6506" s="1" t="n">
        <v>45932</v>
      </c>
      <c r="D6506" t="inlineStr">
        <is>
          <t>VÄRMLANDS LÄN</t>
        </is>
      </c>
      <c r="E6506" t="inlineStr">
        <is>
          <t>KARLSTAD</t>
        </is>
      </c>
      <c r="F6506" t="inlineStr">
        <is>
          <t>Naturvårdsverket</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44610-2025</t>
        </is>
      </c>
      <c r="B6507" s="1" t="n">
        <v>45917</v>
      </c>
      <c r="C6507" s="1" t="n">
        <v>45932</v>
      </c>
      <c r="D6507" t="inlineStr">
        <is>
          <t>VÄRMLANDS LÄN</t>
        </is>
      </c>
      <c r="E6507" t="inlineStr">
        <is>
          <t>KRISTINEHAMN</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25443-2023</t>
        </is>
      </c>
      <c r="B6508" s="1" t="n">
        <v>45089</v>
      </c>
      <c r="C6508" s="1" t="n">
        <v>45932</v>
      </c>
      <c r="D6508" t="inlineStr">
        <is>
          <t>VÄRMLANDS LÄN</t>
        </is>
      </c>
      <c r="E6508" t="inlineStr">
        <is>
          <t>GRUMS</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11053-2024</t>
        </is>
      </c>
      <c r="B6509" s="1" t="n">
        <v>45370</v>
      </c>
      <c r="C6509" s="1" t="n">
        <v>45932</v>
      </c>
      <c r="D6509" t="inlineStr">
        <is>
          <t>VÄRMLANDS LÄN</t>
        </is>
      </c>
      <c r="E6509" t="inlineStr">
        <is>
          <t>KARLSTAD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47945-2024</t>
        </is>
      </c>
      <c r="B6510" s="1" t="n">
        <v>45589.35581018519</v>
      </c>
      <c r="C6510" s="1" t="n">
        <v>45932</v>
      </c>
      <c r="D6510" t="inlineStr">
        <is>
          <t>VÄRMLANDS LÄN</t>
        </is>
      </c>
      <c r="E6510" t="inlineStr">
        <is>
          <t>ARVIKA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45076-2025</t>
        </is>
      </c>
      <c r="B6511" s="1" t="n">
        <v>45919</v>
      </c>
      <c r="C6511" s="1" t="n">
        <v>45932</v>
      </c>
      <c r="D6511" t="inlineStr">
        <is>
          <t>VÄRMLANDS LÄN</t>
        </is>
      </c>
      <c r="E6511" t="inlineStr">
        <is>
          <t>ARVIKA</t>
        </is>
      </c>
      <c r="F6511" t="inlineStr">
        <is>
          <t>Bergvik skog väst AB</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60025-2023</t>
        </is>
      </c>
      <c r="B6512" s="1" t="n">
        <v>45258.3112962963</v>
      </c>
      <c r="C6512" s="1" t="n">
        <v>45932</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2977-2024</t>
        </is>
      </c>
      <c r="B6513" s="1" t="n">
        <v>45315.68362268519</v>
      </c>
      <c r="C6513" s="1" t="n">
        <v>45932</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38261-2022</t>
        </is>
      </c>
      <c r="B6514" s="1" t="n">
        <v>44812</v>
      </c>
      <c r="C6514" s="1" t="n">
        <v>45932</v>
      </c>
      <c r="D6514" t="inlineStr">
        <is>
          <t>VÄRMLANDS LÄN</t>
        </is>
      </c>
      <c r="E6514" t="inlineStr">
        <is>
          <t>FORSHAGA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39536-2022</t>
        </is>
      </c>
      <c r="B6515" s="1" t="n">
        <v>44818</v>
      </c>
      <c r="C6515" s="1" t="n">
        <v>45932</v>
      </c>
      <c r="D6515" t="inlineStr">
        <is>
          <t>VÄRMLANDS LÄN</t>
        </is>
      </c>
      <c r="E6515" t="inlineStr">
        <is>
          <t>ÅRJÄNG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26263-2023</t>
        </is>
      </c>
      <c r="B6516" s="1" t="n">
        <v>45091.60797453704</v>
      </c>
      <c r="C6516" s="1" t="n">
        <v>45932</v>
      </c>
      <c r="D6516" t="inlineStr">
        <is>
          <t>VÄRMLANDS LÄN</t>
        </is>
      </c>
      <c r="E6516" t="inlineStr">
        <is>
          <t>KIL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38361-2022</t>
        </is>
      </c>
      <c r="B6517" s="1" t="n">
        <v>44812</v>
      </c>
      <c r="C6517" s="1" t="n">
        <v>45932</v>
      </c>
      <c r="D6517" t="inlineStr">
        <is>
          <t>VÄRMLANDS LÄN</t>
        </is>
      </c>
      <c r="E6517" t="inlineStr">
        <is>
          <t>SUNNE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28427-2025</t>
        </is>
      </c>
      <c r="B6518" s="1" t="n">
        <v>45819.37530092592</v>
      </c>
      <c r="C6518" s="1" t="n">
        <v>45932</v>
      </c>
      <c r="D6518" t="inlineStr">
        <is>
          <t>VÄRMLANDS LÄN</t>
        </is>
      </c>
      <c r="E6518" t="inlineStr">
        <is>
          <t>ARVIKA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28612-2025</t>
        </is>
      </c>
      <c r="B6519" s="1" t="n">
        <v>45819</v>
      </c>
      <c r="C6519" s="1" t="n">
        <v>45932</v>
      </c>
      <c r="D6519" t="inlineStr">
        <is>
          <t>VÄRMLANDS LÄN</t>
        </is>
      </c>
      <c r="E6519" t="inlineStr">
        <is>
          <t>TORSBY</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49753-2023</t>
        </is>
      </c>
      <c r="B6520" s="1" t="n">
        <v>45212.54</v>
      </c>
      <c r="C6520" s="1" t="n">
        <v>45932</v>
      </c>
      <c r="D6520" t="inlineStr">
        <is>
          <t>VÄRMLANDS LÄN</t>
        </is>
      </c>
      <c r="E6520" t="inlineStr">
        <is>
          <t>HAGFORS</t>
        </is>
      </c>
      <c r="F6520" t="inlineStr">
        <is>
          <t>Bergvik skog väst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58105-2021</t>
        </is>
      </c>
      <c r="B6521" s="1" t="n">
        <v>44487</v>
      </c>
      <c r="C6521" s="1" t="n">
        <v>45932</v>
      </c>
      <c r="D6521" t="inlineStr">
        <is>
          <t>VÄRMLANDS LÄN</t>
        </is>
      </c>
      <c r="E6521" t="inlineStr">
        <is>
          <t>SÄFFLE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34144-2022</t>
        </is>
      </c>
      <c r="B6522" s="1" t="n">
        <v>44791.55983796297</v>
      </c>
      <c r="C6522" s="1" t="n">
        <v>45932</v>
      </c>
      <c r="D6522" t="inlineStr">
        <is>
          <t>VÄRMLANDS LÄN</t>
        </is>
      </c>
      <c r="E6522" t="inlineStr">
        <is>
          <t>ÅRJÄNG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28511-2025</t>
        </is>
      </c>
      <c r="B6523" s="1" t="n">
        <v>45819</v>
      </c>
      <c r="C6523" s="1" t="n">
        <v>45932</v>
      </c>
      <c r="D6523" t="inlineStr">
        <is>
          <t>VÄRMLANDS LÄN</t>
        </is>
      </c>
      <c r="E6523" t="inlineStr">
        <is>
          <t>TORSBY</t>
        </is>
      </c>
      <c r="F6523" t="inlineStr">
        <is>
          <t>Bergvik skog väst AB</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34786-2024</t>
        </is>
      </c>
      <c r="B6524" s="1" t="n">
        <v>45526</v>
      </c>
      <c r="C6524" s="1" t="n">
        <v>45932</v>
      </c>
      <c r="D6524" t="inlineStr">
        <is>
          <t>VÄRMLANDS LÄN</t>
        </is>
      </c>
      <c r="E6524" t="inlineStr">
        <is>
          <t>FORSHAGA</t>
        </is>
      </c>
      <c r="F6524" t="inlineStr">
        <is>
          <t>Bergvik skog väst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58141-2023</t>
        </is>
      </c>
      <c r="B6525" s="1" t="n">
        <v>45245</v>
      </c>
      <c r="C6525" s="1" t="n">
        <v>45932</v>
      </c>
      <c r="D6525" t="inlineStr">
        <is>
          <t>VÄRMLANDS LÄN</t>
        </is>
      </c>
      <c r="E6525" t="inlineStr">
        <is>
          <t>ÅRJÄNG</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4360-2025</t>
        </is>
      </c>
      <c r="B6526" s="1" t="n">
        <v>45686.3312962963</v>
      </c>
      <c r="C6526" s="1" t="n">
        <v>45932</v>
      </c>
      <c r="D6526" t="inlineStr">
        <is>
          <t>VÄRMLANDS LÄN</t>
        </is>
      </c>
      <c r="E6526" t="inlineStr">
        <is>
          <t>SUNNE</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5081-2025</t>
        </is>
      </c>
      <c r="B6527" s="1" t="n">
        <v>45691</v>
      </c>
      <c r="C6527" s="1" t="n">
        <v>45932</v>
      </c>
      <c r="D6527" t="inlineStr">
        <is>
          <t>VÄRMLANDS LÄN</t>
        </is>
      </c>
      <c r="E6527" t="inlineStr">
        <is>
          <t>EDA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2740-2023</t>
        </is>
      </c>
      <c r="B6528" s="1" t="n">
        <v>44943</v>
      </c>
      <c r="C6528" s="1" t="n">
        <v>45932</v>
      </c>
      <c r="D6528" t="inlineStr">
        <is>
          <t>VÄRMLANDS LÄN</t>
        </is>
      </c>
      <c r="E6528" t="inlineStr">
        <is>
          <t>SÄFFLE</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28690-2025</t>
        </is>
      </c>
      <c r="B6529" s="1" t="n">
        <v>45819.73236111111</v>
      </c>
      <c r="C6529" s="1" t="n">
        <v>45932</v>
      </c>
      <c r="D6529" t="inlineStr">
        <is>
          <t>VÄRMLANDS LÄN</t>
        </is>
      </c>
      <c r="E6529" t="inlineStr">
        <is>
          <t>ÅRJÄNG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28287-2025</t>
        </is>
      </c>
      <c r="B6530" s="1" t="n">
        <v>45818</v>
      </c>
      <c r="C6530" s="1" t="n">
        <v>45932</v>
      </c>
      <c r="D6530" t="inlineStr">
        <is>
          <t>VÄRMLANDS LÄN</t>
        </is>
      </c>
      <c r="E6530" t="inlineStr">
        <is>
          <t>EDA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31452-2023</t>
        </is>
      </c>
      <c r="B6531" s="1" t="n">
        <v>45114</v>
      </c>
      <c r="C6531" s="1" t="n">
        <v>45932</v>
      </c>
      <c r="D6531" t="inlineStr">
        <is>
          <t>VÄRMLANDS LÄN</t>
        </is>
      </c>
      <c r="E6531" t="inlineStr">
        <is>
          <t>ARVIKA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28380-2025</t>
        </is>
      </c>
      <c r="B6532" s="1" t="n">
        <v>45819.30581018519</v>
      </c>
      <c r="C6532" s="1" t="n">
        <v>45932</v>
      </c>
      <c r="D6532" t="inlineStr">
        <is>
          <t>VÄRMLANDS LÄN</t>
        </is>
      </c>
      <c r="E6532" t="inlineStr">
        <is>
          <t>TORSBY</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32747-2024</t>
        </is>
      </c>
      <c r="B6533" s="1" t="n">
        <v>45516</v>
      </c>
      <c r="C6533" s="1" t="n">
        <v>45932</v>
      </c>
      <c r="D6533" t="inlineStr">
        <is>
          <t>VÄRMLANDS LÄN</t>
        </is>
      </c>
      <c r="E6533" t="inlineStr">
        <is>
          <t>SÄFFLE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32751-2024</t>
        </is>
      </c>
      <c r="B6534" s="1" t="n">
        <v>45516</v>
      </c>
      <c r="C6534" s="1" t="n">
        <v>45932</v>
      </c>
      <c r="D6534" t="inlineStr">
        <is>
          <t>VÄRMLANDS LÄN</t>
        </is>
      </c>
      <c r="E6534" t="inlineStr">
        <is>
          <t>SÄFFLE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28522-2025</t>
        </is>
      </c>
      <c r="B6535" s="1" t="n">
        <v>45819.49063657408</v>
      </c>
      <c r="C6535" s="1" t="n">
        <v>45932</v>
      </c>
      <c r="D6535" t="inlineStr">
        <is>
          <t>VÄRMLANDS LÄN</t>
        </is>
      </c>
      <c r="E6535" t="inlineStr">
        <is>
          <t>EDA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28394-2025</t>
        </is>
      </c>
      <c r="B6536" s="1" t="n">
        <v>45819.33046296296</v>
      </c>
      <c r="C6536" s="1" t="n">
        <v>45932</v>
      </c>
      <c r="D6536" t="inlineStr">
        <is>
          <t>VÄRMLANDS LÄN</t>
        </is>
      </c>
      <c r="E6536" t="inlineStr">
        <is>
          <t>KRISTINEHAMN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22896-2023</t>
        </is>
      </c>
      <c r="B6537" s="1" t="n">
        <v>45072</v>
      </c>
      <c r="C6537" s="1" t="n">
        <v>45932</v>
      </c>
      <c r="D6537" t="inlineStr">
        <is>
          <t>VÄRMLANDS LÄN</t>
        </is>
      </c>
      <c r="E6537" t="inlineStr">
        <is>
          <t>KRISTINEHAMN</t>
        </is>
      </c>
      <c r="F6537" t="inlineStr">
        <is>
          <t>Bergvik skog väst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54497-2024</t>
        </is>
      </c>
      <c r="B6538" s="1" t="n">
        <v>45617</v>
      </c>
      <c r="C6538" s="1" t="n">
        <v>45932</v>
      </c>
      <c r="D6538" t="inlineStr">
        <is>
          <t>VÄRMLANDS LÄN</t>
        </is>
      </c>
      <c r="E6538" t="inlineStr">
        <is>
          <t>KIL</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22929-2023</t>
        </is>
      </c>
      <c r="B6539" s="1" t="n">
        <v>45072</v>
      </c>
      <c r="C6539" s="1" t="n">
        <v>45932</v>
      </c>
      <c r="D6539" t="inlineStr">
        <is>
          <t>VÄRMLANDS LÄN</t>
        </is>
      </c>
      <c r="E6539" t="inlineStr">
        <is>
          <t>SÄFFLE</t>
        </is>
      </c>
      <c r="F6539" t="inlineStr">
        <is>
          <t>Bergvik skog väst AB</t>
        </is>
      </c>
      <c r="G6539" t="n">
        <v>18.5</v>
      </c>
      <c r="H6539" t="n">
        <v>0</v>
      </c>
      <c r="I6539" t="n">
        <v>0</v>
      </c>
      <c r="J6539" t="n">
        <v>0</v>
      </c>
      <c r="K6539" t="n">
        <v>0</v>
      </c>
      <c r="L6539" t="n">
        <v>0</v>
      </c>
      <c r="M6539" t="n">
        <v>0</v>
      </c>
      <c r="N6539" t="n">
        <v>0</v>
      </c>
      <c r="O6539" t="n">
        <v>0</v>
      </c>
      <c r="P6539" t="n">
        <v>0</v>
      </c>
      <c r="Q6539" t="n">
        <v>0</v>
      </c>
      <c r="R6539" s="2" t="inlineStr"/>
    </row>
    <row r="6540" ht="15" customHeight="1">
      <c r="A6540" t="inlineStr">
        <is>
          <t>A 19030-2022</t>
        </is>
      </c>
      <c r="B6540" s="1" t="n">
        <v>44691.36131944445</v>
      </c>
      <c r="C6540" s="1" t="n">
        <v>45932</v>
      </c>
      <c r="D6540" t="inlineStr">
        <is>
          <t>VÄRMLANDS LÄN</t>
        </is>
      </c>
      <c r="E6540" t="inlineStr">
        <is>
          <t>FILIPSTAD</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32078-2023</t>
        </is>
      </c>
      <c r="B6541" s="1" t="n">
        <v>45107</v>
      </c>
      <c r="C6541" s="1" t="n">
        <v>45932</v>
      </c>
      <c r="D6541" t="inlineStr">
        <is>
          <t>VÄRMLANDS LÄN</t>
        </is>
      </c>
      <c r="E6541" t="inlineStr">
        <is>
          <t>SÄFFLE</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28194-2025</t>
        </is>
      </c>
      <c r="B6542" s="1" t="n">
        <v>45818</v>
      </c>
      <c r="C6542" s="1" t="n">
        <v>45932</v>
      </c>
      <c r="D6542" t="inlineStr">
        <is>
          <t>VÄRMLANDS LÄN</t>
        </is>
      </c>
      <c r="E6542" t="inlineStr">
        <is>
          <t>EDA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50857-2023</t>
        </is>
      </c>
      <c r="B6543" s="1" t="n">
        <v>45218</v>
      </c>
      <c r="C6543" s="1" t="n">
        <v>45932</v>
      </c>
      <c r="D6543" t="inlineStr">
        <is>
          <t>VÄRMLANDS LÄN</t>
        </is>
      </c>
      <c r="E6543" t="inlineStr">
        <is>
          <t>ARVIKA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65854-2021</t>
        </is>
      </c>
      <c r="B6544" s="1" t="n">
        <v>44517.37467592592</v>
      </c>
      <c r="C6544" s="1" t="n">
        <v>45932</v>
      </c>
      <c r="D6544" t="inlineStr">
        <is>
          <t>VÄRMLANDS LÄN</t>
        </is>
      </c>
      <c r="E6544" t="inlineStr">
        <is>
          <t>ÅRJÄNG</t>
        </is>
      </c>
      <c r="G6544" t="n">
        <v>11.1</v>
      </c>
      <c r="H6544" t="n">
        <v>0</v>
      </c>
      <c r="I6544" t="n">
        <v>0</v>
      </c>
      <c r="J6544" t="n">
        <v>0</v>
      </c>
      <c r="K6544" t="n">
        <v>0</v>
      </c>
      <c r="L6544" t="n">
        <v>0</v>
      </c>
      <c r="M6544" t="n">
        <v>0</v>
      </c>
      <c r="N6544" t="n">
        <v>0</v>
      </c>
      <c r="O6544" t="n">
        <v>0</v>
      </c>
      <c r="P6544" t="n">
        <v>0</v>
      </c>
      <c r="Q6544" t="n">
        <v>0</v>
      </c>
      <c r="R6544" s="2" t="inlineStr"/>
    </row>
    <row r="6545" ht="15" customHeight="1">
      <c r="A6545" t="inlineStr">
        <is>
          <t>A 27920-2023</t>
        </is>
      </c>
      <c r="B6545" s="1" t="n">
        <v>45098.64269675926</v>
      </c>
      <c r="C6545" s="1" t="n">
        <v>45932</v>
      </c>
      <c r="D6545" t="inlineStr">
        <is>
          <t>VÄRMLANDS LÄN</t>
        </is>
      </c>
      <c r="E6545" t="inlineStr">
        <is>
          <t>TORSBY</t>
        </is>
      </c>
      <c r="F6545" t="inlineStr">
        <is>
          <t>Kyrkan</t>
        </is>
      </c>
      <c r="G6545" t="n">
        <v>14.7</v>
      </c>
      <c r="H6545" t="n">
        <v>0</v>
      </c>
      <c r="I6545" t="n">
        <v>0</v>
      </c>
      <c r="J6545" t="n">
        <v>0</v>
      </c>
      <c r="K6545" t="n">
        <v>0</v>
      </c>
      <c r="L6545" t="n">
        <v>0</v>
      </c>
      <c r="M6545" t="n">
        <v>0</v>
      </c>
      <c r="N6545" t="n">
        <v>0</v>
      </c>
      <c r="O6545" t="n">
        <v>0</v>
      </c>
      <c r="P6545" t="n">
        <v>0</v>
      </c>
      <c r="Q6545" t="n">
        <v>0</v>
      </c>
      <c r="R6545" s="2" t="inlineStr"/>
    </row>
    <row r="6546" ht="15" customHeight="1">
      <c r="A6546" t="inlineStr">
        <is>
          <t>A 29175-2025</t>
        </is>
      </c>
      <c r="B6546" s="1" t="n">
        <v>45821</v>
      </c>
      <c r="C6546" s="1" t="n">
        <v>45932</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29136-2025</t>
        </is>
      </c>
      <c r="B6547" s="1" t="n">
        <v>45821</v>
      </c>
      <c r="C6547" s="1" t="n">
        <v>45932</v>
      </c>
      <c r="D6547" t="inlineStr">
        <is>
          <t>VÄRMLANDS LÄN</t>
        </is>
      </c>
      <c r="E6547" t="inlineStr">
        <is>
          <t>ÅRJÄNG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29146-2025</t>
        </is>
      </c>
      <c r="B6548" s="1" t="n">
        <v>45821</v>
      </c>
      <c r="C6548" s="1" t="n">
        <v>45932</v>
      </c>
      <c r="D6548" t="inlineStr">
        <is>
          <t>VÄRMLANDS LÄN</t>
        </is>
      </c>
      <c r="E6548" t="inlineStr">
        <is>
          <t>ÅRJÄNG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29149-2025</t>
        </is>
      </c>
      <c r="B6549" s="1" t="n">
        <v>45821</v>
      </c>
      <c r="C6549" s="1" t="n">
        <v>45932</v>
      </c>
      <c r="D6549" t="inlineStr">
        <is>
          <t>VÄRMLANDS LÄN</t>
        </is>
      </c>
      <c r="E6549" t="inlineStr">
        <is>
          <t>HAGFORS</t>
        </is>
      </c>
      <c r="F6549" t="inlineStr">
        <is>
          <t>Bergvik skog väst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29166-2025</t>
        </is>
      </c>
      <c r="B6550" s="1" t="n">
        <v>45821.68682870371</v>
      </c>
      <c r="C6550" s="1" t="n">
        <v>45932</v>
      </c>
      <c r="D6550" t="inlineStr">
        <is>
          <t>VÄRMLANDS LÄN</t>
        </is>
      </c>
      <c r="E6550" t="inlineStr">
        <is>
          <t>ÅRJÄNG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29100-2025</t>
        </is>
      </c>
      <c r="B6551" s="1" t="n">
        <v>45821</v>
      </c>
      <c r="C6551" s="1" t="n">
        <v>45932</v>
      </c>
      <c r="D6551" t="inlineStr">
        <is>
          <t>VÄRMLANDS LÄN</t>
        </is>
      </c>
      <c r="E6551" t="inlineStr">
        <is>
          <t>ÅRJÄNG</t>
        </is>
      </c>
      <c r="F6551" t="inlineStr">
        <is>
          <t>Bergvik skog väst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29139-2025</t>
        </is>
      </c>
      <c r="B6552" s="1" t="n">
        <v>45821</v>
      </c>
      <c r="C6552" s="1" t="n">
        <v>45932</v>
      </c>
      <c r="D6552" t="inlineStr">
        <is>
          <t>VÄRMLANDS LÄN</t>
        </is>
      </c>
      <c r="E6552" t="inlineStr">
        <is>
          <t>ÅRJÄNG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28711-2025</t>
        </is>
      </c>
      <c r="B6553" s="1" t="n">
        <v>45820.33701388889</v>
      </c>
      <c r="C6553" s="1" t="n">
        <v>45932</v>
      </c>
      <c r="D6553" t="inlineStr">
        <is>
          <t>VÄRMLANDS LÄN</t>
        </is>
      </c>
      <c r="E6553" t="inlineStr">
        <is>
          <t>ÅRJÄNG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29115-2025</t>
        </is>
      </c>
      <c r="B6554" s="1" t="n">
        <v>45821</v>
      </c>
      <c r="C6554" s="1" t="n">
        <v>45932</v>
      </c>
      <c r="D6554" t="inlineStr">
        <is>
          <t>VÄRMLANDS LÄN</t>
        </is>
      </c>
      <c r="E6554" t="inlineStr">
        <is>
          <t>HAGFORS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28992-2025</t>
        </is>
      </c>
      <c r="B6555" s="1" t="n">
        <v>45821</v>
      </c>
      <c r="C6555" s="1" t="n">
        <v>45932</v>
      </c>
      <c r="D6555" t="inlineStr">
        <is>
          <t>VÄRMLANDS LÄN</t>
        </is>
      </c>
      <c r="E6555" t="inlineStr">
        <is>
          <t>ÅRJÄNG</t>
        </is>
      </c>
      <c r="F6555" t="inlineStr">
        <is>
          <t>Bergvik skog väst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30974-2023</t>
        </is>
      </c>
      <c r="B6556" s="1" t="n">
        <v>45113</v>
      </c>
      <c r="C6556" s="1" t="n">
        <v>45932</v>
      </c>
      <c r="D6556" t="inlineStr">
        <is>
          <t>VÄRMLANDS LÄN</t>
        </is>
      </c>
      <c r="E6556" t="inlineStr">
        <is>
          <t>SUNNE</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29156-2025</t>
        </is>
      </c>
      <c r="B6557" s="1" t="n">
        <v>45821.65748842592</v>
      </c>
      <c r="C6557" s="1" t="n">
        <v>45932</v>
      </c>
      <c r="D6557" t="inlineStr">
        <is>
          <t>VÄRMLANDS LÄN</t>
        </is>
      </c>
      <c r="E6557" t="inlineStr">
        <is>
          <t>ARVIKA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28874-2025</t>
        </is>
      </c>
      <c r="B6558" s="1" t="n">
        <v>45820</v>
      </c>
      <c r="C6558" s="1" t="n">
        <v>45932</v>
      </c>
      <c r="D6558" t="inlineStr">
        <is>
          <t>VÄRMLANDS LÄN</t>
        </is>
      </c>
      <c r="E6558" t="inlineStr">
        <is>
          <t>ÅRJÄNG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28235-2024</t>
        </is>
      </c>
      <c r="B6559" s="1" t="n">
        <v>45477.38921296296</v>
      </c>
      <c r="C6559" s="1" t="n">
        <v>45932</v>
      </c>
      <c r="D6559" t="inlineStr">
        <is>
          <t>VÄRMLANDS LÄN</t>
        </is>
      </c>
      <c r="E6559" t="inlineStr">
        <is>
          <t>SUNNE</t>
        </is>
      </c>
      <c r="F6559" t="inlineStr">
        <is>
          <t>Bergvik skog väst AB</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28765-2025</t>
        </is>
      </c>
      <c r="B6560" s="1" t="n">
        <v>45820.41982638889</v>
      </c>
      <c r="C6560" s="1" t="n">
        <v>45932</v>
      </c>
      <c r="D6560" t="inlineStr">
        <is>
          <t>VÄRMLANDS LÄN</t>
        </is>
      </c>
      <c r="E6560" t="inlineStr">
        <is>
          <t>TORSBY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28791-2025</t>
        </is>
      </c>
      <c r="B6561" s="1" t="n">
        <v>45820</v>
      </c>
      <c r="C6561" s="1" t="n">
        <v>45932</v>
      </c>
      <c r="D6561" t="inlineStr">
        <is>
          <t>VÄRMLANDS LÄN</t>
        </is>
      </c>
      <c r="E6561" t="inlineStr">
        <is>
          <t>TORSBY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28793-2025</t>
        </is>
      </c>
      <c r="B6562" s="1" t="n">
        <v>45820.47452546296</v>
      </c>
      <c r="C6562" s="1" t="n">
        <v>45932</v>
      </c>
      <c r="D6562" t="inlineStr">
        <is>
          <t>VÄRMLANDS LÄN</t>
        </is>
      </c>
      <c r="E6562" t="inlineStr">
        <is>
          <t>ÅRJÄNG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65915-2021</t>
        </is>
      </c>
      <c r="B6563" s="1" t="n">
        <v>44517</v>
      </c>
      <c r="C6563" s="1" t="n">
        <v>45932</v>
      </c>
      <c r="D6563" t="inlineStr">
        <is>
          <t>VÄRMLANDS LÄN</t>
        </is>
      </c>
      <c r="E6563" t="inlineStr">
        <is>
          <t>FORSHAGA</t>
        </is>
      </c>
      <c r="G6563" t="n">
        <v>17.2</v>
      </c>
      <c r="H6563" t="n">
        <v>0</v>
      </c>
      <c r="I6563" t="n">
        <v>0</v>
      </c>
      <c r="J6563" t="n">
        <v>0</v>
      </c>
      <c r="K6563" t="n">
        <v>0</v>
      </c>
      <c r="L6563" t="n">
        <v>0</v>
      </c>
      <c r="M6563" t="n">
        <v>0</v>
      </c>
      <c r="N6563" t="n">
        <v>0</v>
      </c>
      <c r="O6563" t="n">
        <v>0</v>
      </c>
      <c r="P6563" t="n">
        <v>0</v>
      </c>
      <c r="Q6563" t="n">
        <v>0</v>
      </c>
      <c r="R6563" s="2" t="inlineStr"/>
    </row>
    <row r="6564" ht="15" customHeight="1">
      <c r="A6564" t="inlineStr">
        <is>
          <t>A 29188-2025</t>
        </is>
      </c>
      <c r="B6564" s="1" t="n">
        <v>45821</v>
      </c>
      <c r="C6564" s="1" t="n">
        <v>45932</v>
      </c>
      <c r="D6564" t="inlineStr">
        <is>
          <t>VÄRMLANDS LÄN</t>
        </is>
      </c>
      <c r="E6564" t="inlineStr">
        <is>
          <t>FORSHAGA</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28723-2025</t>
        </is>
      </c>
      <c r="B6565" s="1" t="n">
        <v>45820.35928240741</v>
      </c>
      <c r="C6565" s="1" t="n">
        <v>45932</v>
      </c>
      <c r="D6565" t="inlineStr">
        <is>
          <t>VÄRMLANDS LÄN</t>
        </is>
      </c>
      <c r="E6565" t="inlineStr">
        <is>
          <t>HAGFORS</t>
        </is>
      </c>
      <c r="F6565" t="inlineStr">
        <is>
          <t>Kyrkan</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28731-2025</t>
        </is>
      </c>
      <c r="B6566" s="1" t="n">
        <v>45820.36546296296</v>
      </c>
      <c r="C6566" s="1" t="n">
        <v>45932</v>
      </c>
      <c r="D6566" t="inlineStr">
        <is>
          <t>VÄRMLANDS LÄN</t>
        </is>
      </c>
      <c r="E6566" t="inlineStr">
        <is>
          <t>KRISTINEHAMN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6708-2023</t>
        </is>
      </c>
      <c r="B6567" s="1" t="n">
        <v>44960</v>
      </c>
      <c r="C6567" s="1" t="n">
        <v>45932</v>
      </c>
      <c r="D6567" t="inlineStr">
        <is>
          <t>VÄRMLANDS LÄN</t>
        </is>
      </c>
      <c r="E6567" t="inlineStr">
        <is>
          <t>TORSBY</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6711-2023</t>
        </is>
      </c>
      <c r="B6568" s="1" t="n">
        <v>44960</v>
      </c>
      <c r="C6568" s="1" t="n">
        <v>45932</v>
      </c>
      <c r="D6568" t="inlineStr">
        <is>
          <t>VÄRMLANDS LÄN</t>
        </is>
      </c>
      <c r="E6568" t="inlineStr">
        <is>
          <t>TORSBY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28834-2025</t>
        </is>
      </c>
      <c r="B6569" s="1" t="n">
        <v>45820.55716435185</v>
      </c>
      <c r="C6569" s="1" t="n">
        <v>45932</v>
      </c>
      <c r="D6569" t="inlineStr">
        <is>
          <t>VÄRMLANDS LÄN</t>
        </is>
      </c>
      <c r="E6569" t="inlineStr">
        <is>
          <t>SUNNE</t>
        </is>
      </c>
      <c r="F6569" t="inlineStr">
        <is>
          <t>Kyrkan</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6715-2023</t>
        </is>
      </c>
      <c r="B6570" s="1" t="n">
        <v>44960</v>
      </c>
      <c r="C6570" s="1" t="n">
        <v>45932</v>
      </c>
      <c r="D6570" t="inlineStr">
        <is>
          <t>VÄRMLANDS LÄN</t>
        </is>
      </c>
      <c r="E6570" t="inlineStr">
        <is>
          <t>TORSBY</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11913-2025</t>
        </is>
      </c>
      <c r="B6571" s="1" t="n">
        <v>45728.48829861111</v>
      </c>
      <c r="C6571" s="1" t="n">
        <v>45932</v>
      </c>
      <c r="D6571" t="inlineStr">
        <is>
          <t>VÄRMLANDS LÄN</t>
        </is>
      </c>
      <c r="E6571" t="inlineStr">
        <is>
          <t>ARVIKA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28964-2025</t>
        </is>
      </c>
      <c r="B6572" s="1" t="n">
        <v>45821.33386574074</v>
      </c>
      <c r="C6572" s="1" t="n">
        <v>45932</v>
      </c>
      <c r="D6572" t="inlineStr">
        <is>
          <t>VÄRMLANDS LÄN</t>
        </is>
      </c>
      <c r="E6572" t="inlineStr">
        <is>
          <t>ARVIKA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28774-2025</t>
        </is>
      </c>
      <c r="B6573" s="1" t="n">
        <v>45820.4434375</v>
      </c>
      <c r="C6573" s="1" t="n">
        <v>45932</v>
      </c>
      <c r="D6573" t="inlineStr">
        <is>
          <t>VÄRMLANDS LÄN</t>
        </is>
      </c>
      <c r="E6573" t="inlineStr">
        <is>
          <t>TORSBY</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30074-2024</t>
        </is>
      </c>
      <c r="B6574" s="1" t="n">
        <v>45489</v>
      </c>
      <c r="C6574" s="1" t="n">
        <v>45932</v>
      </c>
      <c r="D6574" t="inlineStr">
        <is>
          <t>VÄRMLANDS LÄN</t>
        </is>
      </c>
      <c r="E6574" t="inlineStr">
        <is>
          <t>TORSBY</t>
        </is>
      </c>
      <c r="F6574" t="inlineStr">
        <is>
          <t>Kyrkan</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29032-2025</t>
        </is>
      </c>
      <c r="B6575" s="1" t="n">
        <v>45821.44164351852</v>
      </c>
      <c r="C6575" s="1" t="n">
        <v>45932</v>
      </c>
      <c r="D6575" t="inlineStr">
        <is>
          <t>VÄRMLANDS LÄN</t>
        </is>
      </c>
      <c r="E6575" t="inlineStr">
        <is>
          <t>HAGFORS</t>
        </is>
      </c>
      <c r="F6575" t="inlineStr">
        <is>
          <t>Bergvik skog väst AB</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29137-2025</t>
        </is>
      </c>
      <c r="B6576" s="1" t="n">
        <v>45821.61067129629</v>
      </c>
      <c r="C6576" s="1" t="n">
        <v>45932</v>
      </c>
      <c r="D6576" t="inlineStr">
        <is>
          <t>VÄRMLANDS LÄN</t>
        </is>
      </c>
      <c r="E6576" t="inlineStr">
        <is>
          <t>ARVIKA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63488-2023</t>
        </is>
      </c>
      <c r="B6577" s="1" t="n">
        <v>45274.66740740741</v>
      </c>
      <c r="C6577" s="1" t="n">
        <v>45932</v>
      </c>
      <c r="D6577" t="inlineStr">
        <is>
          <t>VÄRMLANDS LÄN</t>
        </is>
      </c>
      <c r="E6577" t="inlineStr">
        <is>
          <t>EDA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56815-2023</t>
        </is>
      </c>
      <c r="B6578" s="1" t="n">
        <v>45244</v>
      </c>
      <c r="C6578" s="1" t="n">
        <v>45932</v>
      </c>
      <c r="D6578" t="inlineStr">
        <is>
          <t>VÄRMLANDS LÄN</t>
        </is>
      </c>
      <c r="E6578" t="inlineStr">
        <is>
          <t>TORSBY</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46333-2023</t>
        </is>
      </c>
      <c r="B6579" s="1" t="n">
        <v>45191</v>
      </c>
      <c r="C6579" s="1" t="n">
        <v>45932</v>
      </c>
      <c r="D6579" t="inlineStr">
        <is>
          <t>VÄRMLANDS LÄN</t>
        </is>
      </c>
      <c r="E6579" t="inlineStr">
        <is>
          <t>KRISTINEHAMN</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56871-2023</t>
        </is>
      </c>
      <c r="B6580" s="1" t="n">
        <v>45244.51956018519</v>
      </c>
      <c r="C6580" s="1" t="n">
        <v>45932</v>
      </c>
      <c r="D6580" t="inlineStr">
        <is>
          <t>VÄRMLANDS LÄN</t>
        </is>
      </c>
      <c r="E6580" t="inlineStr">
        <is>
          <t>SUNNE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47007-2025</t>
        </is>
      </c>
      <c r="B6581" s="1" t="n">
        <v>45929.56689814815</v>
      </c>
      <c r="C6581" s="1" t="n">
        <v>45932</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56884-2023</t>
        </is>
      </c>
      <c r="B6582" s="1" t="n">
        <v>45244</v>
      </c>
      <c r="C6582" s="1" t="n">
        <v>45932</v>
      </c>
      <c r="D6582" t="inlineStr">
        <is>
          <t>VÄRMLANDS LÄN</t>
        </is>
      </c>
      <c r="E6582" t="inlineStr">
        <is>
          <t>HAGFORS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69231-2020</t>
        </is>
      </c>
      <c r="B6583" s="1" t="n">
        <v>44192</v>
      </c>
      <c r="C6583" s="1" t="n">
        <v>45932</v>
      </c>
      <c r="D6583" t="inlineStr">
        <is>
          <t>VÄRMLANDS LÄN</t>
        </is>
      </c>
      <c r="E6583" t="inlineStr">
        <is>
          <t>SUNNE</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69241-2020</t>
        </is>
      </c>
      <c r="B6584" s="1" t="n">
        <v>44192.85814814815</v>
      </c>
      <c r="C6584" s="1" t="n">
        <v>45932</v>
      </c>
      <c r="D6584" t="inlineStr">
        <is>
          <t>VÄRMLANDS LÄN</t>
        </is>
      </c>
      <c r="E6584" t="inlineStr">
        <is>
          <t>TORSBY</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65713-2021</t>
        </is>
      </c>
      <c r="B6585" s="1" t="n">
        <v>44516</v>
      </c>
      <c r="C6585" s="1" t="n">
        <v>45932</v>
      </c>
      <c r="D6585" t="inlineStr">
        <is>
          <t>VÄRMLANDS LÄN</t>
        </is>
      </c>
      <c r="E6585" t="inlineStr">
        <is>
          <t>TORSBY</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56481-2023</t>
        </is>
      </c>
      <c r="B6586" s="1" t="n">
        <v>45243</v>
      </c>
      <c r="C6586" s="1" t="n">
        <v>45932</v>
      </c>
      <c r="D6586" t="inlineStr">
        <is>
          <t>VÄRMLANDS LÄN</t>
        </is>
      </c>
      <c r="E6586" t="inlineStr">
        <is>
          <t>EDA</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32073-2023</t>
        </is>
      </c>
      <c r="B6587" s="1" t="n">
        <v>45119.58086805556</v>
      </c>
      <c r="C6587" s="1" t="n">
        <v>45932</v>
      </c>
      <c r="D6587" t="inlineStr">
        <is>
          <t>VÄRMLANDS LÄN</t>
        </is>
      </c>
      <c r="E6587" t="inlineStr">
        <is>
          <t>EDA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2315-2024</t>
        </is>
      </c>
      <c r="B6588" s="1" t="n">
        <v>45310.48018518519</v>
      </c>
      <c r="C6588" s="1" t="n">
        <v>45932</v>
      </c>
      <c r="D6588" t="inlineStr">
        <is>
          <t>VÄRMLANDS LÄN</t>
        </is>
      </c>
      <c r="E6588" t="inlineStr">
        <is>
          <t>HAGFORS</t>
        </is>
      </c>
      <c r="F6588" t="inlineStr">
        <is>
          <t>Kyrkan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10032-2023</t>
        </is>
      </c>
      <c r="B6589" s="1" t="n">
        <v>44985.64291666666</v>
      </c>
      <c r="C6589" s="1" t="n">
        <v>45932</v>
      </c>
      <c r="D6589" t="inlineStr">
        <is>
          <t>VÄRMLANDS LÄN</t>
        </is>
      </c>
      <c r="E6589" t="inlineStr">
        <is>
          <t>KRISTINEHAMN</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26042-2022</t>
        </is>
      </c>
      <c r="B6590" s="1" t="n">
        <v>44734.59033564815</v>
      </c>
      <c r="C6590" s="1" t="n">
        <v>45932</v>
      </c>
      <c r="D6590" t="inlineStr">
        <is>
          <t>VÄRMLANDS LÄN</t>
        </is>
      </c>
      <c r="E6590" t="inlineStr">
        <is>
          <t>KRISTINEHAMN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26703-2023</t>
        </is>
      </c>
      <c r="B6591" s="1" t="n">
        <v>45093.37353009259</v>
      </c>
      <c r="C6591" s="1" t="n">
        <v>45932</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26710-2023</t>
        </is>
      </c>
      <c r="B6592" s="1" t="n">
        <v>45093.37859953703</v>
      </c>
      <c r="C6592" s="1" t="n">
        <v>45932</v>
      </c>
      <c r="D6592" t="inlineStr">
        <is>
          <t>VÄRMLANDS LÄN</t>
        </is>
      </c>
      <c r="E6592" t="inlineStr">
        <is>
          <t>ARVIKA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12482-2024</t>
        </is>
      </c>
      <c r="B6593" s="1" t="n">
        <v>45379</v>
      </c>
      <c r="C6593" s="1" t="n">
        <v>45932</v>
      </c>
      <c r="D6593" t="inlineStr">
        <is>
          <t>VÄRMLANDS LÄN</t>
        </is>
      </c>
      <c r="E6593" t="inlineStr">
        <is>
          <t>SÄFFLE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14455-2023</t>
        </is>
      </c>
      <c r="B6594" s="1" t="n">
        <v>45012</v>
      </c>
      <c r="C6594" s="1" t="n">
        <v>45932</v>
      </c>
      <c r="D6594" t="inlineStr">
        <is>
          <t>VÄRMLANDS LÄN</t>
        </is>
      </c>
      <c r="E6594" t="inlineStr">
        <is>
          <t>ARVIKA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14465-2023</t>
        </is>
      </c>
      <c r="B6595" s="1" t="n">
        <v>45012</v>
      </c>
      <c r="C6595" s="1" t="n">
        <v>45932</v>
      </c>
      <c r="D6595" t="inlineStr">
        <is>
          <t>VÄRMLANDS LÄN</t>
        </is>
      </c>
      <c r="E6595" t="inlineStr">
        <is>
          <t>SÄFFLE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12527-2024</t>
        </is>
      </c>
      <c r="B6596" s="1" t="n">
        <v>45379.61871527778</v>
      </c>
      <c r="C6596" s="1" t="n">
        <v>45932</v>
      </c>
      <c r="D6596" t="inlineStr">
        <is>
          <t>VÄRMLANDS LÄN</t>
        </is>
      </c>
      <c r="E6596" t="inlineStr">
        <is>
          <t>SUNNE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14340-2023</t>
        </is>
      </c>
      <c r="B6597" s="1" t="n">
        <v>45012.36368055556</v>
      </c>
      <c r="C6597" s="1" t="n">
        <v>45932</v>
      </c>
      <c r="D6597" t="inlineStr">
        <is>
          <t>VÄRMLANDS LÄN</t>
        </is>
      </c>
      <c r="E6597" t="inlineStr">
        <is>
          <t>ÅRJÄNG</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34230-2023</t>
        </is>
      </c>
      <c r="B6598" s="1" t="n">
        <v>45127</v>
      </c>
      <c r="C6598" s="1" t="n">
        <v>45932</v>
      </c>
      <c r="D6598" t="inlineStr">
        <is>
          <t>VÄRMLANDS LÄN</t>
        </is>
      </c>
      <c r="E6598" t="inlineStr">
        <is>
          <t>KRISTINEHAMN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42388-2022</t>
        </is>
      </c>
      <c r="B6599" s="1" t="n">
        <v>44831</v>
      </c>
      <c r="C6599" s="1" t="n">
        <v>45932</v>
      </c>
      <c r="D6599" t="inlineStr">
        <is>
          <t>VÄRMLANDS LÄN</t>
        </is>
      </c>
      <c r="E6599" t="inlineStr">
        <is>
          <t>SUNNE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10511-2024</t>
        </is>
      </c>
      <c r="B6600" s="1" t="n">
        <v>45366.4970949074</v>
      </c>
      <c r="C6600" s="1" t="n">
        <v>45932</v>
      </c>
      <c r="D6600" t="inlineStr">
        <is>
          <t>VÄRMLANDS LÄN</t>
        </is>
      </c>
      <c r="E6600" t="inlineStr">
        <is>
          <t>KARLSTAD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9445-2024</t>
        </is>
      </c>
      <c r="B6601" s="1" t="n">
        <v>45359.50938657407</v>
      </c>
      <c r="C6601" s="1" t="n">
        <v>45932</v>
      </c>
      <c r="D6601" t="inlineStr">
        <is>
          <t>VÄRMLANDS LÄN</t>
        </is>
      </c>
      <c r="E6601" t="inlineStr">
        <is>
          <t>SUNNE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37306-2023</t>
        </is>
      </c>
      <c r="B6602" s="1" t="n">
        <v>45156.36695601852</v>
      </c>
      <c r="C6602" s="1" t="n">
        <v>45932</v>
      </c>
      <c r="D6602" t="inlineStr">
        <is>
          <t>VÄRMLANDS LÄN</t>
        </is>
      </c>
      <c r="E6602" t="inlineStr">
        <is>
          <t>SÄFFLE</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28710-2025</t>
        </is>
      </c>
      <c r="B6603" s="1" t="n">
        <v>45820.32953703704</v>
      </c>
      <c r="C6603" s="1" t="n">
        <v>45932</v>
      </c>
      <c r="D6603" t="inlineStr">
        <is>
          <t>VÄRMLANDS LÄN</t>
        </is>
      </c>
      <c r="E6603" t="inlineStr">
        <is>
          <t>ÅRJÄNG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55666-2024</t>
        </is>
      </c>
      <c r="B6604" s="1" t="n">
        <v>45622</v>
      </c>
      <c r="C6604" s="1" t="n">
        <v>45932</v>
      </c>
      <c r="D6604" t="inlineStr">
        <is>
          <t>VÄRMLANDS LÄN</t>
        </is>
      </c>
      <c r="E6604" t="inlineStr">
        <is>
          <t>KARLSTAD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46790-2024</t>
        </is>
      </c>
      <c r="B6605" s="1" t="n">
        <v>45583</v>
      </c>
      <c r="C6605" s="1" t="n">
        <v>45932</v>
      </c>
      <c r="D6605" t="inlineStr">
        <is>
          <t>VÄRMLANDS LÄN</t>
        </is>
      </c>
      <c r="E6605" t="inlineStr">
        <is>
          <t>SUNNE</t>
        </is>
      </c>
      <c r="F6605" t="inlineStr">
        <is>
          <t>Kommuner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28797-2025</t>
        </is>
      </c>
      <c r="B6606" s="1" t="n">
        <v>45820.48179398148</v>
      </c>
      <c r="C6606" s="1" t="n">
        <v>45932</v>
      </c>
      <c r="D6606" t="inlineStr">
        <is>
          <t>VÄRMLANDS LÄN</t>
        </is>
      </c>
      <c r="E6606" t="inlineStr">
        <is>
          <t>ÅRJÄNG</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14614-2025</t>
        </is>
      </c>
      <c r="B6607" s="1" t="n">
        <v>45742</v>
      </c>
      <c r="C6607" s="1" t="n">
        <v>45932</v>
      </c>
      <c r="D6607" t="inlineStr">
        <is>
          <t>VÄRMLANDS LÄN</t>
        </is>
      </c>
      <c r="E6607" t="inlineStr">
        <is>
          <t>TORSBY</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6164-2021</t>
        </is>
      </c>
      <c r="B6608" s="1" t="n">
        <v>44229</v>
      </c>
      <c r="C6608" s="1" t="n">
        <v>45932</v>
      </c>
      <c r="D6608" t="inlineStr">
        <is>
          <t>VÄRMLANDS LÄN</t>
        </is>
      </c>
      <c r="E6608" t="inlineStr">
        <is>
          <t>SÄFFLE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14622-2025</t>
        </is>
      </c>
      <c r="B6609" s="1" t="n">
        <v>45742.41634259259</v>
      </c>
      <c r="C6609" s="1" t="n">
        <v>45932</v>
      </c>
      <c r="D6609" t="inlineStr">
        <is>
          <t>VÄRMLANDS LÄN</t>
        </is>
      </c>
      <c r="E6609" t="inlineStr">
        <is>
          <t>ARVIKA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28898-2025</t>
        </is>
      </c>
      <c r="B6610" s="1" t="n">
        <v>45820.63644675926</v>
      </c>
      <c r="C6610" s="1" t="n">
        <v>45932</v>
      </c>
      <c r="D6610" t="inlineStr">
        <is>
          <t>VÄRMLANDS LÄN</t>
        </is>
      </c>
      <c r="E6610" t="inlineStr">
        <is>
          <t>TORSBY</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22162-2025</t>
        </is>
      </c>
      <c r="B6611" s="1" t="n">
        <v>45785.59041666667</v>
      </c>
      <c r="C6611" s="1" t="n">
        <v>45932</v>
      </c>
      <c r="D6611" t="inlineStr">
        <is>
          <t>VÄRMLANDS LÄN</t>
        </is>
      </c>
      <c r="E6611" t="inlineStr">
        <is>
          <t>ARVIKA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61067-2024</t>
        </is>
      </c>
      <c r="B6612" s="1" t="n">
        <v>45645</v>
      </c>
      <c r="C6612" s="1" t="n">
        <v>45932</v>
      </c>
      <c r="D6612" t="inlineStr">
        <is>
          <t>VÄRMLANDS LÄN</t>
        </is>
      </c>
      <c r="E6612" t="inlineStr">
        <is>
          <t>ARVIKA</t>
        </is>
      </c>
      <c r="F6612" t="inlineStr">
        <is>
          <t>Bergvik skog väst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29114-2025</t>
        </is>
      </c>
      <c r="B6613" s="1" t="n">
        <v>45821</v>
      </c>
      <c r="C6613" s="1" t="n">
        <v>45932</v>
      </c>
      <c r="D6613" t="inlineStr">
        <is>
          <t>VÄRMLANDS LÄN</t>
        </is>
      </c>
      <c r="E6613" t="inlineStr">
        <is>
          <t>HAGFORS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60991-2024</t>
        </is>
      </c>
      <c r="B6614" s="1" t="n">
        <v>45645.41983796296</v>
      </c>
      <c r="C6614" s="1" t="n">
        <v>45932</v>
      </c>
      <c r="D6614" t="inlineStr">
        <is>
          <t>VÄRMLANDS LÄN</t>
        </is>
      </c>
      <c r="E6614" t="inlineStr">
        <is>
          <t>HAGFORS</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22032-2023</t>
        </is>
      </c>
      <c r="B6615" s="1" t="n">
        <v>45069.35378472223</v>
      </c>
      <c r="C6615" s="1" t="n">
        <v>45932</v>
      </c>
      <c r="D6615" t="inlineStr">
        <is>
          <t>VÄRMLANDS LÄN</t>
        </is>
      </c>
      <c r="E6615" t="inlineStr">
        <is>
          <t>ÅRJÄNG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60999-2024</t>
        </is>
      </c>
      <c r="B6616" s="1" t="n">
        <v>45645.43425925926</v>
      </c>
      <c r="C6616" s="1" t="n">
        <v>45932</v>
      </c>
      <c r="D6616" t="inlineStr">
        <is>
          <t>VÄRMLANDS LÄN</t>
        </is>
      </c>
      <c r="E6616" t="inlineStr">
        <is>
          <t>SUNNE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29071-2025</t>
        </is>
      </c>
      <c r="B6617" s="1" t="n">
        <v>45821</v>
      </c>
      <c r="C6617" s="1" t="n">
        <v>45932</v>
      </c>
      <c r="D6617" t="inlineStr">
        <is>
          <t>VÄRMLANDS LÄN</t>
        </is>
      </c>
      <c r="E6617" t="inlineStr">
        <is>
          <t>TORSBY</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24620-2023</t>
        </is>
      </c>
      <c r="B6618" s="1" t="n">
        <v>45084.36466435185</v>
      </c>
      <c r="C6618" s="1" t="n">
        <v>45932</v>
      </c>
      <c r="D6618" t="inlineStr">
        <is>
          <t>VÄRMLANDS LÄN</t>
        </is>
      </c>
      <c r="E6618" t="inlineStr">
        <is>
          <t>EDA</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56888-2023</t>
        </is>
      </c>
      <c r="B6619" s="1" t="n">
        <v>45244</v>
      </c>
      <c r="C6619" s="1" t="n">
        <v>45932</v>
      </c>
      <c r="D6619" t="inlineStr">
        <is>
          <t>VÄRMLANDS LÄN</t>
        </is>
      </c>
      <c r="E6619" t="inlineStr">
        <is>
          <t>HAGFORS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24639-2023</t>
        </is>
      </c>
      <c r="B6620" s="1" t="n">
        <v>45084</v>
      </c>
      <c r="C6620" s="1" t="n">
        <v>45932</v>
      </c>
      <c r="D6620" t="inlineStr">
        <is>
          <t>VÄRMLANDS LÄN</t>
        </is>
      </c>
      <c r="E6620" t="inlineStr">
        <is>
          <t>TORSBY</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29007-2025</t>
        </is>
      </c>
      <c r="B6621" s="1" t="n">
        <v>45821</v>
      </c>
      <c r="C6621" s="1" t="n">
        <v>45932</v>
      </c>
      <c r="D6621" t="inlineStr">
        <is>
          <t>VÄRMLANDS LÄN</t>
        </is>
      </c>
      <c r="E6621" t="inlineStr">
        <is>
          <t>ÅRJÄNG</t>
        </is>
      </c>
      <c r="F6621" t="inlineStr">
        <is>
          <t>Bergvik skog väst AB</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1104-2025</t>
        </is>
      </c>
      <c r="B6622" s="1" t="n">
        <v>45666</v>
      </c>
      <c r="C6622" s="1" t="n">
        <v>45932</v>
      </c>
      <c r="D6622" t="inlineStr">
        <is>
          <t>VÄRMLANDS LÄN</t>
        </is>
      </c>
      <c r="E6622" t="inlineStr">
        <is>
          <t>TORSBY</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53184-2024</t>
        </is>
      </c>
      <c r="B6623" s="1" t="n">
        <v>45611</v>
      </c>
      <c r="C6623" s="1" t="n">
        <v>45932</v>
      </c>
      <c r="D6623" t="inlineStr">
        <is>
          <t>VÄRMLANDS LÄN</t>
        </is>
      </c>
      <c r="E6623" t="inlineStr">
        <is>
          <t>ARVIKA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27080-2023</t>
        </is>
      </c>
      <c r="B6624" s="1" t="n">
        <v>45096.36200231482</v>
      </c>
      <c r="C6624" s="1" t="n">
        <v>45932</v>
      </c>
      <c r="D6624" t="inlineStr">
        <is>
          <t>VÄRMLANDS LÄN</t>
        </is>
      </c>
      <c r="E6624" t="inlineStr">
        <is>
          <t>FILIPSTAD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29178-2025</t>
        </is>
      </c>
      <c r="B6625" s="1" t="n">
        <v>45821</v>
      </c>
      <c r="C6625" s="1" t="n">
        <v>45932</v>
      </c>
      <c r="D6625" t="inlineStr">
        <is>
          <t>VÄRMLANDS LÄN</t>
        </is>
      </c>
      <c r="E6625" t="inlineStr">
        <is>
          <t>SUNNE</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17746-2025</t>
        </is>
      </c>
      <c r="B6626" s="1" t="n">
        <v>45758.48150462963</v>
      </c>
      <c r="C6626" s="1" t="n">
        <v>45932</v>
      </c>
      <c r="D6626" t="inlineStr">
        <is>
          <t>VÄRMLANDS LÄN</t>
        </is>
      </c>
      <c r="E6626" t="inlineStr">
        <is>
          <t>EDA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53243-2024</t>
        </is>
      </c>
      <c r="B6627" s="1" t="n">
        <v>45613</v>
      </c>
      <c r="C6627" s="1" t="n">
        <v>45932</v>
      </c>
      <c r="D6627" t="inlineStr">
        <is>
          <t>VÄRMLANDS LÄN</t>
        </is>
      </c>
      <c r="E6627" t="inlineStr">
        <is>
          <t>ARVIKA</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57072-2022</t>
        </is>
      </c>
      <c r="B6628" s="1" t="n">
        <v>44895.4252662037</v>
      </c>
      <c r="C6628" s="1" t="n">
        <v>45932</v>
      </c>
      <c r="D6628" t="inlineStr">
        <is>
          <t>VÄRMLANDS LÄN</t>
        </is>
      </c>
      <c r="E6628" t="inlineStr">
        <is>
          <t>TORSBY</t>
        </is>
      </c>
      <c r="F6628" t="inlineStr">
        <is>
          <t>Övriga statliga verk och myndigheter</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29130-2025</t>
        </is>
      </c>
      <c r="B6629" s="1" t="n">
        <v>45821</v>
      </c>
      <c r="C6629" s="1" t="n">
        <v>45932</v>
      </c>
      <c r="D6629" t="inlineStr">
        <is>
          <t>VÄRMLANDS LÄN</t>
        </is>
      </c>
      <c r="E6629" t="inlineStr">
        <is>
          <t>TORSBY</t>
        </is>
      </c>
      <c r="G6629" t="n">
        <v>8.800000000000001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28761-2025</t>
        </is>
      </c>
      <c r="B6630" s="1" t="n">
        <v>45820.41648148148</v>
      </c>
      <c r="C6630" s="1" t="n">
        <v>45932</v>
      </c>
      <c r="D6630" t="inlineStr">
        <is>
          <t>VÄRMLANDS LÄN</t>
        </is>
      </c>
      <c r="E6630" t="inlineStr">
        <is>
          <t>TORSBY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15472-2025</t>
        </is>
      </c>
      <c r="B6631" s="1" t="n">
        <v>45747</v>
      </c>
      <c r="C6631" s="1" t="n">
        <v>45932</v>
      </c>
      <c r="D6631" t="inlineStr">
        <is>
          <t>VÄRMLANDS LÄN</t>
        </is>
      </c>
      <c r="E6631" t="inlineStr">
        <is>
          <t>KIL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15474-2025</t>
        </is>
      </c>
      <c r="B6632" s="1" t="n">
        <v>45747</v>
      </c>
      <c r="C6632" s="1" t="n">
        <v>45932</v>
      </c>
      <c r="D6632" t="inlineStr">
        <is>
          <t>VÄRMLANDS LÄN</t>
        </is>
      </c>
      <c r="E6632" t="inlineStr">
        <is>
          <t>KIL</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53793-2024</t>
        </is>
      </c>
      <c r="B6633" s="1" t="n">
        <v>45615</v>
      </c>
      <c r="C6633" s="1" t="n">
        <v>45932</v>
      </c>
      <c r="D6633" t="inlineStr">
        <is>
          <t>VÄRMLANDS LÄN</t>
        </is>
      </c>
      <c r="E6633" t="inlineStr">
        <is>
          <t>ÅRJÄNG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28939-2025</t>
        </is>
      </c>
      <c r="B6634" s="1" t="n">
        <v>45820.71350694444</v>
      </c>
      <c r="C6634" s="1" t="n">
        <v>45932</v>
      </c>
      <c r="D6634" t="inlineStr">
        <is>
          <t>VÄRMLANDS LÄN</t>
        </is>
      </c>
      <c r="E6634" t="inlineStr">
        <is>
          <t>TORSBY</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28943-2025</t>
        </is>
      </c>
      <c r="B6635" s="1" t="n">
        <v>45820</v>
      </c>
      <c r="C6635" s="1" t="n">
        <v>45932</v>
      </c>
      <c r="D6635" t="inlineStr">
        <is>
          <t>VÄRMLANDS LÄN</t>
        </is>
      </c>
      <c r="E6635" t="inlineStr">
        <is>
          <t>SÄFFLE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49133-2024</t>
        </is>
      </c>
      <c r="B6636" s="1" t="n">
        <v>45594</v>
      </c>
      <c r="C6636" s="1" t="n">
        <v>45932</v>
      </c>
      <c r="D6636" t="inlineStr">
        <is>
          <t>VÄRMLANDS LÄN</t>
        </is>
      </c>
      <c r="E6636" t="inlineStr">
        <is>
          <t>ÅRJÄNG</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29026-2025</t>
        </is>
      </c>
      <c r="B6637" s="1" t="n">
        <v>45821</v>
      </c>
      <c r="C6637" s="1" t="n">
        <v>45932</v>
      </c>
      <c r="D6637" t="inlineStr">
        <is>
          <t>VÄRMLANDS LÄN</t>
        </is>
      </c>
      <c r="E6637" t="inlineStr">
        <is>
          <t>ÅRJÄNG</t>
        </is>
      </c>
      <c r="F6637" t="inlineStr">
        <is>
          <t>Bergvik skog väst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18122-2023</t>
        </is>
      </c>
      <c r="B6638" s="1" t="n">
        <v>45040.81483796296</v>
      </c>
      <c r="C6638" s="1" t="n">
        <v>45932</v>
      </c>
      <c r="D6638" t="inlineStr">
        <is>
          <t>VÄRMLANDS LÄN</t>
        </is>
      </c>
      <c r="E6638" t="inlineStr">
        <is>
          <t>KRISTINEHAMN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18740-2024</t>
        </is>
      </c>
      <c r="B6639" s="1" t="n">
        <v>45426.49829861111</v>
      </c>
      <c r="C6639" s="1" t="n">
        <v>45932</v>
      </c>
      <c r="D6639" t="inlineStr">
        <is>
          <t>VÄRMLANDS LÄN</t>
        </is>
      </c>
      <c r="E6639" t="inlineStr">
        <is>
          <t>SUNNE</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29169-2025</t>
        </is>
      </c>
      <c r="B6640" s="1" t="n">
        <v>45821.69650462963</v>
      </c>
      <c r="C6640" s="1" t="n">
        <v>45932</v>
      </c>
      <c r="D6640" t="inlineStr">
        <is>
          <t>VÄRMLANDS LÄN</t>
        </is>
      </c>
      <c r="E6640" t="inlineStr">
        <is>
          <t>ÅRJÄNG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16112-2025</t>
        </is>
      </c>
      <c r="B6641" s="1" t="n">
        <v>45750.37240740741</v>
      </c>
      <c r="C6641" s="1" t="n">
        <v>45932</v>
      </c>
      <c r="D6641" t="inlineStr">
        <is>
          <t>VÄRMLANDS LÄN</t>
        </is>
      </c>
      <c r="E6641" t="inlineStr">
        <is>
          <t>ÅRJÄNG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1759-2022</t>
        </is>
      </c>
      <c r="B6642" s="1" t="n">
        <v>44574</v>
      </c>
      <c r="C6642" s="1" t="n">
        <v>45932</v>
      </c>
      <c r="D6642" t="inlineStr">
        <is>
          <t>VÄRMLANDS LÄN</t>
        </is>
      </c>
      <c r="E6642" t="inlineStr">
        <is>
          <t>SUNNE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2519-2022</t>
        </is>
      </c>
      <c r="B6643" s="1" t="n">
        <v>44579</v>
      </c>
      <c r="C6643" s="1" t="n">
        <v>45932</v>
      </c>
      <c r="D6643" t="inlineStr">
        <is>
          <t>VÄRMLANDS LÄN</t>
        </is>
      </c>
      <c r="E6643" t="inlineStr">
        <is>
          <t>SUNNE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29082-2025</t>
        </is>
      </c>
      <c r="B6644" s="1" t="n">
        <v>45821</v>
      </c>
      <c r="C6644" s="1" t="n">
        <v>45932</v>
      </c>
      <c r="D6644" t="inlineStr">
        <is>
          <t>VÄRMLANDS LÄN</t>
        </is>
      </c>
      <c r="E6644" t="inlineStr">
        <is>
          <t>ÅRJÄNG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13723-2023</t>
        </is>
      </c>
      <c r="B6645" s="1" t="n">
        <v>45007</v>
      </c>
      <c r="C6645" s="1" t="n">
        <v>45932</v>
      </c>
      <c r="D6645" t="inlineStr">
        <is>
          <t>VÄRMLANDS LÄN</t>
        </is>
      </c>
      <c r="E6645" t="inlineStr">
        <is>
          <t>TORSBY</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13795-2023</t>
        </is>
      </c>
      <c r="B6646" s="1" t="n">
        <v>45007</v>
      </c>
      <c r="C6646" s="1" t="n">
        <v>45932</v>
      </c>
      <c r="D6646" t="inlineStr">
        <is>
          <t>VÄRMLANDS LÄN</t>
        </is>
      </c>
      <c r="E6646" t="inlineStr">
        <is>
          <t>STORFORS</t>
        </is>
      </c>
      <c r="F6646" t="inlineStr">
        <is>
          <t>Kyrkan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32851-2021</t>
        </is>
      </c>
      <c r="B6647" s="1" t="n">
        <v>44375</v>
      </c>
      <c r="C6647" s="1" t="n">
        <v>45932</v>
      </c>
      <c r="D6647" t="inlineStr">
        <is>
          <t>VÄRMLANDS LÄN</t>
        </is>
      </c>
      <c r="E6647" t="inlineStr">
        <is>
          <t>EDA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55422-2023</t>
        </is>
      </c>
      <c r="B6648" s="1" t="n">
        <v>45238.41858796297</v>
      </c>
      <c r="C6648" s="1" t="n">
        <v>45932</v>
      </c>
      <c r="D6648" t="inlineStr">
        <is>
          <t>VÄRMLANDS LÄN</t>
        </is>
      </c>
      <c r="E6648" t="inlineStr">
        <is>
          <t>ÅRJÄNG</t>
        </is>
      </c>
      <c r="F6648" t="inlineStr">
        <is>
          <t>Kyrkan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56430-2023</t>
        </is>
      </c>
      <c r="B6649" s="1" t="n">
        <v>45243</v>
      </c>
      <c r="C6649" s="1" t="n">
        <v>45932</v>
      </c>
      <c r="D6649" t="inlineStr">
        <is>
          <t>VÄRMLANDS LÄN</t>
        </is>
      </c>
      <c r="E6649" t="inlineStr">
        <is>
          <t>ARVIKA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28771-2025</t>
        </is>
      </c>
      <c r="B6650" s="1" t="n">
        <v>45820.43418981481</v>
      </c>
      <c r="C6650" s="1" t="n">
        <v>45932</v>
      </c>
      <c r="D6650" t="inlineStr">
        <is>
          <t>VÄRMLANDS LÄN</t>
        </is>
      </c>
      <c r="E6650" t="inlineStr">
        <is>
          <t>SUNNE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56452-2023</t>
        </is>
      </c>
      <c r="B6651" s="1" t="n">
        <v>45237</v>
      </c>
      <c r="C6651" s="1" t="n">
        <v>45932</v>
      </c>
      <c r="D6651" t="inlineStr">
        <is>
          <t>VÄRMLANDS LÄN</t>
        </is>
      </c>
      <c r="E6651" t="inlineStr">
        <is>
          <t>SÄFFLE</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8304-2022</t>
        </is>
      </c>
      <c r="B6652" s="1" t="n">
        <v>44610.46342592593</v>
      </c>
      <c r="C6652" s="1" t="n">
        <v>45932</v>
      </c>
      <c r="D6652" t="inlineStr">
        <is>
          <t>VÄRMLANDS LÄN</t>
        </is>
      </c>
      <c r="E6652" t="inlineStr">
        <is>
          <t>HAGFORS</t>
        </is>
      </c>
      <c r="F6652" t="inlineStr">
        <is>
          <t>Bergvik skog väst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24657-2024</t>
        </is>
      </c>
      <c r="B6653" s="1" t="n">
        <v>45460</v>
      </c>
      <c r="C6653" s="1" t="n">
        <v>45932</v>
      </c>
      <c r="D6653" t="inlineStr">
        <is>
          <t>VÄRMLANDS LÄN</t>
        </is>
      </c>
      <c r="E6653" t="inlineStr">
        <is>
          <t>TORSBY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23813-2022</t>
        </is>
      </c>
      <c r="B6654" s="1" t="n">
        <v>44722.47209490741</v>
      </c>
      <c r="C6654" s="1" t="n">
        <v>45932</v>
      </c>
      <c r="D6654" t="inlineStr">
        <is>
          <t>VÄRMLANDS LÄN</t>
        </is>
      </c>
      <c r="E6654" t="inlineStr">
        <is>
          <t>ARVIKA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72669-2021</t>
        </is>
      </c>
      <c r="B6655" s="1" t="n">
        <v>44546.63256944445</v>
      </c>
      <c r="C6655" s="1" t="n">
        <v>45932</v>
      </c>
      <c r="D6655" t="inlineStr">
        <is>
          <t>VÄRMLANDS LÄN</t>
        </is>
      </c>
      <c r="E6655" t="inlineStr">
        <is>
          <t>EDA</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48908-2023</t>
        </is>
      </c>
      <c r="B6656" s="1" t="n">
        <v>45195</v>
      </c>
      <c r="C6656" s="1" t="n">
        <v>45932</v>
      </c>
      <c r="D6656" t="inlineStr">
        <is>
          <t>VÄRMLANDS LÄN</t>
        </is>
      </c>
      <c r="E6656" t="inlineStr">
        <is>
          <t>FILIPSTAD</t>
        </is>
      </c>
      <c r="F6656" t="inlineStr">
        <is>
          <t>Bergvik skog väst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28948-2025</t>
        </is>
      </c>
      <c r="B6657" s="1" t="n">
        <v>45820</v>
      </c>
      <c r="C6657" s="1" t="n">
        <v>45932</v>
      </c>
      <c r="D6657" t="inlineStr">
        <is>
          <t>VÄRMLANDS LÄN</t>
        </is>
      </c>
      <c r="E6657" t="inlineStr">
        <is>
          <t>ÅRJÄNG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28949-2025</t>
        </is>
      </c>
      <c r="B6658" s="1" t="n">
        <v>45820</v>
      </c>
      <c r="C6658" s="1" t="n">
        <v>45932</v>
      </c>
      <c r="D6658" t="inlineStr">
        <is>
          <t>VÄRMLANDS LÄN</t>
        </is>
      </c>
      <c r="E6658" t="inlineStr">
        <is>
          <t>ÅRJÄNG</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29063-2025</t>
        </is>
      </c>
      <c r="B6659" s="1" t="n">
        <v>45821</v>
      </c>
      <c r="C6659" s="1" t="n">
        <v>45932</v>
      </c>
      <c r="D6659" t="inlineStr">
        <is>
          <t>VÄRMLANDS LÄN</t>
        </is>
      </c>
      <c r="E6659" t="inlineStr">
        <is>
          <t>TORSBY</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29065-2025</t>
        </is>
      </c>
      <c r="B6660" s="1" t="n">
        <v>45821.49783564815</v>
      </c>
      <c r="C6660" s="1" t="n">
        <v>45932</v>
      </c>
      <c r="D6660" t="inlineStr">
        <is>
          <t>VÄRMLANDS LÄN</t>
        </is>
      </c>
      <c r="E6660" t="inlineStr">
        <is>
          <t>SUNNE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28772-2025</t>
        </is>
      </c>
      <c r="B6661" s="1" t="n">
        <v>45820.43732638889</v>
      </c>
      <c r="C6661" s="1" t="n">
        <v>45932</v>
      </c>
      <c r="D6661" t="inlineStr">
        <is>
          <t>VÄRMLANDS LÄN</t>
        </is>
      </c>
      <c r="E6661" t="inlineStr">
        <is>
          <t>SUNNE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28784-2025</t>
        </is>
      </c>
      <c r="B6662" s="1" t="n">
        <v>45820</v>
      </c>
      <c r="C6662" s="1" t="n">
        <v>45932</v>
      </c>
      <c r="D6662" t="inlineStr">
        <is>
          <t>VÄRMLANDS LÄN</t>
        </is>
      </c>
      <c r="E6662" t="inlineStr">
        <is>
          <t>TORSBY</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28790-2025</t>
        </is>
      </c>
      <c r="B6663" s="1" t="n">
        <v>45820.47377314815</v>
      </c>
      <c r="C6663" s="1" t="n">
        <v>45932</v>
      </c>
      <c r="D6663" t="inlineStr">
        <is>
          <t>VÄRMLANDS LÄN</t>
        </is>
      </c>
      <c r="E6663" t="inlineStr">
        <is>
          <t>ÅRJÄNG</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17941-2021</t>
        </is>
      </c>
      <c r="B6664" s="1" t="n">
        <v>44301</v>
      </c>
      <c r="C6664" s="1" t="n">
        <v>45932</v>
      </c>
      <c r="D6664" t="inlineStr">
        <is>
          <t>VÄRMLANDS LÄN</t>
        </is>
      </c>
      <c r="E6664" t="inlineStr">
        <is>
          <t>TORSBY</t>
        </is>
      </c>
      <c r="F6664" t="inlineStr">
        <is>
          <t>Kommuner</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29460-2025</t>
        </is>
      </c>
      <c r="B6665" s="1" t="n">
        <v>45824.69491898148</v>
      </c>
      <c r="C6665" s="1" t="n">
        <v>45932</v>
      </c>
      <c r="D6665" t="inlineStr">
        <is>
          <t>VÄRMLANDS LÄN</t>
        </is>
      </c>
      <c r="E6665" t="inlineStr">
        <is>
          <t>FILIPSTAD</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29568-2025</t>
        </is>
      </c>
      <c r="B6666" s="1" t="n">
        <v>45825.36674768518</v>
      </c>
      <c r="C6666" s="1" t="n">
        <v>45932</v>
      </c>
      <c r="D6666" t="inlineStr">
        <is>
          <t>VÄRMLANDS LÄN</t>
        </is>
      </c>
      <c r="E6666" t="inlineStr">
        <is>
          <t>FILIPSTAD</t>
        </is>
      </c>
      <c r="F6666" t="inlineStr">
        <is>
          <t>Kyrkan</t>
        </is>
      </c>
      <c r="G6666" t="n">
        <v>9.199999999999999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29422-2025</t>
        </is>
      </c>
      <c r="B6667" s="1" t="n">
        <v>45824.64042824074</v>
      </c>
      <c r="C6667" s="1" t="n">
        <v>45932</v>
      </c>
      <c r="D6667" t="inlineStr">
        <is>
          <t>VÄRMLANDS LÄN</t>
        </is>
      </c>
      <c r="E6667" t="inlineStr">
        <is>
          <t>EDA</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29512-2025</t>
        </is>
      </c>
      <c r="B6668" s="1" t="n">
        <v>45825.31002314815</v>
      </c>
      <c r="C6668" s="1" t="n">
        <v>45932</v>
      </c>
      <c r="D6668" t="inlineStr">
        <is>
          <t>VÄRMLANDS LÄN</t>
        </is>
      </c>
      <c r="E6668" t="inlineStr">
        <is>
          <t>TORSBY</t>
        </is>
      </c>
      <c r="F6668" t="inlineStr">
        <is>
          <t>Bergvik skog väst AB</t>
        </is>
      </c>
      <c r="G6668" t="n">
        <v>17.9</v>
      </c>
      <c r="H6668" t="n">
        <v>0</v>
      </c>
      <c r="I6668" t="n">
        <v>0</v>
      </c>
      <c r="J6668" t="n">
        <v>0</v>
      </c>
      <c r="K6668" t="n">
        <v>0</v>
      </c>
      <c r="L6668" t="n">
        <v>0</v>
      </c>
      <c r="M6668" t="n">
        <v>0</v>
      </c>
      <c r="N6668" t="n">
        <v>0</v>
      </c>
      <c r="O6668" t="n">
        <v>0</v>
      </c>
      <c r="P6668" t="n">
        <v>0</v>
      </c>
      <c r="Q6668" t="n">
        <v>0</v>
      </c>
      <c r="R6668" s="2" t="inlineStr"/>
    </row>
    <row r="6669" ht="15" customHeight="1">
      <c r="A6669" t="inlineStr">
        <is>
          <t>A 29501-2025</t>
        </is>
      </c>
      <c r="B6669" s="1" t="n">
        <v>45825.28798611111</v>
      </c>
      <c r="C6669" s="1" t="n">
        <v>45932</v>
      </c>
      <c r="D6669" t="inlineStr">
        <is>
          <t>VÄRMLANDS LÄN</t>
        </is>
      </c>
      <c r="E6669" t="inlineStr">
        <is>
          <t>ARVIKA</t>
        </is>
      </c>
      <c r="F6669" t="inlineStr">
        <is>
          <t>Bergvik skog väst AB</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29508-2025</t>
        </is>
      </c>
      <c r="B6670" s="1" t="n">
        <v>45825.30479166667</v>
      </c>
      <c r="C6670" s="1" t="n">
        <v>45932</v>
      </c>
      <c r="D6670" t="inlineStr">
        <is>
          <t>VÄRMLANDS LÄN</t>
        </is>
      </c>
      <c r="E6670" t="inlineStr">
        <is>
          <t>SUNNE</t>
        </is>
      </c>
      <c r="F6670" t="inlineStr">
        <is>
          <t>Bergvik skog väst AB</t>
        </is>
      </c>
      <c r="G6670" t="n">
        <v>15.2</v>
      </c>
      <c r="H6670" t="n">
        <v>0</v>
      </c>
      <c r="I6670" t="n">
        <v>0</v>
      </c>
      <c r="J6670" t="n">
        <v>0</v>
      </c>
      <c r="K6670" t="n">
        <v>0</v>
      </c>
      <c r="L6670" t="n">
        <v>0</v>
      </c>
      <c r="M6670" t="n">
        <v>0</v>
      </c>
      <c r="N6670" t="n">
        <v>0</v>
      </c>
      <c r="O6670" t="n">
        <v>0</v>
      </c>
      <c r="P6670" t="n">
        <v>0</v>
      </c>
      <c r="Q6670" t="n">
        <v>0</v>
      </c>
      <c r="R6670" s="2" t="inlineStr"/>
    </row>
    <row r="6671" ht="15" customHeight="1">
      <c r="A6671" t="inlineStr">
        <is>
          <t>A 29525-2025</t>
        </is>
      </c>
      <c r="B6671" s="1" t="n">
        <v>45825.33684027778</v>
      </c>
      <c r="C6671" s="1" t="n">
        <v>45932</v>
      </c>
      <c r="D6671" t="inlineStr">
        <is>
          <t>VÄRMLANDS LÄN</t>
        </is>
      </c>
      <c r="E6671" t="inlineStr">
        <is>
          <t>TORSBY</t>
        </is>
      </c>
      <c r="F6671" t="inlineStr">
        <is>
          <t>Bergvik skog väst AB</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3076-2024</t>
        </is>
      </c>
      <c r="B6672" s="1" t="n">
        <v>45316</v>
      </c>
      <c r="C6672" s="1" t="n">
        <v>45932</v>
      </c>
      <c r="D6672" t="inlineStr">
        <is>
          <t>VÄRMLANDS LÄN</t>
        </is>
      </c>
      <c r="E6672" t="inlineStr">
        <is>
          <t>SUNNE</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3079-2024</t>
        </is>
      </c>
      <c r="B6673" s="1" t="n">
        <v>45316.43288194444</v>
      </c>
      <c r="C6673" s="1" t="n">
        <v>45932</v>
      </c>
      <c r="D6673" t="inlineStr">
        <is>
          <t>VÄRMLANDS LÄN</t>
        </is>
      </c>
      <c r="E6673" t="inlineStr">
        <is>
          <t>SUNNE</t>
        </is>
      </c>
      <c r="F6673" t="inlineStr">
        <is>
          <t>Kommuner</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52532-2023</t>
        </is>
      </c>
      <c r="B6674" s="1" t="n">
        <v>45225.54318287037</v>
      </c>
      <c r="C6674" s="1" t="n">
        <v>45932</v>
      </c>
      <c r="D6674" t="inlineStr">
        <is>
          <t>VÄRMLANDS LÄN</t>
        </is>
      </c>
      <c r="E6674" t="inlineStr">
        <is>
          <t>TORSBY</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39407-2024</t>
        </is>
      </c>
      <c r="B6675" s="1" t="n">
        <v>45551</v>
      </c>
      <c r="C6675" s="1" t="n">
        <v>45932</v>
      </c>
      <c r="D6675" t="inlineStr">
        <is>
          <t>VÄRMLANDS LÄN</t>
        </is>
      </c>
      <c r="E6675" t="inlineStr">
        <is>
          <t>FORSHAGA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29312-2025</t>
        </is>
      </c>
      <c r="B6676" s="1" t="n">
        <v>45824</v>
      </c>
      <c r="C6676" s="1" t="n">
        <v>45932</v>
      </c>
      <c r="D6676" t="inlineStr">
        <is>
          <t>VÄRMLANDS LÄN</t>
        </is>
      </c>
      <c r="E6676" t="inlineStr">
        <is>
          <t>TORSBY</t>
        </is>
      </c>
      <c r="F6676" t="inlineStr">
        <is>
          <t>Övriga Aktiebolag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65007-2023</t>
        </is>
      </c>
      <c r="B6677" s="1" t="n">
        <v>45287</v>
      </c>
      <c r="C6677" s="1" t="n">
        <v>45932</v>
      </c>
      <c r="D6677" t="inlineStr">
        <is>
          <t>VÄRMLANDS LÄN</t>
        </is>
      </c>
      <c r="E6677" t="inlineStr">
        <is>
          <t>KIL</t>
        </is>
      </c>
      <c r="G6677" t="n">
        <v>14.2</v>
      </c>
      <c r="H6677" t="n">
        <v>0</v>
      </c>
      <c r="I6677" t="n">
        <v>0</v>
      </c>
      <c r="J6677" t="n">
        <v>0</v>
      </c>
      <c r="K6677" t="n">
        <v>0</v>
      </c>
      <c r="L6677" t="n">
        <v>0</v>
      </c>
      <c r="M6677" t="n">
        <v>0</v>
      </c>
      <c r="N6677" t="n">
        <v>0</v>
      </c>
      <c r="O6677" t="n">
        <v>0</v>
      </c>
      <c r="P6677" t="n">
        <v>0</v>
      </c>
      <c r="Q6677" t="n">
        <v>0</v>
      </c>
      <c r="R6677" s="2" t="inlineStr"/>
    </row>
    <row r="6678" ht="15" customHeight="1">
      <c r="A6678" t="inlineStr">
        <is>
          <t>A 12091-2025</t>
        </is>
      </c>
      <c r="B6678" s="1" t="n">
        <v>45728</v>
      </c>
      <c r="C6678" s="1" t="n">
        <v>45932</v>
      </c>
      <c r="D6678" t="inlineStr">
        <is>
          <t>VÄRMLANDS LÄN</t>
        </is>
      </c>
      <c r="E6678" t="inlineStr">
        <is>
          <t>EDA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54961-2024</t>
        </is>
      </c>
      <c r="B6679" s="1" t="n">
        <v>45619.9753125</v>
      </c>
      <c r="C6679" s="1" t="n">
        <v>45932</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29412-2025</t>
        </is>
      </c>
      <c r="B6680" s="1" t="n">
        <v>45824.62241898148</v>
      </c>
      <c r="C6680" s="1" t="n">
        <v>45932</v>
      </c>
      <c r="D6680" t="inlineStr">
        <is>
          <t>VÄRMLANDS LÄN</t>
        </is>
      </c>
      <c r="E6680" t="inlineStr">
        <is>
          <t>HAGFORS</t>
        </is>
      </c>
      <c r="F6680" t="inlineStr">
        <is>
          <t>Bergvik skog väst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29265-2025</t>
        </is>
      </c>
      <c r="B6681" s="1" t="n">
        <v>45824.3978587963</v>
      </c>
      <c r="C6681" s="1" t="n">
        <v>45932</v>
      </c>
      <c r="D6681" t="inlineStr">
        <is>
          <t>VÄRMLANDS LÄN</t>
        </is>
      </c>
      <c r="E6681" t="inlineStr">
        <is>
          <t>KARLSTAD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29681-2025</t>
        </is>
      </c>
      <c r="B6682" s="1" t="n">
        <v>45825.51052083333</v>
      </c>
      <c r="C6682" s="1" t="n">
        <v>45932</v>
      </c>
      <c r="D6682" t="inlineStr">
        <is>
          <t>VÄRMLANDS LÄN</t>
        </is>
      </c>
      <c r="E6682" t="inlineStr">
        <is>
          <t>FILIPSTAD</t>
        </is>
      </c>
      <c r="F6682" t="inlineStr">
        <is>
          <t>Bergvik skog väst AB</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44-2024</t>
        </is>
      </c>
      <c r="B6683" s="1" t="n">
        <v>45293</v>
      </c>
      <c r="C6683" s="1" t="n">
        <v>45932</v>
      </c>
      <c r="D6683" t="inlineStr">
        <is>
          <t>VÄRMLANDS LÄN</t>
        </is>
      </c>
      <c r="E6683" t="inlineStr">
        <is>
          <t>ARVIKA</t>
        </is>
      </c>
      <c r="F6683" t="inlineStr">
        <is>
          <t>Kyrkan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29138-2025</t>
        </is>
      </c>
      <c r="B6684" s="1" t="n">
        <v>45821</v>
      </c>
      <c r="C6684" s="1" t="n">
        <v>45932</v>
      </c>
      <c r="D6684" t="inlineStr">
        <is>
          <t>VÄRMLANDS LÄN</t>
        </is>
      </c>
      <c r="E6684" t="inlineStr">
        <is>
          <t>ÅRJÄNG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29192-2025</t>
        </is>
      </c>
      <c r="B6685" s="1" t="n">
        <v>45822.50921296296</v>
      </c>
      <c r="C6685" s="1" t="n">
        <v>45932</v>
      </c>
      <c r="D6685" t="inlineStr">
        <is>
          <t>VÄRMLANDS LÄN</t>
        </is>
      </c>
      <c r="E6685" t="inlineStr">
        <is>
          <t>KARLSTAD</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18544-2023</t>
        </is>
      </c>
      <c r="B6686" s="1" t="n">
        <v>45041</v>
      </c>
      <c r="C6686" s="1" t="n">
        <v>45932</v>
      </c>
      <c r="D6686" t="inlineStr">
        <is>
          <t>VÄRMLANDS LÄN</t>
        </is>
      </c>
      <c r="E6686" t="inlineStr">
        <is>
          <t>TORSBY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29251-2025</t>
        </is>
      </c>
      <c r="B6687" s="1" t="n">
        <v>45824</v>
      </c>
      <c r="C6687" s="1" t="n">
        <v>45932</v>
      </c>
      <c r="D6687" t="inlineStr">
        <is>
          <t>VÄRMLANDS LÄN</t>
        </is>
      </c>
      <c r="E6687" t="inlineStr">
        <is>
          <t>TORSBY</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29660-2025</t>
        </is>
      </c>
      <c r="B6688" s="1" t="n">
        <v>45825.48892361111</v>
      </c>
      <c r="C6688" s="1" t="n">
        <v>45932</v>
      </c>
      <c r="D6688" t="inlineStr">
        <is>
          <t>VÄRMLANDS LÄN</t>
        </is>
      </c>
      <c r="E6688" t="inlineStr">
        <is>
          <t>FILIPSTAD</t>
        </is>
      </c>
      <c r="G6688" t="n">
        <v>23.3</v>
      </c>
      <c r="H6688" t="n">
        <v>0</v>
      </c>
      <c r="I6688" t="n">
        <v>0</v>
      </c>
      <c r="J6688" t="n">
        <v>0</v>
      </c>
      <c r="K6688" t="n">
        <v>0</v>
      </c>
      <c r="L6688" t="n">
        <v>0</v>
      </c>
      <c r="M6688" t="n">
        <v>0</v>
      </c>
      <c r="N6688" t="n">
        <v>0</v>
      </c>
      <c r="O6688" t="n">
        <v>0</v>
      </c>
      <c r="P6688" t="n">
        <v>0</v>
      </c>
      <c r="Q6688" t="n">
        <v>0</v>
      </c>
      <c r="R6688" s="2" t="inlineStr"/>
    </row>
    <row r="6689" ht="15" customHeight="1">
      <c r="A6689" t="inlineStr">
        <is>
          <t>A 52580-2024</t>
        </is>
      </c>
      <c r="B6689" s="1" t="n">
        <v>45609</v>
      </c>
      <c r="C6689" s="1" t="n">
        <v>45932</v>
      </c>
      <c r="D6689" t="inlineStr">
        <is>
          <t>VÄRMLANDS LÄN</t>
        </is>
      </c>
      <c r="E6689" t="inlineStr">
        <is>
          <t>SUNNE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52581-2024</t>
        </is>
      </c>
      <c r="B6690" s="1" t="n">
        <v>45609</v>
      </c>
      <c r="C6690" s="1" t="n">
        <v>45932</v>
      </c>
      <c r="D6690" t="inlineStr">
        <is>
          <t>VÄRMLANDS LÄN</t>
        </is>
      </c>
      <c r="E6690" t="inlineStr">
        <is>
          <t>TORSBY</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9321-2022</t>
        </is>
      </c>
      <c r="B6691" s="1" t="n">
        <v>44616</v>
      </c>
      <c r="C6691" s="1" t="n">
        <v>45932</v>
      </c>
      <c r="D6691" t="inlineStr">
        <is>
          <t>VÄRMLANDS LÄN</t>
        </is>
      </c>
      <c r="E6691" t="inlineStr">
        <is>
          <t>ARVIKA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61868-2024</t>
        </is>
      </c>
      <c r="B6692" s="1" t="n">
        <v>45651.47393518518</v>
      </c>
      <c r="C6692" s="1" t="n">
        <v>45932</v>
      </c>
      <c r="D6692" t="inlineStr">
        <is>
          <t>VÄRMLANDS LÄN</t>
        </is>
      </c>
      <c r="E6692" t="inlineStr">
        <is>
          <t>ÅRJÄNG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13006-2025</t>
        </is>
      </c>
      <c r="B6693" s="1" t="n">
        <v>45734.51652777778</v>
      </c>
      <c r="C6693" s="1" t="n">
        <v>45932</v>
      </c>
      <c r="D6693" t="inlineStr">
        <is>
          <t>VÄRMLANDS LÄN</t>
        </is>
      </c>
      <c r="E6693" t="inlineStr">
        <is>
          <t>TORSBY</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44694-2022</t>
        </is>
      </c>
      <c r="B6694" s="1" t="n">
        <v>44840.68204861111</v>
      </c>
      <c r="C6694" s="1" t="n">
        <v>45932</v>
      </c>
      <c r="D6694" t="inlineStr">
        <is>
          <t>VÄRMLANDS LÄN</t>
        </is>
      </c>
      <c r="E6694" t="inlineStr">
        <is>
          <t>EDA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44708-2022</t>
        </is>
      </c>
      <c r="B6695" s="1" t="n">
        <v>44840.73633101852</v>
      </c>
      <c r="C6695" s="1" t="n">
        <v>45932</v>
      </c>
      <c r="D6695" t="inlineStr">
        <is>
          <t>VÄRMLANDS LÄN</t>
        </is>
      </c>
      <c r="E6695" t="inlineStr">
        <is>
          <t>TORSBY</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56970-2023</t>
        </is>
      </c>
      <c r="B6696" s="1" t="n">
        <v>45244.63689814815</v>
      </c>
      <c r="C6696" s="1" t="n">
        <v>45932</v>
      </c>
      <c r="D6696" t="inlineStr">
        <is>
          <t>VÄRMLANDS LÄN</t>
        </is>
      </c>
      <c r="E6696" t="inlineStr">
        <is>
          <t>TORSBY</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58679-2021</t>
        </is>
      </c>
      <c r="B6697" s="1" t="n">
        <v>44489</v>
      </c>
      <c r="C6697" s="1" t="n">
        <v>45932</v>
      </c>
      <c r="D6697" t="inlineStr">
        <is>
          <t>VÄRMLANDS LÄN</t>
        </is>
      </c>
      <c r="E6697" t="inlineStr">
        <is>
          <t>KIL</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16472-2025</t>
        </is>
      </c>
      <c r="B6698" s="1" t="n">
        <v>45751.55591435185</v>
      </c>
      <c r="C6698" s="1" t="n">
        <v>45932</v>
      </c>
      <c r="D6698" t="inlineStr">
        <is>
          <t>VÄRMLANDS LÄN</t>
        </is>
      </c>
      <c r="E6698" t="inlineStr">
        <is>
          <t>ARVIKA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49641-2021</t>
        </is>
      </c>
      <c r="B6699" s="1" t="n">
        <v>44455.44327546296</v>
      </c>
      <c r="C6699" s="1" t="n">
        <v>45932</v>
      </c>
      <c r="D6699" t="inlineStr">
        <is>
          <t>VÄRMLANDS LÄN</t>
        </is>
      </c>
      <c r="E6699" t="inlineStr">
        <is>
          <t>ÅRJÄNG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59425-2021</t>
        </is>
      </c>
      <c r="B6700" s="1" t="n">
        <v>44491.43469907407</v>
      </c>
      <c r="C6700" s="1" t="n">
        <v>45932</v>
      </c>
      <c r="D6700" t="inlineStr">
        <is>
          <t>VÄRMLANDS LÄN</t>
        </is>
      </c>
      <c r="E6700" t="inlineStr">
        <is>
          <t>TORSBY</t>
        </is>
      </c>
      <c r="F6700" t="inlineStr">
        <is>
          <t>Bergvik skog väst AB</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54219-2024</t>
        </is>
      </c>
      <c r="B6701" s="1" t="n">
        <v>45616</v>
      </c>
      <c r="C6701" s="1" t="n">
        <v>45932</v>
      </c>
      <c r="D6701" t="inlineStr">
        <is>
          <t>VÄRMLANDS LÄN</t>
        </is>
      </c>
      <c r="E6701" t="inlineStr">
        <is>
          <t>KARLSTAD</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474-2022</t>
        </is>
      </c>
      <c r="B6702" s="1" t="n">
        <v>44566</v>
      </c>
      <c r="C6702" s="1" t="n">
        <v>45932</v>
      </c>
      <c r="D6702" t="inlineStr">
        <is>
          <t>VÄRMLANDS LÄN</t>
        </is>
      </c>
      <c r="E6702" t="inlineStr">
        <is>
          <t>KARLSTAD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69878-2021</t>
        </is>
      </c>
      <c r="B6703" s="1" t="n">
        <v>44532.82293981482</v>
      </c>
      <c r="C6703" s="1" t="n">
        <v>45932</v>
      </c>
      <c r="D6703" t="inlineStr">
        <is>
          <t>VÄRMLANDS LÄN</t>
        </is>
      </c>
      <c r="E6703" t="inlineStr">
        <is>
          <t>TORSBY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33219-2023</t>
        </is>
      </c>
      <c r="B6704" s="1" t="n">
        <v>45127</v>
      </c>
      <c r="C6704" s="1" t="n">
        <v>45932</v>
      </c>
      <c r="D6704" t="inlineStr">
        <is>
          <t>VÄRMLANDS LÄN</t>
        </is>
      </c>
      <c r="E6704" t="inlineStr">
        <is>
          <t>FORSHAGA</t>
        </is>
      </c>
      <c r="F6704" t="inlineStr">
        <is>
          <t>Kommuner</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31657-2023</t>
        </is>
      </c>
      <c r="B6705" s="1" t="n">
        <v>45106</v>
      </c>
      <c r="C6705" s="1" t="n">
        <v>45932</v>
      </c>
      <c r="D6705" t="inlineStr">
        <is>
          <t>VÄRMLANDS LÄN</t>
        </is>
      </c>
      <c r="E6705" t="inlineStr">
        <is>
          <t>SÄFFLE</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29010-2025</t>
        </is>
      </c>
      <c r="B6706" s="1" t="n">
        <v>45821.40476851852</v>
      </c>
      <c r="C6706" s="1" t="n">
        <v>45932</v>
      </c>
      <c r="D6706" t="inlineStr">
        <is>
          <t>VÄRMLANDS LÄN</t>
        </is>
      </c>
      <c r="E6706" t="inlineStr">
        <is>
          <t>KARLSTAD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37356-2024</t>
        </is>
      </c>
      <c r="B6707" s="1" t="n">
        <v>45540</v>
      </c>
      <c r="C6707" s="1" t="n">
        <v>45932</v>
      </c>
      <c r="D6707" t="inlineStr">
        <is>
          <t>VÄRMLANDS LÄN</t>
        </is>
      </c>
      <c r="E6707" t="inlineStr">
        <is>
          <t>ÅRJÄNG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12273-2025</t>
        </is>
      </c>
      <c r="B6708" s="1" t="n">
        <v>45729</v>
      </c>
      <c r="C6708" s="1" t="n">
        <v>45932</v>
      </c>
      <c r="D6708" t="inlineStr">
        <is>
          <t>VÄRMLANDS LÄN</t>
        </is>
      </c>
      <c r="E6708" t="inlineStr">
        <is>
          <t>SUNNE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12286-2025</t>
        </is>
      </c>
      <c r="B6709" s="1" t="n">
        <v>45729</v>
      </c>
      <c r="C6709" s="1" t="n">
        <v>45932</v>
      </c>
      <c r="D6709" t="inlineStr">
        <is>
          <t>VÄRMLANDS LÄN</t>
        </is>
      </c>
      <c r="E6709" t="inlineStr">
        <is>
          <t>EDA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11505-2024</t>
        </is>
      </c>
      <c r="B6710" s="1" t="n">
        <v>45372</v>
      </c>
      <c r="C6710" s="1" t="n">
        <v>45932</v>
      </c>
      <c r="D6710" t="inlineStr">
        <is>
          <t>VÄRMLANDS LÄN</t>
        </is>
      </c>
      <c r="E6710" t="inlineStr">
        <is>
          <t>SUNNE</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29593-2025</t>
        </is>
      </c>
      <c r="B6711" s="1" t="n">
        <v>45825.4028587963</v>
      </c>
      <c r="C6711" s="1" t="n">
        <v>45932</v>
      </c>
      <c r="D6711" t="inlineStr">
        <is>
          <t>VÄRMLANDS LÄN</t>
        </is>
      </c>
      <c r="E6711" t="inlineStr">
        <is>
          <t>SÄFFLE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29256-2025</t>
        </is>
      </c>
      <c r="B6712" s="1" t="n">
        <v>45824.38387731482</v>
      </c>
      <c r="C6712" s="1" t="n">
        <v>45932</v>
      </c>
      <c r="D6712" t="inlineStr">
        <is>
          <t>VÄRMLANDS LÄN</t>
        </is>
      </c>
      <c r="E6712" t="inlineStr">
        <is>
          <t>GRUMS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46190-2024</t>
        </is>
      </c>
      <c r="B6713" s="1" t="n">
        <v>45581</v>
      </c>
      <c r="C6713" s="1" t="n">
        <v>45932</v>
      </c>
      <c r="D6713" t="inlineStr">
        <is>
          <t>VÄRMLANDS LÄN</t>
        </is>
      </c>
      <c r="E6713" t="inlineStr">
        <is>
          <t>HAGFORS</t>
        </is>
      </c>
      <c r="F6713" t="inlineStr">
        <is>
          <t>Bergvik skog väst AB</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21518-2024</t>
        </is>
      </c>
      <c r="B6714" s="1" t="n">
        <v>45441</v>
      </c>
      <c r="C6714" s="1" t="n">
        <v>45932</v>
      </c>
      <c r="D6714" t="inlineStr">
        <is>
          <t>VÄRMLANDS LÄN</t>
        </is>
      </c>
      <c r="E6714" t="inlineStr">
        <is>
          <t>TORSBY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29755-2025</t>
        </is>
      </c>
      <c r="B6715" s="1" t="n">
        <v>45825.61381944444</v>
      </c>
      <c r="C6715" s="1" t="n">
        <v>45932</v>
      </c>
      <c r="D6715" t="inlineStr">
        <is>
          <t>VÄRMLANDS LÄN</t>
        </is>
      </c>
      <c r="E6715" t="inlineStr">
        <is>
          <t>HAGFORS</t>
        </is>
      </c>
      <c r="F6715" t="inlineStr">
        <is>
          <t>Bergvik skog väst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29783-2025</t>
        </is>
      </c>
      <c r="B6716" s="1" t="n">
        <v>45825</v>
      </c>
      <c r="C6716" s="1" t="n">
        <v>45932</v>
      </c>
      <c r="D6716" t="inlineStr">
        <is>
          <t>VÄRMLANDS LÄN</t>
        </is>
      </c>
      <c r="E6716" t="inlineStr">
        <is>
          <t>ÅRJÄNG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6432-2025</t>
        </is>
      </c>
      <c r="B6717" s="1" t="n">
        <v>45699.50817129629</v>
      </c>
      <c r="C6717" s="1" t="n">
        <v>45932</v>
      </c>
      <c r="D6717" t="inlineStr">
        <is>
          <t>VÄRMLANDS LÄN</t>
        </is>
      </c>
      <c r="E6717" t="inlineStr">
        <is>
          <t>KRISTINEHAMN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46559-2025</t>
        </is>
      </c>
      <c r="B6718" s="1" t="n">
        <v>45926.34967592593</v>
      </c>
      <c r="C6718" s="1" t="n">
        <v>45932</v>
      </c>
      <c r="D6718" t="inlineStr">
        <is>
          <t>VÄRMLANDS LÄN</t>
        </is>
      </c>
      <c r="E6718" t="inlineStr">
        <is>
          <t>HAGFORS</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29558-2025</t>
        </is>
      </c>
      <c r="B6719" s="1" t="n">
        <v>45825</v>
      </c>
      <c r="C6719" s="1" t="n">
        <v>45932</v>
      </c>
      <c r="D6719" t="inlineStr">
        <is>
          <t>VÄRMLANDS LÄN</t>
        </is>
      </c>
      <c r="E6719" t="inlineStr">
        <is>
          <t>ARVIKA</t>
        </is>
      </c>
      <c r="F6719" t="inlineStr">
        <is>
          <t>Bergvik skog väst AB</t>
        </is>
      </c>
      <c r="G6719" t="n">
        <v>13.3</v>
      </c>
      <c r="H6719" t="n">
        <v>0</v>
      </c>
      <c r="I6719" t="n">
        <v>0</v>
      </c>
      <c r="J6719" t="n">
        <v>0</v>
      </c>
      <c r="K6719" t="n">
        <v>0</v>
      </c>
      <c r="L6719" t="n">
        <v>0</v>
      </c>
      <c r="M6719" t="n">
        <v>0</v>
      </c>
      <c r="N6719" t="n">
        <v>0</v>
      </c>
      <c r="O6719" t="n">
        <v>0</v>
      </c>
      <c r="P6719" t="n">
        <v>0</v>
      </c>
      <c r="Q6719" t="n">
        <v>0</v>
      </c>
      <c r="R6719" s="2" t="inlineStr"/>
    </row>
    <row r="6720" ht="15" customHeight="1">
      <c r="A6720" t="inlineStr">
        <is>
          <t>A 8910-2025</t>
        </is>
      </c>
      <c r="B6720" s="1" t="n">
        <v>45713</v>
      </c>
      <c r="C6720" s="1" t="n">
        <v>45932</v>
      </c>
      <c r="D6720" t="inlineStr">
        <is>
          <t>VÄRMLANDS LÄN</t>
        </is>
      </c>
      <c r="E6720" t="inlineStr">
        <is>
          <t>KIL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8916-2025</t>
        </is>
      </c>
      <c r="B6721" s="1" t="n">
        <v>45713</v>
      </c>
      <c r="C6721" s="1" t="n">
        <v>45932</v>
      </c>
      <c r="D6721" t="inlineStr">
        <is>
          <t>VÄRMLANDS LÄN</t>
        </is>
      </c>
      <c r="E6721" t="inlineStr">
        <is>
          <t>KIL</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31306-2023</t>
        </is>
      </c>
      <c r="B6722" s="1" t="n">
        <v>45114</v>
      </c>
      <c r="C6722" s="1" t="n">
        <v>45932</v>
      </c>
      <c r="D6722" t="inlineStr">
        <is>
          <t>VÄRMLANDS LÄN</t>
        </is>
      </c>
      <c r="E6722" t="inlineStr">
        <is>
          <t>FILIPSTAD</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29587-2025</t>
        </is>
      </c>
      <c r="B6723" s="1" t="n">
        <v>45825.39394675926</v>
      </c>
      <c r="C6723" s="1" t="n">
        <v>45932</v>
      </c>
      <c r="D6723" t="inlineStr">
        <is>
          <t>VÄRMLANDS LÄN</t>
        </is>
      </c>
      <c r="E6723" t="inlineStr">
        <is>
          <t>TORSBY</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29601-2025</t>
        </is>
      </c>
      <c r="B6724" s="1" t="n">
        <v>45825.41493055555</v>
      </c>
      <c r="C6724" s="1" t="n">
        <v>45932</v>
      </c>
      <c r="D6724" t="inlineStr">
        <is>
          <t>VÄRMLANDS LÄN</t>
        </is>
      </c>
      <c r="E6724" t="inlineStr">
        <is>
          <t>SUNNE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13317-2025</t>
        </is>
      </c>
      <c r="B6725" s="1" t="n">
        <v>45735.59452546296</v>
      </c>
      <c r="C6725" s="1" t="n">
        <v>45932</v>
      </c>
      <c r="D6725" t="inlineStr">
        <is>
          <t>VÄRMLANDS LÄN</t>
        </is>
      </c>
      <c r="E6725" t="inlineStr">
        <is>
          <t>ÅRJÄNG</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31316-2023</t>
        </is>
      </c>
      <c r="B6726" s="1" t="n">
        <v>45114.45199074074</v>
      </c>
      <c r="C6726" s="1" t="n">
        <v>45932</v>
      </c>
      <c r="D6726" t="inlineStr">
        <is>
          <t>VÄRMLANDS LÄN</t>
        </is>
      </c>
      <c r="E6726" t="inlineStr">
        <is>
          <t>KARLSTAD</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29624-2025</t>
        </is>
      </c>
      <c r="B6727" s="1" t="n">
        <v>45825.44246527777</v>
      </c>
      <c r="C6727" s="1" t="n">
        <v>45932</v>
      </c>
      <c r="D6727" t="inlineStr">
        <is>
          <t>VÄRMLANDS LÄN</t>
        </is>
      </c>
      <c r="E6727" t="inlineStr">
        <is>
          <t>ÅRJÄNG</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13035-2025</t>
        </is>
      </c>
      <c r="B6728" s="1" t="n">
        <v>45734.57458333333</v>
      </c>
      <c r="C6728" s="1" t="n">
        <v>45932</v>
      </c>
      <c r="D6728" t="inlineStr">
        <is>
          <t>VÄRMLANDS LÄN</t>
        </is>
      </c>
      <c r="E6728" t="inlineStr">
        <is>
          <t>SUNNE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53440-2023</t>
        </is>
      </c>
      <c r="B6729" s="1" t="n">
        <v>45223</v>
      </c>
      <c r="C6729" s="1" t="n">
        <v>45932</v>
      </c>
      <c r="D6729" t="inlineStr">
        <is>
          <t>VÄRMLANDS LÄN</t>
        </is>
      </c>
      <c r="E6729" t="inlineStr">
        <is>
          <t>SÄFFLE</t>
        </is>
      </c>
      <c r="G6729" t="n">
        <v>19.1</v>
      </c>
      <c r="H6729" t="n">
        <v>0</v>
      </c>
      <c r="I6729" t="n">
        <v>0</v>
      </c>
      <c r="J6729" t="n">
        <v>0</v>
      </c>
      <c r="K6729" t="n">
        <v>0</v>
      </c>
      <c r="L6729" t="n">
        <v>0</v>
      </c>
      <c r="M6729" t="n">
        <v>0</v>
      </c>
      <c r="N6729" t="n">
        <v>0</v>
      </c>
      <c r="O6729" t="n">
        <v>0</v>
      </c>
      <c r="P6729" t="n">
        <v>0</v>
      </c>
      <c r="Q6729" t="n">
        <v>0</v>
      </c>
      <c r="R6729" s="2" t="inlineStr"/>
    </row>
    <row r="6730" ht="15" customHeight="1">
      <c r="A6730" t="inlineStr">
        <is>
          <t>A 18353-2025</t>
        </is>
      </c>
      <c r="B6730" s="1" t="n">
        <v>45762</v>
      </c>
      <c r="C6730" s="1" t="n">
        <v>45932</v>
      </c>
      <c r="D6730" t="inlineStr">
        <is>
          <t>VÄRMLANDS LÄN</t>
        </is>
      </c>
      <c r="E6730" t="inlineStr">
        <is>
          <t>SUNNE</t>
        </is>
      </c>
      <c r="F6730" t="inlineStr">
        <is>
          <t>Bergvik skog väst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18359-2025</t>
        </is>
      </c>
      <c r="B6731" s="1" t="n">
        <v>45762</v>
      </c>
      <c r="C6731" s="1" t="n">
        <v>45932</v>
      </c>
      <c r="D6731" t="inlineStr">
        <is>
          <t>VÄRMLANDS LÄN</t>
        </is>
      </c>
      <c r="E6731" t="inlineStr">
        <is>
          <t>SUNNE</t>
        </is>
      </c>
      <c r="F6731" t="inlineStr">
        <is>
          <t>Bergvik skog väst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9630-2024</t>
        </is>
      </c>
      <c r="B6732" s="1" t="n">
        <v>45362</v>
      </c>
      <c r="C6732" s="1" t="n">
        <v>45932</v>
      </c>
      <c r="D6732" t="inlineStr">
        <is>
          <t>VÄRMLANDS LÄN</t>
        </is>
      </c>
      <c r="E6732" t="inlineStr">
        <is>
          <t>ARVIKA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4140-2025</t>
        </is>
      </c>
      <c r="B6733" s="1" t="n">
        <v>45685.35579861111</v>
      </c>
      <c r="C6733" s="1" t="n">
        <v>45932</v>
      </c>
      <c r="D6733" t="inlineStr">
        <is>
          <t>VÄRMLANDS LÄN</t>
        </is>
      </c>
      <c r="E6733" t="inlineStr">
        <is>
          <t>EDA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29778-2025</t>
        </is>
      </c>
      <c r="B6734" s="1" t="n">
        <v>45825.6434375</v>
      </c>
      <c r="C6734" s="1" t="n">
        <v>45932</v>
      </c>
      <c r="D6734" t="inlineStr">
        <is>
          <t>VÄRMLANDS LÄN</t>
        </is>
      </c>
      <c r="E6734" t="inlineStr">
        <is>
          <t>HAGFORS</t>
        </is>
      </c>
      <c r="F6734" t="inlineStr">
        <is>
          <t>Bergvik skog väst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29746-2025</t>
        </is>
      </c>
      <c r="B6735" s="1" t="n">
        <v>45825.60394675926</v>
      </c>
      <c r="C6735" s="1" t="n">
        <v>45932</v>
      </c>
      <c r="D6735" t="inlineStr">
        <is>
          <t>VÄRMLANDS LÄN</t>
        </is>
      </c>
      <c r="E6735" t="inlineStr">
        <is>
          <t>HAGFORS</t>
        </is>
      </c>
      <c r="F6735" t="inlineStr">
        <is>
          <t>Bergvik skog väst AB</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48742-2021</t>
        </is>
      </c>
      <c r="B6736" s="1" t="n">
        <v>44452.61798611111</v>
      </c>
      <c r="C6736" s="1" t="n">
        <v>45932</v>
      </c>
      <c r="D6736" t="inlineStr">
        <is>
          <t>VÄRMLANDS LÄN</t>
        </is>
      </c>
      <c r="E6736" t="inlineStr">
        <is>
          <t>KIL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3643-2022</t>
        </is>
      </c>
      <c r="B6737" s="1" t="n">
        <v>44586.45680555556</v>
      </c>
      <c r="C6737" s="1" t="n">
        <v>45932</v>
      </c>
      <c r="D6737" t="inlineStr">
        <is>
          <t>VÄRMLANDS LÄN</t>
        </is>
      </c>
      <c r="E6737" t="inlineStr">
        <is>
          <t>ARVIKA</t>
        </is>
      </c>
      <c r="F6737" t="inlineStr">
        <is>
          <t>Bergvik skog väst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4420-2021</t>
        </is>
      </c>
      <c r="B6738" s="1" t="n">
        <v>44224</v>
      </c>
      <c r="C6738" s="1" t="n">
        <v>45932</v>
      </c>
      <c r="D6738" t="inlineStr">
        <is>
          <t>VÄRMLANDS LÄN</t>
        </is>
      </c>
      <c r="E6738" t="inlineStr">
        <is>
          <t>FILIPSTAD</t>
        </is>
      </c>
      <c r="F6738" t="inlineStr">
        <is>
          <t>Bergvik skog väst AB</t>
        </is>
      </c>
      <c r="G6738" t="n">
        <v>23.1</v>
      </c>
      <c r="H6738" t="n">
        <v>0</v>
      </c>
      <c r="I6738" t="n">
        <v>0</v>
      </c>
      <c r="J6738" t="n">
        <v>0</v>
      </c>
      <c r="K6738" t="n">
        <v>0</v>
      </c>
      <c r="L6738" t="n">
        <v>0</v>
      </c>
      <c r="M6738" t="n">
        <v>0</v>
      </c>
      <c r="N6738" t="n">
        <v>0</v>
      </c>
      <c r="O6738" t="n">
        <v>0</v>
      </c>
      <c r="P6738" t="n">
        <v>0</v>
      </c>
      <c r="Q6738" t="n">
        <v>0</v>
      </c>
      <c r="R6738" s="2" t="inlineStr"/>
    </row>
    <row r="6739" ht="15" customHeight="1">
      <c r="A6739" t="inlineStr">
        <is>
          <t>A 29650-2025</t>
        </is>
      </c>
      <c r="B6739" s="1" t="n">
        <v>45825.47546296296</v>
      </c>
      <c r="C6739" s="1" t="n">
        <v>45932</v>
      </c>
      <c r="D6739" t="inlineStr">
        <is>
          <t>VÄRMLANDS LÄN</t>
        </is>
      </c>
      <c r="E6739" t="inlineStr">
        <is>
          <t>TORSBY</t>
        </is>
      </c>
      <c r="G6739" t="n">
        <v>16.8</v>
      </c>
      <c r="H6739" t="n">
        <v>0</v>
      </c>
      <c r="I6739" t="n">
        <v>0</v>
      </c>
      <c r="J6739" t="n">
        <v>0</v>
      </c>
      <c r="K6739" t="n">
        <v>0</v>
      </c>
      <c r="L6739" t="n">
        <v>0</v>
      </c>
      <c r="M6739" t="n">
        <v>0</v>
      </c>
      <c r="N6739" t="n">
        <v>0</v>
      </c>
      <c r="O6739" t="n">
        <v>0</v>
      </c>
      <c r="P6739" t="n">
        <v>0</v>
      </c>
      <c r="Q6739" t="n">
        <v>0</v>
      </c>
      <c r="R6739" s="2" t="inlineStr"/>
    </row>
    <row r="6740" ht="15" customHeight="1">
      <c r="A6740" t="inlineStr">
        <is>
          <t>A 29260-2025</t>
        </is>
      </c>
      <c r="B6740" s="1" t="n">
        <v>45824</v>
      </c>
      <c r="C6740" s="1" t="n">
        <v>45932</v>
      </c>
      <c r="D6740" t="inlineStr">
        <is>
          <t>VÄRMLANDS LÄN</t>
        </is>
      </c>
      <c r="E6740" t="inlineStr">
        <is>
          <t>GRUMS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28757-2025</t>
        </is>
      </c>
      <c r="B6741" s="1" t="n">
        <v>45820</v>
      </c>
      <c r="C6741" s="1" t="n">
        <v>45932</v>
      </c>
      <c r="D6741" t="inlineStr">
        <is>
          <t>VÄRMLANDS LÄN</t>
        </is>
      </c>
      <c r="E6741" t="inlineStr">
        <is>
          <t>TORSBY</t>
        </is>
      </c>
      <c r="G6741" t="n">
        <v>12.1</v>
      </c>
      <c r="H6741" t="n">
        <v>0</v>
      </c>
      <c r="I6741" t="n">
        <v>0</v>
      </c>
      <c r="J6741" t="n">
        <v>0</v>
      </c>
      <c r="K6741" t="n">
        <v>0</v>
      </c>
      <c r="L6741" t="n">
        <v>0</v>
      </c>
      <c r="M6741" t="n">
        <v>0</v>
      </c>
      <c r="N6741" t="n">
        <v>0</v>
      </c>
      <c r="O6741" t="n">
        <v>0</v>
      </c>
      <c r="P6741" t="n">
        <v>0</v>
      </c>
      <c r="Q6741" t="n">
        <v>0</v>
      </c>
      <c r="R6741" s="2" t="inlineStr"/>
    </row>
    <row r="6742" ht="15" customHeight="1">
      <c r="A6742" t="inlineStr">
        <is>
          <t>A 2524-2024</t>
        </is>
      </c>
      <c r="B6742" s="1" t="n">
        <v>45313</v>
      </c>
      <c r="C6742" s="1" t="n">
        <v>45932</v>
      </c>
      <c r="D6742" t="inlineStr">
        <is>
          <t>VÄRMLANDS LÄN</t>
        </is>
      </c>
      <c r="E6742" t="inlineStr">
        <is>
          <t>KRISTINEHAMN</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49891-2022</t>
        </is>
      </c>
      <c r="B6743" s="1" t="n">
        <v>44864</v>
      </c>
      <c r="C6743" s="1" t="n">
        <v>45932</v>
      </c>
      <c r="D6743" t="inlineStr">
        <is>
          <t>VÄRMLANDS LÄN</t>
        </is>
      </c>
      <c r="E6743" t="inlineStr">
        <is>
          <t>ÅRJÄNG</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59694-2022</t>
        </is>
      </c>
      <c r="B6744" s="1" t="n">
        <v>44908.38121527778</v>
      </c>
      <c r="C6744" s="1" t="n">
        <v>45932</v>
      </c>
      <c r="D6744" t="inlineStr">
        <is>
          <t>VÄRMLANDS LÄN</t>
        </is>
      </c>
      <c r="E6744" t="inlineStr">
        <is>
          <t>SUNNE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29824-2025</t>
        </is>
      </c>
      <c r="B6745" s="1" t="n">
        <v>45825</v>
      </c>
      <c r="C6745" s="1" t="n">
        <v>45932</v>
      </c>
      <c r="D6745" t="inlineStr">
        <is>
          <t>VÄRMLANDS LÄN</t>
        </is>
      </c>
      <c r="E6745" t="inlineStr">
        <is>
          <t>SUNNE</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29825-2025</t>
        </is>
      </c>
      <c r="B6746" s="1" t="n">
        <v>45825</v>
      </c>
      <c r="C6746" s="1" t="n">
        <v>45932</v>
      </c>
      <c r="D6746" t="inlineStr">
        <is>
          <t>VÄRMLANDS LÄN</t>
        </is>
      </c>
      <c r="E6746" t="inlineStr">
        <is>
          <t>SUNNE</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48309-2021</t>
        </is>
      </c>
      <c r="B6747" s="1" t="n">
        <v>44450</v>
      </c>
      <c r="C6747" s="1" t="n">
        <v>45932</v>
      </c>
      <c r="D6747" t="inlineStr">
        <is>
          <t>VÄRMLANDS LÄN</t>
        </is>
      </c>
      <c r="E6747" t="inlineStr">
        <is>
          <t>STORFORS</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56652-2022</t>
        </is>
      </c>
      <c r="B6748" s="1" t="n">
        <v>44893.63410879629</v>
      </c>
      <c r="C6748" s="1" t="n">
        <v>45932</v>
      </c>
      <c r="D6748" t="inlineStr">
        <is>
          <t>VÄRMLANDS LÄN</t>
        </is>
      </c>
      <c r="E6748" t="inlineStr">
        <is>
          <t>SUNNE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29641-2025</t>
        </is>
      </c>
      <c r="B6749" s="1" t="n">
        <v>45825.46285879629</v>
      </c>
      <c r="C6749" s="1" t="n">
        <v>45932</v>
      </c>
      <c r="D6749" t="inlineStr">
        <is>
          <t>VÄRMLANDS LÄN</t>
        </is>
      </c>
      <c r="E6749" t="inlineStr">
        <is>
          <t>TORSBY</t>
        </is>
      </c>
      <c r="G6749" t="n">
        <v>23.4</v>
      </c>
      <c r="H6749" t="n">
        <v>0</v>
      </c>
      <c r="I6749" t="n">
        <v>0</v>
      </c>
      <c r="J6749" t="n">
        <v>0</v>
      </c>
      <c r="K6749" t="n">
        <v>0</v>
      </c>
      <c r="L6749" t="n">
        <v>0</v>
      </c>
      <c r="M6749" t="n">
        <v>0</v>
      </c>
      <c r="N6749" t="n">
        <v>0</v>
      </c>
      <c r="O6749" t="n">
        <v>0</v>
      </c>
      <c r="P6749" t="n">
        <v>0</v>
      </c>
      <c r="Q6749" t="n">
        <v>0</v>
      </c>
      <c r="R6749" s="2" t="inlineStr"/>
    </row>
    <row r="6750" ht="15" customHeight="1">
      <c r="A6750" t="inlineStr">
        <is>
          <t>A 29645-2025</t>
        </is>
      </c>
      <c r="B6750" s="1" t="n">
        <v>45825.46574074074</v>
      </c>
      <c r="C6750" s="1" t="n">
        <v>45932</v>
      </c>
      <c r="D6750" t="inlineStr">
        <is>
          <t>VÄRMLANDS LÄN</t>
        </is>
      </c>
      <c r="E6750" t="inlineStr">
        <is>
          <t>GRUMS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29328-2025</t>
        </is>
      </c>
      <c r="B6751" s="1" t="n">
        <v>45824.48537037037</v>
      </c>
      <c r="C6751" s="1" t="n">
        <v>45932</v>
      </c>
      <c r="D6751" t="inlineStr">
        <is>
          <t>VÄRMLANDS LÄN</t>
        </is>
      </c>
      <c r="E6751" t="inlineStr">
        <is>
          <t>ARVIKA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29666-2025</t>
        </is>
      </c>
      <c r="B6752" s="1" t="n">
        <v>45825.49204861111</v>
      </c>
      <c r="C6752" s="1" t="n">
        <v>45932</v>
      </c>
      <c r="D6752" t="inlineStr">
        <is>
          <t>VÄRMLANDS LÄN</t>
        </is>
      </c>
      <c r="E6752" t="inlineStr">
        <is>
          <t>FILIPSTAD</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50425-2023</t>
        </is>
      </c>
      <c r="B6753" s="1" t="n">
        <v>45216</v>
      </c>
      <c r="C6753" s="1" t="n">
        <v>45932</v>
      </c>
      <c r="D6753" t="inlineStr">
        <is>
          <t>VÄRMLANDS LÄN</t>
        </is>
      </c>
      <c r="E6753" t="inlineStr">
        <is>
          <t>SUNNE</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29304-2025</t>
        </is>
      </c>
      <c r="B6754" s="1" t="n">
        <v>45824.45938657408</v>
      </c>
      <c r="C6754" s="1" t="n">
        <v>45932</v>
      </c>
      <c r="D6754" t="inlineStr">
        <is>
          <t>VÄRMLANDS LÄN</t>
        </is>
      </c>
      <c r="E6754" t="inlineStr">
        <is>
          <t>SUNNE</t>
        </is>
      </c>
      <c r="F6754" t="inlineStr">
        <is>
          <t>Bergvik skog väst AB</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29307-2025</t>
        </is>
      </c>
      <c r="B6755" s="1" t="n">
        <v>45824</v>
      </c>
      <c r="C6755" s="1" t="n">
        <v>45932</v>
      </c>
      <c r="D6755" t="inlineStr">
        <is>
          <t>VÄRMLANDS LÄN</t>
        </is>
      </c>
      <c r="E6755" t="inlineStr">
        <is>
          <t>TORSBY</t>
        </is>
      </c>
      <c r="F6755" t="inlineStr">
        <is>
          <t>Övriga Aktiebolag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59746-2023</t>
        </is>
      </c>
      <c r="B6756" s="1" t="n">
        <v>45254</v>
      </c>
      <c r="C6756" s="1" t="n">
        <v>45932</v>
      </c>
      <c r="D6756" t="inlineStr">
        <is>
          <t>VÄRMLANDS LÄN</t>
        </is>
      </c>
      <c r="E6756" t="inlineStr">
        <is>
          <t>ÅRJÄNG</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38100-2024</t>
        </is>
      </c>
      <c r="B6757" s="1" t="n">
        <v>45545</v>
      </c>
      <c r="C6757" s="1" t="n">
        <v>45932</v>
      </c>
      <c r="D6757" t="inlineStr">
        <is>
          <t>VÄRMLANDS LÄN</t>
        </is>
      </c>
      <c r="E6757" t="inlineStr">
        <is>
          <t>TORSBY</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41493-2024</t>
        </is>
      </c>
      <c r="B6758" s="1" t="n">
        <v>45560.45288194445</v>
      </c>
      <c r="C6758" s="1" t="n">
        <v>45932</v>
      </c>
      <c r="D6758" t="inlineStr">
        <is>
          <t>VÄRMLANDS LÄN</t>
        </is>
      </c>
      <c r="E6758" t="inlineStr">
        <is>
          <t>ARVIKA</t>
        </is>
      </c>
      <c r="F6758" t="inlineStr">
        <is>
          <t>Bergvik skog väst AB</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29403-2025</t>
        </is>
      </c>
      <c r="B6759" s="1" t="n">
        <v>45824.61469907407</v>
      </c>
      <c r="C6759" s="1" t="n">
        <v>45932</v>
      </c>
      <c r="D6759" t="inlineStr">
        <is>
          <t>VÄRMLANDS LÄN</t>
        </is>
      </c>
      <c r="E6759" t="inlineStr">
        <is>
          <t>TORSBY</t>
        </is>
      </c>
      <c r="F6759" t="inlineStr">
        <is>
          <t>Bergvik skog väst AB</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59070-2024</t>
        </is>
      </c>
      <c r="B6760" s="1" t="n">
        <v>45636.95711805556</v>
      </c>
      <c r="C6760" s="1" t="n">
        <v>45932</v>
      </c>
      <c r="D6760" t="inlineStr">
        <is>
          <t>VÄRMLANDS LÄN</t>
        </is>
      </c>
      <c r="E6760" t="inlineStr">
        <is>
          <t>ÅRJÄNG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41502-2024</t>
        </is>
      </c>
      <c r="B6761" s="1" t="n">
        <v>45560</v>
      </c>
      <c r="C6761" s="1" t="n">
        <v>45932</v>
      </c>
      <c r="D6761" t="inlineStr">
        <is>
          <t>VÄRMLANDS LÄN</t>
        </is>
      </c>
      <c r="E6761" t="inlineStr">
        <is>
          <t>HAGFORS</t>
        </is>
      </c>
      <c r="F6761" t="inlineStr">
        <is>
          <t>Bergvik skog väst AB</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29208-2025</t>
        </is>
      </c>
      <c r="B6762" s="1" t="n">
        <v>45823.80380787037</v>
      </c>
      <c r="C6762" s="1" t="n">
        <v>45932</v>
      </c>
      <c r="D6762" t="inlineStr">
        <is>
          <t>VÄRMLANDS LÄN</t>
        </is>
      </c>
      <c r="E6762" t="inlineStr">
        <is>
          <t>ÅRJÄNG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61675-2024</t>
        </is>
      </c>
      <c r="B6763" s="1" t="n">
        <v>45647</v>
      </c>
      <c r="C6763" s="1" t="n">
        <v>45932</v>
      </c>
      <c r="D6763" t="inlineStr">
        <is>
          <t>VÄRMLANDS LÄN</t>
        </is>
      </c>
      <c r="E6763" t="inlineStr">
        <is>
          <t>KRISTINEHAMN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29610-2025</t>
        </is>
      </c>
      <c r="B6764" s="1" t="n">
        <v>45825</v>
      </c>
      <c r="C6764" s="1" t="n">
        <v>45932</v>
      </c>
      <c r="D6764" t="inlineStr">
        <is>
          <t>VÄRMLANDS LÄN</t>
        </is>
      </c>
      <c r="E6764" t="inlineStr">
        <is>
          <t>ARVIKA</t>
        </is>
      </c>
      <c r="F6764" t="inlineStr">
        <is>
          <t>Bergvik skog väst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21790-2023</t>
        </is>
      </c>
      <c r="B6765" s="1" t="n">
        <v>45067</v>
      </c>
      <c r="C6765" s="1" t="n">
        <v>45932</v>
      </c>
      <c r="D6765" t="inlineStr">
        <is>
          <t>VÄRMLANDS LÄN</t>
        </is>
      </c>
      <c r="E6765" t="inlineStr">
        <is>
          <t>TORSBY</t>
        </is>
      </c>
      <c r="F6765" t="inlineStr">
        <is>
          <t>Övriga statliga verk och myndigheter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21851-2023</t>
        </is>
      </c>
      <c r="B6766" s="1" t="n">
        <v>45068</v>
      </c>
      <c r="C6766" s="1" t="n">
        <v>45932</v>
      </c>
      <c r="D6766" t="inlineStr">
        <is>
          <t>VÄRMLANDS LÄN</t>
        </is>
      </c>
      <c r="E6766" t="inlineStr">
        <is>
          <t>ARVIKA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29589-2025</t>
        </is>
      </c>
      <c r="B6767" s="1" t="n">
        <v>45825.39515046297</v>
      </c>
      <c r="C6767" s="1" t="n">
        <v>45932</v>
      </c>
      <c r="D6767" t="inlineStr">
        <is>
          <t>VÄRMLANDS LÄN</t>
        </is>
      </c>
      <c r="E6767" t="inlineStr">
        <is>
          <t>SÄFFLE</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29702-2025</t>
        </is>
      </c>
      <c r="B6768" s="1" t="n">
        <v>45825.55667824074</v>
      </c>
      <c r="C6768" s="1" t="n">
        <v>45932</v>
      </c>
      <c r="D6768" t="inlineStr">
        <is>
          <t>VÄRMLANDS LÄN</t>
        </is>
      </c>
      <c r="E6768" t="inlineStr">
        <is>
          <t>TORSBY</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10124-2024</t>
        </is>
      </c>
      <c r="B6769" s="1" t="n">
        <v>45364</v>
      </c>
      <c r="C6769" s="1" t="n">
        <v>45932</v>
      </c>
      <c r="D6769" t="inlineStr">
        <is>
          <t>VÄRMLANDS LÄN</t>
        </is>
      </c>
      <c r="E6769" t="inlineStr">
        <is>
          <t>KRISTINEHAMN</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41529-2024</t>
        </is>
      </c>
      <c r="B6770" s="1" t="n">
        <v>45560.48552083333</v>
      </c>
      <c r="C6770" s="1" t="n">
        <v>45932</v>
      </c>
      <c r="D6770" t="inlineStr">
        <is>
          <t>VÄRMLANDS LÄN</t>
        </is>
      </c>
      <c r="E6770" t="inlineStr">
        <is>
          <t>TORSBY</t>
        </is>
      </c>
      <c r="F6770" t="inlineStr">
        <is>
          <t>Bergvik skog väst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30261-2025</t>
        </is>
      </c>
      <c r="B6771" s="1" t="n">
        <v>45827.42828703704</v>
      </c>
      <c r="C6771" s="1" t="n">
        <v>45932</v>
      </c>
      <c r="D6771" t="inlineStr">
        <is>
          <t>VÄRMLANDS LÄN</t>
        </is>
      </c>
      <c r="E6771" t="inlineStr">
        <is>
          <t>ARVIKA</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30006-2025</t>
        </is>
      </c>
      <c r="B6772" s="1" t="n">
        <v>45826.53123842592</v>
      </c>
      <c r="C6772" s="1" t="n">
        <v>45932</v>
      </c>
      <c r="D6772" t="inlineStr">
        <is>
          <t>VÄRMLANDS LÄN</t>
        </is>
      </c>
      <c r="E6772" t="inlineStr">
        <is>
          <t>SUNNE</t>
        </is>
      </c>
      <c r="F6772" t="inlineStr">
        <is>
          <t>Kommuner</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29936-2024</t>
        </is>
      </c>
      <c r="B6773" s="1" t="n">
        <v>45488</v>
      </c>
      <c r="C6773" s="1" t="n">
        <v>45932</v>
      </c>
      <c r="D6773" t="inlineStr">
        <is>
          <t>VÄRMLANDS LÄN</t>
        </is>
      </c>
      <c r="E6773" t="inlineStr">
        <is>
          <t>TORSBY</t>
        </is>
      </c>
      <c r="F6773" t="inlineStr">
        <is>
          <t>Kommuner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56281-2022</t>
        </is>
      </c>
      <c r="B6774" s="1" t="n">
        <v>44890</v>
      </c>
      <c r="C6774" s="1" t="n">
        <v>45932</v>
      </c>
      <c r="D6774" t="inlineStr">
        <is>
          <t>VÄRMLANDS LÄN</t>
        </is>
      </c>
      <c r="E6774" t="inlineStr">
        <is>
          <t>TORSBY</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66056-2021</t>
        </is>
      </c>
      <c r="B6775" s="1" t="n">
        <v>44517.6359837963</v>
      </c>
      <c r="C6775" s="1" t="n">
        <v>45932</v>
      </c>
      <c r="D6775" t="inlineStr">
        <is>
          <t>VÄRMLANDS LÄN</t>
        </is>
      </c>
      <c r="E6775" t="inlineStr">
        <is>
          <t>GRUMS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1976-2025</t>
        </is>
      </c>
      <c r="B6776" s="1" t="n">
        <v>45672</v>
      </c>
      <c r="C6776" s="1" t="n">
        <v>45932</v>
      </c>
      <c r="D6776" t="inlineStr">
        <is>
          <t>VÄRMLANDS LÄN</t>
        </is>
      </c>
      <c r="E6776" t="inlineStr">
        <is>
          <t>EDA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29944-2025</t>
        </is>
      </c>
      <c r="B6777" s="1" t="n">
        <v>45826.4578587963</v>
      </c>
      <c r="C6777" s="1" t="n">
        <v>45932</v>
      </c>
      <c r="D6777" t="inlineStr">
        <is>
          <t>VÄRMLANDS LÄN</t>
        </is>
      </c>
      <c r="E6777" t="inlineStr">
        <is>
          <t>FILIPSTAD</t>
        </is>
      </c>
      <c r="F6777" t="inlineStr">
        <is>
          <t>Bergvik skog väst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47105-2025</t>
        </is>
      </c>
      <c r="B6778" s="1" t="n">
        <v>45929.65858796296</v>
      </c>
      <c r="C6778" s="1" t="n">
        <v>45932</v>
      </c>
      <c r="D6778" t="inlineStr">
        <is>
          <t>VÄRMLANDS LÄN</t>
        </is>
      </c>
      <c r="E6778" t="inlineStr">
        <is>
          <t>KARLSTAD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13615-2025</t>
        </is>
      </c>
      <c r="B6779" s="1" t="n">
        <v>45736</v>
      </c>
      <c r="C6779" s="1" t="n">
        <v>45932</v>
      </c>
      <c r="D6779" t="inlineStr">
        <is>
          <t>VÄRMLANDS LÄN</t>
        </is>
      </c>
      <c r="E6779" t="inlineStr">
        <is>
          <t>SÄFFLE</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57939-2022</t>
        </is>
      </c>
      <c r="B6780" s="1" t="n">
        <v>44900.3946412037</v>
      </c>
      <c r="C6780" s="1" t="n">
        <v>45932</v>
      </c>
      <c r="D6780" t="inlineStr">
        <is>
          <t>VÄRMLANDS LÄN</t>
        </is>
      </c>
      <c r="E6780" t="inlineStr">
        <is>
          <t>SUNNE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28056-2023</t>
        </is>
      </c>
      <c r="B6781" s="1" t="n">
        <v>45099</v>
      </c>
      <c r="C6781" s="1" t="n">
        <v>45932</v>
      </c>
      <c r="D6781" t="inlineStr">
        <is>
          <t>VÄRMLANDS LÄN</t>
        </is>
      </c>
      <c r="E6781" t="inlineStr">
        <is>
          <t>KARLSTAD</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6537-2023</t>
        </is>
      </c>
      <c r="B6782" s="1" t="n">
        <v>44966</v>
      </c>
      <c r="C6782" s="1" t="n">
        <v>45932</v>
      </c>
      <c r="D6782" t="inlineStr">
        <is>
          <t>VÄRMLANDS LÄN</t>
        </is>
      </c>
      <c r="E6782" t="inlineStr">
        <is>
          <t>EDA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38511-2024</t>
        </is>
      </c>
      <c r="B6783" s="1" t="n">
        <v>45546</v>
      </c>
      <c r="C6783" s="1" t="n">
        <v>45932</v>
      </c>
      <c r="D6783" t="inlineStr">
        <is>
          <t>VÄRMLANDS LÄN</t>
        </is>
      </c>
      <c r="E6783" t="inlineStr">
        <is>
          <t>SÄFFLE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25803-2023</t>
        </is>
      </c>
      <c r="B6784" s="1" t="n">
        <v>45090.5115162037</v>
      </c>
      <c r="C6784" s="1" t="n">
        <v>45932</v>
      </c>
      <c r="D6784" t="inlineStr">
        <is>
          <t>VÄRMLANDS LÄN</t>
        </is>
      </c>
      <c r="E6784" t="inlineStr">
        <is>
          <t>EDA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25808-2023</t>
        </is>
      </c>
      <c r="B6785" s="1" t="n">
        <v>45090.52355324074</v>
      </c>
      <c r="C6785" s="1" t="n">
        <v>45932</v>
      </c>
      <c r="D6785" t="inlineStr">
        <is>
          <t>VÄRMLANDS LÄN</t>
        </is>
      </c>
      <c r="E6785" t="inlineStr">
        <is>
          <t>EDA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25809-2023</t>
        </is>
      </c>
      <c r="B6786" s="1" t="n">
        <v>45090.52524305556</v>
      </c>
      <c r="C6786" s="1" t="n">
        <v>45932</v>
      </c>
      <c r="D6786" t="inlineStr">
        <is>
          <t>VÄRMLANDS LÄN</t>
        </is>
      </c>
      <c r="E6786" t="inlineStr">
        <is>
          <t>EDA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39823-2024</t>
        </is>
      </c>
      <c r="B6787" s="1" t="n">
        <v>45553.39327546296</v>
      </c>
      <c r="C6787" s="1" t="n">
        <v>45932</v>
      </c>
      <c r="D6787" t="inlineStr">
        <is>
          <t>VÄRMLANDS LÄN</t>
        </is>
      </c>
      <c r="E6787" t="inlineStr">
        <is>
          <t>EDA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47355-2023</t>
        </is>
      </c>
      <c r="B6788" s="1" t="n">
        <v>45202</v>
      </c>
      <c r="C6788" s="1" t="n">
        <v>45932</v>
      </c>
      <c r="D6788" t="inlineStr">
        <is>
          <t>VÄRMLANDS LÄN</t>
        </is>
      </c>
      <c r="E6788" t="inlineStr">
        <is>
          <t>TORSBY</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52309-2024</t>
        </is>
      </c>
      <c r="B6789" s="1" t="n">
        <v>45608.82700231481</v>
      </c>
      <c r="C6789" s="1" t="n">
        <v>45932</v>
      </c>
      <c r="D6789" t="inlineStr">
        <is>
          <t>VÄRMLANDS LÄN</t>
        </is>
      </c>
      <c r="E6789" t="inlineStr">
        <is>
          <t>SUNNE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11452-2024</t>
        </is>
      </c>
      <c r="B6790" s="1" t="n">
        <v>45372</v>
      </c>
      <c r="C6790" s="1" t="n">
        <v>45932</v>
      </c>
      <c r="D6790" t="inlineStr">
        <is>
          <t>VÄRMLANDS LÄN</t>
        </is>
      </c>
      <c r="E6790" t="inlineStr">
        <is>
          <t>STORFORS</t>
        </is>
      </c>
      <c r="F6790" t="inlineStr">
        <is>
          <t>Bergvik skog väst AB</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23660-2023</t>
        </is>
      </c>
      <c r="B6791" s="1" t="n">
        <v>45077</v>
      </c>
      <c r="C6791" s="1" t="n">
        <v>45932</v>
      </c>
      <c r="D6791" t="inlineStr">
        <is>
          <t>VÄRMLANDS LÄN</t>
        </is>
      </c>
      <c r="E6791" t="inlineStr">
        <is>
          <t>ARVIKA</t>
        </is>
      </c>
      <c r="F6791" t="inlineStr">
        <is>
          <t>Bergvik skog väst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40997-2022</t>
        </is>
      </c>
      <c r="B6792" s="1" t="n">
        <v>44825.50576388889</v>
      </c>
      <c r="C6792" s="1" t="n">
        <v>45932</v>
      </c>
      <c r="D6792" t="inlineStr">
        <is>
          <t>VÄRMLANDS LÄN</t>
        </is>
      </c>
      <c r="E6792" t="inlineStr">
        <is>
          <t>TORSBY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39770-2024</t>
        </is>
      </c>
      <c r="B6793" s="1" t="n">
        <v>45552</v>
      </c>
      <c r="C6793" s="1" t="n">
        <v>45932</v>
      </c>
      <c r="D6793" t="inlineStr">
        <is>
          <t>VÄRMLANDS LÄN</t>
        </is>
      </c>
      <c r="E6793" t="inlineStr">
        <is>
          <t>TORSBY</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18682-2024</t>
        </is>
      </c>
      <c r="B6794" s="1" t="n">
        <v>45426.37251157407</v>
      </c>
      <c r="C6794" s="1" t="n">
        <v>45932</v>
      </c>
      <c r="D6794" t="inlineStr">
        <is>
          <t>VÄRMLANDS LÄN</t>
        </is>
      </c>
      <c r="E6794" t="inlineStr">
        <is>
          <t>TORSBY</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19320-2024</t>
        </is>
      </c>
      <c r="B6795" s="1" t="n">
        <v>45428.90929398148</v>
      </c>
      <c r="C6795" s="1" t="n">
        <v>45932</v>
      </c>
      <c r="D6795" t="inlineStr">
        <is>
          <t>VÄRMLANDS LÄN</t>
        </is>
      </c>
      <c r="E6795" t="inlineStr">
        <is>
          <t>ARVIKA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55574-2023</t>
        </is>
      </c>
      <c r="B6796" s="1" t="n">
        <v>45232</v>
      </c>
      <c r="C6796" s="1" t="n">
        <v>45932</v>
      </c>
      <c r="D6796" t="inlineStr">
        <is>
          <t>VÄRMLANDS LÄN</t>
        </is>
      </c>
      <c r="E6796" t="inlineStr">
        <is>
          <t>ÅRJÄNG</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13998-2024</t>
        </is>
      </c>
      <c r="B6797" s="1" t="n">
        <v>45392</v>
      </c>
      <c r="C6797" s="1" t="n">
        <v>45932</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14010-2024</t>
        </is>
      </c>
      <c r="B6798" s="1" t="n">
        <v>45392</v>
      </c>
      <c r="C6798" s="1" t="n">
        <v>45932</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49311-2024</t>
        </is>
      </c>
      <c r="B6799" s="1" t="n">
        <v>45595</v>
      </c>
      <c r="C6799" s="1" t="n">
        <v>45932</v>
      </c>
      <c r="D6799" t="inlineStr">
        <is>
          <t>VÄRMLANDS LÄN</t>
        </is>
      </c>
      <c r="E6799" t="inlineStr">
        <is>
          <t>STORFORS</t>
        </is>
      </c>
      <c r="F6799" t="inlineStr">
        <is>
          <t>Bergvik skog väst AB</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50080-2020</t>
        </is>
      </c>
      <c r="B6800" s="1" t="n">
        <v>44109</v>
      </c>
      <c r="C6800" s="1" t="n">
        <v>45932</v>
      </c>
      <c r="D6800" t="inlineStr">
        <is>
          <t>VÄRMLANDS LÄN</t>
        </is>
      </c>
      <c r="E6800" t="inlineStr">
        <is>
          <t>HAGFORS</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1165-2024</t>
        </is>
      </c>
      <c r="B6801" s="1" t="n">
        <v>45302</v>
      </c>
      <c r="C6801" s="1" t="n">
        <v>45932</v>
      </c>
      <c r="D6801" t="inlineStr">
        <is>
          <t>VÄRMLANDS LÄN</t>
        </is>
      </c>
      <c r="E6801" t="inlineStr">
        <is>
          <t>KARLSTAD</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29914-2025</t>
        </is>
      </c>
      <c r="B6802" s="1" t="n">
        <v>45826.41162037037</v>
      </c>
      <c r="C6802" s="1" t="n">
        <v>45932</v>
      </c>
      <c r="D6802" t="inlineStr">
        <is>
          <t>VÄRMLANDS LÄN</t>
        </is>
      </c>
      <c r="E6802" t="inlineStr">
        <is>
          <t>KIL</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10102-2021</t>
        </is>
      </c>
      <c r="B6803" s="1" t="n">
        <v>44256</v>
      </c>
      <c r="C6803" s="1" t="n">
        <v>45932</v>
      </c>
      <c r="D6803" t="inlineStr">
        <is>
          <t>VÄRMLANDS LÄN</t>
        </is>
      </c>
      <c r="E6803" t="inlineStr">
        <is>
          <t>KRISTINEHAMN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10109-2021</t>
        </is>
      </c>
      <c r="B6804" s="1" t="n">
        <v>44256.50052083333</v>
      </c>
      <c r="C6804" s="1" t="n">
        <v>45932</v>
      </c>
      <c r="D6804" t="inlineStr">
        <is>
          <t>VÄRMLANDS LÄN</t>
        </is>
      </c>
      <c r="E6804" t="inlineStr">
        <is>
          <t>KRISTINEHAMN</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62013-2024</t>
        </is>
      </c>
      <c r="B6805" s="1" t="n">
        <v>45655</v>
      </c>
      <c r="C6805" s="1" t="n">
        <v>45932</v>
      </c>
      <c r="D6805" t="inlineStr">
        <is>
          <t>VÄRMLANDS LÄN</t>
        </is>
      </c>
      <c r="E6805" t="inlineStr">
        <is>
          <t>FILIPSTAD</t>
        </is>
      </c>
      <c r="G6805" t="n">
        <v>26.5</v>
      </c>
      <c r="H6805" t="n">
        <v>0</v>
      </c>
      <c r="I6805" t="n">
        <v>0</v>
      </c>
      <c r="J6805" t="n">
        <v>0</v>
      </c>
      <c r="K6805" t="n">
        <v>0</v>
      </c>
      <c r="L6805" t="n">
        <v>0</v>
      </c>
      <c r="M6805" t="n">
        <v>0</v>
      </c>
      <c r="N6805" t="n">
        <v>0</v>
      </c>
      <c r="O6805" t="n">
        <v>0</v>
      </c>
      <c r="P6805" t="n">
        <v>0</v>
      </c>
      <c r="Q6805" t="n">
        <v>0</v>
      </c>
      <c r="R6805" s="2" t="inlineStr"/>
    </row>
    <row r="6806" ht="15" customHeight="1">
      <c r="A6806" t="inlineStr">
        <is>
          <t>A 62014-2024</t>
        </is>
      </c>
      <c r="B6806" s="1" t="n">
        <v>45655.80100694444</v>
      </c>
      <c r="C6806" s="1" t="n">
        <v>45932</v>
      </c>
      <c r="D6806" t="inlineStr">
        <is>
          <t>VÄRMLANDS LÄN</t>
        </is>
      </c>
      <c r="E6806" t="inlineStr">
        <is>
          <t>FILIPSTAD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40174-2021</t>
        </is>
      </c>
      <c r="B6807" s="1" t="n">
        <v>44418</v>
      </c>
      <c r="C6807" s="1" t="n">
        <v>45932</v>
      </c>
      <c r="D6807" t="inlineStr">
        <is>
          <t>VÄRMLANDS LÄN</t>
        </is>
      </c>
      <c r="E6807" t="inlineStr">
        <is>
          <t>SUNNE</t>
        </is>
      </c>
      <c r="F6807" t="inlineStr">
        <is>
          <t>Övriga Aktiebolag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62915-2020</t>
        </is>
      </c>
      <c r="B6808" s="1" t="n">
        <v>44162</v>
      </c>
      <c r="C6808" s="1" t="n">
        <v>45932</v>
      </c>
      <c r="D6808" t="inlineStr">
        <is>
          <t>VÄRMLANDS LÄN</t>
        </is>
      </c>
      <c r="E6808" t="inlineStr">
        <is>
          <t>TORSBY</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13354-2022</t>
        </is>
      </c>
      <c r="B6809" s="1" t="n">
        <v>44645</v>
      </c>
      <c r="C6809" s="1" t="n">
        <v>45932</v>
      </c>
      <c r="D6809" t="inlineStr">
        <is>
          <t>VÄRMLANDS LÄN</t>
        </is>
      </c>
      <c r="E6809" t="inlineStr">
        <is>
          <t>HAMMARÖ</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39958-2023</t>
        </is>
      </c>
      <c r="B6810" s="1" t="n">
        <v>45168.56642361111</v>
      </c>
      <c r="C6810" s="1" t="n">
        <v>45932</v>
      </c>
      <c r="D6810" t="inlineStr">
        <is>
          <t>VÄRMLANDS LÄN</t>
        </is>
      </c>
      <c r="E6810" t="inlineStr">
        <is>
          <t>KARLSTAD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30260-2025</t>
        </is>
      </c>
      <c r="B6811" s="1" t="n">
        <v>45827</v>
      </c>
      <c r="C6811" s="1" t="n">
        <v>45932</v>
      </c>
      <c r="D6811" t="inlineStr">
        <is>
          <t>VÄRMLANDS LÄN</t>
        </is>
      </c>
      <c r="E6811" t="inlineStr">
        <is>
          <t>KIL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30078-2025</t>
        </is>
      </c>
      <c r="B6812" s="1" t="n">
        <v>45826.64291666666</v>
      </c>
      <c r="C6812" s="1" t="n">
        <v>45932</v>
      </c>
      <c r="D6812" t="inlineStr">
        <is>
          <t>VÄRMLANDS LÄN</t>
        </is>
      </c>
      <c r="E6812" t="inlineStr">
        <is>
          <t>TORSBY</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62981-2020</t>
        </is>
      </c>
      <c r="B6813" s="1" t="n">
        <v>44162</v>
      </c>
      <c r="C6813" s="1" t="n">
        <v>45932</v>
      </c>
      <c r="D6813" t="inlineStr">
        <is>
          <t>VÄRMLANDS LÄN</t>
        </is>
      </c>
      <c r="E6813" t="inlineStr">
        <is>
          <t>EDA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1626-2023</t>
        </is>
      </c>
      <c r="B6814" s="1" t="n">
        <v>44937</v>
      </c>
      <c r="C6814" s="1" t="n">
        <v>45932</v>
      </c>
      <c r="D6814" t="inlineStr">
        <is>
          <t>VÄRMLANDS LÄN</t>
        </is>
      </c>
      <c r="E6814" t="inlineStr">
        <is>
          <t>SUNNE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29993-2025</t>
        </is>
      </c>
      <c r="B6815" s="1" t="n">
        <v>45826.50634259259</v>
      </c>
      <c r="C6815" s="1" t="n">
        <v>45932</v>
      </c>
      <c r="D6815" t="inlineStr">
        <is>
          <t>VÄRMLANDS LÄN</t>
        </is>
      </c>
      <c r="E6815" t="inlineStr">
        <is>
          <t>FILIPSTAD</t>
        </is>
      </c>
      <c r="F6815" t="inlineStr">
        <is>
          <t>Bergvik skog väst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13032-2024</t>
        </is>
      </c>
      <c r="B6816" s="1" t="n">
        <v>45385.59355324074</v>
      </c>
      <c r="C6816" s="1" t="n">
        <v>45932</v>
      </c>
      <c r="D6816" t="inlineStr">
        <is>
          <t>VÄRMLANDS LÄN</t>
        </is>
      </c>
      <c r="E6816" t="inlineStr">
        <is>
          <t>KRISTINEHAMN</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30433-2025</t>
        </is>
      </c>
      <c r="B6817" s="1" t="n">
        <v>45827</v>
      </c>
      <c r="C6817" s="1" t="n">
        <v>45932</v>
      </c>
      <c r="D6817" t="inlineStr">
        <is>
          <t>VÄRMLANDS LÄN</t>
        </is>
      </c>
      <c r="E6817" t="inlineStr">
        <is>
          <t>TORSBY</t>
        </is>
      </c>
      <c r="G6817" t="n">
        <v>13.4</v>
      </c>
      <c r="H6817" t="n">
        <v>0</v>
      </c>
      <c r="I6817" t="n">
        <v>0</v>
      </c>
      <c r="J6817" t="n">
        <v>0</v>
      </c>
      <c r="K6817" t="n">
        <v>0</v>
      </c>
      <c r="L6817" t="n">
        <v>0</v>
      </c>
      <c r="M6817" t="n">
        <v>0</v>
      </c>
      <c r="N6817" t="n">
        <v>0</v>
      </c>
      <c r="O6817" t="n">
        <v>0</v>
      </c>
      <c r="P6817" t="n">
        <v>0</v>
      </c>
      <c r="Q6817" t="n">
        <v>0</v>
      </c>
      <c r="R6817" s="2" t="inlineStr"/>
    </row>
    <row r="6818" ht="15" customHeight="1">
      <c r="A6818" t="inlineStr">
        <is>
          <t>A 36557-2024</t>
        </is>
      </c>
      <c r="B6818" s="1" t="n">
        <v>45537</v>
      </c>
      <c r="C6818" s="1" t="n">
        <v>45932</v>
      </c>
      <c r="D6818" t="inlineStr">
        <is>
          <t>VÄRMLANDS LÄN</t>
        </is>
      </c>
      <c r="E6818" t="inlineStr">
        <is>
          <t>SÄFFLE</t>
        </is>
      </c>
      <c r="F6818" t="inlineStr">
        <is>
          <t>Kyrkan</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41705-2023</t>
        </is>
      </c>
      <c r="B6819" s="1" t="n">
        <v>45176.38581018519</v>
      </c>
      <c r="C6819" s="1" t="n">
        <v>45932</v>
      </c>
      <c r="D6819" t="inlineStr">
        <is>
          <t>VÄRMLANDS LÄN</t>
        </is>
      </c>
      <c r="E6819" t="inlineStr">
        <is>
          <t>EDA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30027-2025</t>
        </is>
      </c>
      <c r="B6820" s="1" t="n">
        <v>45826.56497685185</v>
      </c>
      <c r="C6820" s="1" t="n">
        <v>45932</v>
      </c>
      <c r="D6820" t="inlineStr">
        <is>
          <t>VÄRMLANDS LÄN</t>
        </is>
      </c>
      <c r="E6820" t="inlineStr">
        <is>
          <t>SUNNE</t>
        </is>
      </c>
      <c r="F6820" t="inlineStr">
        <is>
          <t>Bergvik skog väst AB</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38662-2025</t>
        </is>
      </c>
      <c r="B6821" s="1" t="n">
        <v>45884.61193287037</v>
      </c>
      <c r="C6821" s="1" t="n">
        <v>45932</v>
      </c>
      <c r="D6821" t="inlineStr">
        <is>
          <t>VÄRMLANDS LÄN</t>
        </is>
      </c>
      <c r="E6821" t="inlineStr">
        <is>
          <t>TORSBY</t>
        </is>
      </c>
      <c r="F6821" t="inlineStr">
        <is>
          <t>Bergvik skog väst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45130-2025</t>
        </is>
      </c>
      <c r="B6822" s="1" t="n">
        <v>45919</v>
      </c>
      <c r="C6822" s="1" t="n">
        <v>45932</v>
      </c>
      <c r="D6822" t="inlineStr">
        <is>
          <t>VÄRMLANDS LÄN</t>
        </is>
      </c>
      <c r="E6822" t="inlineStr">
        <is>
          <t>ÅRJÄNG</t>
        </is>
      </c>
      <c r="F6822" t="inlineStr">
        <is>
          <t>Övriga Aktiebolag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30074-2025</t>
        </is>
      </c>
      <c r="B6823" s="1" t="n">
        <v>45826.63672453703</v>
      </c>
      <c r="C6823" s="1" t="n">
        <v>45932</v>
      </c>
      <c r="D6823" t="inlineStr">
        <is>
          <t>VÄRMLANDS LÄN</t>
        </is>
      </c>
      <c r="E6823" t="inlineStr">
        <is>
          <t>TORSBY</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17519-2024</t>
        </is>
      </c>
      <c r="B6824" s="1" t="n">
        <v>45415</v>
      </c>
      <c r="C6824" s="1" t="n">
        <v>45932</v>
      </c>
      <c r="D6824" t="inlineStr">
        <is>
          <t>VÄRMLANDS LÄN</t>
        </is>
      </c>
      <c r="E6824" t="inlineStr">
        <is>
          <t>FORSHAGA</t>
        </is>
      </c>
      <c r="F6824" t="inlineStr">
        <is>
          <t>Bergvik skog väst AB</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30380-2025</t>
        </is>
      </c>
      <c r="B6825" s="1" t="n">
        <v>45827</v>
      </c>
      <c r="C6825" s="1" t="n">
        <v>45932</v>
      </c>
      <c r="D6825" t="inlineStr">
        <is>
          <t>VÄRMLANDS LÄN</t>
        </is>
      </c>
      <c r="E6825" t="inlineStr">
        <is>
          <t>TORSBY</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13618-2022</t>
        </is>
      </c>
      <c r="B6826" s="1" t="n">
        <v>44648.5796412037</v>
      </c>
      <c r="C6826" s="1" t="n">
        <v>45932</v>
      </c>
      <c r="D6826" t="inlineStr">
        <is>
          <t>VÄRMLANDS LÄN</t>
        </is>
      </c>
      <c r="E6826" t="inlineStr">
        <is>
          <t>SUNNE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37993-2021</t>
        </is>
      </c>
      <c r="B6827" s="1" t="n">
        <v>44404</v>
      </c>
      <c r="C6827" s="1" t="n">
        <v>45932</v>
      </c>
      <c r="D6827" t="inlineStr">
        <is>
          <t>VÄRMLANDS LÄN</t>
        </is>
      </c>
      <c r="E6827" t="inlineStr">
        <is>
          <t>SUNNE</t>
        </is>
      </c>
      <c r="G6827" t="n">
        <v>11.7</v>
      </c>
      <c r="H6827" t="n">
        <v>0</v>
      </c>
      <c r="I6827" t="n">
        <v>0</v>
      </c>
      <c r="J6827" t="n">
        <v>0</v>
      </c>
      <c r="K6827" t="n">
        <v>0</v>
      </c>
      <c r="L6827" t="n">
        <v>0</v>
      </c>
      <c r="M6827" t="n">
        <v>0</v>
      </c>
      <c r="N6827" t="n">
        <v>0</v>
      </c>
      <c r="O6827" t="n">
        <v>0</v>
      </c>
      <c r="P6827" t="n">
        <v>0</v>
      </c>
      <c r="Q6827" t="n">
        <v>0</v>
      </c>
      <c r="R6827" s="2" t="inlineStr"/>
    </row>
    <row r="6828" ht="15" customHeight="1">
      <c r="A6828" t="inlineStr">
        <is>
          <t>A 53639-2024</t>
        </is>
      </c>
      <c r="B6828" s="1" t="n">
        <v>45614.86993055556</v>
      </c>
      <c r="C6828" s="1" t="n">
        <v>45932</v>
      </c>
      <c r="D6828" t="inlineStr">
        <is>
          <t>VÄRMLANDS LÄN</t>
        </is>
      </c>
      <c r="E6828" t="inlineStr">
        <is>
          <t>EDA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53656-2024</t>
        </is>
      </c>
      <c r="B6829" s="1" t="n">
        <v>45615.30916666667</v>
      </c>
      <c r="C6829" s="1" t="n">
        <v>45932</v>
      </c>
      <c r="D6829" t="inlineStr">
        <is>
          <t>VÄRMLANDS LÄN</t>
        </is>
      </c>
      <c r="E6829" t="inlineStr">
        <is>
          <t>KARLSTAD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29965-2025</t>
        </is>
      </c>
      <c r="B6830" s="1" t="n">
        <v>45826.48575231482</v>
      </c>
      <c r="C6830" s="1" t="n">
        <v>45932</v>
      </c>
      <c r="D6830" t="inlineStr">
        <is>
          <t>VÄRMLANDS LÄN</t>
        </is>
      </c>
      <c r="E6830" t="inlineStr">
        <is>
          <t>ARVIKA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30207-2025</t>
        </is>
      </c>
      <c r="B6831" s="1" t="n">
        <v>45827.364375</v>
      </c>
      <c r="C6831" s="1" t="n">
        <v>45932</v>
      </c>
      <c r="D6831" t="inlineStr">
        <is>
          <t>VÄRMLANDS LÄN</t>
        </is>
      </c>
      <c r="E6831" t="inlineStr">
        <is>
          <t>MUNKFORS</t>
        </is>
      </c>
      <c r="F6831" t="inlineStr">
        <is>
          <t>Bergvik skog väst AB</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30226-2025</t>
        </is>
      </c>
      <c r="B6832" s="1" t="n">
        <v>45827.37871527778</v>
      </c>
      <c r="C6832" s="1" t="n">
        <v>45932</v>
      </c>
      <c r="D6832" t="inlineStr">
        <is>
          <t>VÄRMLANDS LÄN</t>
        </is>
      </c>
      <c r="E6832" t="inlineStr">
        <is>
          <t>KRISTINEHAMN</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3542-2023</t>
        </is>
      </c>
      <c r="B6833" s="1" t="n">
        <v>44950</v>
      </c>
      <c r="C6833" s="1" t="n">
        <v>45932</v>
      </c>
      <c r="D6833" t="inlineStr">
        <is>
          <t>VÄRMLANDS LÄN</t>
        </is>
      </c>
      <c r="E6833" t="inlineStr">
        <is>
          <t>TORSBY</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3557-2023</t>
        </is>
      </c>
      <c r="B6834" s="1" t="n">
        <v>44950</v>
      </c>
      <c r="C6834" s="1" t="n">
        <v>45932</v>
      </c>
      <c r="D6834" t="inlineStr">
        <is>
          <t>VÄRMLANDS LÄN</t>
        </is>
      </c>
      <c r="E6834" t="inlineStr">
        <is>
          <t>HAGFORS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3566-2023</t>
        </is>
      </c>
      <c r="B6835" s="1" t="n">
        <v>44950</v>
      </c>
      <c r="C6835" s="1" t="n">
        <v>45932</v>
      </c>
      <c r="D6835" t="inlineStr">
        <is>
          <t>VÄRMLANDS LÄN</t>
        </is>
      </c>
      <c r="E6835" t="inlineStr">
        <is>
          <t>HAGFORS</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60737-2022</t>
        </is>
      </c>
      <c r="B6836" s="1" t="n">
        <v>44913.88537037037</v>
      </c>
      <c r="C6836" s="1" t="n">
        <v>45932</v>
      </c>
      <c r="D6836" t="inlineStr">
        <is>
          <t>VÄRMLANDS LÄN</t>
        </is>
      </c>
      <c r="E6836" t="inlineStr">
        <is>
          <t>TORSBY</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53697-2024</t>
        </is>
      </c>
      <c r="B6837" s="1" t="n">
        <v>45615.38655092593</v>
      </c>
      <c r="C6837" s="1" t="n">
        <v>45932</v>
      </c>
      <c r="D6837" t="inlineStr">
        <is>
          <t>VÄRMLANDS LÄN</t>
        </is>
      </c>
      <c r="E6837" t="inlineStr">
        <is>
          <t>EDA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45757-2022</t>
        </is>
      </c>
      <c r="B6838" s="1" t="n">
        <v>44846.36684027778</v>
      </c>
      <c r="C6838" s="1" t="n">
        <v>45932</v>
      </c>
      <c r="D6838" t="inlineStr">
        <is>
          <t>VÄRMLANDS LÄN</t>
        </is>
      </c>
      <c r="E6838" t="inlineStr">
        <is>
          <t>KARLSTAD</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24846-2022</t>
        </is>
      </c>
      <c r="B6839" s="1" t="n">
        <v>44728</v>
      </c>
      <c r="C6839" s="1" t="n">
        <v>45932</v>
      </c>
      <c r="D6839" t="inlineStr">
        <is>
          <t>VÄRMLANDS LÄN</t>
        </is>
      </c>
      <c r="E6839" t="inlineStr">
        <is>
          <t>STORFORS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18775-2025</t>
        </is>
      </c>
      <c r="B6840" s="1" t="n">
        <v>45763</v>
      </c>
      <c r="C6840" s="1" t="n">
        <v>45932</v>
      </c>
      <c r="D6840" t="inlineStr">
        <is>
          <t>VÄRMLANDS LÄN</t>
        </is>
      </c>
      <c r="E6840" t="inlineStr">
        <is>
          <t>KRISTINEHAMN</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2702-2025</t>
        </is>
      </c>
      <c r="B6841" s="1" t="n">
        <v>45677</v>
      </c>
      <c r="C6841" s="1" t="n">
        <v>45932</v>
      </c>
      <c r="D6841" t="inlineStr">
        <is>
          <t>VÄRMLANDS LÄN</t>
        </is>
      </c>
      <c r="E6841" t="inlineStr">
        <is>
          <t>ARVIKA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8692-2025</t>
        </is>
      </c>
      <c r="B6842" s="1" t="n">
        <v>45712.47305555556</v>
      </c>
      <c r="C6842" s="1" t="n">
        <v>45932</v>
      </c>
      <c r="D6842" t="inlineStr">
        <is>
          <t>VÄRMLANDS LÄN</t>
        </is>
      </c>
      <c r="E6842" t="inlineStr">
        <is>
          <t>FILIPSTAD</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5351-2024</t>
        </is>
      </c>
      <c r="B6843" s="1" t="n">
        <v>45331.45199074074</v>
      </c>
      <c r="C6843" s="1" t="n">
        <v>45932</v>
      </c>
      <c r="D6843" t="inlineStr">
        <is>
          <t>VÄRMLANDS LÄN</t>
        </is>
      </c>
      <c r="E6843" t="inlineStr">
        <is>
          <t>TORSBY</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19159-2025</t>
        </is>
      </c>
      <c r="B6844" s="1" t="n">
        <v>45769</v>
      </c>
      <c r="C6844" s="1" t="n">
        <v>45932</v>
      </c>
      <c r="D6844" t="inlineStr">
        <is>
          <t>VÄRMLANDS LÄN</t>
        </is>
      </c>
      <c r="E6844" t="inlineStr">
        <is>
          <t>TORSBY</t>
        </is>
      </c>
      <c r="F6844" t="inlineStr">
        <is>
          <t>Bergvik skog väst AB</t>
        </is>
      </c>
      <c r="G6844" t="n">
        <v>10.2</v>
      </c>
      <c r="H6844" t="n">
        <v>0</v>
      </c>
      <c r="I6844" t="n">
        <v>0</v>
      </c>
      <c r="J6844" t="n">
        <v>0</v>
      </c>
      <c r="K6844" t="n">
        <v>0</v>
      </c>
      <c r="L6844" t="n">
        <v>0</v>
      </c>
      <c r="M6844" t="n">
        <v>0</v>
      </c>
      <c r="N6844" t="n">
        <v>0</v>
      </c>
      <c r="O6844" t="n">
        <v>0</v>
      </c>
      <c r="P6844" t="n">
        <v>0</v>
      </c>
      <c r="Q6844" t="n">
        <v>0</v>
      </c>
      <c r="R6844" s="2" t="inlineStr"/>
    </row>
    <row r="6845" ht="15" customHeight="1">
      <c r="A6845" t="inlineStr">
        <is>
          <t>A 30199-2025</t>
        </is>
      </c>
      <c r="B6845" s="1" t="n">
        <v>45827</v>
      </c>
      <c r="C6845" s="1" t="n">
        <v>45932</v>
      </c>
      <c r="D6845" t="inlineStr">
        <is>
          <t>VÄRMLANDS LÄN</t>
        </is>
      </c>
      <c r="E6845" t="inlineStr">
        <is>
          <t>TORSBY</t>
        </is>
      </c>
      <c r="F6845" t="inlineStr">
        <is>
          <t>Bergvik skog väst AB</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30221-2025</t>
        </is>
      </c>
      <c r="B6846" s="1" t="n">
        <v>45827.37355324074</v>
      </c>
      <c r="C6846" s="1" t="n">
        <v>45932</v>
      </c>
      <c r="D6846" t="inlineStr">
        <is>
          <t>VÄRMLANDS LÄN</t>
        </is>
      </c>
      <c r="E6846" t="inlineStr">
        <is>
          <t>KRISTINEHAMN</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30012-2025</t>
        </is>
      </c>
      <c r="B6847" s="1" t="n">
        <v>45826.54501157408</v>
      </c>
      <c r="C6847" s="1" t="n">
        <v>45932</v>
      </c>
      <c r="D6847" t="inlineStr">
        <is>
          <t>VÄRMLANDS LÄN</t>
        </is>
      </c>
      <c r="E6847" t="inlineStr">
        <is>
          <t>SÄFFLE</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36550-2023</t>
        </is>
      </c>
      <c r="B6848" s="1" t="n">
        <v>45153.38835648148</v>
      </c>
      <c r="C6848" s="1" t="n">
        <v>45932</v>
      </c>
      <c r="D6848" t="inlineStr">
        <is>
          <t>VÄRMLANDS LÄN</t>
        </is>
      </c>
      <c r="E6848" t="inlineStr">
        <is>
          <t>SUNNE</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11230-2025</t>
        </is>
      </c>
      <c r="B6849" s="1" t="n">
        <v>45726.35431712963</v>
      </c>
      <c r="C6849" s="1" t="n">
        <v>45932</v>
      </c>
      <c r="D6849" t="inlineStr">
        <is>
          <t>VÄRMLANDS LÄN</t>
        </is>
      </c>
      <c r="E6849" t="inlineStr">
        <is>
          <t>ARVIKA</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30134-2025</t>
        </is>
      </c>
      <c r="B6850" s="1" t="n">
        <v>45826</v>
      </c>
      <c r="C6850" s="1" t="n">
        <v>45932</v>
      </c>
      <c r="D6850" t="inlineStr">
        <is>
          <t>VÄRMLANDS LÄN</t>
        </is>
      </c>
      <c r="E6850" t="inlineStr">
        <is>
          <t>ÅRJÄNG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46221-2023</t>
        </is>
      </c>
      <c r="B6851" s="1" t="n">
        <v>45196.66636574074</v>
      </c>
      <c r="C6851" s="1" t="n">
        <v>45932</v>
      </c>
      <c r="D6851" t="inlineStr">
        <is>
          <t>VÄRMLANDS LÄN</t>
        </is>
      </c>
      <c r="E6851" t="inlineStr">
        <is>
          <t>TORSBY</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46249-2023</t>
        </is>
      </c>
      <c r="B6852" s="1" t="n">
        <v>45196.89337962963</v>
      </c>
      <c r="C6852" s="1" t="n">
        <v>45932</v>
      </c>
      <c r="D6852" t="inlineStr">
        <is>
          <t>VÄRMLANDS LÄN</t>
        </is>
      </c>
      <c r="E6852" t="inlineStr">
        <is>
          <t>ÅRJÄNG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46297-2023</t>
        </is>
      </c>
      <c r="B6853" s="1" t="n">
        <v>45197</v>
      </c>
      <c r="C6853" s="1" t="n">
        <v>45932</v>
      </c>
      <c r="D6853" t="inlineStr">
        <is>
          <t>VÄRMLANDS LÄN</t>
        </is>
      </c>
      <c r="E6853" t="inlineStr">
        <is>
          <t>EDA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64664-2023</t>
        </is>
      </c>
      <c r="B6854" s="1" t="n">
        <v>45281.60710648148</v>
      </c>
      <c r="C6854" s="1" t="n">
        <v>45932</v>
      </c>
      <c r="D6854" t="inlineStr">
        <is>
          <t>VÄRMLANDS LÄN</t>
        </is>
      </c>
      <c r="E6854" t="inlineStr">
        <is>
          <t>TORSBY</t>
        </is>
      </c>
      <c r="F6854" t="inlineStr">
        <is>
          <t>Bergvik skog väst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64690-2023</t>
        </is>
      </c>
      <c r="B6855" s="1" t="n">
        <v>45281.63434027778</v>
      </c>
      <c r="C6855" s="1" t="n">
        <v>45932</v>
      </c>
      <c r="D6855" t="inlineStr">
        <is>
          <t>VÄRMLANDS LÄN</t>
        </is>
      </c>
      <c r="E6855" t="inlineStr">
        <is>
          <t>ÅRJÄNG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60202-2023</t>
        </is>
      </c>
      <c r="B6856" s="1" t="n">
        <v>45257</v>
      </c>
      <c r="C6856" s="1" t="n">
        <v>45932</v>
      </c>
      <c r="D6856" t="inlineStr">
        <is>
          <t>VÄRMLANDS LÄN</t>
        </is>
      </c>
      <c r="E6856" t="inlineStr">
        <is>
          <t>ÅRJÄNG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30124-2025</t>
        </is>
      </c>
      <c r="B6857" s="1" t="n">
        <v>45826.81473379629</v>
      </c>
      <c r="C6857" s="1" t="n">
        <v>45932</v>
      </c>
      <c r="D6857" t="inlineStr">
        <is>
          <t>VÄRMLANDS LÄN</t>
        </is>
      </c>
      <c r="E6857" t="inlineStr">
        <is>
          <t>HAGFORS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12261-2024</t>
        </is>
      </c>
      <c r="B6858" s="1" t="n">
        <v>45378.45844907407</v>
      </c>
      <c r="C6858" s="1" t="n">
        <v>45932</v>
      </c>
      <c r="D6858" t="inlineStr">
        <is>
          <t>VÄRMLANDS LÄN</t>
        </is>
      </c>
      <c r="E6858" t="inlineStr">
        <is>
          <t>KRISTINEHAMN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10116-2024</t>
        </is>
      </c>
      <c r="B6859" s="1" t="n">
        <v>45364.55585648148</v>
      </c>
      <c r="C6859" s="1" t="n">
        <v>45932</v>
      </c>
      <c r="D6859" t="inlineStr">
        <is>
          <t>VÄRMLANDS LÄN</t>
        </is>
      </c>
      <c r="E6859" t="inlineStr">
        <is>
          <t>KRISTINEHAMN</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30041-2025</t>
        </is>
      </c>
      <c r="B6860" s="1" t="n">
        <v>45826.57394675926</v>
      </c>
      <c r="C6860" s="1" t="n">
        <v>45932</v>
      </c>
      <c r="D6860" t="inlineStr">
        <is>
          <t>VÄRMLANDS LÄN</t>
        </is>
      </c>
      <c r="E6860" t="inlineStr">
        <is>
          <t>SUNNE</t>
        </is>
      </c>
      <c r="F6860" t="inlineStr">
        <is>
          <t>Bergvik skog väst AB</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30049-2025</t>
        </is>
      </c>
      <c r="B6861" s="1" t="n">
        <v>45826.59048611111</v>
      </c>
      <c r="C6861" s="1" t="n">
        <v>45932</v>
      </c>
      <c r="D6861" t="inlineStr">
        <is>
          <t>VÄRMLANDS LÄN</t>
        </is>
      </c>
      <c r="E6861" t="inlineStr">
        <is>
          <t>FILIPSTAD</t>
        </is>
      </c>
      <c r="F6861" t="inlineStr">
        <is>
          <t>Bergvik skog väst AB</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54603-2021</t>
        </is>
      </c>
      <c r="B6862" s="1" t="n">
        <v>44473.59327546296</v>
      </c>
      <c r="C6862" s="1" t="n">
        <v>45932</v>
      </c>
      <c r="D6862" t="inlineStr">
        <is>
          <t>VÄRMLANDS LÄN</t>
        </is>
      </c>
      <c r="E6862" t="inlineStr">
        <is>
          <t>KRISTINEHAMN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29891-2025</t>
        </is>
      </c>
      <c r="B6863" s="1" t="n">
        <v>45826</v>
      </c>
      <c r="C6863" s="1" t="n">
        <v>45932</v>
      </c>
      <c r="D6863" t="inlineStr">
        <is>
          <t>VÄRMLANDS LÄN</t>
        </is>
      </c>
      <c r="E6863" t="inlineStr">
        <is>
          <t>HAGFORS</t>
        </is>
      </c>
      <c r="F6863" t="inlineStr">
        <is>
          <t>Bergvik skog väst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41986-2022</t>
        </is>
      </c>
      <c r="B6864" s="1" t="n">
        <v>44830.4380787037</v>
      </c>
      <c r="C6864" s="1" t="n">
        <v>45932</v>
      </c>
      <c r="D6864" t="inlineStr">
        <is>
          <t>VÄRMLANDS LÄN</t>
        </is>
      </c>
      <c r="E6864" t="inlineStr">
        <is>
          <t>ÅRJÄNG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30377-2025</t>
        </is>
      </c>
      <c r="B6865" s="1" t="n">
        <v>45827</v>
      </c>
      <c r="C6865" s="1" t="n">
        <v>45932</v>
      </c>
      <c r="D6865" t="inlineStr">
        <is>
          <t>VÄRMLANDS LÄN</t>
        </is>
      </c>
      <c r="E6865" t="inlineStr">
        <is>
          <t>TORSBY</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30388-2025</t>
        </is>
      </c>
      <c r="B6866" s="1" t="n">
        <v>45827.5734837963</v>
      </c>
      <c r="C6866" s="1" t="n">
        <v>45932</v>
      </c>
      <c r="D6866" t="inlineStr">
        <is>
          <t>VÄRMLANDS LÄN</t>
        </is>
      </c>
      <c r="E6866" t="inlineStr">
        <is>
          <t>TORSBY</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23189-2024</t>
        </is>
      </c>
      <c r="B6867" s="1" t="n">
        <v>45450</v>
      </c>
      <c r="C6867" s="1" t="n">
        <v>45932</v>
      </c>
      <c r="D6867" t="inlineStr">
        <is>
          <t>VÄRMLANDS LÄN</t>
        </is>
      </c>
      <c r="E6867" t="inlineStr">
        <is>
          <t>GRUMS</t>
        </is>
      </c>
      <c r="F6867" t="inlineStr">
        <is>
          <t>Bergvik skog väst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30153-2025</t>
        </is>
      </c>
      <c r="B6868" s="1" t="n">
        <v>45827.31736111111</v>
      </c>
      <c r="C6868" s="1" t="n">
        <v>45932</v>
      </c>
      <c r="D6868" t="inlineStr">
        <is>
          <t>VÄRMLANDS LÄN</t>
        </is>
      </c>
      <c r="E6868" t="inlineStr">
        <is>
          <t>TORSBY</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30160-2025</t>
        </is>
      </c>
      <c r="B6869" s="1" t="n">
        <v>45827.32375</v>
      </c>
      <c r="C6869" s="1" t="n">
        <v>45932</v>
      </c>
      <c r="D6869" t="inlineStr">
        <is>
          <t>VÄRMLANDS LÄN</t>
        </is>
      </c>
      <c r="E6869" t="inlineStr">
        <is>
          <t>MUNKFORS</t>
        </is>
      </c>
      <c r="F6869" t="inlineStr">
        <is>
          <t>Bergvik skog väst AB</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51199-2023</t>
        </is>
      </c>
      <c r="B6870" s="1" t="n">
        <v>45219.42247685185</v>
      </c>
      <c r="C6870" s="1" t="n">
        <v>45932</v>
      </c>
      <c r="D6870" t="inlineStr">
        <is>
          <t>VÄRMLANDS LÄN</t>
        </is>
      </c>
      <c r="E6870" t="inlineStr">
        <is>
          <t>TORSBY</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10111-2021</t>
        </is>
      </c>
      <c r="B6871" s="1" t="n">
        <v>44256.50144675926</v>
      </c>
      <c r="C6871" s="1" t="n">
        <v>45932</v>
      </c>
      <c r="D6871" t="inlineStr">
        <is>
          <t>VÄRMLANDS LÄN</t>
        </is>
      </c>
      <c r="E6871" t="inlineStr">
        <is>
          <t>KRISTINEHAMN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36884-2022</t>
        </is>
      </c>
      <c r="B6872" s="1" t="n">
        <v>44805</v>
      </c>
      <c r="C6872" s="1" t="n">
        <v>45932</v>
      </c>
      <c r="D6872" t="inlineStr">
        <is>
          <t>VÄRMLANDS LÄN</t>
        </is>
      </c>
      <c r="E6872" t="inlineStr">
        <is>
          <t>KARLSTAD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36886-2022</t>
        </is>
      </c>
      <c r="B6873" s="1" t="n">
        <v>44805</v>
      </c>
      <c r="C6873" s="1" t="n">
        <v>45932</v>
      </c>
      <c r="D6873" t="inlineStr">
        <is>
          <t>VÄRMLANDS LÄN</t>
        </is>
      </c>
      <c r="E6873" t="inlineStr">
        <is>
          <t>KARLSTAD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53749-2021</t>
        </is>
      </c>
      <c r="B6874" s="1" t="n">
        <v>44469</v>
      </c>
      <c r="C6874" s="1" t="n">
        <v>45932</v>
      </c>
      <c r="D6874" t="inlineStr">
        <is>
          <t>VÄRMLANDS LÄN</t>
        </is>
      </c>
      <c r="E6874" t="inlineStr">
        <is>
          <t>SUNNE</t>
        </is>
      </c>
      <c r="F6874" t="inlineStr">
        <is>
          <t>Kyrkan</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4745-2024</t>
        </is>
      </c>
      <c r="B6875" s="1" t="n">
        <v>45328</v>
      </c>
      <c r="C6875" s="1" t="n">
        <v>45932</v>
      </c>
      <c r="D6875" t="inlineStr">
        <is>
          <t>VÄRMLANDS LÄN</t>
        </is>
      </c>
      <c r="E6875" t="inlineStr">
        <is>
          <t>HAGFORS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63095-2023</t>
        </is>
      </c>
      <c r="B6876" s="1" t="n">
        <v>45273.39255787037</v>
      </c>
      <c r="C6876" s="1" t="n">
        <v>45932</v>
      </c>
      <c r="D6876" t="inlineStr">
        <is>
          <t>VÄRMLANDS LÄN</t>
        </is>
      </c>
      <c r="E6876" t="inlineStr">
        <is>
          <t>SUNNE</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37929-2022</t>
        </is>
      </c>
      <c r="B6877" s="1" t="n">
        <v>44811.45628472222</v>
      </c>
      <c r="C6877" s="1" t="n">
        <v>45932</v>
      </c>
      <c r="D6877" t="inlineStr">
        <is>
          <t>VÄRMLANDS LÄN</t>
        </is>
      </c>
      <c r="E6877" t="inlineStr">
        <is>
          <t>TORSBY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29948-2025</t>
        </is>
      </c>
      <c r="B6878" s="1" t="n">
        <v>45826.46422453703</v>
      </c>
      <c r="C6878" s="1" t="n">
        <v>45932</v>
      </c>
      <c r="D6878" t="inlineStr">
        <is>
          <t>VÄRMLANDS LÄN</t>
        </is>
      </c>
      <c r="E6878" t="inlineStr">
        <is>
          <t>SUNNE</t>
        </is>
      </c>
      <c r="F6878" t="inlineStr">
        <is>
          <t>Kyrkan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73157-2021</t>
        </is>
      </c>
      <c r="B6879" s="1" t="n">
        <v>44550</v>
      </c>
      <c r="C6879" s="1" t="n">
        <v>45932</v>
      </c>
      <c r="D6879" t="inlineStr">
        <is>
          <t>VÄRMLANDS LÄN</t>
        </is>
      </c>
      <c r="E6879" t="inlineStr">
        <is>
          <t>SÄFFLE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53297-2024</t>
        </is>
      </c>
      <c r="B6880" s="1" t="n">
        <v>45614.38802083334</v>
      </c>
      <c r="C6880" s="1" t="n">
        <v>45932</v>
      </c>
      <c r="D6880" t="inlineStr">
        <is>
          <t>VÄRMLANDS LÄN</t>
        </is>
      </c>
      <c r="E6880" t="inlineStr">
        <is>
          <t>TORSBY</t>
        </is>
      </c>
      <c r="F6880" t="inlineStr">
        <is>
          <t>Bergvik skog väst AB</t>
        </is>
      </c>
      <c r="G6880" t="n">
        <v>9.5</v>
      </c>
      <c r="H6880" t="n">
        <v>0</v>
      </c>
      <c r="I6880" t="n">
        <v>0</v>
      </c>
      <c r="J6880" t="n">
        <v>0</v>
      </c>
      <c r="K6880" t="n">
        <v>0</v>
      </c>
      <c r="L6880" t="n">
        <v>0</v>
      </c>
      <c r="M6880" t="n">
        <v>0</v>
      </c>
      <c r="N6880" t="n">
        <v>0</v>
      </c>
      <c r="O6880" t="n">
        <v>0</v>
      </c>
      <c r="P6880" t="n">
        <v>0</v>
      </c>
      <c r="Q6880" t="n">
        <v>0</v>
      </c>
      <c r="R6880" s="2" t="inlineStr"/>
    </row>
    <row r="6881" ht="15" customHeight="1">
      <c r="A6881" t="inlineStr">
        <is>
          <t>A 10106-2024</t>
        </is>
      </c>
      <c r="B6881" s="1" t="n">
        <v>45364.5349074074</v>
      </c>
      <c r="C6881" s="1" t="n">
        <v>45932</v>
      </c>
      <c r="D6881" t="inlineStr">
        <is>
          <t>VÄRMLANDS LÄN</t>
        </is>
      </c>
      <c r="E6881" t="inlineStr">
        <is>
          <t>KRISTINEHAMN</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30116-2025</t>
        </is>
      </c>
      <c r="B6882" s="1" t="n">
        <v>45826</v>
      </c>
      <c r="C6882" s="1" t="n">
        <v>45932</v>
      </c>
      <c r="D6882" t="inlineStr">
        <is>
          <t>VÄRMLANDS LÄN</t>
        </is>
      </c>
      <c r="E6882" t="inlineStr">
        <is>
          <t>ARVIKA</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5507-2024</t>
        </is>
      </c>
      <c r="B6883" s="1" t="n">
        <v>45334.36188657407</v>
      </c>
      <c r="C6883" s="1" t="n">
        <v>45932</v>
      </c>
      <c r="D6883" t="inlineStr">
        <is>
          <t>VÄRMLANDS LÄN</t>
        </is>
      </c>
      <c r="E6883" t="inlineStr">
        <is>
          <t>ÅRJÄNG</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22973-2024</t>
        </is>
      </c>
      <c r="B6884" s="1" t="n">
        <v>45449</v>
      </c>
      <c r="C6884" s="1" t="n">
        <v>45932</v>
      </c>
      <c r="D6884" t="inlineStr">
        <is>
          <t>VÄRMLANDS LÄN</t>
        </is>
      </c>
      <c r="E6884" t="inlineStr">
        <is>
          <t>TORSBY</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18049-2024</t>
        </is>
      </c>
      <c r="B6885" s="1" t="n">
        <v>45420.38435185186</v>
      </c>
      <c r="C6885" s="1" t="n">
        <v>45932</v>
      </c>
      <c r="D6885" t="inlineStr">
        <is>
          <t>VÄRMLANDS LÄN</t>
        </is>
      </c>
      <c r="E6885" t="inlineStr">
        <is>
          <t>KIL</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8885-2021</t>
        </is>
      </c>
      <c r="B6886" s="1" t="n">
        <v>44248</v>
      </c>
      <c r="C6886" s="1" t="n">
        <v>45932</v>
      </c>
      <c r="D6886" t="inlineStr">
        <is>
          <t>VÄRMLANDS LÄN</t>
        </is>
      </c>
      <c r="E6886" t="inlineStr">
        <is>
          <t>ÅRJÄNG</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52521-2023</t>
        </is>
      </c>
      <c r="B6887" s="1" t="n">
        <v>45225.50306712963</v>
      </c>
      <c r="C6887" s="1" t="n">
        <v>45932</v>
      </c>
      <c r="D6887" t="inlineStr">
        <is>
          <t>VÄRMLANDS LÄN</t>
        </is>
      </c>
      <c r="E6887" t="inlineStr">
        <is>
          <t>SUNNE</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30003-2025</t>
        </is>
      </c>
      <c r="B6888" s="1" t="n">
        <v>45826</v>
      </c>
      <c r="C6888" s="1" t="n">
        <v>45932</v>
      </c>
      <c r="D6888" t="inlineStr">
        <is>
          <t>VÄRMLANDS LÄN</t>
        </is>
      </c>
      <c r="E6888" t="inlineStr">
        <is>
          <t>ARVIKA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29867-2025</t>
        </is>
      </c>
      <c r="B6889" s="1" t="n">
        <v>45826.35269675926</v>
      </c>
      <c r="C6889" s="1" t="n">
        <v>45932</v>
      </c>
      <c r="D6889" t="inlineStr">
        <is>
          <t>VÄRMLANDS LÄN</t>
        </is>
      </c>
      <c r="E6889" t="inlineStr">
        <is>
          <t>HAGFORS</t>
        </is>
      </c>
      <c r="F6889" t="inlineStr">
        <is>
          <t>Bergvik skog väst AB</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1153-2023</t>
        </is>
      </c>
      <c r="B6890" s="1" t="n">
        <v>44935</v>
      </c>
      <c r="C6890" s="1" t="n">
        <v>45932</v>
      </c>
      <c r="D6890" t="inlineStr">
        <is>
          <t>VÄRMLANDS LÄN</t>
        </is>
      </c>
      <c r="E6890" t="inlineStr">
        <is>
          <t>ÅRJÄNG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29885-2025</t>
        </is>
      </c>
      <c r="B6891" s="1" t="n">
        <v>45826</v>
      </c>
      <c r="C6891" s="1" t="n">
        <v>45932</v>
      </c>
      <c r="D6891" t="inlineStr">
        <is>
          <t>VÄRMLANDS LÄN</t>
        </is>
      </c>
      <c r="E6891" t="inlineStr">
        <is>
          <t>FILIPSTAD</t>
        </is>
      </c>
      <c r="F6891" t="inlineStr">
        <is>
          <t>Bergvik skog väst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19260-2024</t>
        </is>
      </c>
      <c r="B6892" s="1" t="n">
        <v>45428.60917824074</v>
      </c>
      <c r="C6892" s="1" t="n">
        <v>45932</v>
      </c>
      <c r="D6892" t="inlineStr">
        <is>
          <t>VÄRMLANDS LÄN</t>
        </is>
      </c>
      <c r="E6892" t="inlineStr">
        <is>
          <t>ARVIKA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30026-2025</t>
        </is>
      </c>
      <c r="B6893" s="1" t="n">
        <v>45826.5637037037</v>
      </c>
      <c r="C6893" s="1" t="n">
        <v>45932</v>
      </c>
      <c r="D6893" t="inlineStr">
        <is>
          <t>VÄRMLANDS LÄN</t>
        </is>
      </c>
      <c r="E6893" t="inlineStr">
        <is>
          <t>TORSBY</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62183-2022</t>
        </is>
      </c>
      <c r="B6894" s="1" t="n">
        <v>44922.55553240741</v>
      </c>
      <c r="C6894" s="1" t="n">
        <v>45932</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20236-2022</t>
        </is>
      </c>
      <c r="B6895" s="1" t="n">
        <v>44698</v>
      </c>
      <c r="C6895" s="1" t="n">
        <v>45932</v>
      </c>
      <c r="D6895" t="inlineStr">
        <is>
          <t>VÄRMLANDS LÄN</t>
        </is>
      </c>
      <c r="E6895" t="inlineStr">
        <is>
          <t>SUNNE</t>
        </is>
      </c>
      <c r="F6895" t="inlineStr">
        <is>
          <t>Övriga Aktiebolag</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20241-2022</t>
        </is>
      </c>
      <c r="B6896" s="1" t="n">
        <v>44698</v>
      </c>
      <c r="C6896" s="1" t="n">
        <v>45932</v>
      </c>
      <c r="D6896" t="inlineStr">
        <is>
          <t>VÄRMLANDS LÄN</t>
        </is>
      </c>
      <c r="E6896" t="inlineStr">
        <is>
          <t>KARLSTAD</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30411-2025</t>
        </is>
      </c>
      <c r="B6897" s="1" t="n">
        <v>45827</v>
      </c>
      <c r="C6897" s="1" t="n">
        <v>45932</v>
      </c>
      <c r="D6897" t="inlineStr">
        <is>
          <t>VÄRMLANDS LÄN</t>
        </is>
      </c>
      <c r="E6897" t="inlineStr">
        <is>
          <t>GRUMS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30447-2025</t>
        </is>
      </c>
      <c r="B6898" s="1" t="n">
        <v>45827.65681712963</v>
      </c>
      <c r="C6898" s="1" t="n">
        <v>45932</v>
      </c>
      <c r="D6898" t="inlineStr">
        <is>
          <t>VÄRMLANDS LÄN</t>
        </is>
      </c>
      <c r="E6898" t="inlineStr">
        <is>
          <t>SÄFFLE</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29964-2025</t>
        </is>
      </c>
      <c r="B6899" s="1" t="n">
        <v>45826.48462962963</v>
      </c>
      <c r="C6899" s="1" t="n">
        <v>45932</v>
      </c>
      <c r="D6899" t="inlineStr">
        <is>
          <t>VÄRMLANDS LÄN</t>
        </is>
      </c>
      <c r="E6899" t="inlineStr">
        <is>
          <t>FILIPSTAD</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1633-2025</t>
        </is>
      </c>
      <c r="B6900" s="1" t="n">
        <v>45670.63444444445</v>
      </c>
      <c r="C6900" s="1" t="n">
        <v>45932</v>
      </c>
      <c r="D6900" t="inlineStr">
        <is>
          <t>VÄRMLANDS LÄN</t>
        </is>
      </c>
      <c r="E6900" t="inlineStr">
        <is>
          <t>SUNNE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29967-2025</t>
        </is>
      </c>
      <c r="B6901" s="1" t="n">
        <v>45826.48854166667</v>
      </c>
      <c r="C6901" s="1" t="n">
        <v>45932</v>
      </c>
      <c r="D6901" t="inlineStr">
        <is>
          <t>VÄRMLANDS LÄN</t>
        </is>
      </c>
      <c r="E6901" t="inlineStr">
        <is>
          <t>SUNNE</t>
        </is>
      </c>
      <c r="F6901" t="inlineStr">
        <is>
          <t>Kyrkan</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2332-2025</t>
        </is>
      </c>
      <c r="B6902" s="1" t="n">
        <v>45673.64961805556</v>
      </c>
      <c r="C6902" s="1" t="n">
        <v>45932</v>
      </c>
      <c r="D6902" t="inlineStr">
        <is>
          <t>VÄRMLANDS LÄN</t>
        </is>
      </c>
      <c r="E6902" t="inlineStr">
        <is>
          <t>SUNNE</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13494-2025</t>
        </is>
      </c>
      <c r="B6903" s="1" t="n">
        <v>45736.4399537037</v>
      </c>
      <c r="C6903" s="1" t="n">
        <v>45932</v>
      </c>
      <c r="D6903" t="inlineStr">
        <is>
          <t>VÄRMLANDS LÄN</t>
        </is>
      </c>
      <c r="E6903" t="inlineStr">
        <is>
          <t>EDA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23027-2023</t>
        </is>
      </c>
      <c r="B6904" s="1" t="n">
        <v>45074</v>
      </c>
      <c r="C6904" s="1" t="n">
        <v>45932</v>
      </c>
      <c r="D6904" t="inlineStr">
        <is>
          <t>VÄRMLANDS LÄN</t>
        </is>
      </c>
      <c r="E6904" t="inlineStr">
        <is>
          <t>SUNNE</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30151-2025</t>
        </is>
      </c>
      <c r="B6905" s="1" t="n">
        <v>45827</v>
      </c>
      <c r="C6905" s="1" t="n">
        <v>45932</v>
      </c>
      <c r="D6905" t="inlineStr">
        <is>
          <t>VÄRMLANDS LÄN</t>
        </is>
      </c>
      <c r="E6905" t="inlineStr">
        <is>
          <t>TORSBY</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62240-2022</t>
        </is>
      </c>
      <c r="B6906" s="1" t="n">
        <v>44922</v>
      </c>
      <c r="C6906" s="1" t="n">
        <v>45932</v>
      </c>
      <c r="D6906" t="inlineStr">
        <is>
          <t>VÄRMLANDS LÄN</t>
        </is>
      </c>
      <c r="E6906" t="inlineStr">
        <is>
          <t>ÅRJÄNG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30169-2025</t>
        </is>
      </c>
      <c r="B6907" s="1" t="n">
        <v>45827.33614583333</v>
      </c>
      <c r="C6907" s="1" t="n">
        <v>45932</v>
      </c>
      <c r="D6907" t="inlineStr">
        <is>
          <t>VÄRMLANDS LÄN</t>
        </is>
      </c>
      <c r="E6907" t="inlineStr">
        <is>
          <t>FILIPSTAD</t>
        </is>
      </c>
      <c r="F6907" t="inlineStr">
        <is>
          <t>Kyrkan</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30214-2025</t>
        </is>
      </c>
      <c r="B6908" s="1" t="n">
        <v>45827</v>
      </c>
      <c r="C6908" s="1" t="n">
        <v>45932</v>
      </c>
      <c r="D6908" t="inlineStr">
        <is>
          <t>VÄRMLANDS LÄN</t>
        </is>
      </c>
      <c r="E6908" t="inlineStr">
        <is>
          <t>TORSBY</t>
        </is>
      </c>
      <c r="F6908" t="inlineStr">
        <is>
          <t>Bergvik skog väst AB</t>
        </is>
      </c>
      <c r="G6908" t="n">
        <v>13.9</v>
      </c>
      <c r="H6908" t="n">
        <v>0</v>
      </c>
      <c r="I6908" t="n">
        <v>0</v>
      </c>
      <c r="J6908" t="n">
        <v>0</v>
      </c>
      <c r="K6908" t="n">
        <v>0</v>
      </c>
      <c r="L6908" t="n">
        <v>0</v>
      </c>
      <c r="M6908" t="n">
        <v>0</v>
      </c>
      <c r="N6908" t="n">
        <v>0</v>
      </c>
      <c r="O6908" t="n">
        <v>0</v>
      </c>
      <c r="P6908" t="n">
        <v>0</v>
      </c>
      <c r="Q6908" t="n">
        <v>0</v>
      </c>
      <c r="R6908" s="2" t="inlineStr"/>
    </row>
    <row r="6909" ht="15" customHeight="1">
      <c r="A6909" t="inlineStr">
        <is>
          <t>A 30218-2025</t>
        </is>
      </c>
      <c r="B6909" s="1" t="n">
        <v>45827.37101851852</v>
      </c>
      <c r="C6909" s="1" t="n">
        <v>45932</v>
      </c>
      <c r="D6909" t="inlineStr">
        <is>
          <t>VÄRMLANDS LÄN</t>
        </is>
      </c>
      <c r="E6909" t="inlineStr">
        <is>
          <t>KRISTINEHAMN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48855-2024</t>
        </is>
      </c>
      <c r="B6910" s="1" t="n">
        <v>45593.86349537037</v>
      </c>
      <c r="C6910" s="1" t="n">
        <v>45932</v>
      </c>
      <c r="D6910" t="inlineStr">
        <is>
          <t>VÄRMLANDS LÄN</t>
        </is>
      </c>
      <c r="E6910" t="inlineStr">
        <is>
          <t>ARVIKA</t>
        </is>
      </c>
      <c r="F6910" t="inlineStr">
        <is>
          <t>Kommuner</t>
        </is>
      </c>
      <c r="G6910" t="n">
        <v>12.9</v>
      </c>
      <c r="H6910" t="n">
        <v>0</v>
      </c>
      <c r="I6910" t="n">
        <v>0</v>
      </c>
      <c r="J6910" t="n">
        <v>0</v>
      </c>
      <c r="K6910" t="n">
        <v>0</v>
      </c>
      <c r="L6910" t="n">
        <v>0</v>
      </c>
      <c r="M6910" t="n">
        <v>0</v>
      </c>
      <c r="N6910" t="n">
        <v>0</v>
      </c>
      <c r="O6910" t="n">
        <v>0</v>
      </c>
      <c r="P6910" t="n">
        <v>0</v>
      </c>
      <c r="Q6910" t="n">
        <v>0</v>
      </c>
      <c r="R6910" s="2" t="inlineStr"/>
    </row>
    <row r="6911" ht="15" customHeight="1">
      <c r="A6911" t="inlineStr">
        <is>
          <t>A 23406-2022</t>
        </is>
      </c>
      <c r="B6911" s="1" t="n">
        <v>44720</v>
      </c>
      <c r="C6911" s="1" t="n">
        <v>45932</v>
      </c>
      <c r="D6911" t="inlineStr">
        <is>
          <t>VÄRMLANDS LÄN</t>
        </is>
      </c>
      <c r="E6911" t="inlineStr">
        <is>
          <t>SUNNE</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7991-2024</t>
        </is>
      </c>
      <c r="B6912" s="1" t="n">
        <v>45350</v>
      </c>
      <c r="C6912" s="1" t="n">
        <v>45932</v>
      </c>
      <c r="D6912" t="inlineStr">
        <is>
          <t>VÄRMLANDS LÄN</t>
        </is>
      </c>
      <c r="E6912" t="inlineStr">
        <is>
          <t>GRUMS</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10493-2024</t>
        </is>
      </c>
      <c r="B6913" s="1" t="n">
        <v>45366</v>
      </c>
      <c r="C6913" s="1" t="n">
        <v>45932</v>
      </c>
      <c r="D6913" t="inlineStr">
        <is>
          <t>VÄRMLANDS LÄN</t>
        </is>
      </c>
      <c r="E6913" t="inlineStr">
        <is>
          <t>ARVIKA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9057-2022</t>
        </is>
      </c>
      <c r="B6914" s="1" t="n">
        <v>44615</v>
      </c>
      <c r="C6914" s="1" t="n">
        <v>45932</v>
      </c>
      <c r="D6914" t="inlineStr">
        <is>
          <t>VÄRMLANDS LÄN</t>
        </is>
      </c>
      <c r="E6914" t="inlineStr">
        <is>
          <t>TORSBY</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25799-2022</t>
        </is>
      </c>
      <c r="B6915" s="1" t="n">
        <v>44708</v>
      </c>
      <c r="C6915" s="1" t="n">
        <v>45932</v>
      </c>
      <c r="D6915" t="inlineStr">
        <is>
          <t>VÄRMLANDS LÄN</t>
        </is>
      </c>
      <c r="E6915" t="inlineStr">
        <is>
          <t>KARLSTAD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30333-2025</t>
        </is>
      </c>
      <c r="B6916" s="1" t="n">
        <v>45827</v>
      </c>
      <c r="C6916" s="1" t="n">
        <v>45932</v>
      </c>
      <c r="D6916" t="inlineStr">
        <is>
          <t>VÄRMLANDS LÄN</t>
        </is>
      </c>
      <c r="E6916" t="inlineStr">
        <is>
          <t>TORSBY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8942-2022</t>
        </is>
      </c>
      <c r="B6917" s="1" t="n">
        <v>44614.7774537037</v>
      </c>
      <c r="C6917" s="1" t="n">
        <v>45932</v>
      </c>
      <c r="D6917" t="inlineStr">
        <is>
          <t>VÄRMLANDS LÄN</t>
        </is>
      </c>
      <c r="E6917" t="inlineStr">
        <is>
          <t>EDA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60701-2024</t>
        </is>
      </c>
      <c r="B6918" s="1" t="n">
        <v>45644.48877314815</v>
      </c>
      <c r="C6918" s="1" t="n">
        <v>45932</v>
      </c>
      <c r="D6918" t="inlineStr">
        <is>
          <t>VÄRMLANDS LÄN</t>
        </is>
      </c>
      <c r="E6918" t="inlineStr">
        <is>
          <t>SUNNE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48014-2023</t>
        </is>
      </c>
      <c r="B6919" s="1" t="n">
        <v>45198</v>
      </c>
      <c r="C6919" s="1" t="n">
        <v>45932</v>
      </c>
      <c r="D6919" t="inlineStr">
        <is>
          <t>VÄRMLANDS LÄN</t>
        </is>
      </c>
      <c r="E6919" t="inlineStr">
        <is>
          <t>ÅRJÄNG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8269-2025</t>
        </is>
      </c>
      <c r="B6920" s="1" t="n">
        <v>45708</v>
      </c>
      <c r="C6920" s="1" t="n">
        <v>45932</v>
      </c>
      <c r="D6920" t="inlineStr">
        <is>
          <t>VÄRMLANDS LÄN</t>
        </is>
      </c>
      <c r="E6920" t="inlineStr">
        <is>
          <t>STORFORS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29937-2025</t>
        </is>
      </c>
      <c r="B6921" s="1" t="n">
        <v>45826.44768518519</v>
      </c>
      <c r="C6921" s="1" t="n">
        <v>45932</v>
      </c>
      <c r="D6921" t="inlineStr">
        <is>
          <t>VÄRMLANDS LÄN</t>
        </is>
      </c>
      <c r="E6921" t="inlineStr">
        <is>
          <t>ARVIKA</t>
        </is>
      </c>
      <c r="F6921" t="inlineStr">
        <is>
          <t>Bergvik skog väst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29949-2025</t>
        </is>
      </c>
      <c r="B6922" s="1" t="n">
        <v>45826.46570601852</v>
      </c>
      <c r="C6922" s="1" t="n">
        <v>45932</v>
      </c>
      <c r="D6922" t="inlineStr">
        <is>
          <t>VÄRMLANDS LÄN</t>
        </is>
      </c>
      <c r="E6922" t="inlineStr">
        <is>
          <t>HAGFORS</t>
        </is>
      </c>
      <c r="F6922" t="inlineStr">
        <is>
          <t>Bergvik skog väst AB</t>
        </is>
      </c>
      <c r="G6922" t="n">
        <v>15.9</v>
      </c>
      <c r="H6922" t="n">
        <v>0</v>
      </c>
      <c r="I6922" t="n">
        <v>0</v>
      </c>
      <c r="J6922" t="n">
        <v>0</v>
      </c>
      <c r="K6922" t="n">
        <v>0</v>
      </c>
      <c r="L6922" t="n">
        <v>0</v>
      </c>
      <c r="M6922" t="n">
        <v>0</v>
      </c>
      <c r="N6922" t="n">
        <v>0</v>
      </c>
      <c r="O6922" t="n">
        <v>0</v>
      </c>
      <c r="P6922" t="n">
        <v>0</v>
      </c>
      <c r="Q6922" t="n">
        <v>0</v>
      </c>
      <c r="R6922" s="2" t="inlineStr"/>
    </row>
    <row r="6923" ht="15" customHeight="1">
      <c r="A6923" t="inlineStr">
        <is>
          <t>A 47343-2023</t>
        </is>
      </c>
      <c r="B6923" s="1" t="n">
        <v>45202.56621527778</v>
      </c>
      <c r="C6923" s="1" t="n">
        <v>45932</v>
      </c>
      <c r="D6923" t="inlineStr">
        <is>
          <t>VÄRMLANDS LÄN</t>
        </is>
      </c>
      <c r="E6923" t="inlineStr">
        <is>
          <t>ARVIKA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47368-2023</t>
        </is>
      </c>
      <c r="B6924" s="1" t="n">
        <v>45202.60193287037</v>
      </c>
      <c r="C6924" s="1" t="n">
        <v>45932</v>
      </c>
      <c r="D6924" t="inlineStr">
        <is>
          <t>VÄRMLANDS LÄN</t>
        </is>
      </c>
      <c r="E6924" t="inlineStr">
        <is>
          <t>KRISTINEHAMN</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47380-2023</t>
        </is>
      </c>
      <c r="B6925" s="1" t="n">
        <v>45202.61791666667</v>
      </c>
      <c r="C6925" s="1" t="n">
        <v>45932</v>
      </c>
      <c r="D6925" t="inlineStr">
        <is>
          <t>VÄRMLANDS LÄN</t>
        </is>
      </c>
      <c r="E6925" t="inlineStr">
        <is>
          <t>ARVIKA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29958-2025</t>
        </is>
      </c>
      <c r="B6926" s="1" t="n">
        <v>45826.47554398148</v>
      </c>
      <c r="C6926" s="1" t="n">
        <v>45932</v>
      </c>
      <c r="D6926" t="inlineStr">
        <is>
          <t>VÄRMLANDS LÄN</t>
        </is>
      </c>
      <c r="E6926" t="inlineStr">
        <is>
          <t>HAGFORS</t>
        </is>
      </c>
      <c r="F6926" t="inlineStr">
        <is>
          <t>Bergvik skog väst AB</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29961-2025</t>
        </is>
      </c>
      <c r="B6927" s="1" t="n">
        <v>45826.48171296297</v>
      </c>
      <c r="C6927" s="1" t="n">
        <v>45932</v>
      </c>
      <c r="D6927" t="inlineStr">
        <is>
          <t>VÄRMLANDS LÄN</t>
        </is>
      </c>
      <c r="E6927" t="inlineStr">
        <is>
          <t>SÄFFLE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30604-2025</t>
        </is>
      </c>
      <c r="B6928" s="1" t="n">
        <v>45831.45185185185</v>
      </c>
      <c r="C6928" s="1" t="n">
        <v>45932</v>
      </c>
      <c r="D6928" t="inlineStr">
        <is>
          <t>VÄRMLANDS LÄN</t>
        </is>
      </c>
      <c r="E6928" t="inlineStr">
        <is>
          <t>ÅRJÄNG</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30607-2025</t>
        </is>
      </c>
      <c r="B6929" s="1" t="n">
        <v>45831.4584375</v>
      </c>
      <c r="C6929" s="1" t="n">
        <v>45932</v>
      </c>
      <c r="D6929" t="inlineStr">
        <is>
          <t>VÄRMLANDS LÄN</t>
        </is>
      </c>
      <c r="E6929" t="inlineStr">
        <is>
          <t>TORSBY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50346-2023</t>
        </is>
      </c>
      <c r="B6930" s="1" t="n">
        <v>45216.57738425926</v>
      </c>
      <c r="C6930" s="1" t="n">
        <v>45932</v>
      </c>
      <c r="D6930" t="inlineStr">
        <is>
          <t>VÄRMLANDS LÄN</t>
        </is>
      </c>
      <c r="E6930" t="inlineStr">
        <is>
          <t>SUNNE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49-2025</t>
        </is>
      </c>
      <c r="B6931" s="1" t="n">
        <v>45659</v>
      </c>
      <c r="C6931" s="1" t="n">
        <v>45932</v>
      </c>
      <c r="D6931" t="inlineStr">
        <is>
          <t>VÄRMLANDS LÄN</t>
        </is>
      </c>
      <c r="E6931" t="inlineStr">
        <is>
          <t>ARVIKA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14146-2025</t>
        </is>
      </c>
      <c r="B6932" s="1" t="n">
        <v>45740</v>
      </c>
      <c r="C6932" s="1" t="n">
        <v>45932</v>
      </c>
      <c r="D6932" t="inlineStr">
        <is>
          <t>VÄRMLANDS LÄN</t>
        </is>
      </c>
      <c r="E6932" t="inlineStr">
        <is>
          <t>SÄFFLE</t>
        </is>
      </c>
      <c r="F6932" t="inlineStr">
        <is>
          <t>Bergvik skog väst AB</t>
        </is>
      </c>
      <c r="G6932" t="n">
        <v>8.6</v>
      </c>
      <c r="H6932" t="n">
        <v>0</v>
      </c>
      <c r="I6932" t="n">
        <v>0</v>
      </c>
      <c r="J6932" t="n">
        <v>0</v>
      </c>
      <c r="K6932" t="n">
        <v>0</v>
      </c>
      <c r="L6932" t="n">
        <v>0</v>
      </c>
      <c r="M6932" t="n">
        <v>0</v>
      </c>
      <c r="N6932" t="n">
        <v>0</v>
      </c>
      <c r="O6932" t="n">
        <v>0</v>
      </c>
      <c r="P6932" t="n">
        <v>0</v>
      </c>
      <c r="Q6932" t="n">
        <v>0</v>
      </c>
      <c r="R6932" s="2" t="inlineStr"/>
    </row>
    <row r="6933" ht="15" customHeight="1">
      <c r="A6933" t="inlineStr">
        <is>
          <t>A 30584-2025</t>
        </is>
      </c>
      <c r="B6933" s="1" t="n">
        <v>45831</v>
      </c>
      <c r="C6933" s="1" t="n">
        <v>45932</v>
      </c>
      <c r="D6933" t="inlineStr">
        <is>
          <t>VÄRMLANDS LÄN</t>
        </is>
      </c>
      <c r="E6933" t="inlineStr">
        <is>
          <t>KIL</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30637-2025</t>
        </is>
      </c>
      <c r="B6934" s="1" t="n">
        <v>45831.48282407408</v>
      </c>
      <c r="C6934" s="1" t="n">
        <v>45932</v>
      </c>
      <c r="D6934" t="inlineStr">
        <is>
          <t>VÄRMLANDS LÄN</t>
        </is>
      </c>
      <c r="E6934" t="inlineStr">
        <is>
          <t>HAGFORS</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13189-2025</t>
        </is>
      </c>
      <c r="B6935" s="1" t="n">
        <v>45735.39708333334</v>
      </c>
      <c r="C6935" s="1" t="n">
        <v>45932</v>
      </c>
      <c r="D6935" t="inlineStr">
        <is>
          <t>VÄRMLANDS LÄN</t>
        </is>
      </c>
      <c r="E6935" t="inlineStr">
        <is>
          <t>TORSBY</t>
        </is>
      </c>
      <c r="G6935" t="n">
        <v>15.4</v>
      </c>
      <c r="H6935" t="n">
        <v>0</v>
      </c>
      <c r="I6935" t="n">
        <v>0</v>
      </c>
      <c r="J6935" t="n">
        <v>0</v>
      </c>
      <c r="K6935" t="n">
        <v>0</v>
      </c>
      <c r="L6935" t="n">
        <v>0</v>
      </c>
      <c r="M6935" t="n">
        <v>0</v>
      </c>
      <c r="N6935" t="n">
        <v>0</v>
      </c>
      <c r="O6935" t="n">
        <v>0</v>
      </c>
      <c r="P6935" t="n">
        <v>0</v>
      </c>
      <c r="Q6935" t="n">
        <v>0</v>
      </c>
      <c r="R6935" s="2" t="inlineStr"/>
    </row>
    <row r="6936" ht="15" customHeight="1">
      <c r="A6936" t="inlineStr">
        <is>
          <t>A 27329-2021</t>
        </is>
      </c>
      <c r="B6936" s="1" t="n">
        <v>44351</v>
      </c>
      <c r="C6936" s="1" t="n">
        <v>45932</v>
      </c>
      <c r="D6936" t="inlineStr">
        <is>
          <t>VÄRMLANDS LÄN</t>
        </is>
      </c>
      <c r="E6936" t="inlineStr">
        <is>
          <t>ARVIKA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28627-2023</t>
        </is>
      </c>
      <c r="B6937" s="1" t="n">
        <v>45103</v>
      </c>
      <c r="C6937" s="1" t="n">
        <v>45932</v>
      </c>
      <c r="D6937" t="inlineStr">
        <is>
          <t>VÄRMLANDS LÄN</t>
        </is>
      </c>
      <c r="E6937" t="inlineStr">
        <is>
          <t>ARVIKA</t>
        </is>
      </c>
      <c r="F6937" t="inlineStr">
        <is>
          <t>Bergvik skog väst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28654-2023</t>
        </is>
      </c>
      <c r="B6938" s="1" t="n">
        <v>45103</v>
      </c>
      <c r="C6938" s="1" t="n">
        <v>45932</v>
      </c>
      <c r="D6938" t="inlineStr">
        <is>
          <t>VÄRMLANDS LÄN</t>
        </is>
      </c>
      <c r="E6938" t="inlineStr">
        <is>
          <t>HAGFORS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44860-2022</t>
        </is>
      </c>
      <c r="B6939" s="1" t="n">
        <v>44841</v>
      </c>
      <c r="C6939" s="1" t="n">
        <v>45932</v>
      </c>
      <c r="D6939" t="inlineStr">
        <is>
          <t>VÄRMLANDS LÄN</t>
        </is>
      </c>
      <c r="E6939" t="inlineStr">
        <is>
          <t>SUNNE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37666-2023</t>
        </is>
      </c>
      <c r="B6940" s="1" t="n">
        <v>45159</v>
      </c>
      <c r="C6940" s="1" t="n">
        <v>45932</v>
      </c>
      <c r="D6940" t="inlineStr">
        <is>
          <t>VÄRMLANDS LÄN</t>
        </is>
      </c>
      <c r="E6940" t="inlineStr">
        <is>
          <t>SUNNE</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30563-2025</t>
        </is>
      </c>
      <c r="B6941" s="1" t="n">
        <v>45831.40098379629</v>
      </c>
      <c r="C6941" s="1" t="n">
        <v>45932</v>
      </c>
      <c r="D6941" t="inlineStr">
        <is>
          <t>VÄRMLANDS LÄN</t>
        </is>
      </c>
      <c r="E6941" t="inlineStr">
        <is>
          <t>GRUMS</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30717-2025</t>
        </is>
      </c>
      <c r="B6942" s="1" t="n">
        <v>45831.56103009259</v>
      </c>
      <c r="C6942" s="1" t="n">
        <v>45932</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30768-2025</t>
        </is>
      </c>
      <c r="B6943" s="1" t="n">
        <v>45831</v>
      </c>
      <c r="C6943" s="1" t="n">
        <v>45932</v>
      </c>
      <c r="D6943" t="inlineStr">
        <is>
          <t>VÄRMLANDS LÄN</t>
        </is>
      </c>
      <c r="E6943" t="inlineStr">
        <is>
          <t>SÄFFLE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30769-2025</t>
        </is>
      </c>
      <c r="B6944" s="1" t="n">
        <v>45831.60834490741</v>
      </c>
      <c r="C6944" s="1" t="n">
        <v>45932</v>
      </c>
      <c r="D6944" t="inlineStr">
        <is>
          <t>VÄRMLANDS LÄN</t>
        </is>
      </c>
      <c r="E6944" t="inlineStr">
        <is>
          <t>HAGFORS</t>
        </is>
      </c>
      <c r="F6944" t="inlineStr">
        <is>
          <t>Bergvik skog väst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30777-2025</t>
        </is>
      </c>
      <c r="B6945" s="1" t="n">
        <v>45831</v>
      </c>
      <c r="C6945" s="1" t="n">
        <v>45932</v>
      </c>
      <c r="D6945" t="inlineStr">
        <is>
          <t>VÄRMLANDS LÄN</t>
        </is>
      </c>
      <c r="E6945" t="inlineStr">
        <is>
          <t>ARVIKA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30796-2025</t>
        </is>
      </c>
      <c r="B6946" s="1" t="n">
        <v>45831</v>
      </c>
      <c r="C6946" s="1" t="n">
        <v>45932</v>
      </c>
      <c r="D6946" t="inlineStr">
        <is>
          <t>VÄRMLANDS LÄN</t>
        </is>
      </c>
      <c r="E6946" t="inlineStr">
        <is>
          <t>ARVIKA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30729-2025</t>
        </is>
      </c>
      <c r="B6947" s="1" t="n">
        <v>45831.57122685185</v>
      </c>
      <c r="C6947" s="1" t="n">
        <v>45932</v>
      </c>
      <c r="D6947" t="inlineStr">
        <is>
          <t>VÄRMLANDS LÄN</t>
        </is>
      </c>
      <c r="E6947" t="inlineStr">
        <is>
          <t>FILIPSTAD</t>
        </is>
      </c>
      <c r="F6947" t="inlineStr">
        <is>
          <t>Bergvik skog väst AB</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31111-2025</t>
        </is>
      </c>
      <c r="B6948" s="1" t="n">
        <v>45831</v>
      </c>
      <c r="C6948" s="1" t="n">
        <v>45932</v>
      </c>
      <c r="D6948" t="inlineStr">
        <is>
          <t>VÄRMLANDS LÄN</t>
        </is>
      </c>
      <c r="E6948" t="inlineStr">
        <is>
          <t>ÅRJÄNG</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30505-2025</t>
        </is>
      </c>
      <c r="B6949" s="1" t="n">
        <v>45831.24026620371</v>
      </c>
      <c r="C6949" s="1" t="n">
        <v>45932</v>
      </c>
      <c r="D6949" t="inlineStr">
        <is>
          <t>VÄRMLANDS LÄN</t>
        </is>
      </c>
      <c r="E6949" t="inlineStr">
        <is>
          <t>SÄFFLE</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6403-2023</t>
        </is>
      </c>
      <c r="B6950" s="1" t="n">
        <v>44965</v>
      </c>
      <c r="C6950" s="1" t="n">
        <v>45932</v>
      </c>
      <c r="D6950" t="inlineStr">
        <is>
          <t>VÄRMLANDS LÄN</t>
        </is>
      </c>
      <c r="E6950" t="inlineStr">
        <is>
          <t>SUNNE</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30682-2025</t>
        </is>
      </c>
      <c r="B6951" s="1" t="n">
        <v>45831.53013888889</v>
      </c>
      <c r="C6951" s="1" t="n">
        <v>45932</v>
      </c>
      <c r="D6951" t="inlineStr">
        <is>
          <t>VÄRMLANDS LÄN</t>
        </is>
      </c>
      <c r="E6951" t="inlineStr">
        <is>
          <t>HAGFORS</t>
        </is>
      </c>
      <c r="F6951" t="inlineStr">
        <is>
          <t>Bergvik skog väst AB</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30506-2025</t>
        </is>
      </c>
      <c r="B6952" s="1" t="n">
        <v>45831.24456018519</v>
      </c>
      <c r="C6952" s="1" t="n">
        <v>45932</v>
      </c>
      <c r="D6952" t="inlineStr">
        <is>
          <t>VÄRMLANDS LÄN</t>
        </is>
      </c>
      <c r="E6952" t="inlineStr">
        <is>
          <t>SÄFFLE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24521-2024</t>
        </is>
      </c>
      <c r="B6953" s="1" t="n">
        <v>45460</v>
      </c>
      <c r="C6953" s="1" t="n">
        <v>45932</v>
      </c>
      <c r="D6953" t="inlineStr">
        <is>
          <t>VÄRMLANDS LÄN</t>
        </is>
      </c>
      <c r="E6953" t="inlineStr">
        <is>
          <t>SUNNE</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30778-2025</t>
        </is>
      </c>
      <c r="B6954" s="1" t="n">
        <v>45831.62034722222</v>
      </c>
      <c r="C6954" s="1" t="n">
        <v>45932</v>
      </c>
      <c r="D6954" t="inlineStr">
        <is>
          <t>VÄRMLANDS LÄN</t>
        </is>
      </c>
      <c r="E6954" t="inlineStr">
        <is>
          <t>HAGFORS</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30782-2025</t>
        </is>
      </c>
      <c r="B6955" s="1" t="n">
        <v>45831.62445601852</v>
      </c>
      <c r="C6955" s="1" t="n">
        <v>45932</v>
      </c>
      <c r="D6955" t="inlineStr">
        <is>
          <t>VÄRMLANDS LÄN</t>
        </is>
      </c>
      <c r="E6955" t="inlineStr">
        <is>
          <t>ARVIKA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3326-2024</t>
        </is>
      </c>
      <c r="B6956" s="1" t="n">
        <v>45317</v>
      </c>
      <c r="C6956" s="1" t="n">
        <v>45932</v>
      </c>
      <c r="D6956" t="inlineStr">
        <is>
          <t>VÄRMLANDS LÄN</t>
        </is>
      </c>
      <c r="E6956" t="inlineStr">
        <is>
          <t>TORSBY</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30793-2025</t>
        </is>
      </c>
      <c r="B6957" s="1" t="n">
        <v>45831.63668981481</v>
      </c>
      <c r="C6957" s="1" t="n">
        <v>45932</v>
      </c>
      <c r="D6957" t="inlineStr">
        <is>
          <t>VÄRMLANDS LÄN</t>
        </is>
      </c>
      <c r="E6957" t="inlineStr">
        <is>
          <t>ARVIKA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37765-2023</t>
        </is>
      </c>
      <c r="B6958" s="1" t="n">
        <v>45159</v>
      </c>
      <c r="C6958" s="1" t="n">
        <v>45932</v>
      </c>
      <c r="D6958" t="inlineStr">
        <is>
          <t>VÄRMLANDS LÄN</t>
        </is>
      </c>
      <c r="E6958" t="inlineStr">
        <is>
          <t>ÅRJÄNG</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30508-2025</t>
        </is>
      </c>
      <c r="B6959" s="1" t="n">
        <v>45831.24898148148</v>
      </c>
      <c r="C6959" s="1" t="n">
        <v>45932</v>
      </c>
      <c r="D6959" t="inlineStr">
        <is>
          <t>VÄRMLANDS LÄN</t>
        </is>
      </c>
      <c r="E6959" t="inlineStr">
        <is>
          <t>SÄFFLE</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30825-2025</t>
        </is>
      </c>
      <c r="B6960" s="1" t="n">
        <v>45831</v>
      </c>
      <c r="C6960" s="1" t="n">
        <v>45932</v>
      </c>
      <c r="D6960" t="inlineStr">
        <is>
          <t>VÄRMLANDS LÄN</t>
        </is>
      </c>
      <c r="E6960" t="inlineStr">
        <is>
          <t>SÄFFLE</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30853-2025</t>
        </is>
      </c>
      <c r="B6961" s="1" t="n">
        <v>45831</v>
      </c>
      <c r="C6961" s="1" t="n">
        <v>45932</v>
      </c>
      <c r="D6961" t="inlineStr">
        <is>
          <t>VÄRMLANDS LÄN</t>
        </is>
      </c>
      <c r="E6961" t="inlineStr">
        <is>
          <t>FORSHAGA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269-2025</t>
        </is>
      </c>
      <c r="B6962" s="1" t="n">
        <v>45660</v>
      </c>
      <c r="C6962" s="1" t="n">
        <v>45932</v>
      </c>
      <c r="D6962" t="inlineStr">
        <is>
          <t>VÄRMLANDS LÄN</t>
        </is>
      </c>
      <c r="E6962" t="inlineStr">
        <is>
          <t>SUNNE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6562-2023</t>
        </is>
      </c>
      <c r="B6963" s="1" t="n">
        <v>44966</v>
      </c>
      <c r="C6963" s="1" t="n">
        <v>45932</v>
      </c>
      <c r="D6963" t="inlineStr">
        <is>
          <t>VÄRMLANDS LÄN</t>
        </is>
      </c>
      <c r="E6963" t="inlineStr">
        <is>
          <t>ÅRJÄNG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31794-2023</t>
        </is>
      </c>
      <c r="B6964" s="1" t="n">
        <v>45118.43856481482</v>
      </c>
      <c r="C6964" s="1" t="n">
        <v>45932</v>
      </c>
      <c r="D6964" t="inlineStr">
        <is>
          <t>VÄRMLANDS LÄN</t>
        </is>
      </c>
      <c r="E6964" t="inlineStr">
        <is>
          <t>ÅRJÄNG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31860-2023</t>
        </is>
      </c>
      <c r="B6965" s="1" t="n">
        <v>45106</v>
      </c>
      <c r="C6965" s="1" t="n">
        <v>45932</v>
      </c>
      <c r="D6965" t="inlineStr">
        <is>
          <t>VÄRMLANDS LÄN</t>
        </is>
      </c>
      <c r="E6965" t="inlineStr">
        <is>
          <t>EDA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30579-2025</t>
        </is>
      </c>
      <c r="B6966" s="1" t="n">
        <v>45831.41965277777</v>
      </c>
      <c r="C6966" s="1" t="n">
        <v>45932</v>
      </c>
      <c r="D6966" t="inlineStr">
        <is>
          <t>VÄRMLANDS LÄN</t>
        </is>
      </c>
      <c r="E6966" t="inlineStr">
        <is>
          <t>ÅRJÄNG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47456-2023</t>
        </is>
      </c>
      <c r="B6967" s="1" t="n">
        <v>45202</v>
      </c>
      <c r="C6967" s="1" t="n">
        <v>45932</v>
      </c>
      <c r="D6967" t="inlineStr">
        <is>
          <t>VÄRMLANDS LÄN</t>
        </is>
      </c>
      <c r="E6967" t="inlineStr">
        <is>
          <t>SUNNE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283-2025</t>
        </is>
      </c>
      <c r="B6968" s="1" t="n">
        <v>45656</v>
      </c>
      <c r="C6968" s="1" t="n">
        <v>45932</v>
      </c>
      <c r="D6968" t="inlineStr">
        <is>
          <t>VÄRMLANDS LÄN</t>
        </is>
      </c>
      <c r="E6968" t="inlineStr">
        <is>
          <t>ÅRJÄNG</t>
        </is>
      </c>
      <c r="F6968" t="inlineStr">
        <is>
          <t>Övriga Aktiebolag</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301-2025</t>
        </is>
      </c>
      <c r="B6969" s="1" t="n">
        <v>45660.56</v>
      </c>
      <c r="C6969" s="1" t="n">
        <v>45932</v>
      </c>
      <c r="D6969" t="inlineStr">
        <is>
          <t>VÄRMLANDS LÄN</t>
        </is>
      </c>
      <c r="E6969" t="inlineStr">
        <is>
          <t>ÅRJÄNG</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47467-2023</t>
        </is>
      </c>
      <c r="B6970" s="1" t="n">
        <v>45202.90619212963</v>
      </c>
      <c r="C6970" s="1" t="n">
        <v>45932</v>
      </c>
      <c r="D6970" t="inlineStr">
        <is>
          <t>VÄRMLANDS LÄN</t>
        </is>
      </c>
      <c r="E6970" t="inlineStr">
        <is>
          <t>KRISTINEHAMN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30560-2025</t>
        </is>
      </c>
      <c r="B6971" s="1" t="n">
        <v>45831.39497685185</v>
      </c>
      <c r="C6971" s="1" t="n">
        <v>45932</v>
      </c>
      <c r="D6971" t="inlineStr">
        <is>
          <t>VÄRMLANDS LÄN</t>
        </is>
      </c>
      <c r="E6971" t="inlineStr">
        <is>
          <t>TORSBY</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19271-2025</t>
        </is>
      </c>
      <c r="B6972" s="1" t="n">
        <v>45769</v>
      </c>
      <c r="C6972" s="1" t="n">
        <v>45932</v>
      </c>
      <c r="D6972" t="inlineStr">
        <is>
          <t>VÄRMLANDS LÄN</t>
        </is>
      </c>
      <c r="E6972" t="inlineStr">
        <is>
          <t>SÄFFLE</t>
        </is>
      </c>
      <c r="F6972" t="inlineStr">
        <is>
          <t>Bergvik skog väst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46957-2024</t>
        </is>
      </c>
      <c r="B6973" s="1" t="n">
        <v>45586</v>
      </c>
      <c r="C6973" s="1" t="n">
        <v>45932</v>
      </c>
      <c r="D6973" t="inlineStr">
        <is>
          <t>VÄRMLANDS LÄN</t>
        </is>
      </c>
      <c r="E6973" t="inlineStr">
        <is>
          <t>ÅRJÄNG</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30658-2025</t>
        </is>
      </c>
      <c r="B6974" s="1" t="n">
        <v>45831.5072337963</v>
      </c>
      <c r="C6974" s="1" t="n">
        <v>45932</v>
      </c>
      <c r="D6974" t="inlineStr">
        <is>
          <t>VÄRMLANDS LÄN</t>
        </is>
      </c>
      <c r="E6974" t="inlineStr">
        <is>
          <t>ÅRJÄNG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26201-2024</t>
        </is>
      </c>
      <c r="B6975" s="1" t="n">
        <v>45468</v>
      </c>
      <c r="C6975" s="1" t="n">
        <v>45932</v>
      </c>
      <c r="D6975" t="inlineStr">
        <is>
          <t>VÄRMLANDS LÄN</t>
        </is>
      </c>
      <c r="E6975" t="inlineStr">
        <is>
          <t>STORFORS</t>
        </is>
      </c>
      <c r="F6975" t="inlineStr">
        <is>
          <t>Bergvik skog väst AB</t>
        </is>
      </c>
      <c r="G6975" t="n">
        <v>25.4</v>
      </c>
      <c r="H6975" t="n">
        <v>0</v>
      </c>
      <c r="I6975" t="n">
        <v>0</v>
      </c>
      <c r="J6975" t="n">
        <v>0</v>
      </c>
      <c r="K6975" t="n">
        <v>0</v>
      </c>
      <c r="L6975" t="n">
        <v>0</v>
      </c>
      <c r="M6975" t="n">
        <v>0</v>
      </c>
      <c r="N6975" t="n">
        <v>0</v>
      </c>
      <c r="O6975" t="n">
        <v>0</v>
      </c>
      <c r="P6975" t="n">
        <v>0</v>
      </c>
      <c r="Q6975" t="n">
        <v>0</v>
      </c>
      <c r="R6975" s="2" t="inlineStr"/>
    </row>
    <row r="6976" ht="15" customHeight="1">
      <c r="A6976" t="inlineStr">
        <is>
          <t>A 1170-2023</t>
        </is>
      </c>
      <c r="B6976" s="1" t="n">
        <v>44935</v>
      </c>
      <c r="C6976" s="1" t="n">
        <v>45932</v>
      </c>
      <c r="D6976" t="inlineStr">
        <is>
          <t>VÄRMLANDS LÄN</t>
        </is>
      </c>
      <c r="E6976" t="inlineStr">
        <is>
          <t>FILIPSTAD</t>
        </is>
      </c>
      <c r="F6976" t="inlineStr">
        <is>
          <t>Bergvik skog väst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36438-2022</t>
        </is>
      </c>
      <c r="B6977" s="1" t="n">
        <v>44804.37699074074</v>
      </c>
      <c r="C6977" s="1" t="n">
        <v>45932</v>
      </c>
      <c r="D6977" t="inlineStr">
        <is>
          <t>VÄRMLANDS LÄN</t>
        </is>
      </c>
      <c r="E6977" t="inlineStr">
        <is>
          <t>EDA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30735-2025</t>
        </is>
      </c>
      <c r="B6978" s="1" t="n">
        <v>45831.57479166667</v>
      </c>
      <c r="C6978" s="1" t="n">
        <v>45932</v>
      </c>
      <c r="D6978" t="inlineStr">
        <is>
          <t>VÄRMLANDS LÄN</t>
        </is>
      </c>
      <c r="E6978" t="inlineStr">
        <is>
          <t>TORSBY</t>
        </is>
      </c>
      <c r="F6978" t="inlineStr">
        <is>
          <t>Bergvik skog väst AB</t>
        </is>
      </c>
      <c r="G6978" t="n">
        <v>11.2</v>
      </c>
      <c r="H6978" t="n">
        <v>0</v>
      </c>
      <c r="I6978" t="n">
        <v>0</v>
      </c>
      <c r="J6978" t="n">
        <v>0</v>
      </c>
      <c r="K6978" t="n">
        <v>0</v>
      </c>
      <c r="L6978" t="n">
        <v>0</v>
      </c>
      <c r="M6978" t="n">
        <v>0</v>
      </c>
      <c r="N6978" t="n">
        <v>0</v>
      </c>
      <c r="O6978" t="n">
        <v>0</v>
      </c>
      <c r="P6978" t="n">
        <v>0</v>
      </c>
      <c r="Q6978" t="n">
        <v>0</v>
      </c>
      <c r="R6978" s="2" t="inlineStr"/>
    </row>
    <row r="6979" ht="15" customHeight="1">
      <c r="A6979" t="inlineStr">
        <is>
          <t>A 1200-2023</t>
        </is>
      </c>
      <c r="B6979" s="1" t="n">
        <v>44935</v>
      </c>
      <c r="C6979" s="1" t="n">
        <v>45932</v>
      </c>
      <c r="D6979" t="inlineStr">
        <is>
          <t>VÄRMLANDS LÄN</t>
        </is>
      </c>
      <c r="E6979" t="inlineStr">
        <is>
          <t>ÅRJÄNG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30761-2025</t>
        </is>
      </c>
      <c r="B6980" s="1" t="n">
        <v>45831</v>
      </c>
      <c r="C6980" s="1" t="n">
        <v>45932</v>
      </c>
      <c r="D6980" t="inlineStr">
        <is>
          <t>VÄRMLANDS LÄN</t>
        </is>
      </c>
      <c r="E6980" t="inlineStr">
        <is>
          <t>ÅRJÄNG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30738-2025</t>
        </is>
      </c>
      <c r="B6981" s="1" t="n">
        <v>45831.57583333334</v>
      </c>
      <c r="C6981" s="1" t="n">
        <v>45932</v>
      </c>
      <c r="D6981" t="inlineStr">
        <is>
          <t>VÄRMLANDS LÄN</t>
        </is>
      </c>
      <c r="E6981" t="inlineStr">
        <is>
          <t>TORSBY</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56466-2024</t>
        </is>
      </c>
      <c r="B6982" s="1" t="n">
        <v>45625.45358796296</v>
      </c>
      <c r="C6982" s="1" t="n">
        <v>45932</v>
      </c>
      <c r="D6982" t="inlineStr">
        <is>
          <t>VÄRMLANDS LÄN</t>
        </is>
      </c>
      <c r="E6982" t="inlineStr">
        <is>
          <t>HAGFORS</t>
        </is>
      </c>
      <c r="F6982" t="inlineStr">
        <is>
          <t>Bergvik skog väst AB</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7619-2023</t>
        </is>
      </c>
      <c r="B6983" s="1" t="n">
        <v>44967</v>
      </c>
      <c r="C6983" s="1" t="n">
        <v>45932</v>
      </c>
      <c r="D6983" t="inlineStr">
        <is>
          <t>VÄRMLANDS LÄN</t>
        </is>
      </c>
      <c r="E6983" t="inlineStr">
        <is>
          <t>ÅRJÄNG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7646-2023</t>
        </is>
      </c>
      <c r="B6984" s="1" t="n">
        <v>44972</v>
      </c>
      <c r="C6984" s="1" t="n">
        <v>45932</v>
      </c>
      <c r="D6984" t="inlineStr">
        <is>
          <t>VÄRMLANDS LÄN</t>
        </is>
      </c>
      <c r="E6984" t="inlineStr">
        <is>
          <t>MUNKFORS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18339-2024</t>
        </is>
      </c>
      <c r="B6985" s="1" t="n">
        <v>45422.58119212963</v>
      </c>
      <c r="C6985" s="1" t="n">
        <v>45932</v>
      </c>
      <c r="D6985" t="inlineStr">
        <is>
          <t>VÄRMLANDS LÄN</t>
        </is>
      </c>
      <c r="E6985" t="inlineStr">
        <is>
          <t>TORSBY</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30611-2025</t>
        </is>
      </c>
      <c r="B6986" s="1" t="n">
        <v>45831.46104166667</v>
      </c>
      <c r="C6986" s="1" t="n">
        <v>45932</v>
      </c>
      <c r="D6986" t="inlineStr">
        <is>
          <t>VÄRMLANDS LÄN</t>
        </is>
      </c>
      <c r="E6986" t="inlineStr">
        <is>
          <t>ÅRJÄNG</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31190-2025</t>
        </is>
      </c>
      <c r="B6987" s="1" t="n">
        <v>45831</v>
      </c>
      <c r="C6987" s="1" t="n">
        <v>45932</v>
      </c>
      <c r="D6987" t="inlineStr">
        <is>
          <t>VÄRMLANDS LÄN</t>
        </is>
      </c>
      <c r="E6987" t="inlineStr">
        <is>
          <t>GRUMS</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6697-2022</t>
        </is>
      </c>
      <c r="B6988" s="1" t="n">
        <v>44602.42381944445</v>
      </c>
      <c r="C6988" s="1" t="n">
        <v>45932</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6674-2025</t>
        </is>
      </c>
      <c r="B6989" s="1" t="n">
        <v>45700</v>
      </c>
      <c r="C6989" s="1" t="n">
        <v>45932</v>
      </c>
      <c r="D6989" t="inlineStr">
        <is>
          <t>VÄRMLANDS LÄN</t>
        </is>
      </c>
      <c r="E6989" t="inlineStr">
        <is>
          <t>FILIPSTAD</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3760-2023</t>
        </is>
      </c>
      <c r="B6990" s="1" t="n">
        <v>44951</v>
      </c>
      <c r="C6990" s="1" t="n">
        <v>45932</v>
      </c>
      <c r="D6990" t="inlineStr">
        <is>
          <t>VÄRMLANDS LÄN</t>
        </is>
      </c>
      <c r="E6990" t="inlineStr">
        <is>
          <t>ARVIKA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44896-2021</t>
        </is>
      </c>
      <c r="B6991" s="1" t="n">
        <v>44438</v>
      </c>
      <c r="C6991" s="1" t="n">
        <v>45932</v>
      </c>
      <c r="D6991" t="inlineStr">
        <is>
          <t>VÄRMLANDS LÄN</t>
        </is>
      </c>
      <c r="E6991" t="inlineStr">
        <is>
          <t>SUNNE</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55885-2024</t>
        </is>
      </c>
      <c r="B6992" s="1" t="n">
        <v>45623</v>
      </c>
      <c r="C6992" s="1" t="n">
        <v>45932</v>
      </c>
      <c r="D6992" t="inlineStr">
        <is>
          <t>VÄRMLANDS LÄN</t>
        </is>
      </c>
      <c r="E6992" t="inlineStr">
        <is>
          <t>KARLSTAD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39229-2021</t>
        </is>
      </c>
      <c r="B6993" s="1" t="n">
        <v>44413</v>
      </c>
      <c r="C6993" s="1" t="n">
        <v>45932</v>
      </c>
      <c r="D6993" t="inlineStr">
        <is>
          <t>VÄRMLANDS LÄN</t>
        </is>
      </c>
      <c r="E6993" t="inlineStr">
        <is>
          <t>KARLSTAD</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47091-2022</t>
        </is>
      </c>
      <c r="B6994" s="1" t="n">
        <v>44851</v>
      </c>
      <c r="C6994" s="1" t="n">
        <v>45932</v>
      </c>
      <c r="D6994" t="inlineStr">
        <is>
          <t>VÄRMLANDS LÄN</t>
        </is>
      </c>
      <c r="E6994" t="inlineStr">
        <is>
          <t>KRISTINEHAMN</t>
        </is>
      </c>
      <c r="F6994" t="inlineStr">
        <is>
          <t>Kommuner</t>
        </is>
      </c>
      <c r="G6994" t="n">
        <v>8.6</v>
      </c>
      <c r="H6994" t="n">
        <v>0</v>
      </c>
      <c r="I6994" t="n">
        <v>0</v>
      </c>
      <c r="J6994" t="n">
        <v>0</v>
      </c>
      <c r="K6994" t="n">
        <v>0</v>
      </c>
      <c r="L6994" t="n">
        <v>0</v>
      </c>
      <c r="M6994" t="n">
        <v>0</v>
      </c>
      <c r="N6994" t="n">
        <v>0</v>
      </c>
      <c r="O6994" t="n">
        <v>0</v>
      </c>
      <c r="P6994" t="n">
        <v>0</v>
      </c>
      <c r="Q6994" t="n">
        <v>0</v>
      </c>
      <c r="R6994" s="2" t="inlineStr"/>
    </row>
    <row r="6995" ht="15" customHeight="1">
      <c r="A6995" t="inlineStr">
        <is>
          <t>A 17299-2025</t>
        </is>
      </c>
      <c r="B6995" s="1" t="n">
        <v>45756.59548611111</v>
      </c>
      <c r="C6995" s="1" t="n">
        <v>45932</v>
      </c>
      <c r="D6995" t="inlineStr">
        <is>
          <t>VÄRMLANDS LÄN</t>
        </is>
      </c>
      <c r="E6995" t="inlineStr">
        <is>
          <t>KRISTINEHAMN</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16003-2025</t>
        </is>
      </c>
      <c r="B6996" s="1" t="n">
        <v>45749</v>
      </c>
      <c r="C6996" s="1" t="n">
        <v>45932</v>
      </c>
      <c r="D6996" t="inlineStr">
        <is>
          <t>VÄRMLANDS LÄN</t>
        </is>
      </c>
      <c r="E6996" t="inlineStr">
        <is>
          <t>TORSBY</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61545-2024</t>
        </is>
      </c>
      <c r="B6997" s="1" t="n">
        <v>45646.59966435185</v>
      </c>
      <c r="C6997" s="1" t="n">
        <v>45932</v>
      </c>
      <c r="D6997" t="inlineStr">
        <is>
          <t>VÄRMLANDS LÄN</t>
        </is>
      </c>
      <c r="E6997" t="inlineStr">
        <is>
          <t>ÅRJÄNG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16652-2025</t>
        </is>
      </c>
      <c r="B6998" s="1" t="n">
        <v>45754</v>
      </c>
      <c r="C6998" s="1" t="n">
        <v>45932</v>
      </c>
      <c r="D6998" t="inlineStr">
        <is>
          <t>VÄRMLANDS LÄN</t>
        </is>
      </c>
      <c r="E6998" t="inlineStr">
        <is>
          <t>FILIPSTAD</t>
        </is>
      </c>
      <c r="F6998" t="inlineStr">
        <is>
          <t>Bergvik skog väst AB</t>
        </is>
      </c>
      <c r="G6998" t="n">
        <v>13.9</v>
      </c>
      <c r="H6998" t="n">
        <v>0</v>
      </c>
      <c r="I6998" t="n">
        <v>0</v>
      </c>
      <c r="J6998" t="n">
        <v>0</v>
      </c>
      <c r="K6998" t="n">
        <v>0</v>
      </c>
      <c r="L6998" t="n">
        <v>0</v>
      </c>
      <c r="M6998" t="n">
        <v>0</v>
      </c>
      <c r="N6998" t="n">
        <v>0</v>
      </c>
      <c r="O6998" t="n">
        <v>0</v>
      </c>
      <c r="P6998" t="n">
        <v>0</v>
      </c>
      <c r="Q6998" t="n">
        <v>0</v>
      </c>
      <c r="R6998" s="2" t="inlineStr"/>
    </row>
    <row r="6999" ht="15" customHeight="1">
      <c r="A6999" t="inlineStr">
        <is>
          <t>A 18801-2025</t>
        </is>
      </c>
      <c r="B6999" s="1" t="n">
        <v>45764</v>
      </c>
      <c r="C6999" s="1" t="n">
        <v>45932</v>
      </c>
      <c r="D6999" t="inlineStr">
        <is>
          <t>VÄRMLANDS LÄN</t>
        </is>
      </c>
      <c r="E6999" t="inlineStr">
        <is>
          <t>SUNNE</t>
        </is>
      </c>
      <c r="F6999" t="inlineStr">
        <is>
          <t>Bergvik skog väst AB</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18811-2025</t>
        </is>
      </c>
      <c r="B7000" s="1" t="n">
        <v>45764.3621875</v>
      </c>
      <c r="C7000" s="1" t="n">
        <v>45932</v>
      </c>
      <c r="D7000" t="inlineStr">
        <is>
          <t>VÄRMLANDS LÄN</t>
        </is>
      </c>
      <c r="E7000" t="inlineStr">
        <is>
          <t>FORSHAGA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59105-2022</t>
        </is>
      </c>
      <c r="B7001" s="1" t="n">
        <v>44904.41652777778</v>
      </c>
      <c r="C7001" s="1" t="n">
        <v>45932</v>
      </c>
      <c r="D7001" t="inlineStr">
        <is>
          <t>VÄRMLANDS LÄN</t>
        </is>
      </c>
      <c r="E7001" t="inlineStr">
        <is>
          <t>ARVIKA</t>
        </is>
      </c>
      <c r="F7001" t="inlineStr">
        <is>
          <t>Kommuner</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45756-2024</t>
        </is>
      </c>
      <c r="B7002" s="1" t="n">
        <v>45579</v>
      </c>
      <c r="C7002" s="1" t="n">
        <v>45932</v>
      </c>
      <c r="D7002" t="inlineStr">
        <is>
          <t>VÄRMLANDS LÄN</t>
        </is>
      </c>
      <c r="E7002" t="inlineStr">
        <is>
          <t>ARVIKA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35503-2024</t>
        </is>
      </c>
      <c r="B7003" s="1" t="n">
        <v>45531.53295138889</v>
      </c>
      <c r="C7003" s="1" t="n">
        <v>45932</v>
      </c>
      <c r="D7003" t="inlineStr">
        <is>
          <t>VÄRMLANDS LÄN</t>
        </is>
      </c>
      <c r="E7003" t="inlineStr">
        <is>
          <t>ARVIKA</t>
        </is>
      </c>
      <c r="F7003" t="inlineStr">
        <is>
          <t>Bergvik skog väst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60907-2024</t>
        </is>
      </c>
      <c r="B7004" s="1" t="n">
        <v>45645.31188657408</v>
      </c>
      <c r="C7004" s="1" t="n">
        <v>45932</v>
      </c>
      <c r="D7004" t="inlineStr">
        <is>
          <t>VÄRMLANDS LÄN</t>
        </is>
      </c>
      <c r="E7004" t="inlineStr">
        <is>
          <t>KARLSTAD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18618-2023</t>
        </is>
      </c>
      <c r="B7005" s="1" t="n">
        <v>45041</v>
      </c>
      <c r="C7005" s="1" t="n">
        <v>45932</v>
      </c>
      <c r="D7005" t="inlineStr">
        <is>
          <t>VÄRMLANDS LÄN</t>
        </is>
      </c>
      <c r="E7005" t="inlineStr">
        <is>
          <t>EDA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14772-2023</t>
        </is>
      </c>
      <c r="B7006" s="1" t="n">
        <v>45014</v>
      </c>
      <c r="C7006" s="1" t="n">
        <v>45932</v>
      </c>
      <c r="D7006" t="inlineStr">
        <is>
          <t>VÄRMLANDS LÄN</t>
        </is>
      </c>
      <c r="E7006" t="inlineStr">
        <is>
          <t>ARVIKA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12811-2025</t>
        </is>
      </c>
      <c r="B7007" s="1" t="n">
        <v>45733.6156712963</v>
      </c>
      <c r="C7007" s="1" t="n">
        <v>45932</v>
      </c>
      <c r="D7007" t="inlineStr">
        <is>
          <t>VÄRMLANDS LÄN</t>
        </is>
      </c>
      <c r="E7007" t="inlineStr">
        <is>
          <t>ARVIKA</t>
        </is>
      </c>
      <c r="F7007" t="inlineStr">
        <is>
          <t>Bergvik skog väst AB</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23070-2024</t>
        </is>
      </c>
      <c r="B7008" s="1" t="n">
        <v>45450</v>
      </c>
      <c r="C7008" s="1" t="n">
        <v>45932</v>
      </c>
      <c r="D7008" t="inlineStr">
        <is>
          <t>VÄRMLANDS LÄN</t>
        </is>
      </c>
      <c r="E7008" t="inlineStr">
        <is>
          <t>EDA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30581-2025</t>
        </is>
      </c>
      <c r="B7009" s="1" t="n">
        <v>45831.42185185185</v>
      </c>
      <c r="C7009" s="1" t="n">
        <v>45932</v>
      </c>
      <c r="D7009" t="inlineStr">
        <is>
          <t>VÄRMLANDS LÄN</t>
        </is>
      </c>
      <c r="E7009" t="inlineStr">
        <is>
          <t>ARVIKA</t>
        </is>
      </c>
      <c r="F7009" t="inlineStr">
        <is>
          <t>Bergvik skog väst AB</t>
        </is>
      </c>
      <c r="G7009" t="n">
        <v>22.5</v>
      </c>
      <c r="H7009" t="n">
        <v>0</v>
      </c>
      <c r="I7009" t="n">
        <v>0</v>
      </c>
      <c r="J7009" t="n">
        <v>0</v>
      </c>
      <c r="K7009" t="n">
        <v>0</v>
      </c>
      <c r="L7009" t="n">
        <v>0</v>
      </c>
      <c r="M7009" t="n">
        <v>0</v>
      </c>
      <c r="N7009" t="n">
        <v>0</v>
      </c>
      <c r="O7009" t="n">
        <v>0</v>
      </c>
      <c r="P7009" t="n">
        <v>0</v>
      </c>
      <c r="Q7009" t="n">
        <v>0</v>
      </c>
      <c r="R7009" s="2" t="inlineStr"/>
    </row>
    <row r="7010" ht="15" customHeight="1">
      <c r="A7010" t="inlineStr">
        <is>
          <t>A 30635-2025</t>
        </is>
      </c>
      <c r="B7010" s="1" t="n">
        <v>45831.48174768518</v>
      </c>
      <c r="C7010" s="1" t="n">
        <v>45932</v>
      </c>
      <c r="D7010" t="inlineStr">
        <is>
          <t>VÄRMLANDS LÄN</t>
        </is>
      </c>
      <c r="E7010" t="inlineStr">
        <is>
          <t>HAGFORS</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30642-2025</t>
        </is>
      </c>
      <c r="B7011" s="1" t="n">
        <v>45831.48604166666</v>
      </c>
      <c r="C7011" s="1" t="n">
        <v>45932</v>
      </c>
      <c r="D7011" t="inlineStr">
        <is>
          <t>VÄRMLANDS LÄN</t>
        </is>
      </c>
      <c r="E7011" t="inlineStr">
        <is>
          <t>HAGFORS</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22289-2021</t>
        </is>
      </c>
      <c r="B7012" s="1" t="n">
        <v>44326</v>
      </c>
      <c r="C7012" s="1" t="n">
        <v>45932</v>
      </c>
      <c r="D7012" t="inlineStr">
        <is>
          <t>VÄRMLANDS LÄN</t>
        </is>
      </c>
      <c r="E7012" t="inlineStr">
        <is>
          <t>GRUMS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10316-2025</t>
        </is>
      </c>
      <c r="B7013" s="1" t="n">
        <v>45720</v>
      </c>
      <c r="C7013" s="1" t="n">
        <v>45932</v>
      </c>
      <c r="D7013" t="inlineStr">
        <is>
          <t>VÄRMLANDS LÄN</t>
        </is>
      </c>
      <c r="E7013" t="inlineStr">
        <is>
          <t>ARVIKA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10329-2025</t>
        </is>
      </c>
      <c r="B7014" s="1" t="n">
        <v>45720</v>
      </c>
      <c r="C7014" s="1" t="n">
        <v>45932</v>
      </c>
      <c r="D7014" t="inlineStr">
        <is>
          <t>VÄRMLANDS LÄN</t>
        </is>
      </c>
      <c r="E7014" t="inlineStr">
        <is>
          <t>TORSBY</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10343-2025</t>
        </is>
      </c>
      <c r="B7015" s="1" t="n">
        <v>45720</v>
      </c>
      <c r="C7015" s="1" t="n">
        <v>45932</v>
      </c>
      <c r="D7015" t="inlineStr">
        <is>
          <t>VÄRMLANDS LÄN</t>
        </is>
      </c>
      <c r="E7015" t="inlineStr">
        <is>
          <t>TORSBY</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10915-2025</t>
        </is>
      </c>
      <c r="B7016" s="1" t="n">
        <v>45722.75255787037</v>
      </c>
      <c r="C7016" s="1" t="n">
        <v>45932</v>
      </c>
      <c r="D7016" t="inlineStr">
        <is>
          <t>VÄRMLANDS LÄN</t>
        </is>
      </c>
      <c r="E7016" t="inlineStr">
        <is>
          <t>SÄFFLE</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10284-2023</t>
        </is>
      </c>
      <c r="B7017" s="1" t="n">
        <v>44986.8728587963</v>
      </c>
      <c r="C7017" s="1" t="n">
        <v>45932</v>
      </c>
      <c r="D7017" t="inlineStr">
        <is>
          <t>VÄRMLANDS LÄN</t>
        </is>
      </c>
      <c r="E7017" t="inlineStr">
        <is>
          <t>KARLSTAD</t>
        </is>
      </c>
      <c r="F7017" t="inlineStr">
        <is>
          <t>Kommuner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15741-2025</t>
        </is>
      </c>
      <c r="B7018" s="1" t="n">
        <v>45747</v>
      </c>
      <c r="C7018" s="1" t="n">
        <v>45932</v>
      </c>
      <c r="D7018" t="inlineStr">
        <is>
          <t>VÄRMLANDS LÄN</t>
        </is>
      </c>
      <c r="E7018" t="inlineStr">
        <is>
          <t>SUNNE</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15752-2025</t>
        </is>
      </c>
      <c r="B7019" s="1" t="n">
        <v>45748.55623842592</v>
      </c>
      <c r="C7019" s="1" t="n">
        <v>45932</v>
      </c>
      <c r="D7019" t="inlineStr">
        <is>
          <t>VÄRMLANDS LÄN</t>
        </is>
      </c>
      <c r="E7019" t="inlineStr">
        <is>
          <t>SUNNE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30688-2025</t>
        </is>
      </c>
      <c r="B7020" s="1" t="n">
        <v>45831.53541666667</v>
      </c>
      <c r="C7020" s="1" t="n">
        <v>45932</v>
      </c>
      <c r="D7020" t="inlineStr">
        <is>
          <t>VÄRMLANDS LÄN</t>
        </is>
      </c>
      <c r="E7020" t="inlineStr">
        <is>
          <t>HAGFORS</t>
        </is>
      </c>
      <c r="F7020" t="inlineStr">
        <is>
          <t>Bergvik skog väst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31063-2025</t>
        </is>
      </c>
      <c r="B7021" s="1" t="n">
        <v>45831</v>
      </c>
      <c r="C7021" s="1" t="n">
        <v>45932</v>
      </c>
      <c r="D7021" t="inlineStr">
        <is>
          <t>VÄRMLANDS LÄN</t>
        </is>
      </c>
      <c r="E7021" t="inlineStr">
        <is>
          <t>ÅRJÄNG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31073-2025</t>
        </is>
      </c>
      <c r="B7022" s="1" t="n">
        <v>45831</v>
      </c>
      <c r="C7022" s="1" t="n">
        <v>45932</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20071-2025</t>
        </is>
      </c>
      <c r="B7023" s="1" t="n">
        <v>45772.44461805555</v>
      </c>
      <c r="C7023" s="1" t="n">
        <v>45932</v>
      </c>
      <c r="D7023" t="inlineStr">
        <is>
          <t>VÄRMLANDS LÄN</t>
        </is>
      </c>
      <c r="E7023" t="inlineStr">
        <is>
          <t>ARVIKA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20096-2025</t>
        </is>
      </c>
      <c r="B7024" s="1" t="n">
        <v>45772</v>
      </c>
      <c r="C7024" s="1" t="n">
        <v>45932</v>
      </c>
      <c r="D7024" t="inlineStr">
        <is>
          <t>VÄRMLANDS LÄN</t>
        </is>
      </c>
      <c r="E7024" t="inlineStr">
        <is>
          <t>ARVIKA</t>
        </is>
      </c>
      <c r="F7024" t="inlineStr">
        <is>
          <t>Bergvik skog väst AB</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14502-2025</t>
        </is>
      </c>
      <c r="B7025" s="1" t="n">
        <v>45741.62037037037</v>
      </c>
      <c r="C7025" s="1" t="n">
        <v>45932</v>
      </c>
      <c r="D7025" t="inlineStr">
        <is>
          <t>VÄRMLANDS LÄN</t>
        </is>
      </c>
      <c r="E7025" t="inlineStr">
        <is>
          <t>FILIPSTAD</t>
        </is>
      </c>
      <c r="F7025" t="inlineStr">
        <is>
          <t>Bergvik skog väst AB</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11910-2025</t>
        </is>
      </c>
      <c r="B7026" s="1" t="n">
        <v>45728</v>
      </c>
      <c r="C7026" s="1" t="n">
        <v>45932</v>
      </c>
      <c r="D7026" t="inlineStr">
        <is>
          <t>VÄRMLANDS LÄN</t>
        </is>
      </c>
      <c r="E7026" t="inlineStr">
        <is>
          <t>SÄFFLE</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12440-2025</t>
        </is>
      </c>
      <c r="B7027" s="1" t="n">
        <v>45730</v>
      </c>
      <c r="C7027" s="1" t="n">
        <v>45932</v>
      </c>
      <c r="D7027" t="inlineStr">
        <is>
          <t>VÄRMLANDS LÄN</t>
        </is>
      </c>
      <c r="E7027" t="inlineStr">
        <is>
          <t>TORSBY</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12531-2025</t>
        </is>
      </c>
      <c r="B7028" s="1" t="n">
        <v>45730.69025462963</v>
      </c>
      <c r="C7028" s="1" t="n">
        <v>45932</v>
      </c>
      <c r="D7028" t="inlineStr">
        <is>
          <t>VÄRMLANDS LÄN</t>
        </is>
      </c>
      <c r="E7028" t="inlineStr">
        <is>
          <t>ARVIKA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33146-2024</t>
        </is>
      </c>
      <c r="B7029" s="1" t="n">
        <v>45518.36734953704</v>
      </c>
      <c r="C7029" s="1" t="n">
        <v>45932</v>
      </c>
      <c r="D7029" t="inlineStr">
        <is>
          <t>VÄRMLANDS LÄN</t>
        </is>
      </c>
      <c r="E7029" t="inlineStr">
        <is>
          <t>HAGFORS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57209-2022</t>
        </is>
      </c>
      <c r="B7030" s="1" t="n">
        <v>44895.64663194444</v>
      </c>
      <c r="C7030" s="1" t="n">
        <v>45932</v>
      </c>
      <c r="D7030" t="inlineStr">
        <is>
          <t>VÄRMLANDS LÄN</t>
        </is>
      </c>
      <c r="E7030" t="inlineStr">
        <is>
          <t>STORFORS</t>
        </is>
      </c>
      <c r="F7030" t="inlineStr">
        <is>
          <t>Kyrkan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52901-2022</t>
        </is>
      </c>
      <c r="B7031" s="1" t="n">
        <v>44872</v>
      </c>
      <c r="C7031" s="1" t="n">
        <v>45932</v>
      </c>
      <c r="D7031" t="inlineStr">
        <is>
          <t>VÄRMLANDS LÄN</t>
        </is>
      </c>
      <c r="E7031" t="inlineStr">
        <is>
          <t>TORSBY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42223-2022</t>
        </is>
      </c>
      <c r="B7032" s="1" t="n">
        <v>44830.69011574074</v>
      </c>
      <c r="C7032" s="1" t="n">
        <v>45932</v>
      </c>
      <c r="D7032" t="inlineStr">
        <is>
          <t>VÄRMLANDS LÄN</t>
        </is>
      </c>
      <c r="E7032" t="inlineStr">
        <is>
          <t>HAGFORS</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47077-2023</t>
        </is>
      </c>
      <c r="B7033" s="1" t="n">
        <v>45201</v>
      </c>
      <c r="C7033" s="1" t="n">
        <v>45932</v>
      </c>
      <c r="D7033" t="inlineStr">
        <is>
          <t>VÄRMLANDS LÄN</t>
        </is>
      </c>
      <c r="E7033" t="inlineStr">
        <is>
          <t>TORSBY</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6362-2023</t>
        </is>
      </c>
      <c r="B7034" s="1" t="n">
        <v>44965</v>
      </c>
      <c r="C7034" s="1" t="n">
        <v>45932</v>
      </c>
      <c r="D7034" t="inlineStr">
        <is>
          <t>VÄRMLANDS LÄN</t>
        </is>
      </c>
      <c r="E7034" t="inlineStr">
        <is>
          <t>SUNNE</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20637-2021</t>
        </is>
      </c>
      <c r="B7035" s="1" t="n">
        <v>44316.40224537037</v>
      </c>
      <c r="C7035" s="1" t="n">
        <v>45932</v>
      </c>
      <c r="D7035" t="inlineStr">
        <is>
          <t>VÄRMLANDS LÄN</t>
        </is>
      </c>
      <c r="E7035" t="inlineStr">
        <is>
          <t>SUNNE</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46612-2025</t>
        </is>
      </c>
      <c r="B7036" s="1" t="n">
        <v>45926</v>
      </c>
      <c r="C7036" s="1" t="n">
        <v>45932</v>
      </c>
      <c r="D7036" t="inlineStr">
        <is>
          <t>VÄRMLANDS LÄN</t>
        </is>
      </c>
      <c r="E7036" t="inlineStr">
        <is>
          <t>STORFORS</t>
        </is>
      </c>
      <c r="F7036" t="inlineStr">
        <is>
          <t>Bergvik skog väst AB</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41074-2022</t>
        </is>
      </c>
      <c r="B7037" s="1" t="n">
        <v>44825.60538194444</v>
      </c>
      <c r="C7037" s="1" t="n">
        <v>45932</v>
      </c>
      <c r="D7037" t="inlineStr">
        <is>
          <t>VÄRMLANDS LÄN</t>
        </is>
      </c>
      <c r="E7037" t="inlineStr">
        <is>
          <t>KIL</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10757-2025</t>
        </is>
      </c>
      <c r="B7038" s="1" t="n">
        <v>45722</v>
      </c>
      <c r="C7038" s="1" t="n">
        <v>45932</v>
      </c>
      <c r="D7038" t="inlineStr">
        <is>
          <t>VÄRMLANDS LÄN</t>
        </is>
      </c>
      <c r="E7038" t="inlineStr">
        <is>
          <t>FILIPSTAD</t>
        </is>
      </c>
      <c r="G7038" t="n">
        <v>10.6</v>
      </c>
      <c r="H7038" t="n">
        <v>0</v>
      </c>
      <c r="I7038" t="n">
        <v>0</v>
      </c>
      <c r="J7038" t="n">
        <v>0</v>
      </c>
      <c r="K7038" t="n">
        <v>0</v>
      </c>
      <c r="L7038" t="n">
        <v>0</v>
      </c>
      <c r="M7038" t="n">
        <v>0</v>
      </c>
      <c r="N7038" t="n">
        <v>0</v>
      </c>
      <c r="O7038" t="n">
        <v>0</v>
      </c>
      <c r="P7038" t="n">
        <v>0</v>
      </c>
      <c r="Q7038" t="n">
        <v>0</v>
      </c>
      <c r="R7038" s="2" t="inlineStr"/>
      <c r="U7038">
        <f>HYPERLINK("https://klasma.github.io/Logging_1782/knärot/A 10757-2025 karta knärot.png", "A 10757-2025")</f>
        <v/>
      </c>
      <c r="V7038">
        <f>HYPERLINK("https://klasma.github.io/Logging_1782/klagomål/A 10757-2025 FSC-klagomål.docx", "A 10757-2025")</f>
        <v/>
      </c>
      <c r="W7038">
        <f>HYPERLINK("https://klasma.github.io/Logging_1782/klagomålsmail/A 10757-2025 FSC-klagomål mail.docx", "A 10757-2025")</f>
        <v/>
      </c>
      <c r="X7038">
        <f>HYPERLINK("https://klasma.github.io/Logging_1782/tillsyn/A 10757-2025 tillsynsbegäran.docx", "A 10757-2025")</f>
        <v/>
      </c>
      <c r="Y7038">
        <f>HYPERLINK("https://klasma.github.io/Logging_1782/tillsynsmail/A 10757-2025 tillsynsbegäran mail.docx", "A 10757-2025")</f>
        <v/>
      </c>
    </row>
    <row r="7039" ht="15" customHeight="1">
      <c r="A7039" t="inlineStr">
        <is>
          <t>A 6566-2023</t>
        </is>
      </c>
      <c r="B7039" s="1" t="n">
        <v>44966</v>
      </c>
      <c r="C7039" s="1" t="n">
        <v>45932</v>
      </c>
      <c r="D7039" t="inlineStr">
        <is>
          <t>VÄRMLANDS LÄN</t>
        </is>
      </c>
      <c r="E7039" t="inlineStr">
        <is>
          <t>SUNNE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33566-2024</t>
        </is>
      </c>
      <c r="B7040" s="1" t="n">
        <v>45520</v>
      </c>
      <c r="C7040" s="1" t="n">
        <v>45932</v>
      </c>
      <c r="D7040" t="inlineStr">
        <is>
          <t>VÄRMLANDS LÄN</t>
        </is>
      </c>
      <c r="E7040" t="inlineStr">
        <is>
          <t>KIL</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45886-2023</t>
        </is>
      </c>
      <c r="B7041" s="1" t="n">
        <v>45195.64928240741</v>
      </c>
      <c r="C7041" s="1" t="n">
        <v>45932</v>
      </c>
      <c r="D7041" t="inlineStr">
        <is>
          <t>VÄRMLANDS LÄN</t>
        </is>
      </c>
      <c r="E7041" t="inlineStr">
        <is>
          <t>EDA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42465-2024</t>
        </is>
      </c>
      <c r="B7042" s="1" t="n">
        <v>45565</v>
      </c>
      <c r="C7042" s="1" t="n">
        <v>45932</v>
      </c>
      <c r="D7042" t="inlineStr">
        <is>
          <t>VÄRMLANDS LÄN</t>
        </is>
      </c>
      <c r="E7042" t="inlineStr">
        <is>
          <t>KARLSTAD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44974-2021</t>
        </is>
      </c>
      <c r="B7043" s="1" t="n">
        <v>44438.78177083333</v>
      </c>
      <c r="C7043" s="1" t="n">
        <v>45932</v>
      </c>
      <c r="D7043" t="inlineStr">
        <is>
          <t>VÄRMLANDS LÄN</t>
        </is>
      </c>
      <c r="E7043" t="inlineStr">
        <is>
          <t>ARVIKA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45751-2021</t>
        </is>
      </c>
      <c r="B7044" s="1" t="n">
        <v>44441</v>
      </c>
      <c r="C7044" s="1" t="n">
        <v>45932</v>
      </c>
      <c r="D7044" t="inlineStr">
        <is>
          <t>VÄRMLANDS LÄN</t>
        </is>
      </c>
      <c r="E7044" t="inlineStr">
        <is>
          <t>FORSHAGA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31528-2025</t>
        </is>
      </c>
      <c r="B7045" s="1" t="n">
        <v>45833</v>
      </c>
      <c r="C7045" s="1" t="n">
        <v>45932</v>
      </c>
      <c r="D7045" t="inlineStr">
        <is>
          <t>VÄRMLANDS LÄN</t>
        </is>
      </c>
      <c r="E7045" t="inlineStr">
        <is>
          <t>KRISTINEHAMN</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30942-2025</t>
        </is>
      </c>
      <c r="B7046" s="1" t="n">
        <v>45832.40898148148</v>
      </c>
      <c r="C7046" s="1" t="n">
        <v>45932</v>
      </c>
      <c r="D7046" t="inlineStr">
        <is>
          <t>VÄRMLANDS LÄN</t>
        </is>
      </c>
      <c r="E7046" t="inlineStr">
        <is>
          <t>SUNNE</t>
        </is>
      </c>
      <c r="F7046" t="inlineStr">
        <is>
          <t>Kyrkan</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30976-2025</t>
        </is>
      </c>
      <c r="B7047" s="1" t="n">
        <v>45832.46424768519</v>
      </c>
      <c r="C7047" s="1" t="n">
        <v>45932</v>
      </c>
      <c r="D7047" t="inlineStr">
        <is>
          <t>VÄRMLANDS LÄN</t>
        </is>
      </c>
      <c r="E7047" t="inlineStr">
        <is>
          <t>SÄFFLE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30984-2025</t>
        </is>
      </c>
      <c r="B7048" s="1" t="n">
        <v>45832.4737962963</v>
      </c>
      <c r="C7048" s="1" t="n">
        <v>45932</v>
      </c>
      <c r="D7048" t="inlineStr">
        <is>
          <t>VÄRMLANDS LÄN</t>
        </is>
      </c>
      <c r="E7048" t="inlineStr">
        <is>
          <t>EDA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22193-2024</t>
        </is>
      </c>
      <c r="B7049" s="1" t="n">
        <v>45446</v>
      </c>
      <c r="C7049" s="1" t="n">
        <v>45932</v>
      </c>
      <c r="D7049" t="inlineStr">
        <is>
          <t>VÄRMLANDS LÄN</t>
        </is>
      </c>
      <c r="E7049" t="inlineStr">
        <is>
          <t>KARLSTAD</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719-2022</t>
        </is>
      </c>
      <c r="B7050" s="1" t="n">
        <v>44568</v>
      </c>
      <c r="C7050" s="1" t="n">
        <v>45932</v>
      </c>
      <c r="D7050" t="inlineStr">
        <is>
          <t>VÄRMLANDS LÄN</t>
        </is>
      </c>
      <c r="E7050" t="inlineStr">
        <is>
          <t>ARVIKA</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51849-2021</t>
        </is>
      </c>
      <c r="B7051" s="1" t="n">
        <v>44462</v>
      </c>
      <c r="C7051" s="1" t="n">
        <v>45932</v>
      </c>
      <c r="D7051" t="inlineStr">
        <is>
          <t>VÄRMLANDS LÄN</t>
        </is>
      </c>
      <c r="E7051" t="inlineStr">
        <is>
          <t>SUNNE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57244-2023</t>
        </is>
      </c>
      <c r="B7052" s="1" t="n">
        <v>45245</v>
      </c>
      <c r="C7052" s="1" t="n">
        <v>45932</v>
      </c>
      <c r="D7052" t="inlineStr">
        <is>
          <t>VÄRMLANDS LÄN</t>
        </is>
      </c>
      <c r="E7052" t="inlineStr">
        <is>
          <t>FILIPSTAD</t>
        </is>
      </c>
      <c r="F7052" t="inlineStr">
        <is>
          <t>Bergvik skog väst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262-2023</t>
        </is>
      </c>
      <c r="B7053" s="1" t="n">
        <v>44928</v>
      </c>
      <c r="C7053" s="1" t="n">
        <v>45932</v>
      </c>
      <c r="D7053" t="inlineStr">
        <is>
          <t>VÄRMLANDS LÄN</t>
        </is>
      </c>
      <c r="E7053" t="inlineStr">
        <is>
          <t>SUNNE</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19494-2023</t>
        </is>
      </c>
      <c r="B7054" s="1" t="n">
        <v>45050</v>
      </c>
      <c r="C7054" s="1" t="n">
        <v>45932</v>
      </c>
      <c r="D7054" t="inlineStr">
        <is>
          <t>VÄRMLANDS LÄN</t>
        </is>
      </c>
      <c r="E7054" t="inlineStr">
        <is>
          <t>SUNNE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20745-2023</t>
        </is>
      </c>
      <c r="B7055" s="1" t="n">
        <v>45058</v>
      </c>
      <c r="C7055" s="1" t="n">
        <v>45932</v>
      </c>
      <c r="D7055" t="inlineStr">
        <is>
          <t>VÄRMLANDS LÄN</t>
        </is>
      </c>
      <c r="E7055" t="inlineStr">
        <is>
          <t>TORSBY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27069-2024</t>
        </is>
      </c>
      <c r="B7056" s="1" t="n">
        <v>45471</v>
      </c>
      <c r="C7056" s="1" t="n">
        <v>45932</v>
      </c>
      <c r="D7056" t="inlineStr">
        <is>
          <t>VÄRMLANDS LÄN</t>
        </is>
      </c>
      <c r="E7056" t="inlineStr">
        <is>
          <t>MUNKFORS</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19246-2024</t>
        </is>
      </c>
      <c r="B7057" s="1" t="n">
        <v>45428</v>
      </c>
      <c r="C7057" s="1" t="n">
        <v>45932</v>
      </c>
      <c r="D7057" t="inlineStr">
        <is>
          <t>VÄRMLANDS LÄN</t>
        </is>
      </c>
      <c r="E7057" t="inlineStr">
        <is>
          <t>ÅRJÄNG</t>
        </is>
      </c>
      <c r="F7057" t="inlineStr">
        <is>
          <t>Bergvik skog väst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70926-2021</t>
        </is>
      </c>
      <c r="B7058" s="1" t="n">
        <v>44538</v>
      </c>
      <c r="C7058" s="1" t="n">
        <v>45932</v>
      </c>
      <c r="D7058" t="inlineStr">
        <is>
          <t>VÄRMLANDS LÄN</t>
        </is>
      </c>
      <c r="E7058" t="inlineStr">
        <is>
          <t>TORSBY</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5992-2023</t>
        </is>
      </c>
      <c r="B7059" s="1" t="n">
        <v>44959</v>
      </c>
      <c r="C7059" s="1" t="n">
        <v>45932</v>
      </c>
      <c r="D7059" t="inlineStr">
        <is>
          <t>VÄRMLANDS LÄN</t>
        </is>
      </c>
      <c r="E7059" t="inlineStr">
        <is>
          <t>FILIPSTAD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60275-2020</t>
        </is>
      </c>
      <c r="B7060" s="1" t="n">
        <v>44151</v>
      </c>
      <c r="C7060" s="1" t="n">
        <v>45932</v>
      </c>
      <c r="D7060" t="inlineStr">
        <is>
          <t>VÄRMLANDS LÄN</t>
        </is>
      </c>
      <c r="E7060" t="inlineStr">
        <is>
          <t>ARVIKA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42597-2023</t>
        </is>
      </c>
      <c r="B7061" s="1" t="n">
        <v>45181.44695601852</v>
      </c>
      <c r="C7061" s="1" t="n">
        <v>45932</v>
      </c>
      <c r="D7061" t="inlineStr">
        <is>
          <t>VÄRMLANDS LÄN</t>
        </is>
      </c>
      <c r="E7061" t="inlineStr">
        <is>
          <t>KRISTINEHAMN</t>
        </is>
      </c>
      <c r="F7061" t="inlineStr">
        <is>
          <t>Sveaskog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2978-2023</t>
        </is>
      </c>
      <c r="B7062" s="1" t="n">
        <v>44945.66861111111</v>
      </c>
      <c r="C7062" s="1" t="n">
        <v>45932</v>
      </c>
      <c r="D7062" t="inlineStr">
        <is>
          <t>VÄRMLANDS LÄN</t>
        </is>
      </c>
      <c r="E7062" t="inlineStr">
        <is>
          <t>KARLSTAD</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19125-2024</t>
        </is>
      </c>
      <c r="B7063" s="1" t="n">
        <v>45428.39799768518</v>
      </c>
      <c r="C7063" s="1" t="n">
        <v>45932</v>
      </c>
      <c r="D7063" t="inlineStr">
        <is>
          <t>VÄRMLANDS LÄN</t>
        </is>
      </c>
      <c r="E7063" t="inlineStr">
        <is>
          <t>HAGFORS</t>
        </is>
      </c>
      <c r="F7063" t="inlineStr">
        <is>
          <t>Bergvik skog väst AB</t>
        </is>
      </c>
      <c r="G7063" t="n">
        <v>19.5</v>
      </c>
      <c r="H7063" t="n">
        <v>0</v>
      </c>
      <c r="I7063" t="n">
        <v>0</v>
      </c>
      <c r="J7063" t="n">
        <v>0</v>
      </c>
      <c r="K7063" t="n">
        <v>0</v>
      </c>
      <c r="L7063" t="n">
        <v>0</v>
      </c>
      <c r="M7063" t="n">
        <v>0</v>
      </c>
      <c r="N7063" t="n">
        <v>0</v>
      </c>
      <c r="O7063" t="n">
        <v>0</v>
      </c>
      <c r="P7063" t="n">
        <v>0</v>
      </c>
      <c r="Q7063" t="n">
        <v>0</v>
      </c>
      <c r="R7063" s="2" t="inlineStr"/>
    </row>
    <row r="7064" ht="15" customHeight="1">
      <c r="A7064" t="inlineStr">
        <is>
          <t>A 8668-2025</t>
        </is>
      </c>
      <c r="B7064" s="1" t="n">
        <v>45712</v>
      </c>
      <c r="C7064" s="1" t="n">
        <v>45932</v>
      </c>
      <c r="D7064" t="inlineStr">
        <is>
          <t>VÄRMLANDS LÄN</t>
        </is>
      </c>
      <c r="E7064" t="inlineStr">
        <is>
          <t>SÄFFLE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72200-2021</t>
        </is>
      </c>
      <c r="B7065" s="1" t="n">
        <v>44544.67358796296</v>
      </c>
      <c r="C7065" s="1" t="n">
        <v>45932</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1123-2023</t>
        </is>
      </c>
      <c r="B7066" s="1" t="n">
        <v>44935</v>
      </c>
      <c r="C7066" s="1" t="n">
        <v>45932</v>
      </c>
      <c r="D7066" t="inlineStr">
        <is>
          <t>VÄRMLANDS LÄN</t>
        </is>
      </c>
      <c r="E7066" t="inlineStr">
        <is>
          <t>TORSBY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14320-2023</t>
        </is>
      </c>
      <c r="B7067" s="1" t="n">
        <v>45012.04369212963</v>
      </c>
      <c r="C7067" s="1" t="n">
        <v>45932</v>
      </c>
      <c r="D7067" t="inlineStr">
        <is>
          <t>VÄRMLANDS LÄN</t>
        </is>
      </c>
      <c r="E7067" t="inlineStr">
        <is>
          <t>KARLSTAD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9757-2025</t>
        </is>
      </c>
      <c r="B7068" s="1" t="n">
        <v>45716.4727199074</v>
      </c>
      <c r="C7068" s="1" t="n">
        <v>45932</v>
      </c>
      <c r="D7068" t="inlineStr">
        <is>
          <t>VÄRMLANDS LÄN</t>
        </is>
      </c>
      <c r="E7068" t="inlineStr">
        <is>
          <t>KRISTINEHAMN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9763-2025</t>
        </is>
      </c>
      <c r="B7069" s="1" t="n">
        <v>45716.47974537037</v>
      </c>
      <c r="C7069" s="1" t="n">
        <v>45932</v>
      </c>
      <c r="D7069" t="inlineStr">
        <is>
          <t>VÄRMLANDS LÄN</t>
        </is>
      </c>
      <c r="E7069" t="inlineStr">
        <is>
          <t>HAGFORS</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9704-2025</t>
        </is>
      </c>
      <c r="B7070" s="1" t="n">
        <v>45716.38378472222</v>
      </c>
      <c r="C7070" s="1" t="n">
        <v>45932</v>
      </c>
      <c r="D7070" t="inlineStr">
        <is>
          <t>VÄRMLANDS LÄN</t>
        </is>
      </c>
      <c r="E7070" t="inlineStr">
        <is>
          <t>TORSBY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11874-2025</t>
        </is>
      </c>
      <c r="B7071" s="1" t="n">
        <v>45728.43699074074</v>
      </c>
      <c r="C7071" s="1" t="n">
        <v>45932</v>
      </c>
      <c r="D7071" t="inlineStr">
        <is>
          <t>VÄRMLANDS LÄN</t>
        </is>
      </c>
      <c r="E7071" t="inlineStr">
        <is>
          <t>ÅRJÄNG</t>
        </is>
      </c>
      <c r="F7071" t="inlineStr">
        <is>
          <t>Övriga Aktiebolag</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11890-2025</t>
        </is>
      </c>
      <c r="B7072" s="1" t="n">
        <v>45728.46053240741</v>
      </c>
      <c r="C7072" s="1" t="n">
        <v>45932</v>
      </c>
      <c r="D7072" t="inlineStr">
        <is>
          <t>VÄRMLANDS LÄN</t>
        </is>
      </c>
      <c r="E7072" t="inlineStr">
        <is>
          <t>ARVIKA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52592-2024</t>
        </is>
      </c>
      <c r="B7073" s="1" t="n">
        <v>45609</v>
      </c>
      <c r="C7073" s="1" t="n">
        <v>45932</v>
      </c>
      <c r="D7073" t="inlineStr">
        <is>
          <t>VÄRMLANDS LÄN</t>
        </is>
      </c>
      <c r="E7073" t="inlineStr">
        <is>
          <t>TORSBY</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14768-2024</t>
        </is>
      </c>
      <c r="B7074" s="1" t="n">
        <v>45397</v>
      </c>
      <c r="C7074" s="1" t="n">
        <v>45932</v>
      </c>
      <c r="D7074" t="inlineStr">
        <is>
          <t>VÄRMLANDS LÄN</t>
        </is>
      </c>
      <c r="E7074" t="inlineStr">
        <is>
          <t>ÅRJÄNG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52447-2022</t>
        </is>
      </c>
      <c r="B7075" s="1" t="n">
        <v>44874</v>
      </c>
      <c r="C7075" s="1" t="n">
        <v>45932</v>
      </c>
      <c r="D7075" t="inlineStr">
        <is>
          <t>VÄRMLANDS LÄN</t>
        </is>
      </c>
      <c r="E7075" t="inlineStr">
        <is>
          <t>TORSBY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59542-2022</t>
        </is>
      </c>
      <c r="B7076" s="1" t="n">
        <v>44907</v>
      </c>
      <c r="C7076" s="1" t="n">
        <v>45932</v>
      </c>
      <c r="D7076" t="inlineStr">
        <is>
          <t>VÄRMLANDS LÄN</t>
        </is>
      </c>
      <c r="E7076" t="inlineStr">
        <is>
          <t>GRUMS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50753-2024</t>
        </is>
      </c>
      <c r="B7077" s="1" t="n">
        <v>45602.42717592593</v>
      </c>
      <c r="C7077" s="1" t="n">
        <v>45932</v>
      </c>
      <c r="D7077" t="inlineStr">
        <is>
          <t>VÄRMLANDS LÄN</t>
        </is>
      </c>
      <c r="E7077" t="inlineStr">
        <is>
          <t>SUNNE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40628-2024</t>
        </is>
      </c>
      <c r="B7078" s="1" t="n">
        <v>45557.61668981481</v>
      </c>
      <c r="C7078" s="1" t="n">
        <v>45932</v>
      </c>
      <c r="D7078" t="inlineStr">
        <is>
          <t>VÄRMLANDS LÄN</t>
        </is>
      </c>
      <c r="E7078" t="inlineStr">
        <is>
          <t>ÅRJÄNG</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6504-2023</t>
        </is>
      </c>
      <c r="B7079" s="1" t="n">
        <v>44966</v>
      </c>
      <c r="C7079" s="1" t="n">
        <v>45932</v>
      </c>
      <c r="D7079" t="inlineStr">
        <is>
          <t>VÄRMLANDS LÄN</t>
        </is>
      </c>
      <c r="E7079" t="inlineStr">
        <is>
          <t>EDA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58220-2023</t>
        </is>
      </c>
      <c r="B7080" s="1" t="n">
        <v>45245</v>
      </c>
      <c r="C7080" s="1" t="n">
        <v>45932</v>
      </c>
      <c r="D7080" t="inlineStr">
        <is>
          <t>VÄRMLANDS LÄN</t>
        </is>
      </c>
      <c r="E7080" t="inlineStr">
        <is>
          <t>ARVIKA</t>
        </is>
      </c>
      <c r="F7080" t="inlineStr">
        <is>
          <t>Övriga Aktiebolag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59295-2022</t>
        </is>
      </c>
      <c r="B7081" s="1" t="n">
        <v>44904</v>
      </c>
      <c r="C7081" s="1" t="n">
        <v>45932</v>
      </c>
      <c r="D7081" t="inlineStr">
        <is>
          <t>VÄRMLANDS LÄN</t>
        </is>
      </c>
      <c r="E7081" t="inlineStr">
        <is>
          <t>KARLSTAD</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7980-2025</t>
        </is>
      </c>
      <c r="B7082" s="1" t="n">
        <v>45707.46815972222</v>
      </c>
      <c r="C7082" s="1" t="n">
        <v>45932</v>
      </c>
      <c r="D7082" t="inlineStr">
        <is>
          <t>VÄRMLANDS LÄN</t>
        </is>
      </c>
      <c r="E7082" t="inlineStr">
        <is>
          <t>ARVIKA</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12802-2025</t>
        </is>
      </c>
      <c r="B7083" s="1" t="n">
        <v>45733.61358796297</v>
      </c>
      <c r="C7083" s="1" t="n">
        <v>45932</v>
      </c>
      <c r="D7083" t="inlineStr">
        <is>
          <t>VÄRMLANDS LÄN</t>
        </is>
      </c>
      <c r="E7083" t="inlineStr">
        <is>
          <t>SÄFFLE</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24630-2024</t>
        </is>
      </c>
      <c r="B7084" s="1" t="n">
        <v>45460.51149305556</v>
      </c>
      <c r="C7084" s="1" t="n">
        <v>45932</v>
      </c>
      <c r="D7084" t="inlineStr">
        <is>
          <t>VÄRMLANDS LÄN</t>
        </is>
      </c>
      <c r="E7084" t="inlineStr">
        <is>
          <t>TORSBY</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57445-2022</t>
        </is>
      </c>
      <c r="B7085" s="1" t="n">
        <v>44896</v>
      </c>
      <c r="C7085" s="1" t="n">
        <v>45932</v>
      </c>
      <c r="D7085" t="inlineStr">
        <is>
          <t>VÄRMLANDS LÄN</t>
        </is>
      </c>
      <c r="E7085" t="inlineStr">
        <is>
          <t>KARLSTAD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57885-2024</t>
        </is>
      </c>
      <c r="B7086" s="1" t="n">
        <v>45631.46025462963</v>
      </c>
      <c r="C7086" s="1" t="n">
        <v>45932</v>
      </c>
      <c r="D7086" t="inlineStr">
        <is>
          <t>VÄRMLANDS LÄN</t>
        </is>
      </c>
      <c r="E7086" t="inlineStr">
        <is>
          <t>SÄFFLE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18877-2022</t>
        </is>
      </c>
      <c r="B7087" s="1" t="n">
        <v>44690.52556712963</v>
      </c>
      <c r="C7087" s="1" t="n">
        <v>45932</v>
      </c>
      <c r="D7087" t="inlineStr">
        <is>
          <t>VÄRMLANDS LÄN</t>
        </is>
      </c>
      <c r="E7087" t="inlineStr">
        <is>
          <t>TORSBY</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62495-2022</t>
        </is>
      </c>
      <c r="B7088" s="1" t="n">
        <v>44917</v>
      </c>
      <c r="C7088" s="1" t="n">
        <v>45932</v>
      </c>
      <c r="D7088" t="inlineStr">
        <is>
          <t>VÄRMLANDS LÄN</t>
        </is>
      </c>
      <c r="E7088" t="inlineStr">
        <is>
          <t>KRISTINEHAMN</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30832-2024</t>
        </is>
      </c>
      <c r="B7089" s="1" t="n">
        <v>45497.55288194444</v>
      </c>
      <c r="C7089" s="1" t="n">
        <v>45932</v>
      </c>
      <c r="D7089" t="inlineStr">
        <is>
          <t>VÄRMLANDS LÄN</t>
        </is>
      </c>
      <c r="E7089" t="inlineStr">
        <is>
          <t>SUNNE</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30693-2021</t>
        </is>
      </c>
      <c r="B7090" s="1" t="n">
        <v>44365</v>
      </c>
      <c r="C7090" s="1" t="n">
        <v>45932</v>
      </c>
      <c r="D7090" t="inlineStr">
        <is>
          <t>VÄRMLANDS LÄN</t>
        </is>
      </c>
      <c r="E7090" t="inlineStr">
        <is>
          <t>ÅRJÄNG</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50428-2023</t>
        </is>
      </c>
      <c r="B7091" s="1" t="n">
        <v>45216.67372685186</v>
      </c>
      <c r="C7091" s="1" t="n">
        <v>45932</v>
      </c>
      <c r="D7091" t="inlineStr">
        <is>
          <t>VÄRMLANDS LÄN</t>
        </is>
      </c>
      <c r="E7091" t="inlineStr">
        <is>
          <t>MUNKFORS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30951-2022</t>
        </is>
      </c>
      <c r="B7092" s="1" t="n">
        <v>44768</v>
      </c>
      <c r="C7092" s="1" t="n">
        <v>45932</v>
      </c>
      <c r="D7092" t="inlineStr">
        <is>
          <t>VÄRMLANDS LÄN</t>
        </is>
      </c>
      <c r="E7092" t="inlineStr">
        <is>
          <t>KIL</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46526-2024</t>
        </is>
      </c>
      <c r="B7093" s="1" t="n">
        <v>45582.63302083333</v>
      </c>
      <c r="C7093" s="1" t="n">
        <v>45932</v>
      </c>
      <c r="D7093" t="inlineStr">
        <is>
          <t>VÄRMLANDS LÄN</t>
        </is>
      </c>
      <c r="E7093" t="inlineStr">
        <is>
          <t>SÄFFLE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9179-2025</t>
        </is>
      </c>
      <c r="B7094" s="1" t="n">
        <v>45714</v>
      </c>
      <c r="C7094" s="1" t="n">
        <v>45932</v>
      </c>
      <c r="D7094" t="inlineStr">
        <is>
          <t>VÄRMLANDS LÄN</t>
        </is>
      </c>
      <c r="E7094" t="inlineStr">
        <is>
          <t>EDA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38023-2023</t>
        </is>
      </c>
      <c r="B7095" s="1" t="n">
        <v>45160</v>
      </c>
      <c r="C7095" s="1" t="n">
        <v>45932</v>
      </c>
      <c r="D7095" t="inlineStr">
        <is>
          <t>VÄRMLANDS LÄN</t>
        </is>
      </c>
      <c r="E7095" t="inlineStr">
        <is>
          <t>KARLSTAD</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60651-2024</t>
        </is>
      </c>
      <c r="B7096" s="1" t="n">
        <v>45642</v>
      </c>
      <c r="C7096" s="1" t="n">
        <v>45932</v>
      </c>
      <c r="D7096" t="inlineStr">
        <is>
          <t>VÄRMLANDS LÄN</t>
        </is>
      </c>
      <c r="E7096" t="inlineStr">
        <is>
          <t>SÄFFLE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38086-2023</t>
        </is>
      </c>
      <c r="B7097" s="1" t="n">
        <v>45160</v>
      </c>
      <c r="C7097" s="1" t="n">
        <v>45932</v>
      </c>
      <c r="D7097" t="inlineStr">
        <is>
          <t>VÄRMLANDS LÄN</t>
        </is>
      </c>
      <c r="E7097" t="inlineStr">
        <is>
          <t>TORSBY</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9723-2025</t>
        </is>
      </c>
      <c r="B7098" s="1" t="n">
        <v>45715</v>
      </c>
      <c r="C7098" s="1" t="n">
        <v>45932</v>
      </c>
      <c r="D7098" t="inlineStr">
        <is>
          <t>VÄRMLANDS LÄN</t>
        </is>
      </c>
      <c r="E7098" t="inlineStr">
        <is>
          <t>TORSBY</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45665-2023</t>
        </is>
      </c>
      <c r="B7099" s="1" t="n">
        <v>45194</v>
      </c>
      <c r="C7099" s="1" t="n">
        <v>45932</v>
      </c>
      <c r="D7099" t="inlineStr">
        <is>
          <t>VÄRMLANDS LÄN</t>
        </is>
      </c>
      <c r="E7099" t="inlineStr">
        <is>
          <t>SUNNE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25570-2023</t>
        </is>
      </c>
      <c r="B7100" s="1" t="n">
        <v>45082</v>
      </c>
      <c r="C7100" s="1" t="n">
        <v>45932</v>
      </c>
      <c r="D7100" t="inlineStr">
        <is>
          <t>VÄRMLANDS LÄN</t>
        </is>
      </c>
      <c r="E7100" t="inlineStr">
        <is>
          <t>KRISTINEHAMN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364-2025</t>
        </is>
      </c>
      <c r="B7101" s="1" t="n">
        <v>45661</v>
      </c>
      <c r="C7101" s="1" t="n">
        <v>45932</v>
      </c>
      <c r="D7101" t="inlineStr">
        <is>
          <t>VÄRMLANDS LÄN</t>
        </is>
      </c>
      <c r="E7101" t="inlineStr">
        <is>
          <t>TORSBY</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25657-2023</t>
        </is>
      </c>
      <c r="B7102" s="1" t="n">
        <v>45089.90354166667</v>
      </c>
      <c r="C7102" s="1" t="n">
        <v>45932</v>
      </c>
      <c r="D7102" t="inlineStr">
        <is>
          <t>VÄRMLANDS LÄN</t>
        </is>
      </c>
      <c r="E7102" t="inlineStr">
        <is>
          <t>SÄFFLE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53-2023</t>
        </is>
      </c>
      <c r="B7103" s="1" t="n">
        <v>44928.4027199074</v>
      </c>
      <c r="C7103" s="1" t="n">
        <v>45932</v>
      </c>
      <c r="D7103" t="inlineStr">
        <is>
          <t>VÄRMLANDS LÄN</t>
        </is>
      </c>
      <c r="E7103" t="inlineStr">
        <is>
          <t>SUNNE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9769-2021</t>
        </is>
      </c>
      <c r="B7104" s="1" t="n">
        <v>44252.62789351852</v>
      </c>
      <c r="C7104" s="1" t="n">
        <v>45932</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24580-2025</t>
        </is>
      </c>
      <c r="B7105" s="1" t="n">
        <v>45798.49059027778</v>
      </c>
      <c r="C7105" s="1" t="n">
        <v>45932</v>
      </c>
      <c r="D7105" t="inlineStr">
        <is>
          <t>VÄRMLANDS LÄN</t>
        </is>
      </c>
      <c r="E7105" t="inlineStr">
        <is>
          <t>TORSBY</t>
        </is>
      </c>
      <c r="G7105" t="n">
        <v>12.2</v>
      </c>
      <c r="H7105" t="n">
        <v>0</v>
      </c>
      <c r="I7105" t="n">
        <v>0</v>
      </c>
      <c r="J7105" t="n">
        <v>0</v>
      </c>
      <c r="K7105" t="n">
        <v>0</v>
      </c>
      <c r="L7105" t="n">
        <v>0</v>
      </c>
      <c r="M7105" t="n">
        <v>0</v>
      </c>
      <c r="N7105" t="n">
        <v>0</v>
      </c>
      <c r="O7105" t="n">
        <v>0</v>
      </c>
      <c r="P7105" t="n">
        <v>0</v>
      </c>
      <c r="Q7105" t="n">
        <v>0</v>
      </c>
      <c r="R7105" s="2" t="inlineStr"/>
    </row>
    <row r="7106" ht="15" customHeight="1">
      <c r="A7106" t="inlineStr">
        <is>
          <t>A 13438-2024</t>
        </is>
      </c>
      <c r="B7106" s="1" t="n">
        <v>45387.48815972222</v>
      </c>
      <c r="C7106" s="1" t="n">
        <v>45932</v>
      </c>
      <c r="D7106" t="inlineStr">
        <is>
          <t>VÄRMLANDS LÄN</t>
        </is>
      </c>
      <c r="E7106" t="inlineStr">
        <is>
          <t>SÄFFLE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13459-2024</t>
        </is>
      </c>
      <c r="B7107" s="1" t="n">
        <v>45387</v>
      </c>
      <c r="C7107" s="1" t="n">
        <v>45932</v>
      </c>
      <c r="D7107" t="inlineStr">
        <is>
          <t>VÄRMLANDS LÄN</t>
        </is>
      </c>
      <c r="E7107" t="inlineStr">
        <is>
          <t>KRISTINEHAMN</t>
        </is>
      </c>
      <c r="F7107" t="inlineStr">
        <is>
          <t>Naturvårdsverket</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12319-2022</t>
        </is>
      </c>
      <c r="B7108" s="1" t="n">
        <v>44637.60309027778</v>
      </c>
      <c r="C7108" s="1" t="n">
        <v>45932</v>
      </c>
      <c r="D7108" t="inlineStr">
        <is>
          <t>VÄRMLANDS LÄN</t>
        </is>
      </c>
      <c r="E7108" t="inlineStr">
        <is>
          <t>KRISTINEHAMN</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21632-2024</t>
        </is>
      </c>
      <c r="B7109" s="1" t="n">
        <v>45442.33895833333</v>
      </c>
      <c r="C7109" s="1" t="n">
        <v>45932</v>
      </c>
      <c r="D7109" t="inlineStr">
        <is>
          <t>VÄRMLANDS LÄN</t>
        </is>
      </c>
      <c r="E7109" t="inlineStr">
        <is>
          <t>SUNNE</t>
        </is>
      </c>
      <c r="F7109" t="inlineStr">
        <is>
          <t>Bergvik skog väst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36641-2021</t>
        </is>
      </c>
      <c r="B7110" s="1" t="n">
        <v>44392.31038194444</v>
      </c>
      <c r="C7110" s="1" t="n">
        <v>45932</v>
      </c>
      <c r="D7110" t="inlineStr">
        <is>
          <t>VÄRMLANDS LÄN</t>
        </is>
      </c>
      <c r="E7110" t="inlineStr">
        <is>
          <t>ÅRJÄNG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7072-2023</t>
        </is>
      </c>
      <c r="B7111" s="1" t="n">
        <v>44969.95028935185</v>
      </c>
      <c r="C7111" s="1" t="n">
        <v>45932</v>
      </c>
      <c r="D7111" t="inlineStr">
        <is>
          <t>VÄRMLANDS LÄN</t>
        </is>
      </c>
      <c r="E7111" t="inlineStr">
        <is>
          <t>STORFORS</t>
        </is>
      </c>
      <c r="F7111" t="inlineStr">
        <is>
          <t>Bergvik skog väst AB</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2144-2025</t>
        </is>
      </c>
      <c r="B7112" s="1" t="n">
        <v>45672.69155092593</v>
      </c>
      <c r="C7112" s="1" t="n">
        <v>45932</v>
      </c>
      <c r="D7112" t="inlineStr">
        <is>
          <t>VÄRMLANDS LÄN</t>
        </is>
      </c>
      <c r="E7112" t="inlineStr">
        <is>
          <t>KRISTINEHAMN</t>
        </is>
      </c>
      <c r="F7112" t="inlineStr">
        <is>
          <t>Bergvik skog väst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309-2021</t>
        </is>
      </c>
      <c r="B7113" s="1" t="n">
        <v>44201</v>
      </c>
      <c r="C7113" s="1" t="n">
        <v>45932</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30180-2022</t>
        </is>
      </c>
      <c r="B7114" s="1" t="n">
        <v>44757.58894675926</v>
      </c>
      <c r="C7114" s="1" t="n">
        <v>45932</v>
      </c>
      <c r="D7114" t="inlineStr">
        <is>
          <t>VÄRMLANDS LÄN</t>
        </is>
      </c>
      <c r="E7114" t="inlineStr">
        <is>
          <t>HAGFORS</t>
        </is>
      </c>
      <c r="F7114" t="inlineStr">
        <is>
          <t>Bergvik skog väst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38065-2024</t>
        </is>
      </c>
      <c r="B7115" s="1" t="n">
        <v>45544.8249537037</v>
      </c>
      <c r="C7115" s="1" t="n">
        <v>45932</v>
      </c>
      <c r="D7115" t="inlineStr">
        <is>
          <t>VÄRMLANDS LÄN</t>
        </is>
      </c>
      <c r="E7115" t="inlineStr">
        <is>
          <t>ÅRJÄNG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53468-2021</t>
        </is>
      </c>
      <c r="B7116" s="1" t="n">
        <v>44468.74127314815</v>
      </c>
      <c r="C7116" s="1" t="n">
        <v>45932</v>
      </c>
      <c r="D7116" t="inlineStr">
        <is>
          <t>VÄRMLANDS LÄN</t>
        </is>
      </c>
      <c r="E7116" t="inlineStr">
        <is>
          <t>ÅRJÄNG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32393-2022</t>
        </is>
      </c>
      <c r="B7117" s="1" t="n">
        <v>44781</v>
      </c>
      <c r="C7117" s="1" t="n">
        <v>45932</v>
      </c>
      <c r="D7117" t="inlineStr">
        <is>
          <t>VÄRMLANDS LÄN</t>
        </is>
      </c>
      <c r="E7117" t="inlineStr">
        <is>
          <t>SUNNE</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33081-2022</t>
        </is>
      </c>
      <c r="B7118" s="1" t="n">
        <v>44785</v>
      </c>
      <c r="C7118" s="1" t="n">
        <v>45932</v>
      </c>
      <c r="D7118" t="inlineStr">
        <is>
          <t>VÄRMLANDS LÄN</t>
        </is>
      </c>
      <c r="E7118" t="inlineStr">
        <is>
          <t>GRUMS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31413-2025</t>
        </is>
      </c>
      <c r="B7119" s="1" t="n">
        <v>45833</v>
      </c>
      <c r="C7119" s="1" t="n">
        <v>45932</v>
      </c>
      <c r="D7119" t="inlineStr">
        <is>
          <t>VÄRMLANDS LÄN</t>
        </is>
      </c>
      <c r="E7119" t="inlineStr">
        <is>
          <t>ARVIKA</t>
        </is>
      </c>
      <c r="F7119" t="inlineStr">
        <is>
          <t>Bergvik skog väst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31417-2025</t>
        </is>
      </c>
      <c r="B7120" s="1" t="n">
        <v>45833</v>
      </c>
      <c r="C7120" s="1" t="n">
        <v>45932</v>
      </c>
      <c r="D7120" t="inlineStr">
        <is>
          <t>VÄRMLANDS LÄN</t>
        </is>
      </c>
      <c r="E7120" t="inlineStr">
        <is>
          <t>KARLSTAD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31420-2025</t>
        </is>
      </c>
      <c r="B7121" s="1" t="n">
        <v>45833</v>
      </c>
      <c r="C7121" s="1" t="n">
        <v>45932</v>
      </c>
      <c r="D7121" t="inlineStr">
        <is>
          <t>VÄRMLANDS LÄN</t>
        </is>
      </c>
      <c r="E7121" t="inlineStr">
        <is>
          <t>KARLSTAD</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31101-2025</t>
        </is>
      </c>
      <c r="B7122" s="1" t="n">
        <v>45832</v>
      </c>
      <c r="C7122" s="1" t="n">
        <v>45932</v>
      </c>
      <c r="D7122" t="inlineStr">
        <is>
          <t>VÄRMLANDS LÄN</t>
        </is>
      </c>
      <c r="E7122" t="inlineStr">
        <is>
          <t>TORSBY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57504-2022</t>
        </is>
      </c>
      <c r="B7123" s="1" t="n">
        <v>44896</v>
      </c>
      <c r="C7123" s="1" t="n">
        <v>45932</v>
      </c>
      <c r="D7123" t="inlineStr">
        <is>
          <t>VÄRMLANDS LÄN</t>
        </is>
      </c>
      <c r="E7123" t="inlineStr">
        <is>
          <t>KARLSTAD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50764-2022</t>
        </is>
      </c>
      <c r="B7124" s="1" t="n">
        <v>44867</v>
      </c>
      <c r="C7124" s="1" t="n">
        <v>45932</v>
      </c>
      <c r="D7124" t="inlineStr">
        <is>
          <t>VÄRMLANDS LÄN</t>
        </is>
      </c>
      <c r="E7124" t="inlineStr">
        <is>
          <t>ARVIKA</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19638-2025</t>
        </is>
      </c>
      <c r="B7125" s="1" t="n">
        <v>45770</v>
      </c>
      <c r="C7125" s="1" t="n">
        <v>45932</v>
      </c>
      <c r="D7125" t="inlineStr">
        <is>
          <t>VÄRMLANDS LÄN</t>
        </is>
      </c>
      <c r="E7125" t="inlineStr">
        <is>
          <t>KRISTINEHAMN</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31412-2025</t>
        </is>
      </c>
      <c r="B7126" s="1" t="n">
        <v>45833.47877314815</v>
      </c>
      <c r="C7126" s="1" t="n">
        <v>45932</v>
      </c>
      <c r="D7126" t="inlineStr">
        <is>
          <t>VÄRMLANDS LÄN</t>
        </is>
      </c>
      <c r="E7126" t="inlineStr">
        <is>
          <t>KARLSTAD</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31418-2025</t>
        </is>
      </c>
      <c r="B7127" s="1" t="n">
        <v>45833</v>
      </c>
      <c r="C7127" s="1" t="n">
        <v>45932</v>
      </c>
      <c r="D7127" t="inlineStr">
        <is>
          <t>VÄRMLANDS LÄN</t>
        </is>
      </c>
      <c r="E7127" t="inlineStr">
        <is>
          <t>ARVIKA</t>
        </is>
      </c>
      <c r="F7127" t="inlineStr">
        <is>
          <t>Bergvik skog väst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10117-2023</t>
        </is>
      </c>
      <c r="B7128" s="1" t="n">
        <v>44986.34331018518</v>
      </c>
      <c r="C7128" s="1" t="n">
        <v>45932</v>
      </c>
      <c r="D7128" t="inlineStr">
        <is>
          <t>VÄRMLANDS LÄN</t>
        </is>
      </c>
      <c r="E7128" t="inlineStr">
        <is>
          <t>ÅRJÄNG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5830-2023</t>
        </is>
      </c>
      <c r="B7129" s="1" t="n">
        <v>44963</v>
      </c>
      <c r="C7129" s="1" t="n">
        <v>45932</v>
      </c>
      <c r="D7129" t="inlineStr">
        <is>
          <t>VÄRMLANDS LÄN</t>
        </is>
      </c>
      <c r="E7129" t="inlineStr">
        <is>
          <t>TORSBY</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61304-2023</t>
        </is>
      </c>
      <c r="B7130" s="1" t="n">
        <v>45264</v>
      </c>
      <c r="C7130" s="1" t="n">
        <v>45932</v>
      </c>
      <c r="D7130" t="inlineStr">
        <is>
          <t>VÄRMLANDS LÄN</t>
        </is>
      </c>
      <c r="E7130" t="inlineStr">
        <is>
          <t>HAGFORS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31559-2025</t>
        </is>
      </c>
      <c r="B7131" s="1" t="n">
        <v>45833.65369212963</v>
      </c>
      <c r="C7131" s="1" t="n">
        <v>45932</v>
      </c>
      <c r="D7131" t="inlineStr">
        <is>
          <t>VÄRMLANDS LÄN</t>
        </is>
      </c>
      <c r="E7131" t="inlineStr">
        <is>
          <t>KIL</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31192-2025</t>
        </is>
      </c>
      <c r="B7132" s="1" t="n">
        <v>45832</v>
      </c>
      <c r="C7132" s="1" t="n">
        <v>45932</v>
      </c>
      <c r="D7132" t="inlineStr">
        <is>
          <t>VÄRMLANDS LÄN</t>
        </is>
      </c>
      <c r="E7132" t="inlineStr">
        <is>
          <t>SÄFFLE</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68452-2020</t>
        </is>
      </c>
      <c r="B7133" s="1" t="n">
        <v>44186</v>
      </c>
      <c r="C7133" s="1" t="n">
        <v>45932</v>
      </c>
      <c r="D7133" t="inlineStr">
        <is>
          <t>VÄRMLANDS LÄN</t>
        </is>
      </c>
      <c r="E7133" t="inlineStr">
        <is>
          <t>SUNNE</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31433-2025</t>
        </is>
      </c>
      <c r="B7134" s="1" t="n">
        <v>45833</v>
      </c>
      <c r="C7134" s="1" t="n">
        <v>45932</v>
      </c>
      <c r="D7134" t="inlineStr">
        <is>
          <t>VÄRMLANDS LÄN</t>
        </is>
      </c>
      <c r="E7134" t="inlineStr">
        <is>
          <t>ÅRJÄNG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65250-2023</t>
        </is>
      </c>
      <c r="B7135" s="1" t="n">
        <v>45290.40490740741</v>
      </c>
      <c r="C7135" s="1" t="n">
        <v>45932</v>
      </c>
      <c r="D7135" t="inlineStr">
        <is>
          <t>VÄRMLANDS LÄN</t>
        </is>
      </c>
      <c r="E7135" t="inlineStr">
        <is>
          <t>EDA</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65251-2023</t>
        </is>
      </c>
      <c r="B7136" s="1" t="n">
        <v>45290.4230787037</v>
      </c>
      <c r="C7136" s="1" t="n">
        <v>45932</v>
      </c>
      <c r="D7136" t="inlineStr">
        <is>
          <t>VÄRMLANDS LÄN</t>
        </is>
      </c>
      <c r="E7136" t="inlineStr">
        <is>
          <t>EDA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31443-2025</t>
        </is>
      </c>
      <c r="B7137" s="1" t="n">
        <v>45833.51288194444</v>
      </c>
      <c r="C7137" s="1" t="n">
        <v>45932</v>
      </c>
      <c r="D7137" t="inlineStr">
        <is>
          <t>VÄRMLANDS LÄN</t>
        </is>
      </c>
      <c r="E7137" t="inlineStr">
        <is>
          <t>ARVIKA</t>
        </is>
      </c>
      <c r="F7137" t="inlineStr">
        <is>
          <t>Bergvik skog väst AB</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53112-2022</t>
        </is>
      </c>
      <c r="B7138" s="1" t="n">
        <v>44876.44770833333</v>
      </c>
      <c r="C7138" s="1" t="n">
        <v>45932</v>
      </c>
      <c r="D7138" t="inlineStr">
        <is>
          <t>VÄRMLANDS LÄN</t>
        </is>
      </c>
      <c r="E7138" t="inlineStr">
        <is>
          <t>SÄFFLE</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7098-2024</t>
        </is>
      </c>
      <c r="B7139" s="1" t="n">
        <v>45343</v>
      </c>
      <c r="C7139" s="1" t="n">
        <v>45932</v>
      </c>
      <c r="D7139" t="inlineStr">
        <is>
          <t>VÄRMLANDS LÄN</t>
        </is>
      </c>
      <c r="E7139" t="inlineStr">
        <is>
          <t>ÅRJÄNG</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7100-2024</t>
        </is>
      </c>
      <c r="B7140" s="1" t="n">
        <v>45343</v>
      </c>
      <c r="C7140" s="1" t="n">
        <v>45932</v>
      </c>
      <c r="D7140" t="inlineStr">
        <is>
          <t>VÄRMLANDS LÄN</t>
        </is>
      </c>
      <c r="E7140" t="inlineStr">
        <is>
          <t>ÅRJÄNG</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4047-2024</t>
        </is>
      </c>
      <c r="B7141" s="1" t="n">
        <v>45323.47203703703</v>
      </c>
      <c r="C7141" s="1" t="n">
        <v>45932</v>
      </c>
      <c r="D7141" t="inlineStr">
        <is>
          <t>VÄRMLANDS LÄN</t>
        </is>
      </c>
      <c r="E7141" t="inlineStr">
        <is>
          <t>HAGFORS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31547-2025</t>
        </is>
      </c>
      <c r="B7142" s="1" t="n">
        <v>45833.63733796297</v>
      </c>
      <c r="C7142" s="1" t="n">
        <v>45932</v>
      </c>
      <c r="D7142" t="inlineStr">
        <is>
          <t>VÄRMLANDS LÄN</t>
        </is>
      </c>
      <c r="E7142" t="inlineStr">
        <is>
          <t>TORSBY</t>
        </is>
      </c>
      <c r="F7142" t="inlineStr">
        <is>
          <t>Bergvik skog väst AB</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23072-2022</t>
        </is>
      </c>
      <c r="B7143" s="1" t="n">
        <v>44718</v>
      </c>
      <c r="C7143" s="1" t="n">
        <v>45932</v>
      </c>
      <c r="D7143" t="inlineStr">
        <is>
          <t>VÄRMLANDS LÄN</t>
        </is>
      </c>
      <c r="E7143" t="inlineStr">
        <is>
          <t>ARVIKA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31245-2025</t>
        </is>
      </c>
      <c r="B7144" s="1" t="n">
        <v>45832</v>
      </c>
      <c r="C7144" s="1" t="n">
        <v>45932</v>
      </c>
      <c r="D7144" t="inlineStr">
        <is>
          <t>VÄRMLANDS LÄN</t>
        </is>
      </c>
      <c r="E7144" t="inlineStr">
        <is>
          <t>SÄFFLE</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31250-2025</t>
        </is>
      </c>
      <c r="B7145" s="1" t="n">
        <v>45832.92839120371</v>
      </c>
      <c r="C7145" s="1" t="n">
        <v>45932</v>
      </c>
      <c r="D7145" t="inlineStr">
        <is>
          <t>VÄRMLANDS LÄN</t>
        </is>
      </c>
      <c r="E7145" t="inlineStr">
        <is>
          <t>KRISTINEHAMN</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31282-2025</t>
        </is>
      </c>
      <c r="B7146" s="1" t="n">
        <v>45833</v>
      </c>
      <c r="C7146" s="1" t="n">
        <v>45932</v>
      </c>
      <c r="D7146" t="inlineStr">
        <is>
          <t>VÄRMLANDS LÄN</t>
        </is>
      </c>
      <c r="E7146" t="inlineStr">
        <is>
          <t>ÅRJÄNG</t>
        </is>
      </c>
      <c r="F7146" t="inlineStr">
        <is>
          <t>Bergvik skog väst AB</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45690-2021</t>
        </is>
      </c>
      <c r="B7147" s="1" t="n">
        <v>44441</v>
      </c>
      <c r="C7147" s="1" t="n">
        <v>45932</v>
      </c>
      <c r="D7147" t="inlineStr">
        <is>
          <t>VÄRMLANDS LÄN</t>
        </is>
      </c>
      <c r="E7147" t="inlineStr">
        <is>
          <t>KRISTINEHAMN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8784-2023</t>
        </is>
      </c>
      <c r="B7148" s="1" t="n">
        <v>44978</v>
      </c>
      <c r="C7148" s="1" t="n">
        <v>45932</v>
      </c>
      <c r="D7148" t="inlineStr">
        <is>
          <t>VÄRMLANDS LÄN</t>
        </is>
      </c>
      <c r="E7148" t="inlineStr">
        <is>
          <t>ARVIKA</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22158-2022</t>
        </is>
      </c>
      <c r="B7149" s="1" t="n">
        <v>44708</v>
      </c>
      <c r="C7149" s="1" t="n">
        <v>45932</v>
      </c>
      <c r="D7149" t="inlineStr">
        <is>
          <t>VÄRMLANDS LÄN</t>
        </is>
      </c>
      <c r="E7149" t="inlineStr">
        <is>
          <t>TORSBY</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31331-2025</t>
        </is>
      </c>
      <c r="B7150" s="1" t="n">
        <v>45833</v>
      </c>
      <c r="C7150" s="1" t="n">
        <v>45932</v>
      </c>
      <c r="D7150" t="inlineStr">
        <is>
          <t>VÄRMLANDS LÄN</t>
        </is>
      </c>
      <c r="E7150" t="inlineStr">
        <is>
          <t>ARVIKA</t>
        </is>
      </c>
      <c r="F7150" t="inlineStr">
        <is>
          <t>Bergvik skog väst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31335-2025</t>
        </is>
      </c>
      <c r="B7151" s="1" t="n">
        <v>45833.42608796297</v>
      </c>
      <c r="C7151" s="1" t="n">
        <v>45932</v>
      </c>
      <c r="D7151" t="inlineStr">
        <is>
          <t>VÄRMLANDS LÄN</t>
        </is>
      </c>
      <c r="E7151" t="inlineStr">
        <is>
          <t>TORSBY</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25840-2024</t>
        </is>
      </c>
      <c r="B7152" s="1" t="n">
        <v>45467</v>
      </c>
      <c r="C7152" s="1" t="n">
        <v>45932</v>
      </c>
      <c r="D7152" t="inlineStr">
        <is>
          <t>VÄRMLANDS LÄN</t>
        </is>
      </c>
      <c r="E7152" t="inlineStr">
        <is>
          <t>GRUMS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59732-2024</t>
        </is>
      </c>
      <c r="B7153" s="1" t="n">
        <v>45639.5108912037</v>
      </c>
      <c r="C7153" s="1" t="n">
        <v>45932</v>
      </c>
      <c r="D7153" t="inlineStr">
        <is>
          <t>VÄRMLANDS LÄN</t>
        </is>
      </c>
      <c r="E7153" t="inlineStr">
        <is>
          <t>SÄFFLE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51663-2023</t>
        </is>
      </c>
      <c r="B7154" s="1" t="n">
        <v>45222</v>
      </c>
      <c r="C7154" s="1" t="n">
        <v>45932</v>
      </c>
      <c r="D7154" t="inlineStr">
        <is>
          <t>VÄRMLANDS LÄN</t>
        </is>
      </c>
      <c r="E7154" t="inlineStr">
        <is>
          <t>KARLSTAD</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22464-2021</t>
        </is>
      </c>
      <c r="B7155" s="1" t="n">
        <v>44326.67932870371</v>
      </c>
      <c r="C7155" s="1" t="n">
        <v>45932</v>
      </c>
      <c r="D7155" t="inlineStr">
        <is>
          <t>VÄRMLANDS LÄN</t>
        </is>
      </c>
      <c r="E7155" t="inlineStr">
        <is>
          <t>TORSBY</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53562-2023</t>
        </is>
      </c>
      <c r="B7156" s="1" t="n">
        <v>45230</v>
      </c>
      <c r="C7156" s="1" t="n">
        <v>45932</v>
      </c>
      <c r="D7156" t="inlineStr">
        <is>
          <t>VÄRMLANDS LÄN</t>
        </is>
      </c>
      <c r="E7156" t="inlineStr">
        <is>
          <t>FILIPSTAD</t>
        </is>
      </c>
      <c r="F7156" t="inlineStr">
        <is>
          <t>Bergvik skog väst AB</t>
        </is>
      </c>
      <c r="G7156" t="n">
        <v>9.9</v>
      </c>
      <c r="H7156" t="n">
        <v>0</v>
      </c>
      <c r="I7156" t="n">
        <v>0</v>
      </c>
      <c r="J7156" t="n">
        <v>0</v>
      </c>
      <c r="K7156" t="n">
        <v>0</v>
      </c>
      <c r="L7156" t="n">
        <v>0</v>
      </c>
      <c r="M7156" t="n">
        <v>0</v>
      </c>
      <c r="N7156" t="n">
        <v>0</v>
      </c>
      <c r="O7156" t="n">
        <v>0</v>
      </c>
      <c r="P7156" t="n">
        <v>0</v>
      </c>
      <c r="Q7156" t="n">
        <v>0</v>
      </c>
      <c r="R7156" s="2" t="inlineStr"/>
    </row>
    <row r="7157" ht="15" customHeight="1">
      <c r="A7157" t="inlineStr">
        <is>
          <t>A 30974-2025</t>
        </is>
      </c>
      <c r="B7157" s="1" t="n">
        <v>45832.46305555556</v>
      </c>
      <c r="C7157" s="1" t="n">
        <v>45932</v>
      </c>
      <c r="D7157" t="inlineStr">
        <is>
          <t>VÄRMLANDS LÄN</t>
        </is>
      </c>
      <c r="E7157" t="inlineStr">
        <is>
          <t>TORSBY</t>
        </is>
      </c>
      <c r="G7157" t="n">
        <v>29.2</v>
      </c>
      <c r="H7157" t="n">
        <v>0</v>
      </c>
      <c r="I7157" t="n">
        <v>0</v>
      </c>
      <c r="J7157" t="n">
        <v>0</v>
      </c>
      <c r="K7157" t="n">
        <v>0</v>
      </c>
      <c r="L7157" t="n">
        <v>0</v>
      </c>
      <c r="M7157" t="n">
        <v>0</v>
      </c>
      <c r="N7157" t="n">
        <v>0</v>
      </c>
      <c r="O7157" t="n">
        <v>0</v>
      </c>
      <c r="P7157" t="n">
        <v>0</v>
      </c>
      <c r="Q7157" t="n">
        <v>0</v>
      </c>
      <c r="R7157" s="2" t="inlineStr"/>
    </row>
    <row r="7158" ht="15" customHeight="1">
      <c r="A7158" t="inlineStr">
        <is>
          <t>A 31393-2025</t>
        </is>
      </c>
      <c r="B7158" s="1" t="n">
        <v>45833.46305555556</v>
      </c>
      <c r="C7158" s="1" t="n">
        <v>45932</v>
      </c>
      <c r="D7158" t="inlineStr">
        <is>
          <t>VÄRMLANDS LÄN</t>
        </is>
      </c>
      <c r="E7158" t="inlineStr">
        <is>
          <t>ÅRJÄNG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31449-2025</t>
        </is>
      </c>
      <c r="B7159" s="1" t="n">
        <v>45833</v>
      </c>
      <c r="C7159" s="1" t="n">
        <v>45932</v>
      </c>
      <c r="D7159" t="inlineStr">
        <is>
          <t>VÄRMLANDS LÄN</t>
        </is>
      </c>
      <c r="E7159" t="inlineStr">
        <is>
          <t>KRISTINEHAMN</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46110-2025</t>
        </is>
      </c>
      <c r="B7160" s="1" t="n">
        <v>45924</v>
      </c>
      <c r="C7160" s="1" t="n">
        <v>45932</v>
      </c>
      <c r="D7160" t="inlineStr">
        <is>
          <t>VÄRMLANDS LÄN</t>
        </is>
      </c>
      <c r="E7160" t="inlineStr">
        <is>
          <t>TORSBY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31327-2025</t>
        </is>
      </c>
      <c r="B7161" s="1" t="n">
        <v>45833.41175925926</v>
      </c>
      <c r="C7161" s="1" t="n">
        <v>45932</v>
      </c>
      <c r="D7161" t="inlineStr">
        <is>
          <t>VÄRMLANDS LÄN</t>
        </is>
      </c>
      <c r="E7161" t="inlineStr">
        <is>
          <t>KRISTINEHAMN</t>
        </is>
      </c>
      <c r="G7161" t="n">
        <v>20.1</v>
      </c>
      <c r="H7161" t="n">
        <v>0</v>
      </c>
      <c r="I7161" t="n">
        <v>0</v>
      </c>
      <c r="J7161" t="n">
        <v>0</v>
      </c>
      <c r="K7161" t="n">
        <v>0</v>
      </c>
      <c r="L7161" t="n">
        <v>0</v>
      </c>
      <c r="M7161" t="n">
        <v>0</v>
      </c>
      <c r="N7161" t="n">
        <v>0</v>
      </c>
      <c r="O7161" t="n">
        <v>0</v>
      </c>
      <c r="P7161" t="n">
        <v>0</v>
      </c>
      <c r="Q7161" t="n">
        <v>0</v>
      </c>
      <c r="R7161" s="2" t="inlineStr"/>
    </row>
    <row r="7162" ht="15" customHeight="1">
      <c r="A7162" t="inlineStr">
        <is>
          <t>A 69008-2021</t>
        </is>
      </c>
      <c r="B7162" s="1" t="n">
        <v>44530</v>
      </c>
      <c r="C7162" s="1" t="n">
        <v>45932</v>
      </c>
      <c r="D7162" t="inlineStr">
        <is>
          <t>VÄRMLANDS LÄN</t>
        </is>
      </c>
      <c r="E7162" t="inlineStr">
        <is>
          <t>KARLSTAD</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4566-2022</t>
        </is>
      </c>
      <c r="B7163" s="1" t="n">
        <v>44591.63807870371</v>
      </c>
      <c r="C7163" s="1" t="n">
        <v>45932</v>
      </c>
      <c r="D7163" t="inlineStr">
        <is>
          <t>VÄRMLANDS LÄN</t>
        </is>
      </c>
      <c r="E7163" t="inlineStr">
        <is>
          <t>SUNNE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50815-2024</t>
        </is>
      </c>
      <c r="B7164" s="1" t="n">
        <v>45602.55113425926</v>
      </c>
      <c r="C7164" s="1" t="n">
        <v>45932</v>
      </c>
      <c r="D7164" t="inlineStr">
        <is>
          <t>VÄRMLANDS LÄN</t>
        </is>
      </c>
      <c r="E7164" t="inlineStr">
        <is>
          <t>SUNNE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31586-2025</t>
        </is>
      </c>
      <c r="B7165" s="1" t="n">
        <v>45833.68950231482</v>
      </c>
      <c r="C7165" s="1" t="n">
        <v>45932</v>
      </c>
      <c r="D7165" t="inlineStr">
        <is>
          <t>VÄRMLANDS LÄN</t>
        </is>
      </c>
      <c r="E7165" t="inlineStr">
        <is>
          <t>KARLSTAD</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31591-2025</t>
        </is>
      </c>
      <c r="B7166" s="1" t="n">
        <v>45833</v>
      </c>
      <c r="C7166" s="1" t="n">
        <v>45932</v>
      </c>
      <c r="D7166" t="inlineStr">
        <is>
          <t>VÄRMLANDS LÄN</t>
        </is>
      </c>
      <c r="E7166" t="inlineStr">
        <is>
          <t>ÅRJÄNG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31051-2025</t>
        </is>
      </c>
      <c r="B7167" s="1" t="n">
        <v>45832</v>
      </c>
      <c r="C7167" s="1" t="n">
        <v>45932</v>
      </c>
      <c r="D7167" t="inlineStr">
        <is>
          <t>VÄRMLANDS LÄN</t>
        </is>
      </c>
      <c r="E7167" t="inlineStr">
        <is>
          <t>FILIPSTAD</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27131-2022</t>
        </is>
      </c>
      <c r="B7168" s="1" t="n">
        <v>44741</v>
      </c>
      <c r="C7168" s="1" t="n">
        <v>45932</v>
      </c>
      <c r="D7168" t="inlineStr">
        <is>
          <t>VÄRMLANDS LÄN</t>
        </is>
      </c>
      <c r="E7168" t="inlineStr">
        <is>
          <t>ARVIKA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20175-2022</t>
        </is>
      </c>
      <c r="B7169" s="1" t="n">
        <v>44698</v>
      </c>
      <c r="C7169" s="1" t="n">
        <v>45932</v>
      </c>
      <c r="D7169" t="inlineStr">
        <is>
          <t>VÄRMLANDS LÄN</t>
        </is>
      </c>
      <c r="E7169" t="inlineStr">
        <is>
          <t>TORSBY</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60615-2020</t>
        </is>
      </c>
      <c r="B7170" s="1" t="n">
        <v>44153</v>
      </c>
      <c r="C7170" s="1" t="n">
        <v>45932</v>
      </c>
      <c r="D7170" t="inlineStr">
        <is>
          <t>VÄRMLANDS LÄN</t>
        </is>
      </c>
      <c r="E7170" t="inlineStr">
        <is>
          <t>HAGFORS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46685-2025</t>
        </is>
      </c>
      <c r="B7171" s="1" t="n">
        <v>45926.551875</v>
      </c>
      <c r="C7171" s="1" t="n">
        <v>45932</v>
      </c>
      <c r="D7171" t="inlineStr">
        <is>
          <t>VÄRMLANDS LÄN</t>
        </is>
      </c>
      <c r="E7171" t="inlineStr">
        <is>
          <t>ARVIKA</t>
        </is>
      </c>
      <c r="F7171" t="inlineStr">
        <is>
          <t>Bergvik skog väst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8833-2025</t>
        </is>
      </c>
      <c r="B7172" s="1" t="n">
        <v>45712.91263888889</v>
      </c>
      <c r="C7172" s="1" t="n">
        <v>45932</v>
      </c>
      <c r="D7172" t="inlineStr">
        <is>
          <t>VÄRMLANDS LÄN</t>
        </is>
      </c>
      <c r="E7172" t="inlineStr">
        <is>
          <t>ÅRJÄNG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4545-2024</t>
        </is>
      </c>
      <c r="B7173" s="1" t="n">
        <v>45327</v>
      </c>
      <c r="C7173" s="1" t="n">
        <v>45932</v>
      </c>
      <c r="D7173" t="inlineStr">
        <is>
          <t>VÄRMLANDS LÄN</t>
        </is>
      </c>
      <c r="E7173" t="inlineStr">
        <is>
          <t>ÅRJÄNG</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64446-2023</t>
        </is>
      </c>
      <c r="B7174" s="1" t="n">
        <v>45280</v>
      </c>
      <c r="C7174" s="1" t="n">
        <v>45932</v>
      </c>
      <c r="D7174" t="inlineStr">
        <is>
          <t>VÄRMLANDS LÄN</t>
        </is>
      </c>
      <c r="E7174" t="inlineStr">
        <is>
          <t>SUNNE</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47694-2022</t>
        </is>
      </c>
      <c r="B7175" s="1" t="n">
        <v>44854</v>
      </c>
      <c r="C7175" s="1" t="n">
        <v>45932</v>
      </c>
      <c r="D7175" t="inlineStr">
        <is>
          <t>VÄRMLANDS LÄN</t>
        </is>
      </c>
      <c r="E7175" t="inlineStr">
        <is>
          <t>TORSBY</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9749-2025</t>
        </is>
      </c>
      <c r="B7176" s="1" t="n">
        <v>45716</v>
      </c>
      <c r="C7176" s="1" t="n">
        <v>45932</v>
      </c>
      <c r="D7176" t="inlineStr">
        <is>
          <t>VÄRMLANDS LÄN</t>
        </is>
      </c>
      <c r="E7176" t="inlineStr">
        <is>
          <t>ARVIKA</t>
        </is>
      </c>
      <c r="F7176" t="inlineStr">
        <is>
          <t>Bergvik skog väst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9753-2025</t>
        </is>
      </c>
      <c r="B7177" s="1" t="n">
        <v>45716</v>
      </c>
      <c r="C7177" s="1" t="n">
        <v>45932</v>
      </c>
      <c r="D7177" t="inlineStr">
        <is>
          <t>VÄRMLANDS LÄN</t>
        </is>
      </c>
      <c r="E7177" t="inlineStr">
        <is>
          <t>SUNNE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13475-2025</t>
        </is>
      </c>
      <c r="B7178" s="1" t="n">
        <v>45736.41059027778</v>
      </c>
      <c r="C7178" s="1" t="n">
        <v>45932</v>
      </c>
      <c r="D7178" t="inlineStr">
        <is>
          <t>VÄRMLANDS LÄN</t>
        </is>
      </c>
      <c r="E7178" t="inlineStr">
        <is>
          <t>ARVIKA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30995-2025</t>
        </is>
      </c>
      <c r="B7179" s="1" t="n">
        <v>45832.48880787037</v>
      </c>
      <c r="C7179" s="1" t="n">
        <v>45932</v>
      </c>
      <c r="D7179" t="inlineStr">
        <is>
          <t>VÄRMLANDS LÄN</t>
        </is>
      </c>
      <c r="E7179" t="inlineStr">
        <is>
          <t>HAGFORS</t>
        </is>
      </c>
      <c r="F7179" t="inlineStr">
        <is>
          <t>Bergvik skog väst AB</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30997-2025</t>
        </is>
      </c>
      <c r="B7180" s="1" t="n">
        <v>45832.49134259259</v>
      </c>
      <c r="C7180" s="1" t="n">
        <v>45932</v>
      </c>
      <c r="D7180" t="inlineStr">
        <is>
          <t>VÄRMLANDS LÄN</t>
        </is>
      </c>
      <c r="E7180" t="inlineStr">
        <is>
          <t>EDA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60761-2022</t>
        </is>
      </c>
      <c r="B7181" s="1" t="n">
        <v>44914.34523148148</v>
      </c>
      <c r="C7181" s="1" t="n">
        <v>45932</v>
      </c>
      <c r="D7181" t="inlineStr">
        <is>
          <t>VÄRMLANDS LÄN</t>
        </is>
      </c>
      <c r="E7181" t="inlineStr">
        <is>
          <t>SUNNE</t>
        </is>
      </c>
      <c r="G7181" t="n">
        <v>12.1</v>
      </c>
      <c r="H7181" t="n">
        <v>0</v>
      </c>
      <c r="I7181" t="n">
        <v>0</v>
      </c>
      <c r="J7181" t="n">
        <v>0</v>
      </c>
      <c r="K7181" t="n">
        <v>0</v>
      </c>
      <c r="L7181" t="n">
        <v>0</v>
      </c>
      <c r="M7181" t="n">
        <v>0</v>
      </c>
      <c r="N7181" t="n">
        <v>0</v>
      </c>
      <c r="O7181" t="n">
        <v>0</v>
      </c>
      <c r="P7181" t="n">
        <v>0</v>
      </c>
      <c r="Q7181" t="n">
        <v>0</v>
      </c>
      <c r="R7181" s="2" t="inlineStr"/>
    </row>
    <row r="7182" ht="15" customHeight="1">
      <c r="A7182" t="inlineStr">
        <is>
          <t>A 27311-2022</t>
        </is>
      </c>
      <c r="B7182" s="1" t="n">
        <v>44728</v>
      </c>
      <c r="C7182" s="1" t="n">
        <v>45932</v>
      </c>
      <c r="D7182" t="inlineStr">
        <is>
          <t>VÄRMLANDS LÄN</t>
        </is>
      </c>
      <c r="E7182" t="inlineStr">
        <is>
          <t>ÅRJÄNG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31478-2025</t>
        </is>
      </c>
      <c r="B7183" s="1" t="n">
        <v>45833</v>
      </c>
      <c r="C7183" s="1" t="n">
        <v>45932</v>
      </c>
      <c r="D7183" t="inlineStr">
        <is>
          <t>VÄRMLANDS LÄN</t>
        </is>
      </c>
      <c r="E7183" t="inlineStr">
        <is>
          <t>ARVIKA</t>
        </is>
      </c>
      <c r="F7183" t="inlineStr">
        <is>
          <t>Bergvik skog väst AB</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31398-2025</t>
        </is>
      </c>
      <c r="B7184" s="1" t="n">
        <v>45833.46820601852</v>
      </c>
      <c r="C7184" s="1" t="n">
        <v>45932</v>
      </c>
      <c r="D7184" t="inlineStr">
        <is>
          <t>VÄRMLANDS LÄN</t>
        </is>
      </c>
      <c r="E7184" t="inlineStr">
        <is>
          <t>FILIPSTAD</t>
        </is>
      </c>
      <c r="F7184" t="inlineStr">
        <is>
          <t>Bergvik skog väst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31401-2025</t>
        </is>
      </c>
      <c r="B7185" s="1" t="n">
        <v>45833</v>
      </c>
      <c r="C7185" s="1" t="n">
        <v>45932</v>
      </c>
      <c r="D7185" t="inlineStr">
        <is>
          <t>VÄRMLANDS LÄN</t>
        </is>
      </c>
      <c r="E7185" t="inlineStr">
        <is>
          <t>ARVIKA</t>
        </is>
      </c>
      <c r="F7185" t="inlineStr">
        <is>
          <t>Bergvik skog väst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9213-2025</t>
        </is>
      </c>
      <c r="B7186" s="1" t="n">
        <v>45714</v>
      </c>
      <c r="C7186" s="1" t="n">
        <v>45932</v>
      </c>
      <c r="D7186" t="inlineStr">
        <is>
          <t>VÄRMLANDS LÄN</t>
        </is>
      </c>
      <c r="E7186" t="inlineStr">
        <is>
          <t>ARVIKA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31406-2025</t>
        </is>
      </c>
      <c r="B7187" s="1" t="n">
        <v>45833</v>
      </c>
      <c r="C7187" s="1" t="n">
        <v>45932</v>
      </c>
      <c r="D7187" t="inlineStr">
        <is>
          <t>VÄRMLANDS LÄN</t>
        </is>
      </c>
      <c r="E7187" t="inlineStr">
        <is>
          <t>ARVIKA</t>
        </is>
      </c>
      <c r="F7187" t="inlineStr">
        <is>
          <t>Bergvik skog väst AB</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64229-2023</t>
        </is>
      </c>
      <c r="B7188" s="1" t="n">
        <v>45279</v>
      </c>
      <c r="C7188" s="1" t="n">
        <v>45932</v>
      </c>
      <c r="D7188" t="inlineStr">
        <is>
          <t>VÄRMLANDS LÄN</t>
        </is>
      </c>
      <c r="E7188" t="inlineStr">
        <is>
          <t>ÅRJÄNG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42329-2024</t>
        </is>
      </c>
      <c r="B7189" s="1" t="n">
        <v>45562</v>
      </c>
      <c r="C7189" s="1" t="n">
        <v>45932</v>
      </c>
      <c r="D7189" t="inlineStr">
        <is>
          <t>VÄRMLANDS LÄN</t>
        </is>
      </c>
      <c r="E7189" t="inlineStr">
        <is>
          <t>ARVIKA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9608-2022</t>
        </is>
      </c>
      <c r="B7190" s="1" t="n">
        <v>44617.51704861111</v>
      </c>
      <c r="C7190" s="1" t="n">
        <v>45932</v>
      </c>
      <c r="D7190" t="inlineStr">
        <is>
          <t>VÄRMLANDS LÄN</t>
        </is>
      </c>
      <c r="E7190" t="inlineStr">
        <is>
          <t>SUNNE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57992-2023</t>
        </is>
      </c>
      <c r="B7191" s="1" t="n">
        <v>45244</v>
      </c>
      <c r="C7191" s="1" t="n">
        <v>45932</v>
      </c>
      <c r="D7191" t="inlineStr">
        <is>
          <t>VÄRMLANDS LÄN</t>
        </is>
      </c>
      <c r="E7191" t="inlineStr">
        <is>
          <t>ÅRJÄNG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31172-2025</t>
        </is>
      </c>
      <c r="B7192" s="1" t="n">
        <v>45832</v>
      </c>
      <c r="C7192" s="1" t="n">
        <v>45932</v>
      </c>
      <c r="D7192" t="inlineStr">
        <is>
          <t>VÄRMLANDS LÄN</t>
        </is>
      </c>
      <c r="E7192" t="inlineStr">
        <is>
          <t>FILIPSTAD</t>
        </is>
      </c>
      <c r="F7192" t="inlineStr">
        <is>
          <t>Bergvik skog väst AB</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31372-2025</t>
        </is>
      </c>
      <c r="B7193" s="1" t="n">
        <v>45833.44447916667</v>
      </c>
      <c r="C7193" s="1" t="n">
        <v>45932</v>
      </c>
      <c r="D7193" t="inlineStr">
        <is>
          <t>VÄRMLANDS LÄN</t>
        </is>
      </c>
      <c r="E7193" t="inlineStr">
        <is>
          <t>ARVIKA</t>
        </is>
      </c>
      <c r="F7193" t="inlineStr">
        <is>
          <t>Bergvik skog väst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24347-2024</t>
        </is>
      </c>
      <c r="B7194" s="1" t="n">
        <v>45457</v>
      </c>
      <c r="C7194" s="1" t="n">
        <v>45932</v>
      </c>
      <c r="D7194" t="inlineStr">
        <is>
          <t>VÄRMLANDS LÄN</t>
        </is>
      </c>
      <c r="E7194" t="inlineStr">
        <is>
          <t>SÄFFLE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31408-2025</t>
        </is>
      </c>
      <c r="B7195" s="1" t="n">
        <v>45833</v>
      </c>
      <c r="C7195" s="1" t="n">
        <v>45932</v>
      </c>
      <c r="D7195" t="inlineStr">
        <is>
          <t>VÄRMLANDS LÄN</t>
        </is>
      </c>
      <c r="E7195" t="inlineStr">
        <is>
          <t>KARLSTAD</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31415-2025</t>
        </is>
      </c>
      <c r="B7196" s="1" t="n">
        <v>45833</v>
      </c>
      <c r="C7196" s="1" t="n">
        <v>45932</v>
      </c>
      <c r="D7196" t="inlineStr">
        <is>
          <t>VÄRMLANDS LÄN</t>
        </is>
      </c>
      <c r="E7196" t="inlineStr">
        <is>
          <t>ARVIKA</t>
        </is>
      </c>
      <c r="F7196" t="inlineStr">
        <is>
          <t>Bergvik skog väst AB</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7855-2023</t>
        </is>
      </c>
      <c r="B7197" s="1" t="n">
        <v>44973.53122685185</v>
      </c>
      <c r="C7197" s="1" t="n">
        <v>45932</v>
      </c>
      <c r="D7197" t="inlineStr">
        <is>
          <t>VÄRMLANDS LÄN</t>
        </is>
      </c>
      <c r="E7197" t="inlineStr">
        <is>
          <t>ARVIKA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32624-2024</t>
        </is>
      </c>
      <c r="B7198" s="1" t="n">
        <v>45513</v>
      </c>
      <c r="C7198" s="1" t="n">
        <v>45932</v>
      </c>
      <c r="D7198" t="inlineStr">
        <is>
          <t>VÄRMLANDS LÄN</t>
        </is>
      </c>
      <c r="E7198" t="inlineStr">
        <is>
          <t>KRISTINEHAMN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31416-2025</t>
        </is>
      </c>
      <c r="B7199" s="1" t="n">
        <v>45833.48278935185</v>
      </c>
      <c r="C7199" s="1" t="n">
        <v>45932</v>
      </c>
      <c r="D7199" t="inlineStr">
        <is>
          <t>VÄRMLANDS LÄN</t>
        </is>
      </c>
      <c r="E7199" t="inlineStr">
        <is>
          <t>TORSBY</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46935-2025</t>
        </is>
      </c>
      <c r="B7200" s="1" t="n">
        <v>45929.44825231482</v>
      </c>
      <c r="C7200" s="1" t="n">
        <v>45932</v>
      </c>
      <c r="D7200" t="inlineStr">
        <is>
          <t>VÄRMLANDS LÄN</t>
        </is>
      </c>
      <c r="E7200" t="inlineStr">
        <is>
          <t>EDA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31422-2025</t>
        </is>
      </c>
      <c r="B7201" s="1" t="n">
        <v>45833</v>
      </c>
      <c r="C7201" s="1" t="n">
        <v>45932</v>
      </c>
      <c r="D7201" t="inlineStr">
        <is>
          <t>VÄRMLANDS LÄN</t>
        </is>
      </c>
      <c r="E7201" t="inlineStr">
        <is>
          <t>KARLSTAD</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31442-2025</t>
        </is>
      </c>
      <c r="B7202" s="1" t="n">
        <v>45833</v>
      </c>
      <c r="C7202" s="1" t="n">
        <v>45932</v>
      </c>
      <c r="D7202" t="inlineStr">
        <is>
          <t>VÄRMLANDS LÄN</t>
        </is>
      </c>
      <c r="E7202" t="inlineStr">
        <is>
          <t>ARVIKA</t>
        </is>
      </c>
      <c r="F7202" t="inlineStr">
        <is>
          <t>Bergvik skog väst AB</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31447-2025</t>
        </is>
      </c>
      <c r="B7203" s="1" t="n">
        <v>45833.5234375</v>
      </c>
      <c r="C7203" s="1" t="n">
        <v>45932</v>
      </c>
      <c r="D7203" t="inlineStr">
        <is>
          <t>VÄRMLANDS LÄN</t>
        </is>
      </c>
      <c r="E7203" t="inlineStr">
        <is>
          <t>EDA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47043-2025</t>
        </is>
      </c>
      <c r="B7204" s="1" t="n">
        <v>45929.60173611111</v>
      </c>
      <c r="C7204" s="1" t="n">
        <v>45932</v>
      </c>
      <c r="D7204" t="inlineStr">
        <is>
          <t>VÄRMLANDS LÄN</t>
        </is>
      </c>
      <c r="E7204" t="inlineStr">
        <is>
          <t>EDA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1432-2025</t>
        </is>
      </c>
      <c r="B7205" s="1" t="n">
        <v>45669</v>
      </c>
      <c r="C7205" s="1" t="n">
        <v>45932</v>
      </c>
      <c r="D7205" t="inlineStr">
        <is>
          <t>VÄRMLANDS LÄN</t>
        </is>
      </c>
      <c r="E7205" t="inlineStr">
        <is>
          <t>TORSBY</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1435-2025</t>
        </is>
      </c>
      <c r="B7206" s="1" t="n">
        <v>45669</v>
      </c>
      <c r="C7206" s="1" t="n">
        <v>45932</v>
      </c>
      <c r="D7206" t="inlineStr">
        <is>
          <t>VÄRMLANDS LÄN</t>
        </is>
      </c>
      <c r="E7206" t="inlineStr">
        <is>
          <t>TORSBY</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72781-2021</t>
        </is>
      </c>
      <c r="B7207" s="1" t="n">
        <v>44547.33819444444</v>
      </c>
      <c r="C7207" s="1" t="n">
        <v>45932</v>
      </c>
      <c r="D7207" t="inlineStr">
        <is>
          <t>VÄRMLANDS LÄN</t>
        </is>
      </c>
      <c r="E7207" t="inlineStr">
        <is>
          <t>SUNNE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35317-2023</t>
        </is>
      </c>
      <c r="B7208" s="1" t="n">
        <v>45146.39759259259</v>
      </c>
      <c r="C7208" s="1" t="n">
        <v>45932</v>
      </c>
      <c r="D7208" t="inlineStr">
        <is>
          <t>VÄRMLANDS LÄN</t>
        </is>
      </c>
      <c r="E7208" t="inlineStr">
        <is>
          <t>EDA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31469-2025</t>
        </is>
      </c>
      <c r="B7209" s="1" t="n">
        <v>45833</v>
      </c>
      <c r="C7209" s="1" t="n">
        <v>45932</v>
      </c>
      <c r="D7209" t="inlineStr">
        <is>
          <t>VÄRMLANDS LÄN</t>
        </is>
      </c>
      <c r="E7209" t="inlineStr">
        <is>
          <t>ARVIKA</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19155-2025</t>
        </is>
      </c>
      <c r="B7210" s="1" t="n">
        <v>45769</v>
      </c>
      <c r="C7210" s="1" t="n">
        <v>45932</v>
      </c>
      <c r="D7210" t="inlineStr">
        <is>
          <t>VÄRMLANDS LÄN</t>
        </is>
      </c>
      <c r="E7210" t="inlineStr">
        <is>
          <t>GRUMS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19172-2025</t>
        </is>
      </c>
      <c r="B7211" s="1" t="n">
        <v>45769</v>
      </c>
      <c r="C7211" s="1" t="n">
        <v>45932</v>
      </c>
      <c r="D7211" t="inlineStr">
        <is>
          <t>VÄRMLANDS LÄN</t>
        </is>
      </c>
      <c r="E7211" t="inlineStr">
        <is>
          <t>EDA</t>
        </is>
      </c>
      <c r="F7211" t="inlineStr">
        <is>
          <t>Bergvik skog väst AB</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19177-2025</t>
        </is>
      </c>
      <c r="B7212" s="1" t="n">
        <v>45769</v>
      </c>
      <c r="C7212" s="1" t="n">
        <v>45932</v>
      </c>
      <c r="D7212" t="inlineStr">
        <is>
          <t>VÄRMLANDS LÄN</t>
        </is>
      </c>
      <c r="E7212" t="inlineStr">
        <is>
          <t>ARVIKA</t>
        </is>
      </c>
      <c r="F7212" t="inlineStr">
        <is>
          <t>Bergvik skog väst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41779-2023</t>
        </is>
      </c>
      <c r="B7213" s="1" t="n">
        <v>45176.47168981482</v>
      </c>
      <c r="C7213" s="1" t="n">
        <v>45932</v>
      </c>
      <c r="D7213" t="inlineStr">
        <is>
          <t>VÄRMLANDS LÄN</t>
        </is>
      </c>
      <c r="E7213" t="inlineStr">
        <is>
          <t>EDA</t>
        </is>
      </c>
      <c r="G7213" t="n">
        <v>9.199999999999999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20156-2023</t>
        </is>
      </c>
      <c r="B7214" s="1" t="n">
        <v>45055</v>
      </c>
      <c r="C7214" s="1" t="n">
        <v>45932</v>
      </c>
      <c r="D7214" t="inlineStr">
        <is>
          <t>VÄRMLANDS LÄN</t>
        </is>
      </c>
      <c r="E7214" t="inlineStr">
        <is>
          <t>SUNNE</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30988-2025</t>
        </is>
      </c>
      <c r="B7215" s="1" t="n">
        <v>45832.4809837963</v>
      </c>
      <c r="C7215" s="1" t="n">
        <v>45932</v>
      </c>
      <c r="D7215" t="inlineStr">
        <is>
          <t>VÄRMLANDS LÄN</t>
        </is>
      </c>
      <c r="E7215" t="inlineStr">
        <is>
          <t>EDA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6614-2024</t>
        </is>
      </c>
      <c r="B7216" s="1" t="n">
        <v>45341</v>
      </c>
      <c r="C7216" s="1" t="n">
        <v>45932</v>
      </c>
      <c r="D7216" t="inlineStr">
        <is>
          <t>VÄRMLANDS LÄN</t>
        </is>
      </c>
      <c r="E7216" t="inlineStr">
        <is>
          <t>SÄFFLE</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6644-2024</t>
        </is>
      </c>
      <c r="B7217" s="1" t="n">
        <v>45341.6625462963</v>
      </c>
      <c r="C7217" s="1" t="n">
        <v>45932</v>
      </c>
      <c r="D7217" t="inlineStr">
        <is>
          <t>VÄRMLANDS LÄN</t>
        </is>
      </c>
      <c r="E7217" t="inlineStr">
        <is>
          <t>KRISTINEHAMN</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6646-2024</t>
        </is>
      </c>
      <c r="B7218" s="1" t="n">
        <v>45341.66643518519</v>
      </c>
      <c r="C7218" s="1" t="n">
        <v>45932</v>
      </c>
      <c r="D7218" t="inlineStr">
        <is>
          <t>VÄRMLANDS LÄN</t>
        </is>
      </c>
      <c r="E7218" t="inlineStr">
        <is>
          <t>TORSBY</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6648-2024</t>
        </is>
      </c>
      <c r="B7219" s="1" t="n">
        <v>45341</v>
      </c>
      <c r="C7219" s="1" t="n">
        <v>45932</v>
      </c>
      <c r="D7219" t="inlineStr">
        <is>
          <t>VÄRMLANDS LÄN</t>
        </is>
      </c>
      <c r="E7219" t="inlineStr">
        <is>
          <t>TORSBY</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10394-2024</t>
        </is>
      </c>
      <c r="B7220" s="1" t="n">
        <v>45365.66694444444</v>
      </c>
      <c r="C7220" s="1" t="n">
        <v>45932</v>
      </c>
      <c r="D7220" t="inlineStr">
        <is>
          <t>VÄRMLANDS LÄN</t>
        </is>
      </c>
      <c r="E7220" t="inlineStr">
        <is>
          <t>SUNNE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12668-2024</t>
        </is>
      </c>
      <c r="B7221" s="1" t="n">
        <v>45383</v>
      </c>
      <c r="C7221" s="1" t="n">
        <v>45932</v>
      </c>
      <c r="D7221" t="inlineStr">
        <is>
          <t>VÄRMLANDS LÄN</t>
        </is>
      </c>
      <c r="E7221" t="inlineStr">
        <is>
          <t>SÄFFLE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46838-2025</t>
        </is>
      </c>
      <c r="B7222" s="1" t="n">
        <v>45928.43569444444</v>
      </c>
      <c r="C7222" s="1" t="n">
        <v>45932</v>
      </c>
      <c r="D7222" t="inlineStr">
        <is>
          <t>VÄRMLANDS LÄN</t>
        </is>
      </c>
      <c r="E7222" t="inlineStr">
        <is>
          <t>HAGFORS</t>
        </is>
      </c>
      <c r="F7222" t="inlineStr">
        <is>
          <t>Bergvik skog väst AB</t>
        </is>
      </c>
      <c r="G7222" t="n">
        <v>13.8</v>
      </c>
      <c r="H7222" t="n">
        <v>0</v>
      </c>
      <c r="I7222" t="n">
        <v>0</v>
      </c>
      <c r="J7222" t="n">
        <v>0</v>
      </c>
      <c r="K7222" t="n">
        <v>0</v>
      </c>
      <c r="L7222" t="n">
        <v>0</v>
      </c>
      <c r="M7222" t="n">
        <v>0</v>
      </c>
      <c r="N7222" t="n">
        <v>0</v>
      </c>
      <c r="O7222" t="n">
        <v>0</v>
      </c>
      <c r="P7222" t="n">
        <v>0</v>
      </c>
      <c r="Q7222" t="n">
        <v>0</v>
      </c>
      <c r="R7222" s="2" t="inlineStr"/>
    </row>
    <row r="7223" ht="15" customHeight="1">
      <c r="A7223" t="inlineStr">
        <is>
          <t>A 12744-2024</t>
        </is>
      </c>
      <c r="B7223" s="1" t="n">
        <v>45384.54175925926</v>
      </c>
      <c r="C7223" s="1" t="n">
        <v>45932</v>
      </c>
      <c r="D7223" t="inlineStr">
        <is>
          <t>VÄRMLANDS LÄN</t>
        </is>
      </c>
      <c r="E7223" t="inlineStr">
        <is>
          <t>ARVIKA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31831-2025</t>
        </is>
      </c>
      <c r="B7224" s="1" t="n">
        <v>45834.59111111111</v>
      </c>
      <c r="C7224" s="1" t="n">
        <v>45932</v>
      </c>
      <c r="D7224" t="inlineStr">
        <is>
          <t>VÄRMLANDS LÄN</t>
        </is>
      </c>
      <c r="E7224" t="inlineStr">
        <is>
          <t>FORSHAGA</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26608-2023</t>
        </is>
      </c>
      <c r="B7225" s="1" t="n">
        <v>45092</v>
      </c>
      <c r="C7225" s="1" t="n">
        <v>45932</v>
      </c>
      <c r="D7225" t="inlineStr">
        <is>
          <t>VÄRMLANDS LÄN</t>
        </is>
      </c>
      <c r="E7225" t="inlineStr">
        <is>
          <t>SUNNE</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31924-2025</t>
        </is>
      </c>
      <c r="B7226" s="1" t="n">
        <v>45834.85216435185</v>
      </c>
      <c r="C7226" s="1" t="n">
        <v>45932</v>
      </c>
      <c r="D7226" t="inlineStr">
        <is>
          <t>VÄRMLANDS LÄN</t>
        </is>
      </c>
      <c r="E7226" t="inlineStr">
        <is>
          <t>ARVIKA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32159-2025</t>
        </is>
      </c>
      <c r="B7227" s="1" t="n">
        <v>45835</v>
      </c>
      <c r="C7227" s="1" t="n">
        <v>45932</v>
      </c>
      <c r="D7227" t="inlineStr">
        <is>
          <t>VÄRMLANDS LÄN</t>
        </is>
      </c>
      <c r="E7227" t="inlineStr">
        <is>
          <t>ARVIKA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38933-2023</t>
        </is>
      </c>
      <c r="B7228" s="1" t="n">
        <v>45163.59815972222</v>
      </c>
      <c r="C7228" s="1" t="n">
        <v>45932</v>
      </c>
      <c r="D7228" t="inlineStr">
        <is>
          <t>VÄRMLANDS LÄN</t>
        </is>
      </c>
      <c r="E7228" t="inlineStr">
        <is>
          <t>KARLSTAD</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37159-2024</t>
        </is>
      </c>
      <c r="B7229" s="1" t="n">
        <v>45539</v>
      </c>
      <c r="C7229" s="1" t="n">
        <v>45932</v>
      </c>
      <c r="D7229" t="inlineStr">
        <is>
          <t>VÄRMLANDS LÄN</t>
        </is>
      </c>
      <c r="E7229" t="inlineStr">
        <is>
          <t>EDA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32298-2025</t>
        </is>
      </c>
      <c r="B7230" s="1" t="n">
        <v>45835.7144675926</v>
      </c>
      <c r="C7230" s="1" t="n">
        <v>45932</v>
      </c>
      <c r="D7230" t="inlineStr">
        <is>
          <t>VÄRMLANDS LÄN</t>
        </is>
      </c>
      <c r="E7230" t="inlineStr">
        <is>
          <t>TORSBY</t>
        </is>
      </c>
      <c r="G7230" t="n">
        <v>19.2</v>
      </c>
      <c r="H7230" t="n">
        <v>0</v>
      </c>
      <c r="I7230" t="n">
        <v>0</v>
      </c>
      <c r="J7230" t="n">
        <v>0</v>
      </c>
      <c r="K7230" t="n">
        <v>0</v>
      </c>
      <c r="L7230" t="n">
        <v>0</v>
      </c>
      <c r="M7230" t="n">
        <v>0</v>
      </c>
      <c r="N7230" t="n">
        <v>0</v>
      </c>
      <c r="O7230" t="n">
        <v>0</v>
      </c>
      <c r="P7230" t="n">
        <v>0</v>
      </c>
      <c r="Q7230" t="n">
        <v>0</v>
      </c>
      <c r="R7230" s="2" t="inlineStr"/>
    </row>
    <row r="7231" ht="15" customHeight="1">
      <c r="A7231" t="inlineStr">
        <is>
          <t>A 46702-2025</t>
        </is>
      </c>
      <c r="B7231" s="1" t="n">
        <v>45926.56162037037</v>
      </c>
      <c r="C7231" s="1" t="n">
        <v>45932</v>
      </c>
      <c r="D7231" t="inlineStr">
        <is>
          <t>VÄRMLANDS LÄN</t>
        </is>
      </c>
      <c r="E7231" t="inlineStr">
        <is>
          <t>TORSBY</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32162-2025</t>
        </is>
      </c>
      <c r="B7232" s="1" t="n">
        <v>45835.54383101852</v>
      </c>
      <c r="C7232" s="1" t="n">
        <v>45932</v>
      </c>
      <c r="D7232" t="inlineStr">
        <is>
          <t>VÄRMLANDS LÄN</t>
        </is>
      </c>
      <c r="E7232" t="inlineStr">
        <is>
          <t>SÄFFLE</t>
        </is>
      </c>
      <c r="F7232" t="inlineStr">
        <is>
          <t>Kyrkan</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32185-2025</t>
        </is>
      </c>
      <c r="B7233" s="1" t="n">
        <v>45835</v>
      </c>
      <c r="C7233" s="1" t="n">
        <v>45932</v>
      </c>
      <c r="D7233" t="inlineStr">
        <is>
          <t>VÄRMLANDS LÄN</t>
        </is>
      </c>
      <c r="E7233" t="inlineStr">
        <is>
          <t>HAGFORS</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31636-2025</t>
        </is>
      </c>
      <c r="B7234" s="1" t="n">
        <v>45834</v>
      </c>
      <c r="C7234" s="1" t="n">
        <v>45932</v>
      </c>
      <c r="D7234" t="inlineStr">
        <is>
          <t>VÄRMLANDS LÄN</t>
        </is>
      </c>
      <c r="E7234" t="inlineStr">
        <is>
          <t>EDA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34553-2024</t>
        </is>
      </c>
      <c r="B7235" s="1" t="n">
        <v>45525</v>
      </c>
      <c r="C7235" s="1" t="n">
        <v>45932</v>
      </c>
      <c r="D7235" t="inlineStr">
        <is>
          <t>VÄRMLANDS LÄN</t>
        </is>
      </c>
      <c r="E7235" t="inlineStr">
        <is>
          <t>SUNNE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31848-2025</t>
        </is>
      </c>
      <c r="B7236" s="1" t="n">
        <v>45834.60486111111</v>
      </c>
      <c r="C7236" s="1" t="n">
        <v>45932</v>
      </c>
      <c r="D7236" t="inlineStr">
        <is>
          <t>VÄRMLANDS LÄN</t>
        </is>
      </c>
      <c r="E7236" t="inlineStr">
        <is>
          <t>KARLSTAD</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31850-2025</t>
        </is>
      </c>
      <c r="B7237" s="1" t="n">
        <v>45834</v>
      </c>
      <c r="C7237" s="1" t="n">
        <v>45932</v>
      </c>
      <c r="D7237" t="inlineStr">
        <is>
          <t>VÄRMLANDS LÄN</t>
        </is>
      </c>
      <c r="E7237" t="inlineStr">
        <is>
          <t>TORSBY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31861-2025</t>
        </is>
      </c>
      <c r="B7238" s="1" t="n">
        <v>45834.63178240741</v>
      </c>
      <c r="C7238" s="1" t="n">
        <v>45932</v>
      </c>
      <c r="D7238" t="inlineStr">
        <is>
          <t>VÄRMLANDS LÄN</t>
        </is>
      </c>
      <c r="E7238" t="inlineStr">
        <is>
          <t>FILIPSTAD</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32090-2025</t>
        </is>
      </c>
      <c r="B7239" s="1" t="n">
        <v>45835</v>
      </c>
      <c r="C7239" s="1" t="n">
        <v>45932</v>
      </c>
      <c r="D7239" t="inlineStr">
        <is>
          <t>VÄRMLANDS LÄN</t>
        </is>
      </c>
      <c r="E7239" t="inlineStr">
        <is>
          <t>FILIPSTAD</t>
        </is>
      </c>
      <c r="F7239" t="inlineStr">
        <is>
          <t>Bergvik skog väst AB</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32147-2025</t>
        </is>
      </c>
      <c r="B7240" s="1" t="n">
        <v>45835.5277199074</v>
      </c>
      <c r="C7240" s="1" t="n">
        <v>45932</v>
      </c>
      <c r="D7240" t="inlineStr">
        <is>
          <t>VÄRMLANDS LÄN</t>
        </is>
      </c>
      <c r="E7240" t="inlineStr">
        <is>
          <t>ARVIKA</t>
        </is>
      </c>
      <c r="F7240" t="inlineStr">
        <is>
          <t>Bergvik skog väst AB</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31975-2025</t>
        </is>
      </c>
      <c r="B7241" s="1" t="n">
        <v>45835.35438657407</v>
      </c>
      <c r="C7241" s="1" t="n">
        <v>45932</v>
      </c>
      <c r="D7241" t="inlineStr">
        <is>
          <t>VÄRMLANDS LÄN</t>
        </is>
      </c>
      <c r="E7241" t="inlineStr">
        <is>
          <t>SUNNE</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42447-2023</t>
        </is>
      </c>
      <c r="B7242" s="1" t="n">
        <v>45180</v>
      </c>
      <c r="C7242" s="1" t="n">
        <v>45932</v>
      </c>
      <c r="D7242" t="inlineStr">
        <is>
          <t>VÄRMLANDS LÄN</t>
        </is>
      </c>
      <c r="E7242" t="inlineStr">
        <is>
          <t>SUNNE</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22687-2023</t>
        </is>
      </c>
      <c r="B7243" s="1" t="n">
        <v>45071</v>
      </c>
      <c r="C7243" s="1" t="n">
        <v>45932</v>
      </c>
      <c r="D7243" t="inlineStr">
        <is>
          <t>VÄRMLANDS LÄN</t>
        </is>
      </c>
      <c r="E7243" t="inlineStr">
        <is>
          <t>TORSBY</t>
        </is>
      </c>
      <c r="F7243" t="inlineStr">
        <is>
          <t>Bergvik skog väst AB</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670-2025</t>
        </is>
      </c>
      <c r="B7244" s="1" t="n">
        <v>45664.81667824074</v>
      </c>
      <c r="C7244" s="1" t="n">
        <v>45932</v>
      </c>
      <c r="D7244" t="inlineStr">
        <is>
          <t>VÄRMLANDS LÄN</t>
        </is>
      </c>
      <c r="E7244" t="inlineStr">
        <is>
          <t>KRISTINEHAMN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11737-2025</t>
        </is>
      </c>
      <c r="B7245" s="1" t="n">
        <v>45727</v>
      </c>
      <c r="C7245" s="1" t="n">
        <v>45932</v>
      </c>
      <c r="D7245" t="inlineStr">
        <is>
          <t>VÄRMLANDS LÄN</t>
        </is>
      </c>
      <c r="E7245" t="inlineStr">
        <is>
          <t>SÄFFLE</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34893-2023</t>
        </is>
      </c>
      <c r="B7246" s="1" t="n">
        <v>45141</v>
      </c>
      <c r="C7246" s="1" t="n">
        <v>45932</v>
      </c>
      <c r="D7246" t="inlineStr">
        <is>
          <t>VÄRMLANDS LÄN</t>
        </is>
      </c>
      <c r="E7246" t="inlineStr">
        <is>
          <t>KRISTINEHAMN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1448-2024</t>
        </is>
      </c>
      <c r="B7247" s="1" t="n">
        <v>45303</v>
      </c>
      <c r="C7247" s="1" t="n">
        <v>45932</v>
      </c>
      <c r="D7247" t="inlineStr">
        <is>
          <t>VÄRMLANDS LÄN</t>
        </is>
      </c>
      <c r="E7247" t="inlineStr">
        <is>
          <t>SÄFFLE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59132-2023</t>
        </is>
      </c>
      <c r="B7248" s="1" t="n">
        <v>45251</v>
      </c>
      <c r="C7248" s="1" t="n">
        <v>45932</v>
      </c>
      <c r="D7248" t="inlineStr">
        <is>
          <t>VÄRMLANDS LÄN</t>
        </is>
      </c>
      <c r="E7248" t="inlineStr">
        <is>
          <t>MUNKFORS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32138-2025</t>
        </is>
      </c>
      <c r="B7249" s="1" t="n">
        <v>45835.51975694444</v>
      </c>
      <c r="C7249" s="1" t="n">
        <v>45932</v>
      </c>
      <c r="D7249" t="inlineStr">
        <is>
          <t>VÄRMLANDS LÄN</t>
        </is>
      </c>
      <c r="E7249" t="inlineStr">
        <is>
          <t>ARVIKA</t>
        </is>
      </c>
      <c r="F7249" t="inlineStr">
        <is>
          <t>Bergvik skog väst AB</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38795-2025</t>
        </is>
      </c>
      <c r="B7250" s="1" t="n">
        <v>45887</v>
      </c>
      <c r="C7250" s="1" t="n">
        <v>45932</v>
      </c>
      <c r="D7250" t="inlineStr">
        <is>
          <t>VÄRMLANDS LÄN</t>
        </is>
      </c>
      <c r="E7250" t="inlineStr">
        <is>
          <t>TORSBY</t>
        </is>
      </c>
      <c r="F7250" t="inlineStr">
        <is>
          <t>Bergvik skog väst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32059-2025</t>
        </is>
      </c>
      <c r="B7251" s="1" t="n">
        <v>45835.44541666667</v>
      </c>
      <c r="C7251" s="1" t="n">
        <v>45932</v>
      </c>
      <c r="D7251" t="inlineStr">
        <is>
          <t>VÄRMLANDS LÄN</t>
        </is>
      </c>
      <c r="E7251" t="inlineStr">
        <is>
          <t>FILIPSTAD</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34380-2024</t>
        </is>
      </c>
      <c r="B7252" s="1" t="n">
        <v>45525.4109837963</v>
      </c>
      <c r="C7252" s="1" t="n">
        <v>45932</v>
      </c>
      <c r="D7252" t="inlineStr">
        <is>
          <t>VÄRMLANDS LÄN</t>
        </is>
      </c>
      <c r="E7252" t="inlineStr">
        <is>
          <t>EDA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34393-2024</t>
        </is>
      </c>
      <c r="B7253" s="1" t="n">
        <v>45525</v>
      </c>
      <c r="C7253" s="1" t="n">
        <v>45932</v>
      </c>
      <c r="D7253" t="inlineStr">
        <is>
          <t>VÄRMLANDS LÄN</t>
        </is>
      </c>
      <c r="E7253" t="inlineStr">
        <is>
          <t>EDA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32084-2025</t>
        </is>
      </c>
      <c r="B7254" s="1" t="n">
        <v>45835.45379629629</v>
      </c>
      <c r="C7254" s="1" t="n">
        <v>45932</v>
      </c>
      <c r="D7254" t="inlineStr">
        <is>
          <t>VÄRMLANDS LÄN</t>
        </is>
      </c>
      <c r="E7254" t="inlineStr">
        <is>
          <t>TORSBY</t>
        </is>
      </c>
      <c r="F7254" t="inlineStr">
        <is>
          <t>Bergvik skog väst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34758-2024</t>
        </is>
      </c>
      <c r="B7255" s="1" t="n">
        <v>45526</v>
      </c>
      <c r="C7255" s="1" t="n">
        <v>45932</v>
      </c>
      <c r="D7255" t="inlineStr">
        <is>
          <t>VÄRMLANDS LÄN</t>
        </is>
      </c>
      <c r="E7255" t="inlineStr">
        <is>
          <t>FORSHAGA</t>
        </is>
      </c>
      <c r="F7255" t="inlineStr">
        <is>
          <t>Bergvik skog väst AB</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11290-2025</t>
        </is>
      </c>
      <c r="B7256" s="1" t="n">
        <v>45726.4278587963</v>
      </c>
      <c r="C7256" s="1" t="n">
        <v>45932</v>
      </c>
      <c r="D7256" t="inlineStr">
        <is>
          <t>VÄRMLANDS LÄN</t>
        </is>
      </c>
      <c r="E7256" t="inlineStr">
        <is>
          <t>STORFORS</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11330-2025</t>
        </is>
      </c>
      <c r="B7257" s="1" t="n">
        <v>45726</v>
      </c>
      <c r="C7257" s="1" t="n">
        <v>45932</v>
      </c>
      <c r="D7257" t="inlineStr">
        <is>
          <t>VÄRMLANDS LÄN</t>
        </is>
      </c>
      <c r="E7257" t="inlineStr">
        <is>
          <t>EDA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375-2025</t>
        </is>
      </c>
      <c r="B7258" s="1" t="n">
        <v>45661</v>
      </c>
      <c r="C7258" s="1" t="n">
        <v>45932</v>
      </c>
      <c r="D7258" t="inlineStr">
        <is>
          <t>VÄRMLANDS LÄN</t>
        </is>
      </c>
      <c r="E7258" t="inlineStr">
        <is>
          <t>TORSBY</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32133-2025</t>
        </is>
      </c>
      <c r="B7259" s="1" t="n">
        <v>45835.51012731482</v>
      </c>
      <c r="C7259" s="1" t="n">
        <v>45932</v>
      </c>
      <c r="D7259" t="inlineStr">
        <is>
          <t>VÄRMLANDS LÄN</t>
        </is>
      </c>
      <c r="E7259" t="inlineStr">
        <is>
          <t>EDA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22798-2022</t>
        </is>
      </c>
      <c r="B7260" s="1" t="n">
        <v>44715</v>
      </c>
      <c r="C7260" s="1" t="n">
        <v>45932</v>
      </c>
      <c r="D7260" t="inlineStr">
        <is>
          <t>VÄRMLANDS LÄN</t>
        </is>
      </c>
      <c r="E7260" t="inlineStr">
        <is>
          <t>KARLSTAD</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58033-2023</t>
        </is>
      </c>
      <c r="B7261" s="1" t="n">
        <v>45247</v>
      </c>
      <c r="C7261" s="1" t="n">
        <v>45932</v>
      </c>
      <c r="D7261" t="inlineStr">
        <is>
          <t>VÄRMLANDS LÄN</t>
        </is>
      </c>
      <c r="E7261" t="inlineStr">
        <is>
          <t>KIL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9742-2025</t>
        </is>
      </c>
      <c r="B7262" s="1" t="n">
        <v>45716</v>
      </c>
      <c r="C7262" s="1" t="n">
        <v>45932</v>
      </c>
      <c r="D7262" t="inlineStr">
        <is>
          <t>VÄRMLANDS LÄN</t>
        </is>
      </c>
      <c r="E7262" t="inlineStr">
        <is>
          <t>SUNNE</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32008-2025</t>
        </is>
      </c>
      <c r="B7263" s="1" t="n">
        <v>45835</v>
      </c>
      <c r="C7263" s="1" t="n">
        <v>45932</v>
      </c>
      <c r="D7263" t="inlineStr">
        <is>
          <t>VÄRMLANDS LÄN</t>
        </is>
      </c>
      <c r="E7263" t="inlineStr">
        <is>
          <t>ARVIKA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1958-2024</t>
        </is>
      </c>
      <c r="B7264" s="1" t="n">
        <v>45308</v>
      </c>
      <c r="C7264" s="1" t="n">
        <v>45932</v>
      </c>
      <c r="D7264" t="inlineStr">
        <is>
          <t>VÄRMLANDS LÄN</t>
        </is>
      </c>
      <c r="E7264" t="inlineStr">
        <is>
          <t>SUNNE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46611-2025</t>
        </is>
      </c>
      <c r="B7265" s="1" t="n">
        <v>45926.424375</v>
      </c>
      <c r="C7265" s="1" t="n">
        <v>45932</v>
      </c>
      <c r="D7265" t="inlineStr">
        <is>
          <t>VÄRMLANDS LÄN</t>
        </is>
      </c>
      <c r="E7265" t="inlineStr">
        <is>
          <t>ARVIKA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32032-2025</t>
        </is>
      </c>
      <c r="B7266" s="1" t="n">
        <v>45835.4183912037</v>
      </c>
      <c r="C7266" s="1" t="n">
        <v>45932</v>
      </c>
      <c r="D7266" t="inlineStr">
        <is>
          <t>VÄRMLANDS LÄN</t>
        </is>
      </c>
      <c r="E7266" t="inlineStr">
        <is>
          <t>FILIPSTAD</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32235-2025</t>
        </is>
      </c>
      <c r="B7267" s="1" t="n">
        <v>45835.60905092592</v>
      </c>
      <c r="C7267" s="1" t="n">
        <v>45932</v>
      </c>
      <c r="D7267" t="inlineStr">
        <is>
          <t>VÄRMLANDS LÄN</t>
        </is>
      </c>
      <c r="E7267" t="inlineStr">
        <is>
          <t>HAGFORS</t>
        </is>
      </c>
      <c r="F7267" t="inlineStr">
        <is>
          <t>Bergvik skog väst AB</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32303-2025</t>
        </is>
      </c>
      <c r="B7268" s="1" t="n">
        <v>45835.71890046296</v>
      </c>
      <c r="C7268" s="1" t="n">
        <v>45932</v>
      </c>
      <c r="D7268" t="inlineStr">
        <is>
          <t>VÄRMLANDS LÄN</t>
        </is>
      </c>
      <c r="E7268" t="inlineStr">
        <is>
          <t>STORFORS</t>
        </is>
      </c>
      <c r="F7268" t="inlineStr">
        <is>
          <t>Bergvik skog väst AB</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7660-2025</t>
        </is>
      </c>
      <c r="B7269" s="1" t="n">
        <v>45706.32505787037</v>
      </c>
      <c r="C7269" s="1" t="n">
        <v>45932</v>
      </c>
      <c r="D7269" t="inlineStr">
        <is>
          <t>VÄRMLANDS LÄN</t>
        </is>
      </c>
      <c r="E7269" t="inlineStr">
        <is>
          <t>ÅRJÄNG</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31906-2025</t>
        </is>
      </c>
      <c r="B7270" s="1" t="n">
        <v>45834.69046296296</v>
      </c>
      <c r="C7270" s="1" t="n">
        <v>45932</v>
      </c>
      <c r="D7270" t="inlineStr">
        <is>
          <t>VÄRMLANDS LÄN</t>
        </is>
      </c>
      <c r="E7270" t="inlineStr">
        <is>
          <t>TORSBY</t>
        </is>
      </c>
      <c r="G7270" t="n">
        <v>9.800000000000001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31952-2025</t>
        </is>
      </c>
      <c r="B7271" s="1" t="n">
        <v>45835.33601851852</v>
      </c>
      <c r="C7271" s="1" t="n">
        <v>45932</v>
      </c>
      <c r="D7271" t="inlineStr">
        <is>
          <t>VÄRMLANDS LÄN</t>
        </is>
      </c>
      <c r="E7271" t="inlineStr">
        <is>
          <t>ARVIKA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16743-2025</t>
        </is>
      </c>
      <c r="B7272" s="1" t="n">
        <v>45754</v>
      </c>
      <c r="C7272" s="1" t="n">
        <v>45932</v>
      </c>
      <c r="D7272" t="inlineStr">
        <is>
          <t>VÄRMLANDS LÄN</t>
        </is>
      </c>
      <c r="E7272" t="inlineStr">
        <is>
          <t>EDA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19454-2022</t>
        </is>
      </c>
      <c r="B7273" s="1" t="n">
        <v>44693</v>
      </c>
      <c r="C7273" s="1" t="n">
        <v>45932</v>
      </c>
      <c r="D7273" t="inlineStr">
        <is>
          <t>VÄRMLANDS LÄN</t>
        </is>
      </c>
      <c r="E7273" t="inlineStr">
        <is>
          <t>SUNNE</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31968-2025</t>
        </is>
      </c>
      <c r="B7274" s="1" t="n">
        <v>45835</v>
      </c>
      <c r="C7274" s="1" t="n">
        <v>45932</v>
      </c>
      <c r="D7274" t="inlineStr">
        <is>
          <t>VÄRMLANDS LÄN</t>
        </is>
      </c>
      <c r="E7274" t="inlineStr">
        <is>
          <t>FORSHAGA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31974-2025</t>
        </is>
      </c>
      <c r="B7275" s="1" t="n">
        <v>45835.35399305556</v>
      </c>
      <c r="C7275" s="1" t="n">
        <v>45932</v>
      </c>
      <c r="D7275" t="inlineStr">
        <is>
          <t>VÄRMLANDS LÄN</t>
        </is>
      </c>
      <c r="E7275" t="inlineStr">
        <is>
          <t>HAGFORS</t>
        </is>
      </c>
      <c r="F7275" t="inlineStr">
        <is>
          <t>Bergvik skog väst AB</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24961-2024</t>
        </is>
      </c>
      <c r="B7276" s="1" t="n">
        <v>45461</v>
      </c>
      <c r="C7276" s="1" t="n">
        <v>45932</v>
      </c>
      <c r="D7276" t="inlineStr">
        <is>
          <t>VÄRMLANDS LÄN</t>
        </is>
      </c>
      <c r="E7276" t="inlineStr">
        <is>
          <t>HAGFORS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41841-2023</t>
        </is>
      </c>
      <c r="B7277" s="1" t="n">
        <v>45176.60436342593</v>
      </c>
      <c r="C7277" s="1" t="n">
        <v>45932</v>
      </c>
      <c r="D7277" t="inlineStr">
        <is>
          <t>VÄRMLANDS LÄN</t>
        </is>
      </c>
      <c r="E7277" t="inlineStr">
        <is>
          <t>TORSBY</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6037-2023</t>
        </is>
      </c>
      <c r="B7278" s="1" t="n">
        <v>44964.45631944444</v>
      </c>
      <c r="C7278" s="1" t="n">
        <v>45932</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32046-2025</t>
        </is>
      </c>
      <c r="B7279" s="1" t="n">
        <v>45835.43952546296</v>
      </c>
      <c r="C7279" s="1" t="n">
        <v>45932</v>
      </c>
      <c r="D7279" t="inlineStr">
        <is>
          <t>VÄRMLANDS LÄN</t>
        </is>
      </c>
      <c r="E7279" t="inlineStr">
        <is>
          <t>ARVIKA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55921-2020</t>
        </is>
      </c>
      <c r="B7280" s="1" t="n">
        <v>44132</v>
      </c>
      <c r="C7280" s="1" t="n">
        <v>45932</v>
      </c>
      <c r="D7280" t="inlineStr">
        <is>
          <t>VÄRMLANDS LÄN</t>
        </is>
      </c>
      <c r="E7280" t="inlineStr">
        <is>
          <t>HAGFORS</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24999-2024</t>
        </is>
      </c>
      <c r="B7281" s="1" t="n">
        <v>45461</v>
      </c>
      <c r="C7281" s="1" t="n">
        <v>45932</v>
      </c>
      <c r="D7281" t="inlineStr">
        <is>
          <t>VÄRMLANDS LÄN</t>
        </is>
      </c>
      <c r="E7281" t="inlineStr">
        <is>
          <t>ARVIKA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63796-2021</t>
        </is>
      </c>
      <c r="B7282" s="1" t="n">
        <v>44509</v>
      </c>
      <c r="C7282" s="1" t="n">
        <v>45932</v>
      </c>
      <c r="D7282" t="inlineStr">
        <is>
          <t>VÄRMLANDS LÄN</t>
        </is>
      </c>
      <c r="E7282" t="inlineStr">
        <is>
          <t>ÅRJÄNG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32054-2025</t>
        </is>
      </c>
      <c r="B7283" s="1" t="n">
        <v>45835</v>
      </c>
      <c r="C7283" s="1" t="n">
        <v>45932</v>
      </c>
      <c r="D7283" t="inlineStr">
        <is>
          <t>VÄRMLANDS LÄN</t>
        </is>
      </c>
      <c r="E7283" t="inlineStr">
        <is>
          <t>TORSBY</t>
        </is>
      </c>
      <c r="G7283" t="n">
        <v>13.1</v>
      </c>
      <c r="H7283" t="n">
        <v>0</v>
      </c>
      <c r="I7283" t="n">
        <v>0</v>
      </c>
      <c r="J7283" t="n">
        <v>0</v>
      </c>
      <c r="K7283" t="n">
        <v>0</v>
      </c>
      <c r="L7283" t="n">
        <v>0</v>
      </c>
      <c r="M7283" t="n">
        <v>0</v>
      </c>
      <c r="N7283" t="n">
        <v>0</v>
      </c>
      <c r="O7283" t="n">
        <v>0</v>
      </c>
      <c r="P7283" t="n">
        <v>0</v>
      </c>
      <c r="Q7283" t="n">
        <v>0</v>
      </c>
      <c r="R7283" s="2" t="inlineStr"/>
    </row>
    <row r="7284" ht="15" customHeight="1">
      <c r="A7284" t="inlineStr">
        <is>
          <t>A 32062-2025</t>
        </is>
      </c>
      <c r="B7284" s="1" t="n">
        <v>45835.44643518519</v>
      </c>
      <c r="C7284" s="1" t="n">
        <v>45932</v>
      </c>
      <c r="D7284" t="inlineStr">
        <is>
          <t>VÄRMLANDS LÄN</t>
        </is>
      </c>
      <c r="E7284" t="inlineStr">
        <is>
          <t>ARVIKA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31618-2025</t>
        </is>
      </c>
      <c r="B7285" s="1" t="n">
        <v>45833.84502314815</v>
      </c>
      <c r="C7285" s="1" t="n">
        <v>45932</v>
      </c>
      <c r="D7285" t="inlineStr">
        <is>
          <t>VÄRMLANDS LÄN</t>
        </is>
      </c>
      <c r="E7285" t="inlineStr">
        <is>
          <t>HAGFORS</t>
        </is>
      </c>
      <c r="F7285" t="inlineStr">
        <is>
          <t>Bergvik skog väst AB</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63858-2021</t>
        </is>
      </c>
      <c r="B7286" s="1" t="n">
        <v>44509.60841435185</v>
      </c>
      <c r="C7286" s="1" t="n">
        <v>45932</v>
      </c>
      <c r="D7286" t="inlineStr">
        <is>
          <t>VÄRMLANDS LÄN</t>
        </is>
      </c>
      <c r="E7286" t="inlineStr">
        <is>
          <t>SÄFFLE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8911-2024</t>
        </is>
      </c>
      <c r="B7287" s="1" t="n">
        <v>45357</v>
      </c>
      <c r="C7287" s="1" t="n">
        <v>45932</v>
      </c>
      <c r="D7287" t="inlineStr">
        <is>
          <t>VÄRMLANDS LÄN</t>
        </is>
      </c>
      <c r="E7287" t="inlineStr">
        <is>
          <t>SUNNE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13047-2021</t>
        </is>
      </c>
      <c r="B7288" s="1" t="n">
        <v>44272.29149305556</v>
      </c>
      <c r="C7288" s="1" t="n">
        <v>45932</v>
      </c>
      <c r="D7288" t="inlineStr">
        <is>
          <t>VÄRMLANDS LÄN</t>
        </is>
      </c>
      <c r="E7288" t="inlineStr">
        <is>
          <t>STORFORS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11241-2024</t>
        </is>
      </c>
      <c r="B7289" s="1" t="n">
        <v>45371.62233796297</v>
      </c>
      <c r="C7289" s="1" t="n">
        <v>45932</v>
      </c>
      <c r="D7289" t="inlineStr">
        <is>
          <t>VÄRMLANDS LÄN</t>
        </is>
      </c>
      <c r="E7289" t="inlineStr">
        <is>
          <t>HAGFORS</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49127-2022</t>
        </is>
      </c>
      <c r="B7290" s="1" t="n">
        <v>44858</v>
      </c>
      <c r="C7290" s="1" t="n">
        <v>45932</v>
      </c>
      <c r="D7290" t="inlineStr">
        <is>
          <t>VÄRMLANDS LÄN</t>
        </is>
      </c>
      <c r="E7290" t="inlineStr">
        <is>
          <t>KARLSTAD</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53652-2023</t>
        </is>
      </c>
      <c r="B7291" s="1" t="n">
        <v>45224</v>
      </c>
      <c r="C7291" s="1" t="n">
        <v>45932</v>
      </c>
      <c r="D7291" t="inlineStr">
        <is>
          <t>VÄRMLANDS LÄN</t>
        </is>
      </c>
      <c r="E7291" t="inlineStr">
        <is>
          <t>TORSBY</t>
        </is>
      </c>
      <c r="F7291" t="inlineStr">
        <is>
          <t>Övriga statliga verk och myndigheter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13293-2024</t>
        </is>
      </c>
      <c r="B7292" s="1" t="n">
        <v>45386</v>
      </c>
      <c r="C7292" s="1" t="n">
        <v>45932</v>
      </c>
      <c r="D7292" t="inlineStr">
        <is>
          <t>VÄRMLANDS LÄN</t>
        </is>
      </c>
      <c r="E7292" t="inlineStr">
        <is>
          <t>KRISTINEHAMN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18585-2025</t>
        </is>
      </c>
      <c r="B7293" s="1" t="n">
        <v>45763</v>
      </c>
      <c r="C7293" s="1" t="n">
        <v>45932</v>
      </c>
      <c r="D7293" t="inlineStr">
        <is>
          <t>VÄRMLANDS LÄN</t>
        </is>
      </c>
      <c r="E7293" t="inlineStr">
        <is>
          <t>HAGFORS</t>
        </is>
      </c>
      <c r="F7293" t="inlineStr">
        <is>
          <t>Kyrkan</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35817-2021</t>
        </is>
      </c>
      <c r="B7294" s="1" t="n">
        <v>44386</v>
      </c>
      <c r="C7294" s="1" t="n">
        <v>45932</v>
      </c>
      <c r="D7294" t="inlineStr">
        <is>
          <t>VÄRMLANDS LÄN</t>
        </is>
      </c>
      <c r="E7294" t="inlineStr">
        <is>
          <t>KIL</t>
        </is>
      </c>
      <c r="F7294" t="inlineStr">
        <is>
          <t>Kyrkan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68011-2021</t>
        </is>
      </c>
      <c r="B7295" s="1" t="n">
        <v>44525.86020833333</v>
      </c>
      <c r="C7295" s="1" t="n">
        <v>45932</v>
      </c>
      <c r="D7295" t="inlineStr">
        <is>
          <t>VÄRMLANDS LÄN</t>
        </is>
      </c>
      <c r="E7295" t="inlineStr">
        <is>
          <t>KARLSTAD</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31713-2025</t>
        </is>
      </c>
      <c r="B7296" s="1" t="n">
        <v>45834.45006944444</v>
      </c>
      <c r="C7296" s="1" t="n">
        <v>45932</v>
      </c>
      <c r="D7296" t="inlineStr">
        <is>
          <t>VÄRMLANDS LÄN</t>
        </is>
      </c>
      <c r="E7296" t="inlineStr">
        <is>
          <t>SUNNE</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25797-2024</t>
        </is>
      </c>
      <c r="B7297" s="1" t="n">
        <v>45467.35356481482</v>
      </c>
      <c r="C7297" s="1" t="n">
        <v>45932</v>
      </c>
      <c r="D7297" t="inlineStr">
        <is>
          <t>VÄRMLANDS LÄN</t>
        </is>
      </c>
      <c r="E7297" t="inlineStr">
        <is>
          <t>SUNNE</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6713-2023</t>
        </is>
      </c>
      <c r="B7298" s="1" t="n">
        <v>44960</v>
      </c>
      <c r="C7298" s="1" t="n">
        <v>45932</v>
      </c>
      <c r="D7298" t="inlineStr">
        <is>
          <t>VÄRMLANDS LÄN</t>
        </is>
      </c>
      <c r="E7298" t="inlineStr">
        <is>
          <t>TORSBY</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31672-2025</t>
        </is>
      </c>
      <c r="B7299" s="1" t="n">
        <v>45834.36979166666</v>
      </c>
      <c r="C7299" s="1" t="n">
        <v>45932</v>
      </c>
      <c r="D7299" t="inlineStr">
        <is>
          <t>VÄRMLANDS LÄN</t>
        </is>
      </c>
      <c r="E7299" t="inlineStr">
        <is>
          <t>TORSBY</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31689-2025</t>
        </is>
      </c>
      <c r="B7300" s="1" t="n">
        <v>45834</v>
      </c>
      <c r="C7300" s="1" t="n">
        <v>45932</v>
      </c>
      <c r="D7300" t="inlineStr">
        <is>
          <t>VÄRMLANDS LÄN</t>
        </is>
      </c>
      <c r="E7300" t="inlineStr">
        <is>
          <t>ARVIKA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32174-2025</t>
        </is>
      </c>
      <c r="B7301" s="1" t="n">
        <v>45835.5549537037</v>
      </c>
      <c r="C7301" s="1" t="n">
        <v>45932</v>
      </c>
      <c r="D7301" t="inlineStr">
        <is>
          <t>VÄRMLANDS LÄN</t>
        </is>
      </c>
      <c r="E7301" t="inlineStr">
        <is>
          <t>HAGFORS</t>
        </is>
      </c>
      <c r="F7301" t="inlineStr">
        <is>
          <t>Bergvik skog väst AB</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38883-2023</t>
        </is>
      </c>
      <c r="B7302" s="1" t="n">
        <v>45163.54841435186</v>
      </c>
      <c r="C7302" s="1" t="n">
        <v>45932</v>
      </c>
      <c r="D7302" t="inlineStr">
        <is>
          <t>VÄRMLANDS LÄN</t>
        </is>
      </c>
      <c r="E7302" t="inlineStr">
        <is>
          <t>KARLSTAD</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43599-2023</t>
        </is>
      </c>
      <c r="B7303" s="1" t="n">
        <v>45184</v>
      </c>
      <c r="C7303" s="1" t="n">
        <v>45932</v>
      </c>
      <c r="D7303" t="inlineStr">
        <is>
          <t>VÄRMLANDS LÄN</t>
        </is>
      </c>
      <c r="E7303" t="inlineStr">
        <is>
          <t>TORSBY</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48028-2023</t>
        </is>
      </c>
      <c r="B7304" s="1" t="n">
        <v>45204.7071875</v>
      </c>
      <c r="C7304" s="1" t="n">
        <v>45932</v>
      </c>
      <c r="D7304" t="inlineStr">
        <is>
          <t>VÄRMLANDS LÄN</t>
        </is>
      </c>
      <c r="E7304" t="inlineStr">
        <is>
          <t>SUNNE</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48053-2023</t>
        </is>
      </c>
      <c r="B7305" s="1" t="n">
        <v>45204</v>
      </c>
      <c r="C7305" s="1" t="n">
        <v>45932</v>
      </c>
      <c r="D7305" t="inlineStr">
        <is>
          <t>VÄRMLANDS LÄN</t>
        </is>
      </c>
      <c r="E7305" t="inlineStr">
        <is>
          <t>SUNNE</t>
        </is>
      </c>
      <c r="G7305" t="n">
        <v>8.9</v>
      </c>
      <c r="H7305" t="n">
        <v>0</v>
      </c>
      <c r="I7305" t="n">
        <v>0</v>
      </c>
      <c r="J7305" t="n">
        <v>0</v>
      </c>
      <c r="K7305" t="n">
        <v>0</v>
      </c>
      <c r="L7305" t="n">
        <v>0</v>
      </c>
      <c r="M7305" t="n">
        <v>0</v>
      </c>
      <c r="N7305" t="n">
        <v>0</v>
      </c>
      <c r="O7305" t="n">
        <v>0</v>
      </c>
      <c r="P7305" t="n">
        <v>0</v>
      </c>
      <c r="Q7305" t="n">
        <v>0</v>
      </c>
      <c r="R7305" s="2" t="inlineStr"/>
    </row>
    <row r="7306" ht="15" customHeight="1">
      <c r="A7306" t="inlineStr">
        <is>
          <t>A 38057-2024</t>
        </is>
      </c>
      <c r="B7306" s="1" t="n">
        <v>45544.73293981481</v>
      </c>
      <c r="C7306" s="1" t="n">
        <v>45932</v>
      </c>
      <c r="D7306" t="inlineStr">
        <is>
          <t>VÄRMLANDS LÄN</t>
        </is>
      </c>
      <c r="E7306" t="inlineStr">
        <is>
          <t>ÅRJÄNG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38076-2024</t>
        </is>
      </c>
      <c r="B7307" s="1" t="n">
        <v>45544</v>
      </c>
      <c r="C7307" s="1" t="n">
        <v>45932</v>
      </c>
      <c r="D7307" t="inlineStr">
        <is>
          <t>VÄRMLANDS LÄN</t>
        </is>
      </c>
      <c r="E7307" t="inlineStr">
        <is>
          <t>TORSBY</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38687-2025</t>
        </is>
      </c>
      <c r="B7308" s="1" t="n">
        <v>45884.65751157407</v>
      </c>
      <c r="C7308" s="1" t="n">
        <v>45932</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28759-2022</t>
        </is>
      </c>
      <c r="B7309" s="1" t="n">
        <v>44749.33506944445</v>
      </c>
      <c r="C7309" s="1" t="n">
        <v>45932</v>
      </c>
      <c r="D7309" t="inlineStr">
        <is>
          <t>VÄRMLANDS LÄN</t>
        </is>
      </c>
      <c r="E7309" t="inlineStr">
        <is>
          <t>KRISTINEHAMN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32079-2025</t>
        </is>
      </c>
      <c r="B7310" s="1" t="n">
        <v>45835</v>
      </c>
      <c r="C7310" s="1" t="n">
        <v>45932</v>
      </c>
      <c r="D7310" t="inlineStr">
        <is>
          <t>VÄRMLANDS LÄN</t>
        </is>
      </c>
      <c r="E7310" t="inlineStr">
        <is>
          <t>ARVIKA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44312-2024</t>
        </is>
      </c>
      <c r="B7311" s="1" t="n">
        <v>45573</v>
      </c>
      <c r="C7311" s="1" t="n">
        <v>45932</v>
      </c>
      <c r="D7311" t="inlineStr">
        <is>
          <t>VÄRMLANDS LÄN</t>
        </is>
      </c>
      <c r="E7311" t="inlineStr">
        <is>
          <t>SUNNE</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44325-2024</t>
        </is>
      </c>
      <c r="B7312" s="1" t="n">
        <v>45573</v>
      </c>
      <c r="C7312" s="1" t="n">
        <v>45932</v>
      </c>
      <c r="D7312" t="inlineStr">
        <is>
          <t>VÄRMLANDS LÄN</t>
        </is>
      </c>
      <c r="E7312" t="inlineStr">
        <is>
          <t>TORSBY</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38140-2024</t>
        </is>
      </c>
      <c r="B7313" s="1" t="n">
        <v>45545</v>
      </c>
      <c r="C7313" s="1" t="n">
        <v>45932</v>
      </c>
      <c r="D7313" t="inlineStr">
        <is>
          <t>VÄRMLANDS LÄN</t>
        </is>
      </c>
      <c r="E7313" t="inlineStr">
        <is>
          <t>FILIPSTAD</t>
        </is>
      </c>
      <c r="F7313" t="inlineStr">
        <is>
          <t>Bergvik skog väst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31899-2025</t>
        </is>
      </c>
      <c r="B7314" s="1" t="n">
        <v>45834.68079861111</v>
      </c>
      <c r="C7314" s="1" t="n">
        <v>45932</v>
      </c>
      <c r="D7314" t="inlineStr">
        <is>
          <t>VÄRMLANDS LÄN</t>
        </is>
      </c>
      <c r="E7314" t="inlineStr">
        <is>
          <t>ARVIKA</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31902-2025</t>
        </is>
      </c>
      <c r="B7315" s="1" t="n">
        <v>45834.68592592593</v>
      </c>
      <c r="C7315" s="1" t="n">
        <v>45932</v>
      </c>
      <c r="D7315" t="inlineStr">
        <is>
          <t>VÄRMLANDS LÄN</t>
        </is>
      </c>
      <c r="E7315" t="inlineStr">
        <is>
          <t>TORSBY</t>
        </is>
      </c>
      <c r="G7315" t="n">
        <v>27.1</v>
      </c>
      <c r="H7315" t="n">
        <v>0</v>
      </c>
      <c r="I7315" t="n">
        <v>0</v>
      </c>
      <c r="J7315" t="n">
        <v>0</v>
      </c>
      <c r="K7315" t="n">
        <v>0</v>
      </c>
      <c r="L7315" t="n">
        <v>0</v>
      </c>
      <c r="M7315" t="n">
        <v>0</v>
      </c>
      <c r="N7315" t="n">
        <v>0</v>
      </c>
      <c r="O7315" t="n">
        <v>0</v>
      </c>
      <c r="P7315" t="n">
        <v>0</v>
      </c>
      <c r="Q7315" t="n">
        <v>0</v>
      </c>
      <c r="R7315" s="2" t="inlineStr"/>
    </row>
    <row r="7316" ht="15" customHeight="1">
      <c r="A7316" t="inlineStr">
        <is>
          <t>A 32134-2025</t>
        </is>
      </c>
      <c r="B7316" s="1" t="n">
        <v>45835.5102662037</v>
      </c>
      <c r="C7316" s="1" t="n">
        <v>45932</v>
      </c>
      <c r="D7316" t="inlineStr">
        <is>
          <t>VÄRMLANDS LÄN</t>
        </is>
      </c>
      <c r="E7316" t="inlineStr">
        <is>
          <t>TORSBY</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46653-2025</t>
        </is>
      </c>
      <c r="B7317" s="1" t="n">
        <v>45926.49155092592</v>
      </c>
      <c r="C7317" s="1" t="n">
        <v>45932</v>
      </c>
      <c r="D7317" t="inlineStr">
        <is>
          <t>VÄRMLANDS LÄN</t>
        </is>
      </c>
      <c r="E7317" t="inlineStr">
        <is>
          <t>HAGFORS</t>
        </is>
      </c>
      <c r="F7317" t="inlineStr">
        <is>
          <t>Bergvik skog väst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46656-2025</t>
        </is>
      </c>
      <c r="B7318" s="1" t="n">
        <v>45926.49839120371</v>
      </c>
      <c r="C7318" s="1" t="n">
        <v>45932</v>
      </c>
      <c r="D7318" t="inlineStr">
        <is>
          <t>VÄRMLANDS LÄN</t>
        </is>
      </c>
      <c r="E7318" t="inlineStr">
        <is>
          <t>HAGFORS</t>
        </is>
      </c>
      <c r="F7318" t="inlineStr">
        <is>
          <t>Bergvik skog väst AB</t>
        </is>
      </c>
      <c r="G7318" t="n">
        <v>8.199999999999999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46658-2025</t>
        </is>
      </c>
      <c r="B7319" s="1" t="n">
        <v>45926.49914351852</v>
      </c>
      <c r="C7319" s="1" t="n">
        <v>45932</v>
      </c>
      <c r="D7319" t="inlineStr">
        <is>
          <t>VÄRMLANDS LÄN</t>
        </is>
      </c>
      <c r="E7319" t="inlineStr">
        <is>
          <t>TORSBY</t>
        </is>
      </c>
      <c r="F7319" t="inlineStr">
        <is>
          <t>Bergvik skog väst AB</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31676-2025</t>
        </is>
      </c>
      <c r="B7320" s="1" t="n">
        <v>45834</v>
      </c>
      <c r="C7320" s="1" t="n">
        <v>45932</v>
      </c>
      <c r="D7320" t="inlineStr">
        <is>
          <t>VÄRMLANDS LÄN</t>
        </is>
      </c>
      <c r="E7320" t="inlineStr">
        <is>
          <t>FILIPSTAD</t>
        </is>
      </c>
      <c r="F7320" t="inlineStr">
        <is>
          <t>Bergvik skog väst AB</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15755-2025</t>
        </is>
      </c>
      <c r="B7321" s="1" t="n">
        <v>45748</v>
      </c>
      <c r="C7321" s="1" t="n">
        <v>45932</v>
      </c>
      <c r="D7321" t="inlineStr">
        <is>
          <t>VÄRMLANDS LÄN</t>
        </is>
      </c>
      <c r="E7321" t="inlineStr">
        <is>
          <t>ARVIKA</t>
        </is>
      </c>
      <c r="F7321" t="inlineStr">
        <is>
          <t>Bergvik skog väst AB</t>
        </is>
      </c>
      <c r="G7321" t="n">
        <v>9.5</v>
      </c>
      <c r="H7321" t="n">
        <v>0</v>
      </c>
      <c r="I7321" t="n">
        <v>0</v>
      </c>
      <c r="J7321" t="n">
        <v>0</v>
      </c>
      <c r="K7321" t="n">
        <v>0</v>
      </c>
      <c r="L7321" t="n">
        <v>0</v>
      </c>
      <c r="M7321" t="n">
        <v>0</v>
      </c>
      <c r="N7321" t="n">
        <v>0</v>
      </c>
      <c r="O7321" t="n">
        <v>0</v>
      </c>
      <c r="P7321" t="n">
        <v>0</v>
      </c>
      <c r="Q7321" t="n">
        <v>0</v>
      </c>
      <c r="R7321" s="2" t="inlineStr"/>
      <c r="U7321">
        <f>HYPERLINK("https://klasma.github.io/Logging_1784/knärot/A 15755-2025 karta knärot.png", "A 15755-2025")</f>
        <v/>
      </c>
      <c r="V7321">
        <f>HYPERLINK("https://klasma.github.io/Logging_1784/klagomål/A 15755-2025 FSC-klagomål.docx", "A 15755-2025")</f>
        <v/>
      </c>
      <c r="W7321">
        <f>HYPERLINK("https://klasma.github.io/Logging_1784/klagomålsmail/A 15755-2025 FSC-klagomål mail.docx", "A 15755-2025")</f>
        <v/>
      </c>
      <c r="X7321">
        <f>HYPERLINK("https://klasma.github.io/Logging_1784/tillsyn/A 15755-2025 tillsynsbegäran.docx", "A 15755-2025")</f>
        <v/>
      </c>
      <c r="Y7321">
        <f>HYPERLINK("https://klasma.github.io/Logging_1784/tillsynsmail/A 15755-2025 tillsynsbegäran mail.docx", "A 15755-2025")</f>
        <v/>
      </c>
    </row>
    <row r="7322" ht="15" customHeight="1">
      <c r="A7322" t="inlineStr">
        <is>
          <t>A 31833-2025</t>
        </is>
      </c>
      <c r="B7322" s="1" t="n">
        <v>45834.59217592593</v>
      </c>
      <c r="C7322" s="1" t="n">
        <v>45932</v>
      </c>
      <c r="D7322" t="inlineStr">
        <is>
          <t>VÄRMLANDS LÄN</t>
        </is>
      </c>
      <c r="E7322" t="inlineStr">
        <is>
          <t>KARLSTAD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12232-2025</t>
        </is>
      </c>
      <c r="B7323" s="1" t="n">
        <v>45729</v>
      </c>
      <c r="C7323" s="1" t="n">
        <v>45932</v>
      </c>
      <c r="D7323" t="inlineStr">
        <is>
          <t>VÄRMLANDS LÄN</t>
        </is>
      </c>
      <c r="E7323" t="inlineStr">
        <is>
          <t>SÄFFLE</t>
        </is>
      </c>
      <c r="F7323" t="inlineStr">
        <is>
          <t>Bergvik skog väst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31710-2025</t>
        </is>
      </c>
      <c r="B7324" s="1" t="n">
        <v>45834.4325462963</v>
      </c>
      <c r="C7324" s="1" t="n">
        <v>45932</v>
      </c>
      <c r="D7324" t="inlineStr">
        <is>
          <t>VÄRMLANDS LÄN</t>
        </is>
      </c>
      <c r="E7324" t="inlineStr">
        <is>
          <t>ÅRJÄNG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3796-2021</t>
        </is>
      </c>
      <c r="B7325" s="1" t="n">
        <v>44221</v>
      </c>
      <c r="C7325" s="1" t="n">
        <v>45932</v>
      </c>
      <c r="D7325" t="inlineStr">
        <is>
          <t>VÄRMLANDS LÄN</t>
        </is>
      </c>
      <c r="E7325" t="inlineStr">
        <is>
          <t>ÅRJÄNG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12442-2022</t>
        </is>
      </c>
      <c r="B7326" s="1" t="n">
        <v>44638</v>
      </c>
      <c r="C7326" s="1" t="n">
        <v>45932</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19826-2021</t>
        </is>
      </c>
      <c r="B7327" s="1" t="n">
        <v>44313.45267361111</v>
      </c>
      <c r="C7327" s="1" t="n">
        <v>45932</v>
      </c>
      <c r="D7327" t="inlineStr">
        <is>
          <t>VÄRMLANDS LÄN</t>
        </is>
      </c>
      <c r="E7327" t="inlineStr">
        <is>
          <t>ARVIKA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44710-2025</t>
        </is>
      </c>
      <c r="B7328" s="1" t="n">
        <v>45917.61743055555</v>
      </c>
      <c r="C7328" s="1" t="n">
        <v>45932</v>
      </c>
      <c r="D7328" t="inlineStr">
        <is>
          <t>VÄRMLANDS LÄN</t>
        </is>
      </c>
      <c r="E7328" t="inlineStr">
        <is>
          <t>TORSBY</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45672-2024</t>
        </is>
      </c>
      <c r="B7329" s="1" t="n">
        <v>45579</v>
      </c>
      <c r="C7329" s="1" t="n">
        <v>45932</v>
      </c>
      <c r="D7329" t="inlineStr">
        <is>
          <t>VÄRMLANDS LÄN</t>
        </is>
      </c>
      <c r="E7329" t="inlineStr">
        <is>
          <t>KIL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9056-2023</t>
        </is>
      </c>
      <c r="B7330" s="1" t="n">
        <v>44979</v>
      </c>
      <c r="C7330" s="1" t="n">
        <v>45932</v>
      </c>
      <c r="D7330" t="inlineStr">
        <is>
          <t>VÄRMLANDS LÄN</t>
        </is>
      </c>
      <c r="E7330" t="inlineStr">
        <is>
          <t>TORSBY</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19720-2023</t>
        </is>
      </c>
      <c r="B7331" s="1" t="n">
        <v>45051</v>
      </c>
      <c r="C7331" s="1" t="n">
        <v>45932</v>
      </c>
      <c r="D7331" t="inlineStr">
        <is>
          <t>VÄRMLANDS LÄN</t>
        </is>
      </c>
      <c r="E7331" t="inlineStr">
        <is>
          <t>ARVIKA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58591-2023</t>
        </is>
      </c>
      <c r="B7332" s="1" t="n">
        <v>45251</v>
      </c>
      <c r="C7332" s="1" t="n">
        <v>45932</v>
      </c>
      <c r="D7332" t="inlineStr">
        <is>
          <t>VÄRMLANDS LÄN</t>
        </is>
      </c>
      <c r="E7332" t="inlineStr">
        <is>
          <t>ARVIKA</t>
        </is>
      </c>
      <c r="G7332" t="n">
        <v>15.3</v>
      </c>
      <c r="H7332" t="n">
        <v>0</v>
      </c>
      <c r="I7332" t="n">
        <v>0</v>
      </c>
      <c r="J7332" t="n">
        <v>0</v>
      </c>
      <c r="K7332" t="n">
        <v>0</v>
      </c>
      <c r="L7332" t="n">
        <v>0</v>
      </c>
      <c r="M7332" t="n">
        <v>0</v>
      </c>
      <c r="N7332" t="n">
        <v>0</v>
      </c>
      <c r="O7332" t="n">
        <v>0</v>
      </c>
      <c r="P7332" t="n">
        <v>0</v>
      </c>
      <c r="Q7332" t="n">
        <v>0</v>
      </c>
      <c r="R7332" s="2" t="inlineStr"/>
    </row>
    <row r="7333" ht="15" customHeight="1">
      <c r="A7333" t="inlineStr">
        <is>
          <t>A 27888-2025</t>
        </is>
      </c>
      <c r="B7333" s="1" t="n">
        <v>45817.46061342592</v>
      </c>
      <c r="C7333" s="1" t="n">
        <v>45932</v>
      </c>
      <c r="D7333" t="inlineStr">
        <is>
          <t>VÄRMLANDS LÄN</t>
        </is>
      </c>
      <c r="E7333" t="inlineStr">
        <is>
          <t>KARLSTAD</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46071-2023</t>
        </is>
      </c>
      <c r="B7334" s="1" t="n">
        <v>45196.46587962963</v>
      </c>
      <c r="C7334" s="1" t="n">
        <v>45932</v>
      </c>
      <c r="D7334" t="inlineStr">
        <is>
          <t>VÄRMLANDS LÄN</t>
        </is>
      </c>
      <c r="E7334" t="inlineStr">
        <is>
          <t>SUNNE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60278-2023</t>
        </is>
      </c>
      <c r="B7335" s="1" t="n">
        <v>45258.68179398148</v>
      </c>
      <c r="C7335" s="1" t="n">
        <v>45932</v>
      </c>
      <c r="D7335" t="inlineStr">
        <is>
          <t>VÄRMLANDS LÄN</t>
        </is>
      </c>
      <c r="E7335" t="inlineStr">
        <is>
          <t>EDA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2077-2024</t>
        </is>
      </c>
      <c r="B7336" s="1" t="n">
        <v>45309</v>
      </c>
      <c r="C7336" s="1" t="n">
        <v>45932</v>
      </c>
      <c r="D7336" t="inlineStr">
        <is>
          <t>VÄRMLANDS LÄN</t>
        </is>
      </c>
      <c r="E7336" t="inlineStr">
        <is>
          <t>KIL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8534-2025</t>
        </is>
      </c>
      <c r="B7337" s="1" t="n">
        <v>45709</v>
      </c>
      <c r="C7337" s="1" t="n">
        <v>45932</v>
      </c>
      <c r="D7337" t="inlineStr">
        <is>
          <t>VÄRMLANDS LÄN</t>
        </is>
      </c>
      <c r="E7337" t="inlineStr">
        <is>
          <t>KIL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65301-2021</t>
        </is>
      </c>
      <c r="B7338" s="1" t="n">
        <v>44515</v>
      </c>
      <c r="C7338" s="1" t="n">
        <v>45932</v>
      </c>
      <c r="D7338" t="inlineStr">
        <is>
          <t>VÄRMLANDS LÄN</t>
        </is>
      </c>
      <c r="E7338" t="inlineStr">
        <is>
          <t>TORSBY</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8555-2025</t>
        </is>
      </c>
      <c r="B7339" s="1" t="n">
        <v>45709</v>
      </c>
      <c r="C7339" s="1" t="n">
        <v>45932</v>
      </c>
      <c r="D7339" t="inlineStr">
        <is>
          <t>VÄRMLANDS LÄN</t>
        </is>
      </c>
      <c r="E7339" t="inlineStr">
        <is>
          <t>KIL</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63409-2023</t>
        </is>
      </c>
      <c r="B7340" s="1" t="n">
        <v>45274.51719907407</v>
      </c>
      <c r="C7340" s="1" t="n">
        <v>45932</v>
      </c>
      <c r="D7340" t="inlineStr">
        <is>
          <t>VÄRMLANDS LÄN</t>
        </is>
      </c>
      <c r="E7340" t="inlineStr">
        <is>
          <t>TORSBY</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63411-2023</t>
        </is>
      </c>
      <c r="B7341" s="1" t="n">
        <v>45274.52950231481</v>
      </c>
      <c r="C7341" s="1" t="n">
        <v>45932</v>
      </c>
      <c r="D7341" t="inlineStr">
        <is>
          <t>VÄRMLANDS LÄN</t>
        </is>
      </c>
      <c r="E7341" t="inlineStr">
        <is>
          <t>FILIPSTAD</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12051-2024</t>
        </is>
      </c>
      <c r="B7342" s="1" t="n">
        <v>45377</v>
      </c>
      <c r="C7342" s="1" t="n">
        <v>45932</v>
      </c>
      <c r="D7342" t="inlineStr">
        <is>
          <t>VÄRMLANDS LÄN</t>
        </is>
      </c>
      <c r="E7342" t="inlineStr">
        <is>
          <t>TORSBY</t>
        </is>
      </c>
      <c r="F7342" t="inlineStr">
        <is>
          <t>Bergvik skog väst AB</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38771-2025</t>
        </is>
      </c>
      <c r="B7343" s="1" t="n">
        <v>45887</v>
      </c>
      <c r="C7343" s="1" t="n">
        <v>45932</v>
      </c>
      <c r="D7343" t="inlineStr">
        <is>
          <t>VÄRMLANDS LÄN</t>
        </is>
      </c>
      <c r="E7343" t="inlineStr">
        <is>
          <t>TORSBY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34122-2023</t>
        </is>
      </c>
      <c r="B7344" s="1" t="n">
        <v>45135.64596064815</v>
      </c>
      <c r="C7344" s="1" t="n">
        <v>45932</v>
      </c>
      <c r="D7344" t="inlineStr">
        <is>
          <t>VÄRMLANDS LÄN</t>
        </is>
      </c>
      <c r="E7344" t="inlineStr">
        <is>
          <t>EDA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73553-2021</t>
        </is>
      </c>
      <c r="B7345" s="1" t="n">
        <v>44551</v>
      </c>
      <c r="C7345" s="1" t="n">
        <v>45932</v>
      </c>
      <c r="D7345" t="inlineStr">
        <is>
          <t>VÄRMLANDS LÄN</t>
        </is>
      </c>
      <c r="E7345" t="inlineStr">
        <is>
          <t>TORSBY</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42807-2023</t>
        </is>
      </c>
      <c r="B7346" s="1" t="n">
        <v>45182</v>
      </c>
      <c r="C7346" s="1" t="n">
        <v>45932</v>
      </c>
      <c r="D7346" t="inlineStr">
        <is>
          <t>VÄRMLANDS LÄN</t>
        </is>
      </c>
      <c r="E7346" t="inlineStr">
        <is>
          <t>ARVIKA</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46581-2025</t>
        </is>
      </c>
      <c r="B7347" s="1" t="n">
        <v>45926.37900462963</v>
      </c>
      <c r="C7347" s="1" t="n">
        <v>45932</v>
      </c>
      <c r="D7347" t="inlineStr">
        <is>
          <t>VÄRMLANDS LÄN</t>
        </is>
      </c>
      <c r="E7347" t="inlineStr">
        <is>
          <t>HAGFORS</t>
        </is>
      </c>
      <c r="F7347" t="inlineStr">
        <is>
          <t>Bergvik skog väst AB</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26628-2024</t>
        </is>
      </c>
      <c r="B7348" s="1" t="n">
        <v>45469</v>
      </c>
      <c r="C7348" s="1" t="n">
        <v>45932</v>
      </c>
      <c r="D7348" t="inlineStr">
        <is>
          <t>VÄRMLANDS LÄN</t>
        </is>
      </c>
      <c r="E7348" t="inlineStr">
        <is>
          <t>HAGFORS</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43233-2023</t>
        </is>
      </c>
      <c r="B7349" s="1" t="n">
        <v>45180</v>
      </c>
      <c r="C7349" s="1" t="n">
        <v>45932</v>
      </c>
      <c r="D7349" t="inlineStr">
        <is>
          <t>VÄRMLANDS LÄN</t>
        </is>
      </c>
      <c r="E7349" t="inlineStr">
        <is>
          <t>FILIPSTAD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17030-2023</t>
        </is>
      </c>
      <c r="B7350" s="1" t="n">
        <v>45034.39105324074</v>
      </c>
      <c r="C7350" s="1" t="n">
        <v>45932</v>
      </c>
      <c r="D7350" t="inlineStr">
        <is>
          <t>VÄRMLANDS LÄN</t>
        </is>
      </c>
      <c r="E7350" t="inlineStr">
        <is>
          <t>SUNNE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35908-2022</t>
        </is>
      </c>
      <c r="B7351" s="1" t="n">
        <v>44802</v>
      </c>
      <c r="C7351" s="1" t="n">
        <v>45932</v>
      </c>
      <c r="D7351" t="inlineStr">
        <is>
          <t>VÄRMLANDS LÄN</t>
        </is>
      </c>
      <c r="E7351" t="inlineStr">
        <is>
          <t>HAGFORS</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18099-2022</t>
        </is>
      </c>
      <c r="B7352" s="1" t="n">
        <v>44684</v>
      </c>
      <c r="C7352" s="1" t="n">
        <v>45932</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22830-2023</t>
        </is>
      </c>
      <c r="B7353" s="1" t="n">
        <v>45072</v>
      </c>
      <c r="C7353" s="1" t="n">
        <v>45932</v>
      </c>
      <c r="D7353" t="inlineStr">
        <is>
          <t>VÄRMLANDS LÄN</t>
        </is>
      </c>
      <c r="E7353" t="inlineStr">
        <is>
          <t>FILIPSTAD</t>
        </is>
      </c>
      <c r="F7353" t="inlineStr">
        <is>
          <t>Bergvik skog väst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22866-2023</t>
        </is>
      </c>
      <c r="B7354" s="1" t="n">
        <v>45072</v>
      </c>
      <c r="C7354" s="1" t="n">
        <v>45932</v>
      </c>
      <c r="D7354" t="inlineStr">
        <is>
          <t>VÄRMLANDS LÄN</t>
        </is>
      </c>
      <c r="E7354" t="inlineStr">
        <is>
          <t>FILIPSTAD</t>
        </is>
      </c>
      <c r="F7354" t="inlineStr">
        <is>
          <t>Bergvik skog väst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13871-2025</t>
        </is>
      </c>
      <c r="B7355" s="1" t="n">
        <v>45737.58568287037</v>
      </c>
      <c r="C7355" s="1" t="n">
        <v>45932</v>
      </c>
      <c r="D7355" t="inlineStr">
        <is>
          <t>VÄRMLANDS LÄN</t>
        </is>
      </c>
      <c r="E7355" t="inlineStr">
        <is>
          <t>ÅRJÄNG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54306-2024</t>
        </is>
      </c>
      <c r="B7356" s="1" t="n">
        <v>45617</v>
      </c>
      <c r="C7356" s="1" t="n">
        <v>45932</v>
      </c>
      <c r="D7356" t="inlineStr">
        <is>
          <t>VÄRMLANDS LÄN</t>
        </is>
      </c>
      <c r="E7356" t="inlineStr">
        <is>
          <t>TORSBY</t>
        </is>
      </c>
      <c r="F7356" t="inlineStr">
        <is>
          <t>Bergvik skog väst AB</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9221-2025</t>
        </is>
      </c>
      <c r="B7357" s="1" t="n">
        <v>45714</v>
      </c>
      <c r="C7357" s="1" t="n">
        <v>45932</v>
      </c>
      <c r="D7357" t="inlineStr">
        <is>
          <t>VÄRMLANDS LÄN</t>
        </is>
      </c>
      <c r="E7357" t="inlineStr">
        <is>
          <t>EDA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8399-2025</t>
        </is>
      </c>
      <c r="B7358" s="1" t="n">
        <v>45709</v>
      </c>
      <c r="C7358" s="1" t="n">
        <v>45932</v>
      </c>
      <c r="D7358" t="inlineStr">
        <is>
          <t>VÄRMLANDS LÄN</t>
        </is>
      </c>
      <c r="E7358" t="inlineStr">
        <is>
          <t>FORSHAGA</t>
        </is>
      </c>
      <c r="F7358" t="inlineStr">
        <is>
          <t>Bergvik skog väst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61945-2024</t>
        </is>
      </c>
      <c r="B7359" s="1" t="n">
        <v>45653.49907407408</v>
      </c>
      <c r="C7359" s="1" t="n">
        <v>45932</v>
      </c>
      <c r="D7359" t="inlineStr">
        <is>
          <t>VÄRMLANDS LÄN</t>
        </is>
      </c>
      <c r="E7359" t="inlineStr">
        <is>
          <t>ARVIKA</t>
        </is>
      </c>
      <c r="F7359" t="inlineStr">
        <is>
          <t>Bergvik skog väst AB</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61999-2024</t>
        </is>
      </c>
      <c r="B7360" s="1" t="n">
        <v>45654</v>
      </c>
      <c r="C7360" s="1" t="n">
        <v>45932</v>
      </c>
      <c r="D7360" t="inlineStr">
        <is>
          <t>VÄRMLANDS LÄN</t>
        </is>
      </c>
      <c r="E7360" t="inlineStr">
        <is>
          <t>EDA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62001-2024</t>
        </is>
      </c>
      <c r="B7361" s="1" t="n">
        <v>45654</v>
      </c>
      <c r="C7361" s="1" t="n">
        <v>45932</v>
      </c>
      <c r="D7361" t="inlineStr">
        <is>
          <t>VÄRMLANDS LÄN</t>
        </is>
      </c>
      <c r="E7361" t="inlineStr">
        <is>
          <t>STORFORS</t>
        </is>
      </c>
      <c r="F7361" t="inlineStr">
        <is>
          <t>Bergvik skog väst AB</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40323-2024</t>
        </is>
      </c>
      <c r="B7362" s="1" t="n">
        <v>45554.83660879629</v>
      </c>
      <c r="C7362" s="1" t="n">
        <v>45932</v>
      </c>
      <c r="D7362" t="inlineStr">
        <is>
          <t>VÄRMLANDS LÄN</t>
        </is>
      </c>
      <c r="E7362" t="inlineStr">
        <is>
          <t>EDA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38626-2025</t>
        </is>
      </c>
      <c r="B7363" s="1" t="n">
        <v>45884.55540509259</v>
      </c>
      <c r="C7363" s="1" t="n">
        <v>45932</v>
      </c>
      <c r="D7363" t="inlineStr">
        <is>
          <t>VÄRMLANDS LÄN</t>
        </is>
      </c>
      <c r="E7363" t="inlineStr">
        <is>
          <t>FILIPSTAD</t>
        </is>
      </c>
      <c r="F7363" t="inlineStr">
        <is>
          <t>Bergvik skog väst AB</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32191-2025</t>
        </is>
      </c>
      <c r="B7364" s="1" t="n">
        <v>45835.57099537037</v>
      </c>
      <c r="C7364" s="1" t="n">
        <v>45932</v>
      </c>
      <c r="D7364" t="inlineStr">
        <is>
          <t>VÄRMLANDS LÄN</t>
        </is>
      </c>
      <c r="E7364" t="inlineStr">
        <is>
          <t>TORSBY</t>
        </is>
      </c>
      <c r="F7364" t="inlineStr">
        <is>
          <t>Bergvik skog väst AB</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37929-2024</t>
        </is>
      </c>
      <c r="B7365" s="1" t="n">
        <v>45544</v>
      </c>
      <c r="C7365" s="1" t="n">
        <v>45932</v>
      </c>
      <c r="D7365" t="inlineStr">
        <is>
          <t>VÄRMLANDS LÄN</t>
        </is>
      </c>
      <c r="E7365" t="inlineStr">
        <is>
          <t>ARVIKA</t>
        </is>
      </c>
      <c r="F7365" t="inlineStr">
        <is>
          <t>Bergvik skog väst AB</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32002-2025</t>
        </is>
      </c>
      <c r="B7366" s="1" t="n">
        <v>45835</v>
      </c>
      <c r="C7366" s="1" t="n">
        <v>45932</v>
      </c>
      <c r="D7366" t="inlineStr">
        <is>
          <t>VÄRMLANDS LÄN</t>
        </is>
      </c>
      <c r="E7366" t="inlineStr">
        <is>
          <t>ARVIKA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37982-2024</t>
        </is>
      </c>
      <c r="B7367" s="1" t="n">
        <v>45544</v>
      </c>
      <c r="C7367" s="1" t="n">
        <v>45932</v>
      </c>
      <c r="D7367" t="inlineStr">
        <is>
          <t>VÄRMLANDS LÄN</t>
        </is>
      </c>
      <c r="E7367" t="inlineStr">
        <is>
          <t>KARLSTAD</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36287-2023</t>
        </is>
      </c>
      <c r="B7368" s="1" t="n">
        <v>45152</v>
      </c>
      <c r="C7368" s="1" t="n">
        <v>45932</v>
      </c>
      <c r="D7368" t="inlineStr">
        <is>
          <t>VÄRMLANDS LÄN</t>
        </is>
      </c>
      <c r="E7368" t="inlineStr">
        <is>
          <t>EDA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36295-2023</t>
        </is>
      </c>
      <c r="B7369" s="1" t="n">
        <v>45152</v>
      </c>
      <c r="C7369" s="1" t="n">
        <v>45932</v>
      </c>
      <c r="D7369" t="inlineStr">
        <is>
          <t>VÄRMLANDS LÄN</t>
        </is>
      </c>
      <c r="E7369" t="inlineStr">
        <is>
          <t>EDA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32183-2025</t>
        </is>
      </c>
      <c r="B7370" s="1" t="n">
        <v>45835.56497685185</v>
      </c>
      <c r="C7370" s="1" t="n">
        <v>45932</v>
      </c>
      <c r="D7370" t="inlineStr">
        <is>
          <t>VÄRMLANDS LÄN</t>
        </is>
      </c>
      <c r="E7370" t="inlineStr">
        <is>
          <t>FILIPSTAD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31925-2025</t>
        </is>
      </c>
      <c r="B7371" s="1" t="n">
        <v>45834.86482638889</v>
      </c>
      <c r="C7371" s="1" t="n">
        <v>45932</v>
      </c>
      <c r="D7371" t="inlineStr">
        <is>
          <t>VÄRMLANDS LÄN</t>
        </is>
      </c>
      <c r="E7371" t="inlineStr">
        <is>
          <t>ARVIKA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31944-2025</t>
        </is>
      </c>
      <c r="B7372" s="1" t="n">
        <v>45835</v>
      </c>
      <c r="C7372" s="1" t="n">
        <v>45932</v>
      </c>
      <c r="D7372" t="inlineStr">
        <is>
          <t>VÄRMLANDS LÄN</t>
        </is>
      </c>
      <c r="E7372" t="inlineStr">
        <is>
          <t>ARVIKA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31883-2025</t>
        </is>
      </c>
      <c r="B7373" s="1" t="n">
        <v>45834.65680555555</v>
      </c>
      <c r="C7373" s="1" t="n">
        <v>45932</v>
      </c>
      <c r="D7373" t="inlineStr">
        <is>
          <t>VÄRMLANDS LÄN</t>
        </is>
      </c>
      <c r="E7373" t="inlineStr">
        <is>
          <t>FILIPSTAD</t>
        </is>
      </c>
      <c r="G7373" t="n">
        <v>18.7</v>
      </c>
      <c r="H7373" t="n">
        <v>0</v>
      </c>
      <c r="I7373" t="n">
        <v>0</v>
      </c>
      <c r="J7373" t="n">
        <v>0</v>
      </c>
      <c r="K7373" t="n">
        <v>0</v>
      </c>
      <c r="L7373" t="n">
        <v>0</v>
      </c>
      <c r="M7373" t="n">
        <v>0</v>
      </c>
      <c r="N7373" t="n">
        <v>0</v>
      </c>
      <c r="O7373" t="n">
        <v>0</v>
      </c>
      <c r="P7373" t="n">
        <v>0</v>
      </c>
      <c r="Q7373" t="n">
        <v>0</v>
      </c>
      <c r="R7373" s="2" t="inlineStr"/>
    </row>
    <row r="7374" ht="15" customHeight="1">
      <c r="A7374" t="inlineStr">
        <is>
          <t>A 54225-2024</t>
        </is>
      </c>
      <c r="B7374" s="1" t="n">
        <v>45616.6689699074</v>
      </c>
      <c r="C7374" s="1" t="n">
        <v>45932</v>
      </c>
      <c r="D7374" t="inlineStr">
        <is>
          <t>VÄRMLANDS LÄN</t>
        </is>
      </c>
      <c r="E7374" t="inlineStr">
        <is>
          <t>KARLSTAD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54265-2024</t>
        </is>
      </c>
      <c r="B7375" s="1" t="n">
        <v>45616</v>
      </c>
      <c r="C7375" s="1" t="n">
        <v>45932</v>
      </c>
      <c r="D7375" t="inlineStr">
        <is>
          <t>VÄRMLANDS LÄN</t>
        </is>
      </c>
      <c r="E7375" t="inlineStr">
        <is>
          <t>TORSBY</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46657-2025</t>
        </is>
      </c>
      <c r="B7376" s="1" t="n">
        <v>45926.4984375</v>
      </c>
      <c r="C7376" s="1" t="n">
        <v>45932</v>
      </c>
      <c r="D7376" t="inlineStr">
        <is>
          <t>VÄRMLANDS LÄN</t>
        </is>
      </c>
      <c r="E7376" t="inlineStr">
        <is>
          <t>SUNNE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31726-2025</t>
        </is>
      </c>
      <c r="B7377" s="1" t="n">
        <v>45834</v>
      </c>
      <c r="C7377" s="1" t="n">
        <v>45932</v>
      </c>
      <c r="D7377" t="inlineStr">
        <is>
          <t>VÄRMLANDS LÄN</t>
        </is>
      </c>
      <c r="E7377" t="inlineStr">
        <is>
          <t>EDA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1161-2025</t>
        </is>
      </c>
      <c r="B7378" s="1" t="n">
        <v>45666</v>
      </c>
      <c r="C7378" s="1" t="n">
        <v>45932</v>
      </c>
      <c r="D7378" t="inlineStr">
        <is>
          <t>VÄRMLANDS LÄN</t>
        </is>
      </c>
      <c r="E7378" t="inlineStr">
        <is>
          <t>TORSBY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1304-2025</t>
        </is>
      </c>
      <c r="B7379" s="1" t="n">
        <v>45667.54837962963</v>
      </c>
      <c r="C7379" s="1" t="n">
        <v>45932</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14301-2025</t>
        </is>
      </c>
      <c r="B7380" s="1" t="n">
        <v>45740</v>
      </c>
      <c r="C7380" s="1" t="n">
        <v>45932</v>
      </c>
      <c r="D7380" t="inlineStr">
        <is>
          <t>VÄRMLANDS LÄN</t>
        </is>
      </c>
      <c r="E7380" t="inlineStr">
        <is>
          <t>TORSBY</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31630-2025</t>
        </is>
      </c>
      <c r="B7381" s="1" t="n">
        <v>45834.32670138889</v>
      </c>
      <c r="C7381" s="1" t="n">
        <v>45932</v>
      </c>
      <c r="D7381" t="inlineStr">
        <is>
          <t>VÄRMLANDS LÄN</t>
        </is>
      </c>
      <c r="E7381" t="inlineStr">
        <is>
          <t>TORSBY</t>
        </is>
      </c>
      <c r="F7381" t="inlineStr">
        <is>
          <t>Bergvik skog väst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38536-2025</t>
        </is>
      </c>
      <c r="B7382" s="1" t="n">
        <v>45884.42</v>
      </c>
      <c r="C7382" s="1" t="n">
        <v>45932</v>
      </c>
      <c r="D7382" t="inlineStr">
        <is>
          <t>VÄRMLANDS LÄN</t>
        </is>
      </c>
      <c r="E7382" t="inlineStr">
        <is>
          <t>TORSBY</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28988-2024</t>
        </is>
      </c>
      <c r="B7383" s="1" t="n">
        <v>45481</v>
      </c>
      <c r="C7383" s="1" t="n">
        <v>45932</v>
      </c>
      <c r="D7383" t="inlineStr">
        <is>
          <t>VÄRMLANDS LÄN</t>
        </is>
      </c>
      <c r="E7383" t="inlineStr">
        <is>
          <t>SÄFFLE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31673-2025</t>
        </is>
      </c>
      <c r="B7384" s="1" t="n">
        <v>45834</v>
      </c>
      <c r="C7384" s="1" t="n">
        <v>45932</v>
      </c>
      <c r="D7384" t="inlineStr">
        <is>
          <t>VÄRMLANDS LÄN</t>
        </is>
      </c>
      <c r="E7384" t="inlineStr">
        <is>
          <t>ARVIKA</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11395-2025</t>
        </is>
      </c>
      <c r="B7385" s="1" t="n">
        <v>45726.5728125</v>
      </c>
      <c r="C7385" s="1" t="n">
        <v>45932</v>
      </c>
      <c r="D7385" t="inlineStr">
        <is>
          <t>VÄRMLANDS LÄN</t>
        </is>
      </c>
      <c r="E7385" t="inlineStr">
        <is>
          <t>TORSBY</t>
        </is>
      </c>
      <c r="G7385" t="n">
        <v>25.3</v>
      </c>
      <c r="H7385" t="n">
        <v>0</v>
      </c>
      <c r="I7385" t="n">
        <v>0</v>
      </c>
      <c r="J7385" t="n">
        <v>0</v>
      </c>
      <c r="K7385" t="n">
        <v>0</v>
      </c>
      <c r="L7385" t="n">
        <v>0</v>
      </c>
      <c r="M7385" t="n">
        <v>0</v>
      </c>
      <c r="N7385" t="n">
        <v>0</v>
      </c>
      <c r="O7385" t="n">
        <v>0</v>
      </c>
      <c r="P7385" t="n">
        <v>0</v>
      </c>
      <c r="Q7385" t="n">
        <v>0</v>
      </c>
      <c r="R7385" s="2" t="inlineStr"/>
    </row>
    <row r="7386" ht="15" customHeight="1">
      <c r="A7386" t="inlineStr">
        <is>
          <t>A 28925-2023</t>
        </is>
      </c>
      <c r="B7386" s="1" t="n">
        <v>45104</v>
      </c>
      <c r="C7386" s="1" t="n">
        <v>45932</v>
      </c>
      <c r="D7386" t="inlineStr">
        <is>
          <t>VÄRMLANDS LÄN</t>
        </is>
      </c>
      <c r="E7386" t="inlineStr">
        <is>
          <t>SUNNE</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44699-2025</t>
        </is>
      </c>
      <c r="B7387" s="1" t="n">
        <v>45917.60077546296</v>
      </c>
      <c r="C7387" s="1" t="n">
        <v>45932</v>
      </c>
      <c r="D7387" t="inlineStr">
        <is>
          <t>VÄRMLANDS LÄN</t>
        </is>
      </c>
      <c r="E7387" t="inlineStr">
        <is>
          <t>TORSBY</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46860-2025</t>
        </is>
      </c>
      <c r="B7388" s="1" t="n">
        <v>45929</v>
      </c>
      <c r="C7388" s="1" t="n">
        <v>45932</v>
      </c>
      <c r="D7388" t="inlineStr">
        <is>
          <t>VÄRMLANDS LÄN</t>
        </is>
      </c>
      <c r="E7388" t="inlineStr">
        <is>
          <t>STORFORS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13431-2024</t>
        </is>
      </c>
      <c r="B7389" s="1" t="n">
        <v>45387.48258101852</v>
      </c>
      <c r="C7389" s="1" t="n">
        <v>45932</v>
      </c>
      <c r="D7389" t="inlineStr">
        <is>
          <t>VÄRMLANDS LÄN</t>
        </is>
      </c>
      <c r="E7389" t="inlineStr">
        <is>
          <t>MUNKFORS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65844-2021</t>
        </is>
      </c>
      <c r="B7390" s="1" t="n">
        <v>44517.36067129629</v>
      </c>
      <c r="C7390" s="1" t="n">
        <v>45932</v>
      </c>
      <c r="D7390" t="inlineStr">
        <is>
          <t>VÄRMLANDS LÄN</t>
        </is>
      </c>
      <c r="E7390" t="inlineStr">
        <is>
          <t>ÅRJÄNG</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28271-2024</t>
        </is>
      </c>
      <c r="B7391" s="1" t="n">
        <v>45477.4494675926</v>
      </c>
      <c r="C7391" s="1" t="n">
        <v>45932</v>
      </c>
      <c r="D7391" t="inlineStr">
        <is>
          <t>VÄRMLANDS LÄN</t>
        </is>
      </c>
      <c r="E7391" t="inlineStr">
        <is>
          <t>FORSHAGA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18389-2025</t>
        </is>
      </c>
      <c r="B7392" s="1" t="n">
        <v>45762</v>
      </c>
      <c r="C7392" s="1" t="n">
        <v>45932</v>
      </c>
      <c r="D7392" t="inlineStr">
        <is>
          <t>VÄRMLANDS LÄN</t>
        </is>
      </c>
      <c r="E7392" t="inlineStr">
        <is>
          <t>SUNNE</t>
        </is>
      </c>
      <c r="F7392" t="inlineStr">
        <is>
          <t>Bergvik skog väst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19575-2025</t>
        </is>
      </c>
      <c r="B7393" s="1" t="n">
        <v>45770.55957175926</v>
      </c>
      <c r="C7393" s="1" t="n">
        <v>45932</v>
      </c>
      <c r="D7393" t="inlineStr">
        <is>
          <t>VÄRMLANDS LÄN</t>
        </is>
      </c>
      <c r="E7393" t="inlineStr">
        <is>
          <t>TORSBY</t>
        </is>
      </c>
      <c r="F7393" t="inlineStr">
        <is>
          <t>Bergvik skog väst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31992-2025</t>
        </is>
      </c>
      <c r="B7394" s="1" t="n">
        <v>45835.36956018519</v>
      </c>
      <c r="C7394" s="1" t="n">
        <v>45932</v>
      </c>
      <c r="D7394" t="inlineStr">
        <is>
          <t>VÄRMLANDS LÄN</t>
        </is>
      </c>
      <c r="E7394" t="inlineStr">
        <is>
          <t>ARVIKA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31969-2025</t>
        </is>
      </c>
      <c r="B7395" s="1" t="n">
        <v>45835.34836805556</v>
      </c>
      <c r="C7395" s="1" t="n">
        <v>45932</v>
      </c>
      <c r="D7395" t="inlineStr">
        <is>
          <t>VÄRMLANDS LÄN</t>
        </is>
      </c>
      <c r="E7395" t="inlineStr">
        <is>
          <t>ARVIKA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4908-2024</t>
        </is>
      </c>
      <c r="B7396" s="1" t="n">
        <v>45329</v>
      </c>
      <c r="C7396" s="1" t="n">
        <v>45932</v>
      </c>
      <c r="D7396" t="inlineStr">
        <is>
          <t>VÄRMLANDS LÄN</t>
        </is>
      </c>
      <c r="E7396" t="inlineStr">
        <is>
          <t>TORSBY</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10252-2024</t>
        </is>
      </c>
      <c r="B7397" s="1" t="n">
        <v>45365</v>
      </c>
      <c r="C7397" s="1" t="n">
        <v>45932</v>
      </c>
      <c r="D7397" t="inlineStr">
        <is>
          <t>VÄRMLANDS LÄN</t>
        </is>
      </c>
      <c r="E7397" t="inlineStr">
        <is>
          <t>SUNNE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31525-2021</t>
        </is>
      </c>
      <c r="B7398" s="1" t="n">
        <v>44369</v>
      </c>
      <c r="C7398" s="1" t="n">
        <v>45932</v>
      </c>
      <c r="D7398" t="inlineStr">
        <is>
          <t>VÄRMLANDS LÄN</t>
        </is>
      </c>
      <c r="E7398" t="inlineStr">
        <is>
          <t>SUNNE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51851-2023</t>
        </is>
      </c>
      <c r="B7399" s="1" t="n">
        <v>45223.34915509259</v>
      </c>
      <c r="C7399" s="1" t="n">
        <v>45932</v>
      </c>
      <c r="D7399" t="inlineStr">
        <is>
          <t>VÄRMLANDS LÄN</t>
        </is>
      </c>
      <c r="E7399" t="inlineStr">
        <is>
          <t>SUNNE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1100-2025</t>
        </is>
      </c>
      <c r="B7400" s="1" t="n">
        <v>45666.64099537037</v>
      </c>
      <c r="C7400" s="1" t="n">
        <v>45932</v>
      </c>
      <c r="D7400" t="inlineStr">
        <is>
          <t>VÄRMLANDS LÄN</t>
        </is>
      </c>
      <c r="E7400" t="inlineStr">
        <is>
          <t>TORSBY</t>
        </is>
      </c>
      <c r="G7400" t="n">
        <v>8.4</v>
      </c>
      <c r="H7400" t="n">
        <v>0</v>
      </c>
      <c r="I7400" t="n">
        <v>0</v>
      </c>
      <c r="J7400" t="n">
        <v>0</v>
      </c>
      <c r="K7400" t="n">
        <v>0</v>
      </c>
      <c r="L7400" t="n">
        <v>0</v>
      </c>
      <c r="M7400" t="n">
        <v>0</v>
      </c>
      <c r="N7400" t="n">
        <v>0</v>
      </c>
      <c r="O7400" t="n">
        <v>0</v>
      </c>
      <c r="P7400" t="n">
        <v>0</v>
      </c>
      <c r="Q7400" t="n">
        <v>0</v>
      </c>
      <c r="R7400" s="2" t="inlineStr"/>
    </row>
    <row r="7401" ht="15" customHeight="1">
      <c r="A7401" t="inlineStr">
        <is>
          <t>A 7654-2025</t>
        </is>
      </c>
      <c r="B7401" s="1" t="n">
        <v>45705</v>
      </c>
      <c r="C7401" s="1" t="n">
        <v>45932</v>
      </c>
      <c r="D7401" t="inlineStr">
        <is>
          <t>VÄRMLANDS LÄN</t>
        </is>
      </c>
      <c r="E7401" t="inlineStr">
        <is>
          <t>SUNNE</t>
        </is>
      </c>
      <c r="G7401" t="n">
        <v>11.7</v>
      </c>
      <c r="H7401" t="n">
        <v>0</v>
      </c>
      <c r="I7401" t="n">
        <v>0</v>
      </c>
      <c r="J7401" t="n">
        <v>0</v>
      </c>
      <c r="K7401" t="n">
        <v>0</v>
      </c>
      <c r="L7401" t="n">
        <v>0</v>
      </c>
      <c r="M7401" t="n">
        <v>0</v>
      </c>
      <c r="N7401" t="n">
        <v>0</v>
      </c>
      <c r="O7401" t="n">
        <v>0</v>
      </c>
      <c r="P7401" t="n">
        <v>0</v>
      </c>
      <c r="Q7401" t="n">
        <v>0</v>
      </c>
      <c r="R7401" s="2" t="inlineStr"/>
    </row>
    <row r="7402" ht="15" customHeight="1">
      <c r="A7402" t="inlineStr">
        <is>
          <t>A 45799-2022</t>
        </is>
      </c>
      <c r="B7402" s="1" t="n">
        <v>44846</v>
      </c>
      <c r="C7402" s="1" t="n">
        <v>45932</v>
      </c>
      <c r="D7402" t="inlineStr">
        <is>
          <t>VÄRMLANDS LÄN</t>
        </is>
      </c>
      <c r="E7402" t="inlineStr">
        <is>
          <t>SÄFFLE</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19340-2022</t>
        </is>
      </c>
      <c r="B7403" s="1" t="n">
        <v>44692.64092592592</v>
      </c>
      <c r="C7403" s="1" t="n">
        <v>45932</v>
      </c>
      <c r="D7403" t="inlineStr">
        <is>
          <t>VÄRMLANDS LÄN</t>
        </is>
      </c>
      <c r="E7403" t="inlineStr">
        <is>
          <t>SUNNE</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37934-2024</t>
        </is>
      </c>
      <c r="B7404" s="1" t="n">
        <v>45544</v>
      </c>
      <c r="C7404" s="1" t="n">
        <v>45932</v>
      </c>
      <c r="D7404" t="inlineStr">
        <is>
          <t>VÄRMLANDS LÄN</t>
        </is>
      </c>
      <c r="E7404" t="inlineStr">
        <is>
          <t>HAMMARÖ</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11392-2024</t>
        </is>
      </c>
      <c r="B7405" s="1" t="n">
        <v>45372</v>
      </c>
      <c r="C7405" s="1" t="n">
        <v>45932</v>
      </c>
      <c r="D7405" t="inlineStr">
        <is>
          <t>VÄRMLANDS LÄN</t>
        </is>
      </c>
      <c r="E7405" t="inlineStr">
        <is>
          <t>ÅRJÄNG</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40346-2024</t>
        </is>
      </c>
      <c r="B7406" s="1" t="n">
        <v>45555.34840277778</v>
      </c>
      <c r="C7406" s="1" t="n">
        <v>45932</v>
      </c>
      <c r="D7406" t="inlineStr">
        <is>
          <t>VÄRMLANDS LÄN</t>
        </is>
      </c>
      <c r="E7406" t="inlineStr">
        <is>
          <t>ÅRJÄNG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32590-2025</t>
        </is>
      </c>
      <c r="B7407" s="1" t="n">
        <v>45838.60596064815</v>
      </c>
      <c r="C7407" s="1" t="n">
        <v>45932</v>
      </c>
      <c r="D7407" t="inlineStr">
        <is>
          <t>VÄRMLANDS LÄN</t>
        </is>
      </c>
      <c r="E7407" t="inlineStr">
        <is>
          <t>KARLSTAD</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32616-2025</t>
        </is>
      </c>
      <c r="B7408" s="1" t="n">
        <v>45838.64261574074</v>
      </c>
      <c r="C7408" s="1" t="n">
        <v>45932</v>
      </c>
      <c r="D7408" t="inlineStr">
        <is>
          <t>VÄRMLANDS LÄN</t>
        </is>
      </c>
      <c r="E7408" t="inlineStr">
        <is>
          <t>SUNNE</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32618-2025</t>
        </is>
      </c>
      <c r="B7409" s="1" t="n">
        <v>45838.6435300926</v>
      </c>
      <c r="C7409" s="1" t="n">
        <v>45932</v>
      </c>
      <c r="D7409" t="inlineStr">
        <is>
          <t>VÄRMLANDS LÄN</t>
        </is>
      </c>
      <c r="E7409" t="inlineStr">
        <is>
          <t>TORSBY</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37676-2023</t>
        </is>
      </c>
      <c r="B7410" s="1" t="n">
        <v>45159</v>
      </c>
      <c r="C7410" s="1" t="n">
        <v>45932</v>
      </c>
      <c r="D7410" t="inlineStr">
        <is>
          <t>VÄRMLANDS LÄN</t>
        </is>
      </c>
      <c r="E7410" t="inlineStr">
        <is>
          <t>GRUMS</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32863-2025</t>
        </is>
      </c>
      <c r="B7411" s="1" t="n">
        <v>45839.58366898148</v>
      </c>
      <c r="C7411" s="1" t="n">
        <v>45932</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32866-2025</t>
        </is>
      </c>
      <c r="B7412" s="1" t="n">
        <v>45839.58796296296</v>
      </c>
      <c r="C7412" s="1" t="n">
        <v>45932</v>
      </c>
      <c r="D7412" t="inlineStr">
        <is>
          <t>VÄRMLANDS LÄN</t>
        </is>
      </c>
      <c r="E7412" t="inlineStr">
        <is>
          <t>EDA</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41551-2021</t>
        </is>
      </c>
      <c r="B7413" s="1" t="n">
        <v>44424</v>
      </c>
      <c r="C7413" s="1" t="n">
        <v>45932</v>
      </c>
      <c r="D7413" t="inlineStr">
        <is>
          <t>VÄRMLANDS LÄN</t>
        </is>
      </c>
      <c r="E7413" t="inlineStr">
        <is>
          <t>ARVIKA</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18699-2022</t>
        </is>
      </c>
      <c r="B7414" s="1" t="n">
        <v>44687</v>
      </c>
      <c r="C7414" s="1" t="n">
        <v>45932</v>
      </c>
      <c r="D7414" t="inlineStr">
        <is>
          <t>VÄRMLANDS LÄN</t>
        </is>
      </c>
      <c r="E7414" t="inlineStr">
        <is>
          <t>HAGFORS</t>
        </is>
      </c>
      <c r="F7414" t="inlineStr">
        <is>
          <t>Bergvik skog väst AB</t>
        </is>
      </c>
      <c r="G7414" t="n">
        <v>20.2</v>
      </c>
      <c r="H7414" t="n">
        <v>0</v>
      </c>
      <c r="I7414" t="n">
        <v>0</v>
      </c>
      <c r="J7414" t="n">
        <v>0</v>
      </c>
      <c r="K7414" t="n">
        <v>0</v>
      </c>
      <c r="L7414" t="n">
        <v>0</v>
      </c>
      <c r="M7414" t="n">
        <v>0</v>
      </c>
      <c r="N7414" t="n">
        <v>0</v>
      </c>
      <c r="O7414" t="n">
        <v>0</v>
      </c>
      <c r="P7414" t="n">
        <v>0</v>
      </c>
      <c r="Q7414" t="n">
        <v>0</v>
      </c>
      <c r="R7414" s="2" t="inlineStr"/>
    </row>
    <row r="7415" ht="15" customHeight="1">
      <c r="A7415" t="inlineStr">
        <is>
          <t>A 32086-2025</t>
        </is>
      </c>
      <c r="B7415" s="1" t="n">
        <v>45835</v>
      </c>
      <c r="C7415" s="1" t="n">
        <v>45932</v>
      </c>
      <c r="D7415" t="inlineStr">
        <is>
          <t>VÄRMLANDS LÄN</t>
        </is>
      </c>
      <c r="E7415" t="inlineStr">
        <is>
          <t>FILIPSTAD</t>
        </is>
      </c>
      <c r="F7415" t="inlineStr">
        <is>
          <t>Bergvik skog väst AB</t>
        </is>
      </c>
      <c r="G7415" t="n">
        <v>7.7</v>
      </c>
      <c r="H7415" t="n">
        <v>0</v>
      </c>
      <c r="I7415" t="n">
        <v>0</v>
      </c>
      <c r="J7415" t="n">
        <v>0</v>
      </c>
      <c r="K7415" t="n">
        <v>0</v>
      </c>
      <c r="L7415" t="n">
        <v>0</v>
      </c>
      <c r="M7415" t="n">
        <v>0</v>
      </c>
      <c r="N7415" t="n">
        <v>0</v>
      </c>
      <c r="O7415" t="n">
        <v>0</v>
      </c>
      <c r="P7415" t="n">
        <v>0</v>
      </c>
      <c r="Q7415" t="n">
        <v>0</v>
      </c>
      <c r="R7415" s="2" t="inlineStr"/>
    </row>
    <row r="7416" ht="15" customHeight="1">
      <c r="A7416" t="inlineStr">
        <is>
          <t>A 60609-2023</t>
        </is>
      </c>
      <c r="B7416" s="1" t="n">
        <v>45260.35516203703</v>
      </c>
      <c r="C7416" s="1" t="n">
        <v>45932</v>
      </c>
      <c r="D7416" t="inlineStr">
        <is>
          <t>VÄRMLANDS LÄN</t>
        </is>
      </c>
      <c r="E7416" t="inlineStr">
        <is>
          <t>KARLSTAD</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32690-2025</t>
        </is>
      </c>
      <c r="B7417" s="1" t="n">
        <v>45839</v>
      </c>
      <c r="C7417" s="1" t="n">
        <v>45932</v>
      </c>
      <c r="D7417" t="inlineStr">
        <is>
          <t>VÄRMLANDS LÄN</t>
        </is>
      </c>
      <c r="E7417" t="inlineStr">
        <is>
          <t>HAGFORS</t>
        </is>
      </c>
      <c r="F7417" t="inlineStr">
        <is>
          <t>Kyrkan</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32788-2025</t>
        </is>
      </c>
      <c r="B7418" s="1" t="n">
        <v>45839.48634259259</v>
      </c>
      <c r="C7418" s="1" t="n">
        <v>45932</v>
      </c>
      <c r="D7418" t="inlineStr">
        <is>
          <t>VÄRMLANDS LÄN</t>
        </is>
      </c>
      <c r="E7418" t="inlineStr">
        <is>
          <t>EDA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39835-2022</t>
        </is>
      </c>
      <c r="B7419" s="1" t="n">
        <v>44819.58920138889</v>
      </c>
      <c r="C7419" s="1" t="n">
        <v>45932</v>
      </c>
      <c r="D7419" t="inlineStr">
        <is>
          <t>VÄRMLANDS LÄN</t>
        </is>
      </c>
      <c r="E7419" t="inlineStr">
        <is>
          <t>ARVIKA</t>
        </is>
      </c>
      <c r="F7419" t="inlineStr">
        <is>
          <t>Bergvik skog väst AB</t>
        </is>
      </c>
      <c r="G7419" t="n">
        <v>13.1</v>
      </c>
      <c r="H7419" t="n">
        <v>0</v>
      </c>
      <c r="I7419" t="n">
        <v>0</v>
      </c>
      <c r="J7419" t="n">
        <v>0</v>
      </c>
      <c r="K7419" t="n">
        <v>0</v>
      </c>
      <c r="L7419" t="n">
        <v>0</v>
      </c>
      <c r="M7419" t="n">
        <v>0</v>
      </c>
      <c r="N7419" t="n">
        <v>0</v>
      </c>
      <c r="O7419" t="n">
        <v>0</v>
      </c>
      <c r="P7419" t="n">
        <v>0</v>
      </c>
      <c r="Q7419" t="n">
        <v>0</v>
      </c>
      <c r="R7419" s="2" t="inlineStr"/>
    </row>
    <row r="7420" ht="15" customHeight="1">
      <c r="A7420" t="inlineStr">
        <is>
          <t>A 32534-2025</t>
        </is>
      </c>
      <c r="B7420" s="1" t="n">
        <v>45838</v>
      </c>
      <c r="C7420" s="1" t="n">
        <v>45932</v>
      </c>
      <c r="D7420" t="inlineStr">
        <is>
          <t>VÄRMLANDS LÄN</t>
        </is>
      </c>
      <c r="E7420" t="inlineStr">
        <is>
          <t>HAGFORS</t>
        </is>
      </c>
      <c r="F7420" t="inlineStr">
        <is>
          <t>Kyrkan</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32982-2025</t>
        </is>
      </c>
      <c r="B7421" s="1" t="n">
        <v>45839</v>
      </c>
      <c r="C7421" s="1" t="n">
        <v>45932</v>
      </c>
      <c r="D7421" t="inlineStr">
        <is>
          <t>VÄRMLANDS LÄN</t>
        </is>
      </c>
      <c r="E7421" t="inlineStr">
        <is>
          <t>KIL</t>
        </is>
      </c>
      <c r="F7421" t="inlineStr">
        <is>
          <t>Kyrkan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21629-2023</t>
        </is>
      </c>
      <c r="B7422" s="1" t="n">
        <v>45062</v>
      </c>
      <c r="C7422" s="1" t="n">
        <v>45932</v>
      </c>
      <c r="D7422" t="inlineStr">
        <is>
          <t>VÄRMLANDS LÄN</t>
        </is>
      </c>
      <c r="E7422" t="inlineStr">
        <is>
          <t>KARLSTAD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32994-2025</t>
        </is>
      </c>
      <c r="B7423" s="1" t="n">
        <v>45839</v>
      </c>
      <c r="C7423" s="1" t="n">
        <v>45932</v>
      </c>
      <c r="D7423" t="inlineStr">
        <is>
          <t>VÄRMLANDS LÄN</t>
        </is>
      </c>
      <c r="E7423" t="inlineStr">
        <is>
          <t>SUNNE</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32760-2025</t>
        </is>
      </c>
      <c r="B7424" s="1" t="n">
        <v>45838</v>
      </c>
      <c r="C7424" s="1" t="n">
        <v>45932</v>
      </c>
      <c r="D7424" t="inlineStr">
        <is>
          <t>VÄRMLANDS LÄN</t>
        </is>
      </c>
      <c r="E7424" t="inlineStr">
        <is>
          <t>SÄFFLE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32688-2025</t>
        </is>
      </c>
      <c r="B7425" s="1" t="n">
        <v>45838</v>
      </c>
      <c r="C7425" s="1" t="n">
        <v>45932</v>
      </c>
      <c r="D7425" t="inlineStr">
        <is>
          <t>VÄRMLANDS LÄN</t>
        </is>
      </c>
      <c r="E7425" t="inlineStr">
        <is>
          <t>HAGFORS</t>
        </is>
      </c>
      <c r="F7425" t="inlineStr">
        <is>
          <t>Kyrkan</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32730-2025</t>
        </is>
      </c>
      <c r="B7426" s="1" t="n">
        <v>45839.40315972222</v>
      </c>
      <c r="C7426" s="1" t="n">
        <v>45932</v>
      </c>
      <c r="D7426" t="inlineStr">
        <is>
          <t>VÄRMLANDS LÄN</t>
        </is>
      </c>
      <c r="E7426" t="inlineStr">
        <is>
          <t>ÅRJÄNG</t>
        </is>
      </c>
      <c r="F7426" t="inlineStr">
        <is>
          <t>Kyrkan</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58688-2023</t>
        </is>
      </c>
      <c r="B7427" s="1" t="n">
        <v>45251</v>
      </c>
      <c r="C7427" s="1" t="n">
        <v>45932</v>
      </c>
      <c r="D7427" t="inlineStr">
        <is>
          <t>VÄRMLANDS LÄN</t>
        </is>
      </c>
      <c r="E7427" t="inlineStr">
        <is>
          <t>FORSHAGA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10793-2025</t>
        </is>
      </c>
      <c r="B7428" s="1" t="n">
        <v>45722</v>
      </c>
      <c r="C7428" s="1" t="n">
        <v>45932</v>
      </c>
      <c r="D7428" t="inlineStr">
        <is>
          <t>VÄRMLANDS LÄN</t>
        </is>
      </c>
      <c r="E7428" t="inlineStr">
        <is>
          <t>HAMMARÖ</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32515-2025</t>
        </is>
      </c>
      <c r="B7429" s="1" t="n">
        <v>45838</v>
      </c>
      <c r="C7429" s="1" t="n">
        <v>45932</v>
      </c>
      <c r="D7429" t="inlineStr">
        <is>
          <t>VÄRMLANDS LÄN</t>
        </is>
      </c>
      <c r="E7429" t="inlineStr">
        <is>
          <t>ARVIKA</t>
        </is>
      </c>
      <c r="F7429" t="inlineStr">
        <is>
          <t>Bergvik skog väst AB</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36119-2021</t>
        </is>
      </c>
      <c r="B7430" s="1" t="n">
        <v>44389.5525</v>
      </c>
      <c r="C7430" s="1" t="n">
        <v>45932</v>
      </c>
      <c r="D7430" t="inlineStr">
        <is>
          <t>VÄRMLANDS LÄN</t>
        </is>
      </c>
      <c r="E7430" t="inlineStr">
        <is>
          <t>SÄFFLE</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49982-2023</t>
        </is>
      </c>
      <c r="B7431" s="1" t="n">
        <v>45215.4216087963</v>
      </c>
      <c r="C7431" s="1" t="n">
        <v>45932</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59225-2020</t>
        </is>
      </c>
      <c r="B7432" s="1" t="n">
        <v>44147</v>
      </c>
      <c r="C7432" s="1" t="n">
        <v>45932</v>
      </c>
      <c r="D7432" t="inlineStr">
        <is>
          <t>VÄRMLANDS LÄN</t>
        </is>
      </c>
      <c r="E7432" t="inlineStr">
        <is>
          <t>FORSHAGA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31622-2024</t>
        </is>
      </c>
      <c r="B7433" s="1" t="n">
        <v>45506</v>
      </c>
      <c r="C7433" s="1" t="n">
        <v>45932</v>
      </c>
      <c r="D7433" t="inlineStr">
        <is>
          <t>VÄRMLANDS LÄN</t>
        </is>
      </c>
      <c r="E7433" t="inlineStr">
        <is>
          <t>ÅRJÄNG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35855-2023</t>
        </is>
      </c>
      <c r="B7434" s="1" t="n">
        <v>45148</v>
      </c>
      <c r="C7434" s="1" t="n">
        <v>45932</v>
      </c>
      <c r="D7434" t="inlineStr">
        <is>
          <t>VÄRMLANDS LÄN</t>
        </is>
      </c>
      <c r="E7434" t="inlineStr">
        <is>
          <t>FORSHAGA</t>
        </is>
      </c>
      <c r="F7434" t="inlineStr">
        <is>
          <t>Kommuner</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41033-2023</t>
        </is>
      </c>
      <c r="B7435" s="1" t="n">
        <v>45173.6061574074</v>
      </c>
      <c r="C7435" s="1" t="n">
        <v>45932</v>
      </c>
      <c r="D7435" t="inlineStr">
        <is>
          <t>VÄRMLANDS LÄN</t>
        </is>
      </c>
      <c r="E7435" t="inlineStr">
        <is>
          <t>EDA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35878-2023</t>
        </is>
      </c>
      <c r="B7436" s="1" t="n">
        <v>45148.58145833333</v>
      </c>
      <c r="C7436" s="1" t="n">
        <v>45932</v>
      </c>
      <c r="D7436" t="inlineStr">
        <is>
          <t>VÄRMLANDS LÄN</t>
        </is>
      </c>
      <c r="E7436" t="inlineStr">
        <is>
          <t>SÄFFLE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35888-2023</t>
        </is>
      </c>
      <c r="B7437" s="1" t="n">
        <v>45148.6049537037</v>
      </c>
      <c r="C7437" s="1" t="n">
        <v>45932</v>
      </c>
      <c r="D7437" t="inlineStr">
        <is>
          <t>VÄRMLANDS LÄN</t>
        </is>
      </c>
      <c r="E7437" t="inlineStr">
        <is>
          <t>HAGFORS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38764-2024</t>
        </is>
      </c>
      <c r="B7438" s="1" t="n">
        <v>45547</v>
      </c>
      <c r="C7438" s="1" t="n">
        <v>45932</v>
      </c>
      <c r="D7438" t="inlineStr">
        <is>
          <t>VÄRMLANDS LÄN</t>
        </is>
      </c>
      <c r="E7438" t="inlineStr">
        <is>
          <t>SÄFFLE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58456-2022</t>
        </is>
      </c>
      <c r="B7439" s="1" t="n">
        <v>44902.26584490741</v>
      </c>
      <c r="C7439" s="1" t="n">
        <v>45932</v>
      </c>
      <c r="D7439" t="inlineStr">
        <is>
          <t>VÄRMLANDS LÄN</t>
        </is>
      </c>
      <c r="E7439" t="inlineStr">
        <is>
          <t>KARLSTAD</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20298-2023</t>
        </is>
      </c>
      <c r="B7440" s="1" t="n">
        <v>45056</v>
      </c>
      <c r="C7440" s="1" t="n">
        <v>45932</v>
      </c>
      <c r="D7440" t="inlineStr">
        <is>
          <t>VÄRMLANDS LÄN</t>
        </is>
      </c>
      <c r="E7440" t="inlineStr">
        <is>
          <t>TORSBY</t>
        </is>
      </c>
      <c r="F7440" t="inlineStr">
        <is>
          <t>Kyrkan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72476-2021</t>
        </is>
      </c>
      <c r="B7441" s="1" t="n">
        <v>44545.86997685185</v>
      </c>
      <c r="C7441" s="1" t="n">
        <v>45932</v>
      </c>
      <c r="D7441" t="inlineStr">
        <is>
          <t>VÄRMLANDS LÄN</t>
        </is>
      </c>
      <c r="E7441" t="inlineStr">
        <is>
          <t>ÅRJÄNG</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48874-2024</t>
        </is>
      </c>
      <c r="B7442" s="1" t="n">
        <v>45594</v>
      </c>
      <c r="C7442" s="1" t="n">
        <v>45932</v>
      </c>
      <c r="D7442" t="inlineStr">
        <is>
          <t>VÄRMLANDS LÄN</t>
        </is>
      </c>
      <c r="E7442" t="inlineStr">
        <is>
          <t>TORSBY</t>
        </is>
      </c>
      <c r="F7442" t="inlineStr">
        <is>
          <t>Bergvik skog väst AB</t>
        </is>
      </c>
      <c r="G7442" t="n">
        <v>8.300000000000001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39178-2023</t>
        </is>
      </c>
      <c r="B7443" s="1" t="n">
        <v>45166.38395833333</v>
      </c>
      <c r="C7443" s="1" t="n">
        <v>45932</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13956-2023</t>
        </is>
      </c>
      <c r="B7444" s="1" t="n">
        <v>45007</v>
      </c>
      <c r="C7444" s="1" t="n">
        <v>45932</v>
      </c>
      <c r="D7444" t="inlineStr">
        <is>
          <t>VÄRMLANDS LÄN</t>
        </is>
      </c>
      <c r="E7444" t="inlineStr">
        <is>
          <t>ARVIKA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60059-2022</t>
        </is>
      </c>
      <c r="B7445" s="1" t="n">
        <v>44909</v>
      </c>
      <c r="C7445" s="1" t="n">
        <v>45932</v>
      </c>
      <c r="D7445" t="inlineStr">
        <is>
          <t>VÄRMLANDS LÄN</t>
        </is>
      </c>
      <c r="E7445" t="inlineStr">
        <is>
          <t>ARVIKA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10027-2023</t>
        </is>
      </c>
      <c r="B7446" s="1" t="n">
        <v>44979</v>
      </c>
      <c r="C7446" s="1" t="n">
        <v>45932</v>
      </c>
      <c r="D7446" t="inlineStr">
        <is>
          <t>VÄRMLANDS LÄN</t>
        </is>
      </c>
      <c r="E7446" t="inlineStr">
        <is>
          <t>TORSBY</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10030-2023</t>
        </is>
      </c>
      <c r="B7447" s="1" t="n">
        <v>44985.64077546296</v>
      </c>
      <c r="C7447" s="1" t="n">
        <v>45932</v>
      </c>
      <c r="D7447" t="inlineStr">
        <is>
          <t>VÄRMLANDS LÄN</t>
        </is>
      </c>
      <c r="E7447" t="inlineStr">
        <is>
          <t>KRISTINEHAMN</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59449-2024</t>
        </is>
      </c>
      <c r="B7448" s="1" t="n">
        <v>45638.46268518519</v>
      </c>
      <c r="C7448" s="1" t="n">
        <v>45932</v>
      </c>
      <c r="D7448" t="inlineStr">
        <is>
          <t>VÄRMLANDS LÄN</t>
        </is>
      </c>
      <c r="E7448" t="inlineStr">
        <is>
          <t>HAGFORS</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59484-2024</t>
        </is>
      </c>
      <c r="B7449" s="1" t="n">
        <v>45638</v>
      </c>
      <c r="C7449" s="1" t="n">
        <v>45932</v>
      </c>
      <c r="D7449" t="inlineStr">
        <is>
          <t>VÄRMLANDS LÄN</t>
        </is>
      </c>
      <c r="E7449" t="inlineStr">
        <is>
          <t>ÅRJÄNG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8205-2025</t>
        </is>
      </c>
      <c r="B7450" s="1" t="n">
        <v>45707</v>
      </c>
      <c r="C7450" s="1" t="n">
        <v>45932</v>
      </c>
      <c r="D7450" t="inlineStr">
        <is>
          <t>VÄRMLANDS LÄN</t>
        </is>
      </c>
      <c r="E7450" t="inlineStr">
        <is>
          <t>SÄFFLE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8215-2025</t>
        </is>
      </c>
      <c r="B7451" s="1" t="n">
        <v>45708.44832175926</v>
      </c>
      <c r="C7451" s="1" t="n">
        <v>45932</v>
      </c>
      <c r="D7451" t="inlineStr">
        <is>
          <t>VÄRMLANDS LÄN</t>
        </is>
      </c>
      <c r="E7451" t="inlineStr">
        <is>
          <t>ÅRJÄNG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8230-2025</t>
        </is>
      </c>
      <c r="B7452" s="1" t="n">
        <v>45708.47010416666</v>
      </c>
      <c r="C7452" s="1" t="n">
        <v>45932</v>
      </c>
      <c r="D7452" t="inlineStr">
        <is>
          <t>VÄRMLANDS LÄN</t>
        </is>
      </c>
      <c r="E7452" t="inlineStr">
        <is>
          <t>ÅRJÄNG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29001-2023</t>
        </is>
      </c>
      <c r="B7453" s="1" t="n">
        <v>45104.63811342593</v>
      </c>
      <c r="C7453" s="1" t="n">
        <v>45932</v>
      </c>
      <c r="D7453" t="inlineStr">
        <is>
          <t>VÄRMLANDS LÄN</t>
        </is>
      </c>
      <c r="E7453" t="inlineStr">
        <is>
          <t>SUNNE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35992-2023</t>
        </is>
      </c>
      <c r="B7454" s="1" t="n">
        <v>45149</v>
      </c>
      <c r="C7454" s="1" t="n">
        <v>45932</v>
      </c>
      <c r="D7454" t="inlineStr">
        <is>
          <t>VÄRMLANDS LÄN</t>
        </is>
      </c>
      <c r="E7454" t="inlineStr">
        <is>
          <t>ARVIKA</t>
        </is>
      </c>
      <c r="F7454" t="inlineStr">
        <is>
          <t>Kyrkan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45296-2023</t>
        </is>
      </c>
      <c r="B7455" s="1" t="n">
        <v>45191</v>
      </c>
      <c r="C7455" s="1" t="n">
        <v>45932</v>
      </c>
      <c r="D7455" t="inlineStr">
        <is>
          <t>VÄRMLANDS LÄN</t>
        </is>
      </c>
      <c r="E7455" t="inlineStr">
        <is>
          <t>ARVIKA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45298-2023</t>
        </is>
      </c>
      <c r="B7456" s="1" t="n">
        <v>45191</v>
      </c>
      <c r="C7456" s="1" t="n">
        <v>45932</v>
      </c>
      <c r="D7456" t="inlineStr">
        <is>
          <t>VÄRMLANDS LÄN</t>
        </is>
      </c>
      <c r="E7456" t="inlineStr">
        <is>
          <t>ARVIKA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26343-2023</t>
        </is>
      </c>
      <c r="B7457" s="1" t="n">
        <v>45091</v>
      </c>
      <c r="C7457" s="1" t="n">
        <v>45932</v>
      </c>
      <c r="D7457" t="inlineStr">
        <is>
          <t>VÄRMLANDS LÄN</t>
        </is>
      </c>
      <c r="E7457" t="inlineStr">
        <is>
          <t>TORSBY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34635-2023</t>
        </is>
      </c>
      <c r="B7458" s="1" t="n">
        <v>45140</v>
      </c>
      <c r="C7458" s="1" t="n">
        <v>45932</v>
      </c>
      <c r="D7458" t="inlineStr">
        <is>
          <t>VÄRMLANDS LÄN</t>
        </is>
      </c>
      <c r="E7458" t="inlineStr">
        <is>
          <t>EDA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15983-2025</t>
        </is>
      </c>
      <c r="B7459" s="1" t="n">
        <v>45749.56928240741</v>
      </c>
      <c r="C7459" s="1" t="n">
        <v>45932</v>
      </c>
      <c r="D7459" t="inlineStr">
        <is>
          <t>VÄRMLANDS LÄN</t>
        </is>
      </c>
      <c r="E7459" t="inlineStr">
        <is>
          <t>KARLSTAD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14877-2025</t>
        </is>
      </c>
      <c r="B7460" s="1" t="n">
        <v>45743.46116898148</v>
      </c>
      <c r="C7460" s="1" t="n">
        <v>45932</v>
      </c>
      <c r="D7460" t="inlineStr">
        <is>
          <t>VÄRMLANDS LÄN</t>
        </is>
      </c>
      <c r="E7460" t="inlineStr">
        <is>
          <t>SUNNE</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52800-2021</t>
        </is>
      </c>
      <c r="B7461" s="1" t="n">
        <v>44467</v>
      </c>
      <c r="C7461" s="1" t="n">
        <v>45932</v>
      </c>
      <c r="D7461" t="inlineStr">
        <is>
          <t>VÄRMLANDS LÄN</t>
        </is>
      </c>
      <c r="E7461" t="inlineStr">
        <is>
          <t>ARVIKA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52848-2021</t>
        </is>
      </c>
      <c r="B7462" s="1" t="n">
        <v>44467</v>
      </c>
      <c r="C7462" s="1" t="n">
        <v>45932</v>
      </c>
      <c r="D7462" t="inlineStr">
        <is>
          <t>VÄRMLANDS LÄN</t>
        </is>
      </c>
      <c r="E7462" t="inlineStr">
        <is>
          <t>GRUMS</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24148-2024</t>
        </is>
      </c>
      <c r="B7463" s="1" t="n">
        <v>45456</v>
      </c>
      <c r="C7463" s="1" t="n">
        <v>45932</v>
      </c>
      <c r="D7463" t="inlineStr">
        <is>
          <t>VÄRMLANDS LÄN</t>
        </is>
      </c>
      <c r="E7463" t="inlineStr">
        <is>
          <t>TORSBY</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50775-2024</t>
        </is>
      </c>
      <c r="B7464" s="1" t="n">
        <v>45602</v>
      </c>
      <c r="C7464" s="1" t="n">
        <v>45932</v>
      </c>
      <c r="D7464" t="inlineStr">
        <is>
          <t>VÄRMLANDS LÄN</t>
        </is>
      </c>
      <c r="E7464" t="inlineStr">
        <is>
          <t>SUNNE</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47019-2023</t>
        </is>
      </c>
      <c r="B7465" s="1" t="n">
        <v>45201</v>
      </c>
      <c r="C7465" s="1" t="n">
        <v>45932</v>
      </c>
      <c r="D7465" t="inlineStr">
        <is>
          <t>VÄRMLANDS LÄN</t>
        </is>
      </c>
      <c r="E7465" t="inlineStr">
        <is>
          <t>HAGFORS</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8361-2025</t>
        </is>
      </c>
      <c r="B7466" s="1" t="n">
        <v>45708</v>
      </c>
      <c r="C7466" s="1" t="n">
        <v>45932</v>
      </c>
      <c r="D7466" t="inlineStr">
        <is>
          <t>VÄRMLANDS LÄN</t>
        </is>
      </c>
      <c r="E7466" t="inlineStr">
        <is>
          <t>GRUMS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34350-2023</t>
        </is>
      </c>
      <c r="B7467" s="1" t="n">
        <v>45139.40969907407</v>
      </c>
      <c r="C7467" s="1" t="n">
        <v>45932</v>
      </c>
      <c r="D7467" t="inlineStr">
        <is>
          <t>VÄRMLANDS LÄN</t>
        </is>
      </c>
      <c r="E7467" t="inlineStr">
        <is>
          <t>ÅRJÄNG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34400-2023</t>
        </is>
      </c>
      <c r="B7468" s="1" t="n">
        <v>45132</v>
      </c>
      <c r="C7468" s="1" t="n">
        <v>45932</v>
      </c>
      <c r="D7468" t="inlineStr">
        <is>
          <t>VÄRMLANDS LÄN</t>
        </is>
      </c>
      <c r="E7468" t="inlineStr">
        <is>
          <t>ARVIKA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34427-2023</t>
        </is>
      </c>
      <c r="B7469" s="1" t="n">
        <v>45139.61741898148</v>
      </c>
      <c r="C7469" s="1" t="n">
        <v>45932</v>
      </c>
      <c r="D7469" t="inlineStr">
        <is>
          <t>VÄRMLANDS LÄN</t>
        </is>
      </c>
      <c r="E7469" t="inlineStr">
        <is>
          <t>TORSBY</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12933-2023</t>
        </is>
      </c>
      <c r="B7470" s="1" t="n">
        <v>45001</v>
      </c>
      <c r="C7470" s="1" t="n">
        <v>45932</v>
      </c>
      <c r="D7470" t="inlineStr">
        <is>
          <t>VÄRMLANDS LÄN</t>
        </is>
      </c>
      <c r="E7470" t="inlineStr">
        <is>
          <t>TORSBY</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13726-2024</t>
        </is>
      </c>
      <c r="B7471" s="1" t="n">
        <v>45390.68759259259</v>
      </c>
      <c r="C7471" s="1" t="n">
        <v>45932</v>
      </c>
      <c r="D7471" t="inlineStr">
        <is>
          <t>VÄRMLANDS LÄN</t>
        </is>
      </c>
      <c r="E7471" t="inlineStr">
        <is>
          <t>ÅRJÄNG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32530-2025</t>
        </is>
      </c>
      <c r="B7472" s="1" t="n">
        <v>45838</v>
      </c>
      <c r="C7472" s="1" t="n">
        <v>45932</v>
      </c>
      <c r="D7472" t="inlineStr">
        <is>
          <t>VÄRMLANDS LÄN</t>
        </is>
      </c>
      <c r="E7472" t="inlineStr">
        <is>
          <t>ARVIKA</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32995-2025</t>
        </is>
      </c>
      <c r="B7473" s="1" t="n">
        <v>45839</v>
      </c>
      <c r="C7473" s="1" t="n">
        <v>45932</v>
      </c>
      <c r="D7473" t="inlineStr">
        <is>
          <t>VÄRMLANDS LÄN</t>
        </is>
      </c>
      <c r="E7473" t="inlineStr">
        <is>
          <t>TORSBY</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32403-2025</t>
        </is>
      </c>
      <c r="B7474" s="1" t="n">
        <v>45838.31085648148</v>
      </c>
      <c r="C7474" s="1" t="n">
        <v>45932</v>
      </c>
      <c r="D7474" t="inlineStr">
        <is>
          <t>VÄRMLANDS LÄN</t>
        </is>
      </c>
      <c r="E7474" t="inlineStr">
        <is>
          <t>EDA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32406-2025</t>
        </is>
      </c>
      <c r="B7475" s="1" t="n">
        <v>45838.31572916666</v>
      </c>
      <c r="C7475" s="1" t="n">
        <v>45932</v>
      </c>
      <c r="D7475" t="inlineStr">
        <is>
          <t>VÄRMLANDS LÄN</t>
        </is>
      </c>
      <c r="E7475" t="inlineStr">
        <is>
          <t>EDA</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32423-2025</t>
        </is>
      </c>
      <c r="B7476" s="1" t="n">
        <v>45838.35469907407</v>
      </c>
      <c r="C7476" s="1" t="n">
        <v>45932</v>
      </c>
      <c r="D7476" t="inlineStr">
        <is>
          <t>VÄRMLANDS LÄN</t>
        </is>
      </c>
      <c r="E7476" t="inlineStr">
        <is>
          <t>SUNNE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32348-2025</t>
        </is>
      </c>
      <c r="B7477" s="1" t="n">
        <v>45837.47078703704</v>
      </c>
      <c r="C7477" s="1" t="n">
        <v>45932</v>
      </c>
      <c r="D7477" t="inlineStr">
        <is>
          <t>VÄRMLANDS LÄN</t>
        </is>
      </c>
      <c r="E7477" t="inlineStr">
        <is>
          <t>TORSBY</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32453-2025</t>
        </is>
      </c>
      <c r="B7478" s="1" t="n">
        <v>45838</v>
      </c>
      <c r="C7478" s="1" t="n">
        <v>45932</v>
      </c>
      <c r="D7478" t="inlineStr">
        <is>
          <t>VÄRMLANDS LÄN</t>
        </is>
      </c>
      <c r="E7478" t="inlineStr">
        <is>
          <t>ARVIKA</t>
        </is>
      </c>
      <c r="F7478" t="inlineStr">
        <is>
          <t>Bergvik skog väst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32887-2025</t>
        </is>
      </c>
      <c r="B7479" s="1" t="n">
        <v>45839.60252314815</v>
      </c>
      <c r="C7479" s="1" t="n">
        <v>45932</v>
      </c>
      <c r="D7479" t="inlineStr">
        <is>
          <t>VÄRMLANDS LÄN</t>
        </is>
      </c>
      <c r="E7479" t="inlineStr">
        <is>
          <t>EDA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38435-2023</t>
        </is>
      </c>
      <c r="B7480" s="1" t="n">
        <v>45162</v>
      </c>
      <c r="C7480" s="1" t="n">
        <v>45932</v>
      </c>
      <c r="D7480" t="inlineStr">
        <is>
          <t>VÄRMLANDS LÄN</t>
        </is>
      </c>
      <c r="E7480" t="inlineStr">
        <is>
          <t>SUNNE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32410-2025</t>
        </is>
      </c>
      <c r="B7481" s="1" t="n">
        <v>45838.33539351852</v>
      </c>
      <c r="C7481" s="1" t="n">
        <v>45932</v>
      </c>
      <c r="D7481" t="inlineStr">
        <is>
          <t>VÄRMLANDS LÄN</t>
        </is>
      </c>
      <c r="E7481" t="inlineStr">
        <is>
          <t>KIL</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6751-2025</t>
        </is>
      </c>
      <c r="B7482" s="1" t="n">
        <v>45700.6130787037</v>
      </c>
      <c r="C7482" s="1" t="n">
        <v>45932</v>
      </c>
      <c r="D7482" t="inlineStr">
        <is>
          <t>VÄRMLANDS LÄN</t>
        </is>
      </c>
      <c r="E7482" t="inlineStr">
        <is>
          <t>GRUMS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15537-2024</t>
        </is>
      </c>
      <c r="B7483" s="1" t="n">
        <v>45401</v>
      </c>
      <c r="C7483" s="1" t="n">
        <v>45932</v>
      </c>
      <c r="D7483" t="inlineStr">
        <is>
          <t>VÄRMLANDS LÄN</t>
        </is>
      </c>
      <c r="E7483" t="inlineStr">
        <is>
          <t>ÅRJÄNG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42576-2021</t>
        </is>
      </c>
      <c r="B7484" s="1" t="n">
        <v>44428</v>
      </c>
      <c r="C7484" s="1" t="n">
        <v>45932</v>
      </c>
      <c r="D7484" t="inlineStr">
        <is>
          <t>VÄRMLANDS LÄN</t>
        </is>
      </c>
      <c r="E7484" t="inlineStr">
        <is>
          <t>ÅRJÄNG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32790-2025</t>
        </is>
      </c>
      <c r="B7485" s="1" t="n">
        <v>45839.48775462963</v>
      </c>
      <c r="C7485" s="1" t="n">
        <v>45932</v>
      </c>
      <c r="D7485" t="inlineStr">
        <is>
          <t>VÄRMLANDS LÄN</t>
        </is>
      </c>
      <c r="E7485" t="inlineStr">
        <is>
          <t>EDA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42179-2022</t>
        </is>
      </c>
      <c r="B7486" s="1" t="n">
        <v>44830.63068287037</v>
      </c>
      <c r="C7486" s="1" t="n">
        <v>45932</v>
      </c>
      <c r="D7486" t="inlineStr">
        <is>
          <t>VÄRMLANDS LÄN</t>
        </is>
      </c>
      <c r="E7486" t="inlineStr">
        <is>
          <t>ARVIKA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48322-2021</t>
        </is>
      </c>
      <c r="B7487" s="1" t="n">
        <v>44450</v>
      </c>
      <c r="C7487" s="1" t="n">
        <v>45932</v>
      </c>
      <c r="D7487" t="inlineStr">
        <is>
          <t>VÄRMLANDS LÄN</t>
        </is>
      </c>
      <c r="E7487" t="inlineStr">
        <is>
          <t>SÄFFLE</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23264-2022</t>
        </is>
      </c>
      <c r="B7488" s="1" t="n">
        <v>44720.40818287037</v>
      </c>
      <c r="C7488" s="1" t="n">
        <v>45932</v>
      </c>
      <c r="D7488" t="inlineStr">
        <is>
          <t>VÄRMLANDS LÄN</t>
        </is>
      </c>
      <c r="E7488" t="inlineStr">
        <is>
          <t>TORSBY</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35339-2024</t>
        </is>
      </c>
      <c r="B7489" s="1" t="n">
        <v>45530.87145833333</v>
      </c>
      <c r="C7489" s="1" t="n">
        <v>45932</v>
      </c>
      <c r="D7489" t="inlineStr">
        <is>
          <t>VÄRMLANDS LÄN</t>
        </is>
      </c>
      <c r="E7489" t="inlineStr">
        <is>
          <t>ARVIKA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9574-2023</t>
        </is>
      </c>
      <c r="B7490" s="1" t="n">
        <v>44982.55168981481</v>
      </c>
      <c r="C7490" s="1" t="n">
        <v>45932</v>
      </c>
      <c r="D7490" t="inlineStr">
        <is>
          <t>VÄRMLANDS LÄN</t>
        </is>
      </c>
      <c r="E7490" t="inlineStr">
        <is>
          <t>TORSBY</t>
        </is>
      </c>
      <c r="F7490" t="inlineStr">
        <is>
          <t>Övriga statliga verk och myndigheter</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47466-2023</t>
        </is>
      </c>
      <c r="B7491" s="1" t="n">
        <v>45202.90333333334</v>
      </c>
      <c r="C7491" s="1" t="n">
        <v>45932</v>
      </c>
      <c r="D7491" t="inlineStr">
        <is>
          <t>VÄRMLANDS LÄN</t>
        </is>
      </c>
      <c r="E7491" t="inlineStr">
        <is>
          <t>KRISTINEHAMN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32591-2025</t>
        </is>
      </c>
      <c r="B7492" s="1" t="n">
        <v>45838.60730324074</v>
      </c>
      <c r="C7492" s="1" t="n">
        <v>45932</v>
      </c>
      <c r="D7492" t="inlineStr">
        <is>
          <t>VÄRMLANDS LÄN</t>
        </is>
      </c>
      <c r="E7492" t="inlineStr">
        <is>
          <t>KARLSTAD</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33641-2024</t>
        </is>
      </c>
      <c r="B7493" s="1" t="n">
        <v>45520.44603009259</v>
      </c>
      <c r="C7493" s="1" t="n">
        <v>45932</v>
      </c>
      <c r="D7493" t="inlineStr">
        <is>
          <t>VÄRMLANDS LÄN</t>
        </is>
      </c>
      <c r="E7493" t="inlineStr">
        <is>
          <t>ARVIKA</t>
        </is>
      </c>
      <c r="F7493" t="inlineStr">
        <is>
          <t>Bergvik skog väst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31086-2023</t>
        </is>
      </c>
      <c r="B7494" s="1" t="n">
        <v>45113.64834490741</v>
      </c>
      <c r="C7494" s="1" t="n">
        <v>45932</v>
      </c>
      <c r="D7494" t="inlineStr">
        <is>
          <t>VÄRMLANDS LÄN</t>
        </is>
      </c>
      <c r="E7494" t="inlineStr">
        <is>
          <t>SÄFFLE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31089-2023</t>
        </is>
      </c>
      <c r="B7495" s="1" t="n">
        <v>45113.65050925926</v>
      </c>
      <c r="C7495" s="1" t="n">
        <v>45932</v>
      </c>
      <c r="D7495" t="inlineStr">
        <is>
          <t>VÄRMLANDS LÄN</t>
        </is>
      </c>
      <c r="E7495" t="inlineStr">
        <is>
          <t>SÄFFLE</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32330-2025</t>
        </is>
      </c>
      <c r="B7496" s="1" t="n">
        <v>45836.50547453704</v>
      </c>
      <c r="C7496" s="1" t="n">
        <v>45932</v>
      </c>
      <c r="D7496" t="inlineStr">
        <is>
          <t>VÄRMLANDS LÄN</t>
        </is>
      </c>
      <c r="E7496" t="inlineStr">
        <is>
          <t>ÅRJÄNG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43484-2023</t>
        </is>
      </c>
      <c r="B7497" s="1" t="n">
        <v>45184</v>
      </c>
      <c r="C7497" s="1" t="n">
        <v>45932</v>
      </c>
      <c r="D7497" t="inlineStr">
        <is>
          <t>VÄRMLANDS LÄN</t>
        </is>
      </c>
      <c r="E7497" t="inlineStr">
        <is>
          <t>FILIPSTAD</t>
        </is>
      </c>
      <c r="F7497" t="inlineStr">
        <is>
          <t>Bergvik skog väst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6656-2021</t>
        </is>
      </c>
      <c r="B7498" s="1" t="n">
        <v>44236</v>
      </c>
      <c r="C7498" s="1" t="n">
        <v>45932</v>
      </c>
      <c r="D7498" t="inlineStr">
        <is>
          <t>VÄRMLANDS LÄN</t>
        </is>
      </c>
      <c r="E7498" t="inlineStr">
        <is>
          <t>TORSBY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60525-2023</t>
        </is>
      </c>
      <c r="B7499" s="1" t="n">
        <v>45259</v>
      </c>
      <c r="C7499" s="1" t="n">
        <v>45932</v>
      </c>
      <c r="D7499" t="inlineStr">
        <is>
          <t>VÄRMLANDS LÄN</t>
        </is>
      </c>
      <c r="E7499" t="inlineStr">
        <is>
          <t>TORSBY</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32324-2025</t>
        </is>
      </c>
      <c r="B7500" s="1" t="n">
        <v>45836.43634259259</v>
      </c>
      <c r="C7500" s="1" t="n">
        <v>45932</v>
      </c>
      <c r="D7500" t="inlineStr">
        <is>
          <t>VÄRMLANDS LÄN</t>
        </is>
      </c>
      <c r="E7500" t="inlineStr">
        <is>
          <t>ÅRJÄNG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37422-2023</t>
        </is>
      </c>
      <c r="B7501" s="1" t="n">
        <v>45156</v>
      </c>
      <c r="C7501" s="1" t="n">
        <v>45932</v>
      </c>
      <c r="D7501" t="inlineStr">
        <is>
          <t>VÄRMLANDS LÄN</t>
        </is>
      </c>
      <c r="E7501" t="inlineStr">
        <is>
          <t>SÄFFLE</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12574-2025</t>
        </is>
      </c>
      <c r="B7502" s="1" t="n">
        <v>45732</v>
      </c>
      <c r="C7502" s="1" t="n">
        <v>45932</v>
      </c>
      <c r="D7502" t="inlineStr">
        <is>
          <t>VÄRMLANDS LÄN</t>
        </is>
      </c>
      <c r="E7502" t="inlineStr">
        <is>
          <t>TORSBY</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32327-2025</t>
        </is>
      </c>
      <c r="B7503" s="1" t="n">
        <v>45836.44756944444</v>
      </c>
      <c r="C7503" s="1" t="n">
        <v>45932</v>
      </c>
      <c r="D7503" t="inlineStr">
        <is>
          <t>VÄRMLANDS LÄN</t>
        </is>
      </c>
      <c r="E7503" t="inlineStr">
        <is>
          <t>GRUMS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32331-2025</t>
        </is>
      </c>
      <c r="B7504" s="1" t="n">
        <v>45836.50674768518</v>
      </c>
      <c r="C7504" s="1" t="n">
        <v>45932</v>
      </c>
      <c r="D7504" t="inlineStr">
        <is>
          <t>VÄRMLANDS LÄN</t>
        </is>
      </c>
      <c r="E7504" t="inlineStr">
        <is>
          <t>TORSBY</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32342-2025</t>
        </is>
      </c>
      <c r="B7505" s="1" t="n">
        <v>45837.34560185186</v>
      </c>
      <c r="C7505" s="1" t="n">
        <v>45932</v>
      </c>
      <c r="D7505" t="inlineStr">
        <is>
          <t>VÄRMLANDS LÄN</t>
        </is>
      </c>
      <c r="E7505" t="inlineStr">
        <is>
          <t>TORSBY</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32433-2025</t>
        </is>
      </c>
      <c r="B7506" s="1" t="n">
        <v>45838.37252314815</v>
      </c>
      <c r="C7506" s="1" t="n">
        <v>45932</v>
      </c>
      <c r="D7506" t="inlineStr">
        <is>
          <t>VÄRMLANDS LÄN</t>
        </is>
      </c>
      <c r="E7506" t="inlineStr">
        <is>
          <t>TORSBY</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31908-2024</t>
        </is>
      </c>
      <c r="B7507" s="1" t="n">
        <v>45510.34908564815</v>
      </c>
      <c r="C7507" s="1" t="n">
        <v>45932</v>
      </c>
      <c r="D7507" t="inlineStr">
        <is>
          <t>VÄRMLANDS LÄN</t>
        </is>
      </c>
      <c r="E7507" t="inlineStr">
        <is>
          <t>HAGFORS</t>
        </is>
      </c>
      <c r="F7507" t="inlineStr">
        <is>
          <t>Kyrkan</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43545-2023</t>
        </is>
      </c>
      <c r="B7508" s="1" t="n">
        <v>45184.56159722222</v>
      </c>
      <c r="C7508" s="1" t="n">
        <v>45932</v>
      </c>
      <c r="D7508" t="inlineStr">
        <is>
          <t>VÄRMLANDS LÄN</t>
        </is>
      </c>
      <c r="E7508" t="inlineStr">
        <is>
          <t>KARLSTAD</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18853-2025</t>
        </is>
      </c>
      <c r="B7509" s="1" t="n">
        <v>45764</v>
      </c>
      <c r="C7509" s="1" t="n">
        <v>45932</v>
      </c>
      <c r="D7509" t="inlineStr">
        <is>
          <t>VÄRMLANDS LÄN</t>
        </is>
      </c>
      <c r="E7509" t="inlineStr">
        <is>
          <t>HAGFORS</t>
        </is>
      </c>
      <c r="F7509" t="inlineStr">
        <is>
          <t>Bergvik skog väst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32689-2025</t>
        </is>
      </c>
      <c r="B7510" s="1" t="n">
        <v>45839</v>
      </c>
      <c r="C7510" s="1" t="n">
        <v>45932</v>
      </c>
      <c r="D7510" t="inlineStr">
        <is>
          <t>VÄRMLANDS LÄN</t>
        </is>
      </c>
      <c r="E7510" t="inlineStr">
        <is>
          <t>HAGFORS</t>
        </is>
      </c>
      <c r="F7510" t="inlineStr">
        <is>
          <t>Kyrkan</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11068-2025</t>
        </is>
      </c>
      <c r="B7511" s="1" t="n">
        <v>45723</v>
      </c>
      <c r="C7511" s="1" t="n">
        <v>45932</v>
      </c>
      <c r="D7511" t="inlineStr">
        <is>
          <t>VÄRMLANDS LÄN</t>
        </is>
      </c>
      <c r="E7511" t="inlineStr">
        <is>
          <t>FILIPSTAD</t>
        </is>
      </c>
      <c r="F7511" t="inlineStr">
        <is>
          <t>Bergvik skog väst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32710-2025</t>
        </is>
      </c>
      <c r="B7512" s="1" t="n">
        <v>45839.36722222222</v>
      </c>
      <c r="C7512" s="1" t="n">
        <v>45932</v>
      </c>
      <c r="D7512" t="inlineStr">
        <is>
          <t>VÄRMLANDS LÄN</t>
        </is>
      </c>
      <c r="E7512" t="inlineStr">
        <is>
          <t>TORSBY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34863-2024</t>
        </is>
      </c>
      <c r="B7513" s="1" t="n">
        <v>45527.34229166667</v>
      </c>
      <c r="C7513" s="1" t="n">
        <v>45932</v>
      </c>
      <c r="D7513" t="inlineStr">
        <is>
          <t>VÄRMLANDS LÄN</t>
        </is>
      </c>
      <c r="E7513" t="inlineStr">
        <is>
          <t>SÄFFLE</t>
        </is>
      </c>
      <c r="F7513" t="inlineStr">
        <is>
          <t>Kyrkan</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30165-2025</t>
        </is>
      </c>
      <c r="B7514" s="1" t="n">
        <v>45827.32953703704</v>
      </c>
      <c r="C7514" s="1" t="n">
        <v>45932</v>
      </c>
      <c r="D7514" t="inlineStr">
        <is>
          <t>VÄRMLANDS LÄN</t>
        </is>
      </c>
      <c r="E7514" t="inlineStr">
        <is>
          <t>FILIPSTAD</t>
        </is>
      </c>
      <c r="F7514" t="inlineStr">
        <is>
          <t>Kyrkan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32386-2025</t>
        </is>
      </c>
      <c r="B7515" s="1" t="n">
        <v>45837</v>
      </c>
      <c r="C7515" s="1" t="n">
        <v>45932</v>
      </c>
      <c r="D7515" t="inlineStr">
        <is>
          <t>VÄRMLANDS LÄN</t>
        </is>
      </c>
      <c r="E7515" t="inlineStr">
        <is>
          <t>SÄFFLE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33120-2025</t>
        </is>
      </c>
      <c r="B7516" s="1" t="n">
        <v>45840.49384259259</v>
      </c>
      <c r="C7516" s="1" t="n">
        <v>45932</v>
      </c>
      <c r="D7516" t="inlineStr">
        <is>
          <t>VÄRMLANDS LÄN</t>
        </is>
      </c>
      <c r="E7516" t="inlineStr">
        <is>
          <t>STORFORS</t>
        </is>
      </c>
      <c r="F7516" t="inlineStr">
        <is>
          <t>Bergvik skog väst AB</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55428-2022</t>
        </is>
      </c>
      <c r="B7517" s="1" t="n">
        <v>44887.60894675926</v>
      </c>
      <c r="C7517" s="1" t="n">
        <v>45932</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10501-2023</t>
        </is>
      </c>
      <c r="B7518" s="1" t="n">
        <v>44987.68640046296</v>
      </c>
      <c r="C7518" s="1" t="n">
        <v>45932</v>
      </c>
      <c r="D7518" t="inlineStr">
        <is>
          <t>VÄRMLANDS LÄN</t>
        </is>
      </c>
      <c r="E7518" t="inlineStr">
        <is>
          <t>KRISTINEHAMN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10510-2023</t>
        </is>
      </c>
      <c r="B7519" s="1" t="n">
        <v>44987.73665509259</v>
      </c>
      <c r="C7519" s="1" t="n">
        <v>45932</v>
      </c>
      <c r="D7519" t="inlineStr">
        <is>
          <t>VÄRMLANDS LÄN</t>
        </is>
      </c>
      <c r="E7519" t="inlineStr">
        <is>
          <t>ÅRJÄNG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32622-2025</t>
        </is>
      </c>
      <c r="B7520" s="1" t="n">
        <v>45838</v>
      </c>
      <c r="C7520" s="1" t="n">
        <v>45932</v>
      </c>
      <c r="D7520" t="inlineStr">
        <is>
          <t>VÄRMLANDS LÄN</t>
        </is>
      </c>
      <c r="E7520" t="inlineStr">
        <is>
          <t>TORSBY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28402-2021</t>
        </is>
      </c>
      <c r="B7521" s="1" t="n">
        <v>44356</v>
      </c>
      <c r="C7521" s="1" t="n">
        <v>45932</v>
      </c>
      <c r="D7521" t="inlineStr">
        <is>
          <t>VÄRMLANDS LÄN</t>
        </is>
      </c>
      <c r="E7521" t="inlineStr">
        <is>
          <t>KARLSTAD</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20200-2024</t>
        </is>
      </c>
      <c r="B7522" s="1" t="n">
        <v>45434</v>
      </c>
      <c r="C7522" s="1" t="n">
        <v>45932</v>
      </c>
      <c r="D7522" t="inlineStr">
        <is>
          <t>VÄRMLANDS LÄN</t>
        </is>
      </c>
      <c r="E7522" t="inlineStr">
        <is>
          <t>FILIPSTAD</t>
        </is>
      </c>
      <c r="F7522" t="inlineStr">
        <is>
          <t>Bergvik skog väst AB</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32877-2025</t>
        </is>
      </c>
      <c r="B7523" s="1" t="n">
        <v>45839.59508101852</v>
      </c>
      <c r="C7523" s="1" t="n">
        <v>45932</v>
      </c>
      <c r="D7523" t="inlineStr">
        <is>
          <t>VÄRMLANDS LÄN</t>
        </is>
      </c>
      <c r="E7523" t="inlineStr">
        <is>
          <t>EDA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43037-2024</t>
        </is>
      </c>
      <c r="B7524" s="1" t="n">
        <v>45567</v>
      </c>
      <c r="C7524" s="1" t="n">
        <v>45932</v>
      </c>
      <c r="D7524" t="inlineStr">
        <is>
          <t>VÄRMLANDS LÄN</t>
        </is>
      </c>
      <c r="E7524" t="inlineStr">
        <is>
          <t>TORSBY</t>
        </is>
      </c>
      <c r="F7524" t="inlineStr">
        <is>
          <t>Bergvik skog väst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23572-2023</t>
        </is>
      </c>
      <c r="B7525" s="1" t="n">
        <v>45077</v>
      </c>
      <c r="C7525" s="1" t="n">
        <v>45932</v>
      </c>
      <c r="D7525" t="inlineStr">
        <is>
          <t>VÄRMLANDS LÄN</t>
        </is>
      </c>
      <c r="E7525" t="inlineStr">
        <is>
          <t>TORSBY</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32555-2025</t>
        </is>
      </c>
      <c r="B7526" s="1" t="n">
        <v>45838.56084490741</v>
      </c>
      <c r="C7526" s="1" t="n">
        <v>45932</v>
      </c>
      <c r="D7526" t="inlineStr">
        <is>
          <t>VÄRMLANDS LÄN</t>
        </is>
      </c>
      <c r="E7526" t="inlineStr">
        <is>
          <t>TORSBY</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32568-2025</t>
        </is>
      </c>
      <c r="B7527" s="1" t="n">
        <v>45838</v>
      </c>
      <c r="C7527" s="1" t="n">
        <v>45932</v>
      </c>
      <c r="D7527" t="inlineStr">
        <is>
          <t>VÄRMLANDS LÄN</t>
        </is>
      </c>
      <c r="E7527" t="inlineStr">
        <is>
          <t>ARVIKA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32607-2025</t>
        </is>
      </c>
      <c r="B7528" s="1" t="n">
        <v>45838.6309375</v>
      </c>
      <c r="C7528" s="1" t="n">
        <v>45932</v>
      </c>
      <c r="D7528" t="inlineStr">
        <is>
          <t>VÄRMLANDS LÄN</t>
        </is>
      </c>
      <c r="E7528" t="inlineStr">
        <is>
          <t>HAGFORS</t>
        </is>
      </c>
      <c r="F7528" t="inlineStr">
        <is>
          <t>Bergvik skog väst AB</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53498-2023</t>
        </is>
      </c>
      <c r="B7529" s="1" t="n">
        <v>45230</v>
      </c>
      <c r="C7529" s="1" t="n">
        <v>45932</v>
      </c>
      <c r="D7529" t="inlineStr">
        <is>
          <t>VÄRMLANDS LÄN</t>
        </is>
      </c>
      <c r="E7529" t="inlineStr">
        <is>
          <t>KIL</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53499-2023</t>
        </is>
      </c>
      <c r="B7530" s="1" t="n">
        <v>45223</v>
      </c>
      <c r="C7530" s="1" t="n">
        <v>45932</v>
      </c>
      <c r="D7530" t="inlineStr">
        <is>
          <t>VÄRMLANDS LÄN</t>
        </is>
      </c>
      <c r="E7530" t="inlineStr">
        <is>
          <t>TORSBY</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32562-2025</t>
        </is>
      </c>
      <c r="B7531" s="1" t="n">
        <v>45838.57280092593</v>
      </c>
      <c r="C7531" s="1" t="n">
        <v>45932</v>
      </c>
      <c r="D7531" t="inlineStr">
        <is>
          <t>VÄRMLANDS LÄN</t>
        </is>
      </c>
      <c r="E7531" t="inlineStr">
        <is>
          <t>SUNNE</t>
        </is>
      </c>
      <c r="F7531" t="inlineStr">
        <is>
          <t>Bergvik skog väst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32343-2025</t>
        </is>
      </c>
      <c r="B7532" s="1" t="n">
        <v>45837.37171296297</v>
      </c>
      <c r="C7532" s="1" t="n">
        <v>45932</v>
      </c>
      <c r="D7532" t="inlineStr">
        <is>
          <t>VÄRMLANDS LÄN</t>
        </is>
      </c>
      <c r="E7532" t="inlineStr">
        <is>
          <t>TORSBY</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32345-2025</t>
        </is>
      </c>
      <c r="B7533" s="1" t="n">
        <v>45837.44293981481</v>
      </c>
      <c r="C7533" s="1" t="n">
        <v>45932</v>
      </c>
      <c r="D7533" t="inlineStr">
        <is>
          <t>VÄRMLANDS LÄN</t>
        </is>
      </c>
      <c r="E7533" t="inlineStr">
        <is>
          <t>TORSBY</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32321-2025</t>
        </is>
      </c>
      <c r="B7534" s="1" t="n">
        <v>45836</v>
      </c>
      <c r="C7534" s="1" t="n">
        <v>45932</v>
      </c>
      <c r="D7534" t="inlineStr">
        <is>
          <t>VÄRMLANDS LÄN</t>
        </is>
      </c>
      <c r="E7534" t="inlineStr">
        <is>
          <t>ÅRJÄNG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32924-2025</t>
        </is>
      </c>
      <c r="B7535" s="1" t="n">
        <v>45839.65589120371</v>
      </c>
      <c r="C7535" s="1" t="n">
        <v>45932</v>
      </c>
      <c r="D7535" t="inlineStr">
        <is>
          <t>VÄRMLANDS LÄN</t>
        </is>
      </c>
      <c r="E7535" t="inlineStr">
        <is>
          <t>ÅRJÄNG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32920-2025</t>
        </is>
      </c>
      <c r="B7536" s="1" t="n">
        <v>45839</v>
      </c>
      <c r="C7536" s="1" t="n">
        <v>45932</v>
      </c>
      <c r="D7536" t="inlineStr">
        <is>
          <t>VÄRMLANDS LÄN</t>
        </is>
      </c>
      <c r="E7536" t="inlineStr">
        <is>
          <t>ÅRJÄNG</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32326-2025</t>
        </is>
      </c>
      <c r="B7537" s="1" t="n">
        <v>45836.44392361111</v>
      </c>
      <c r="C7537" s="1" t="n">
        <v>45932</v>
      </c>
      <c r="D7537" t="inlineStr">
        <is>
          <t>VÄRMLANDS LÄN</t>
        </is>
      </c>
      <c r="E7537" t="inlineStr">
        <is>
          <t>ÅRJÄNG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32333-2025</t>
        </is>
      </c>
      <c r="B7538" s="1" t="n">
        <v>45836.51961805556</v>
      </c>
      <c r="C7538" s="1" t="n">
        <v>45932</v>
      </c>
      <c r="D7538" t="inlineStr">
        <is>
          <t>VÄRMLANDS LÄN</t>
        </is>
      </c>
      <c r="E7538" t="inlineStr">
        <is>
          <t>KARLSTAD</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32339-2025</t>
        </is>
      </c>
      <c r="B7539" s="1" t="n">
        <v>45836.68836805555</v>
      </c>
      <c r="C7539" s="1" t="n">
        <v>45932</v>
      </c>
      <c r="D7539" t="inlineStr">
        <is>
          <t>VÄRMLANDS LÄN</t>
        </is>
      </c>
      <c r="E7539" t="inlineStr">
        <is>
          <t>TORSBY</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33199-2025</t>
        </is>
      </c>
      <c r="B7540" s="1" t="n">
        <v>45840.60511574074</v>
      </c>
      <c r="C7540" s="1" t="n">
        <v>45932</v>
      </c>
      <c r="D7540" t="inlineStr">
        <is>
          <t>VÄRMLANDS LÄN</t>
        </is>
      </c>
      <c r="E7540" t="inlineStr">
        <is>
          <t>HAGFORS</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33237-2025</t>
        </is>
      </c>
      <c r="B7541" s="1" t="n">
        <v>45840</v>
      </c>
      <c r="C7541" s="1" t="n">
        <v>45932</v>
      </c>
      <c r="D7541" t="inlineStr">
        <is>
          <t>VÄRMLANDS LÄN</t>
        </is>
      </c>
      <c r="E7541" t="inlineStr">
        <is>
          <t>ÅRJÄNG</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33149-2025</t>
        </is>
      </c>
      <c r="B7542" s="1" t="n">
        <v>45840.54246527778</v>
      </c>
      <c r="C7542" s="1" t="n">
        <v>45932</v>
      </c>
      <c r="D7542" t="inlineStr">
        <is>
          <t>VÄRMLANDS LÄN</t>
        </is>
      </c>
      <c r="E7542" t="inlineStr">
        <is>
          <t>TORSBY</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33196-2025</t>
        </is>
      </c>
      <c r="B7543" s="1" t="n">
        <v>45840.60381944444</v>
      </c>
      <c r="C7543" s="1" t="n">
        <v>45932</v>
      </c>
      <c r="D7543" t="inlineStr">
        <is>
          <t>VÄRMLANDS LÄN</t>
        </is>
      </c>
      <c r="E7543" t="inlineStr">
        <is>
          <t>TORSBY</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37931-2025</t>
        </is>
      </c>
      <c r="B7544" s="1" t="n">
        <v>45880</v>
      </c>
      <c r="C7544" s="1" t="n">
        <v>45932</v>
      </c>
      <c r="D7544" t="inlineStr">
        <is>
          <t>VÄRMLANDS LÄN</t>
        </is>
      </c>
      <c r="E7544" t="inlineStr">
        <is>
          <t>SÄFFLE</t>
        </is>
      </c>
      <c r="G7544" t="n">
        <v>18.1</v>
      </c>
      <c r="H7544" t="n">
        <v>0</v>
      </c>
      <c r="I7544" t="n">
        <v>0</v>
      </c>
      <c r="J7544" t="n">
        <v>0</v>
      </c>
      <c r="K7544" t="n">
        <v>0</v>
      </c>
      <c r="L7544" t="n">
        <v>0</v>
      </c>
      <c r="M7544" t="n">
        <v>0</v>
      </c>
      <c r="N7544" t="n">
        <v>0</v>
      </c>
      <c r="O7544" t="n">
        <v>0</v>
      </c>
      <c r="P7544" t="n">
        <v>0</v>
      </c>
      <c r="Q7544" t="n">
        <v>0</v>
      </c>
      <c r="R7544" s="2" t="inlineStr"/>
    </row>
    <row r="7545" ht="15" customHeight="1">
      <c r="A7545" t="inlineStr">
        <is>
          <t>A 42985-2023</t>
        </is>
      </c>
      <c r="B7545" s="1" t="n">
        <v>45182</v>
      </c>
      <c r="C7545" s="1" t="n">
        <v>45932</v>
      </c>
      <c r="D7545" t="inlineStr">
        <is>
          <t>VÄRMLANDS LÄN</t>
        </is>
      </c>
      <c r="E7545" t="inlineStr">
        <is>
          <t>SUNNE</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33611-2025</t>
        </is>
      </c>
      <c r="B7546" s="1" t="n">
        <v>45841.62028935185</v>
      </c>
      <c r="C7546" s="1" t="n">
        <v>45932</v>
      </c>
      <c r="D7546" t="inlineStr">
        <is>
          <t>VÄRMLANDS LÄN</t>
        </is>
      </c>
      <c r="E7546" t="inlineStr">
        <is>
          <t>HAGFORS</t>
        </is>
      </c>
      <c r="F7546" t="inlineStr">
        <is>
          <t>Bergvik skog väst AB</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32992-2025</t>
        </is>
      </c>
      <c r="B7547" s="1" t="n">
        <v>45840.32103009259</v>
      </c>
      <c r="C7547" s="1" t="n">
        <v>45932</v>
      </c>
      <c r="D7547" t="inlineStr">
        <is>
          <t>VÄRMLANDS LÄN</t>
        </is>
      </c>
      <c r="E7547" t="inlineStr">
        <is>
          <t>HAGFORS</t>
        </is>
      </c>
      <c r="F7547" t="inlineStr">
        <is>
          <t>Bergvik skog väst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49337-2023</t>
        </is>
      </c>
      <c r="B7548" s="1" t="n">
        <v>45210.96349537037</v>
      </c>
      <c r="C7548" s="1" t="n">
        <v>45932</v>
      </c>
      <c r="D7548" t="inlineStr">
        <is>
          <t>VÄRMLANDS LÄN</t>
        </is>
      </c>
      <c r="E7548" t="inlineStr">
        <is>
          <t>ARVIKA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25463-2025</t>
        </is>
      </c>
      <c r="B7549" s="1" t="n">
        <v>45802</v>
      </c>
      <c r="C7549" s="1" t="n">
        <v>45932</v>
      </c>
      <c r="D7549" t="inlineStr">
        <is>
          <t>VÄRMLANDS LÄN</t>
        </is>
      </c>
      <c r="E7549" t="inlineStr">
        <is>
          <t>ARVIKA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54669-2024</t>
        </is>
      </c>
      <c r="B7550" s="1" t="n">
        <v>45618</v>
      </c>
      <c r="C7550" s="1" t="n">
        <v>45932</v>
      </c>
      <c r="D7550" t="inlineStr">
        <is>
          <t>VÄRMLANDS LÄN</t>
        </is>
      </c>
      <c r="E7550" t="inlineStr">
        <is>
          <t>KARLSTAD</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4743-2025</t>
        </is>
      </c>
      <c r="B7551" s="1" t="n">
        <v>45688</v>
      </c>
      <c r="C7551" s="1" t="n">
        <v>45932</v>
      </c>
      <c r="D7551" t="inlineStr">
        <is>
          <t>VÄRMLANDS LÄN</t>
        </is>
      </c>
      <c r="E7551" t="inlineStr">
        <is>
          <t>FILIPSTAD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33765-2022</t>
        </is>
      </c>
      <c r="B7552" s="1" t="n">
        <v>44790</v>
      </c>
      <c r="C7552" s="1" t="n">
        <v>45932</v>
      </c>
      <c r="D7552" t="inlineStr">
        <is>
          <t>VÄRMLANDS LÄN</t>
        </is>
      </c>
      <c r="E7552" t="inlineStr">
        <is>
          <t>SUNNE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33538-2025</t>
        </is>
      </c>
      <c r="B7553" s="1" t="n">
        <v>45841</v>
      </c>
      <c r="C7553" s="1" t="n">
        <v>45932</v>
      </c>
      <c r="D7553" t="inlineStr">
        <is>
          <t>VÄRMLANDS LÄN</t>
        </is>
      </c>
      <c r="E7553" t="inlineStr">
        <is>
          <t>SÄFFLE</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33463-2025</t>
        </is>
      </c>
      <c r="B7554" s="1" t="n">
        <v>45841</v>
      </c>
      <c r="C7554" s="1" t="n">
        <v>45932</v>
      </c>
      <c r="D7554" t="inlineStr">
        <is>
          <t>VÄRMLANDS LÄN</t>
        </is>
      </c>
      <c r="E7554" t="inlineStr">
        <is>
          <t>HAGFORS</t>
        </is>
      </c>
      <c r="F7554" t="inlineStr">
        <is>
          <t>Kyrkan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33478-2025</t>
        </is>
      </c>
      <c r="B7555" s="1" t="n">
        <v>45841.4953587963</v>
      </c>
      <c r="C7555" s="1" t="n">
        <v>45932</v>
      </c>
      <c r="D7555" t="inlineStr">
        <is>
          <t>VÄRMLANDS LÄN</t>
        </is>
      </c>
      <c r="E7555" t="inlineStr">
        <is>
          <t>SUNNE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18426-2025</t>
        </is>
      </c>
      <c r="B7556" s="1" t="n">
        <v>45762.62719907407</v>
      </c>
      <c r="C7556" s="1" t="n">
        <v>45932</v>
      </c>
      <c r="D7556" t="inlineStr">
        <is>
          <t>VÄRMLANDS LÄN</t>
        </is>
      </c>
      <c r="E7556" t="inlineStr">
        <is>
          <t>SUNNE</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50709-2023</t>
        </is>
      </c>
      <c r="B7557" s="1" t="n">
        <v>45187</v>
      </c>
      <c r="C7557" s="1" t="n">
        <v>45932</v>
      </c>
      <c r="D7557" t="inlineStr">
        <is>
          <t>VÄRMLANDS LÄN</t>
        </is>
      </c>
      <c r="E7557" t="inlineStr">
        <is>
          <t>KARLSTAD</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26905-2024</t>
        </is>
      </c>
      <c r="B7558" s="1" t="n">
        <v>45470.70732638889</v>
      </c>
      <c r="C7558" s="1" t="n">
        <v>45932</v>
      </c>
      <c r="D7558" t="inlineStr">
        <is>
          <t>VÄRMLANDS LÄN</t>
        </is>
      </c>
      <c r="E7558" t="inlineStr">
        <is>
          <t>KRISTINEHAMN</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59288-2024</t>
        </is>
      </c>
      <c r="B7559" s="1" t="n">
        <v>45636</v>
      </c>
      <c r="C7559" s="1" t="n">
        <v>45932</v>
      </c>
      <c r="D7559" t="inlineStr">
        <is>
          <t>VÄRMLANDS LÄN</t>
        </is>
      </c>
      <c r="E7559" t="inlineStr">
        <is>
          <t>SUNNE</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59329-2024</t>
        </is>
      </c>
      <c r="B7560" s="1" t="n">
        <v>45637.76869212963</v>
      </c>
      <c r="C7560" s="1" t="n">
        <v>45932</v>
      </c>
      <c r="D7560" t="inlineStr">
        <is>
          <t>VÄRMLANDS LÄN</t>
        </is>
      </c>
      <c r="E7560" t="inlineStr">
        <is>
          <t>HAGFORS</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53832-2022</t>
        </is>
      </c>
      <c r="B7561" s="1" t="n">
        <v>44880</v>
      </c>
      <c r="C7561" s="1" t="n">
        <v>45932</v>
      </c>
      <c r="D7561" t="inlineStr">
        <is>
          <t>VÄRMLANDS LÄN</t>
        </is>
      </c>
      <c r="E7561" t="inlineStr">
        <is>
          <t>SÄFFLE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9840-2023</t>
        </is>
      </c>
      <c r="B7562" s="1" t="n">
        <v>44984</v>
      </c>
      <c r="C7562" s="1" t="n">
        <v>45932</v>
      </c>
      <c r="D7562" t="inlineStr">
        <is>
          <t>VÄRMLANDS LÄN</t>
        </is>
      </c>
      <c r="E7562" t="inlineStr">
        <is>
          <t>SUNNE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59503-2022</t>
        </is>
      </c>
      <c r="B7563" s="1" t="n">
        <v>44907.48916666667</v>
      </c>
      <c r="C7563" s="1" t="n">
        <v>45932</v>
      </c>
      <c r="D7563" t="inlineStr">
        <is>
          <t>VÄRMLANDS LÄN</t>
        </is>
      </c>
      <c r="E7563" t="inlineStr">
        <is>
          <t>KIL</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54528-2023</t>
        </is>
      </c>
      <c r="B7564" s="1" t="n">
        <v>45233.59122685185</v>
      </c>
      <c r="C7564" s="1" t="n">
        <v>45932</v>
      </c>
      <c r="D7564" t="inlineStr">
        <is>
          <t>VÄRMLANDS LÄN</t>
        </is>
      </c>
      <c r="E7564" t="inlineStr">
        <is>
          <t>TORSBY</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3355-2022</t>
        </is>
      </c>
      <c r="B7565" s="1" t="n">
        <v>44585.39229166666</v>
      </c>
      <c r="C7565" s="1" t="n">
        <v>45932</v>
      </c>
      <c r="D7565" t="inlineStr">
        <is>
          <t>VÄRMLANDS LÄN</t>
        </is>
      </c>
      <c r="E7565" t="inlineStr">
        <is>
          <t>ARVIKA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60664-2023</t>
        </is>
      </c>
      <c r="B7566" s="1" t="n">
        <v>45259</v>
      </c>
      <c r="C7566" s="1" t="n">
        <v>45932</v>
      </c>
      <c r="D7566" t="inlineStr">
        <is>
          <t>VÄRMLANDS LÄN</t>
        </is>
      </c>
      <c r="E7566" t="inlineStr">
        <is>
          <t>HAGFORS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60689-2023</t>
        </is>
      </c>
      <c r="B7567" s="1" t="n">
        <v>45260</v>
      </c>
      <c r="C7567" s="1" t="n">
        <v>45932</v>
      </c>
      <c r="D7567" t="inlineStr">
        <is>
          <t>VÄRMLANDS LÄN</t>
        </is>
      </c>
      <c r="E7567" t="inlineStr">
        <is>
          <t>SUNNE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54367-2022</t>
        </is>
      </c>
      <c r="B7568" s="1" t="n">
        <v>44879</v>
      </c>
      <c r="C7568" s="1" t="n">
        <v>45932</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13635-2024</t>
        </is>
      </c>
      <c r="B7569" s="1" t="n">
        <v>45390</v>
      </c>
      <c r="C7569" s="1" t="n">
        <v>45932</v>
      </c>
      <c r="D7569" t="inlineStr">
        <is>
          <t>VÄRMLANDS LÄN</t>
        </is>
      </c>
      <c r="E7569" t="inlineStr">
        <is>
          <t>HAGFORS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58851-2023</t>
        </is>
      </c>
      <c r="B7570" s="1" t="n">
        <v>45252</v>
      </c>
      <c r="C7570" s="1" t="n">
        <v>45932</v>
      </c>
      <c r="D7570" t="inlineStr">
        <is>
          <t>VÄRMLANDS LÄN</t>
        </is>
      </c>
      <c r="E7570" t="inlineStr">
        <is>
          <t>SUNNE</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52239-2024</t>
        </is>
      </c>
      <c r="B7571" s="1" t="n">
        <v>45608.61837962963</v>
      </c>
      <c r="C7571" s="1" t="n">
        <v>45932</v>
      </c>
      <c r="D7571" t="inlineStr">
        <is>
          <t>VÄRMLANDS LÄN</t>
        </is>
      </c>
      <c r="E7571" t="inlineStr">
        <is>
          <t>TORSBY</t>
        </is>
      </c>
      <c r="F7571" t="inlineStr">
        <is>
          <t>Bergvik skog väst AB</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4022-2025</t>
        </is>
      </c>
      <c r="B7572" s="1" t="n">
        <v>45684.59275462963</v>
      </c>
      <c r="C7572" s="1" t="n">
        <v>45932</v>
      </c>
      <c r="D7572" t="inlineStr">
        <is>
          <t>VÄRMLANDS LÄN</t>
        </is>
      </c>
      <c r="E7572" t="inlineStr">
        <is>
          <t>SUNNE</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34172-2024</t>
        </is>
      </c>
      <c r="B7573" s="1" t="n">
        <v>45524</v>
      </c>
      <c r="C7573" s="1" t="n">
        <v>45932</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28205-2025</t>
        </is>
      </c>
      <c r="B7574" s="1" t="n">
        <v>45818.44788194444</v>
      </c>
      <c r="C7574" s="1" t="n">
        <v>45932</v>
      </c>
      <c r="D7574" t="inlineStr">
        <is>
          <t>VÄRMLANDS LÄN</t>
        </is>
      </c>
      <c r="E7574" t="inlineStr">
        <is>
          <t>SUNNE</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58639-2024</t>
        </is>
      </c>
      <c r="B7575" s="1" t="n">
        <v>45635</v>
      </c>
      <c r="C7575" s="1" t="n">
        <v>45932</v>
      </c>
      <c r="D7575" t="inlineStr">
        <is>
          <t>VÄRMLANDS LÄN</t>
        </is>
      </c>
      <c r="E7575" t="inlineStr">
        <is>
          <t>SÄFFLE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46424-2023</t>
        </is>
      </c>
      <c r="B7576" s="1" t="n">
        <v>45197.56141203704</v>
      </c>
      <c r="C7576" s="1" t="n">
        <v>45932</v>
      </c>
      <c r="D7576" t="inlineStr">
        <is>
          <t>VÄRMLANDS LÄN</t>
        </is>
      </c>
      <c r="E7576" t="inlineStr">
        <is>
          <t>TORSBY</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35775-2024</t>
        </is>
      </c>
      <c r="B7577" s="1" t="n">
        <v>45532</v>
      </c>
      <c r="C7577" s="1" t="n">
        <v>45932</v>
      </c>
      <c r="D7577" t="inlineStr">
        <is>
          <t>VÄRMLANDS LÄN</t>
        </is>
      </c>
      <c r="E7577" t="inlineStr">
        <is>
          <t>HAGFORS</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35777-2024</t>
        </is>
      </c>
      <c r="B7578" s="1" t="n">
        <v>45532</v>
      </c>
      <c r="C7578" s="1" t="n">
        <v>45932</v>
      </c>
      <c r="D7578" t="inlineStr">
        <is>
          <t>VÄRMLANDS LÄN</t>
        </is>
      </c>
      <c r="E7578" t="inlineStr">
        <is>
          <t>TORSBY</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33549-2025</t>
        </is>
      </c>
      <c r="B7579" s="1" t="n">
        <v>45841</v>
      </c>
      <c r="C7579" s="1" t="n">
        <v>45932</v>
      </c>
      <c r="D7579" t="inlineStr">
        <is>
          <t>VÄRMLANDS LÄN</t>
        </is>
      </c>
      <c r="E7579" t="inlineStr">
        <is>
          <t>HAGFORS</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36686-2021</t>
        </is>
      </c>
      <c r="B7580" s="1" t="n">
        <v>44392.48008101852</v>
      </c>
      <c r="C7580" s="1" t="n">
        <v>45932</v>
      </c>
      <c r="D7580" t="inlineStr">
        <is>
          <t>VÄRMLANDS LÄN</t>
        </is>
      </c>
      <c r="E7580" t="inlineStr">
        <is>
          <t>SUNNE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59200-2023</t>
        </is>
      </c>
      <c r="B7581" s="1" t="n">
        <v>45253</v>
      </c>
      <c r="C7581" s="1" t="n">
        <v>45932</v>
      </c>
      <c r="D7581" t="inlineStr">
        <is>
          <t>VÄRMLANDS LÄN</t>
        </is>
      </c>
      <c r="E7581" t="inlineStr">
        <is>
          <t>KIL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59203-2023</t>
        </is>
      </c>
      <c r="B7582" s="1" t="n">
        <v>45253.47288194444</v>
      </c>
      <c r="C7582" s="1" t="n">
        <v>45932</v>
      </c>
      <c r="D7582" t="inlineStr">
        <is>
          <t>VÄRMLANDS LÄN</t>
        </is>
      </c>
      <c r="E7582" t="inlineStr">
        <is>
          <t>SÄFFLE</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33407-2025</t>
        </is>
      </c>
      <c r="B7583" s="1" t="n">
        <v>45841</v>
      </c>
      <c r="C7583" s="1" t="n">
        <v>45932</v>
      </c>
      <c r="D7583" t="inlineStr">
        <is>
          <t>VÄRMLANDS LÄN</t>
        </is>
      </c>
      <c r="E7583" t="inlineStr">
        <is>
          <t>FILIPSTAD</t>
        </is>
      </c>
      <c r="F7583" t="inlineStr">
        <is>
          <t>Bergvik skog väst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33416-2025</t>
        </is>
      </c>
      <c r="B7584" s="1" t="n">
        <v>45841.43886574074</v>
      </c>
      <c r="C7584" s="1" t="n">
        <v>45932</v>
      </c>
      <c r="D7584" t="inlineStr">
        <is>
          <t>VÄRMLANDS LÄN</t>
        </is>
      </c>
      <c r="E7584" t="inlineStr">
        <is>
          <t>EDA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33146-2025</t>
        </is>
      </c>
      <c r="B7585" s="1" t="n">
        <v>45840.53549768519</v>
      </c>
      <c r="C7585" s="1" t="n">
        <v>45932</v>
      </c>
      <c r="D7585" t="inlineStr">
        <is>
          <t>VÄRMLANDS LÄN</t>
        </is>
      </c>
      <c r="E7585" t="inlineStr">
        <is>
          <t>TORSBY</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33147-2025</t>
        </is>
      </c>
      <c r="B7586" s="1" t="n">
        <v>45840.54100694445</v>
      </c>
      <c r="C7586" s="1" t="n">
        <v>45932</v>
      </c>
      <c r="D7586" t="inlineStr">
        <is>
          <t>VÄRMLANDS LÄN</t>
        </is>
      </c>
      <c r="E7586" t="inlineStr">
        <is>
          <t>HAGFORS</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62787-2023</t>
        </is>
      </c>
      <c r="B7587" s="1" t="n">
        <v>45271.70149305555</v>
      </c>
      <c r="C7587" s="1" t="n">
        <v>45932</v>
      </c>
      <c r="D7587" t="inlineStr">
        <is>
          <t>VÄRMLANDS LÄN</t>
        </is>
      </c>
      <c r="E7587" t="inlineStr">
        <is>
          <t>FILIPSTAD</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62807-2023</t>
        </is>
      </c>
      <c r="B7588" s="1" t="n">
        <v>45271.87197916667</v>
      </c>
      <c r="C7588" s="1" t="n">
        <v>45932</v>
      </c>
      <c r="D7588" t="inlineStr">
        <is>
          <t>VÄRMLANDS LÄN</t>
        </is>
      </c>
      <c r="E7588" t="inlineStr">
        <is>
          <t>KIL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46830-2025</t>
        </is>
      </c>
      <c r="B7589" s="1" t="n">
        <v>45927.39802083333</v>
      </c>
      <c r="C7589" s="1" t="n">
        <v>45932</v>
      </c>
      <c r="D7589" t="inlineStr">
        <is>
          <t>VÄRMLANDS LÄN</t>
        </is>
      </c>
      <c r="E7589" t="inlineStr">
        <is>
          <t>ARVIKA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10634-2024</t>
        </is>
      </c>
      <c r="B7590" s="1" t="n">
        <v>45367.43570601852</v>
      </c>
      <c r="C7590" s="1" t="n">
        <v>45932</v>
      </c>
      <c r="D7590" t="inlineStr">
        <is>
          <t>VÄRMLANDS LÄN</t>
        </is>
      </c>
      <c r="E7590" t="inlineStr">
        <is>
          <t>KIL</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33192-2025</t>
        </is>
      </c>
      <c r="B7591" s="1" t="n">
        <v>45840.60081018518</v>
      </c>
      <c r="C7591" s="1" t="n">
        <v>45932</v>
      </c>
      <c r="D7591" t="inlineStr">
        <is>
          <t>VÄRMLANDS LÄN</t>
        </is>
      </c>
      <c r="E7591" t="inlineStr">
        <is>
          <t>TORSBY</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33712-2025</t>
        </is>
      </c>
      <c r="B7592" s="1" t="n">
        <v>45841</v>
      </c>
      <c r="C7592" s="1" t="n">
        <v>45932</v>
      </c>
      <c r="D7592" t="inlineStr">
        <is>
          <t>VÄRMLANDS LÄN</t>
        </is>
      </c>
      <c r="E7592" t="inlineStr">
        <is>
          <t>TORSBY</t>
        </is>
      </c>
      <c r="F7592" t="inlineStr">
        <is>
          <t>Bergvik skog väst AB</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33221-2025</t>
        </is>
      </c>
      <c r="B7593" s="1" t="n">
        <v>45840.63471064815</v>
      </c>
      <c r="C7593" s="1" t="n">
        <v>45932</v>
      </c>
      <c r="D7593" t="inlineStr">
        <is>
          <t>VÄRMLANDS LÄN</t>
        </is>
      </c>
      <c r="E7593" t="inlineStr">
        <is>
          <t>TORSBY</t>
        </is>
      </c>
      <c r="F7593" t="inlineStr">
        <is>
          <t>Bergvik skog väst AB</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37752-2022</t>
        </is>
      </c>
      <c r="B7594" s="1" t="n">
        <v>44810</v>
      </c>
      <c r="C7594" s="1" t="n">
        <v>45932</v>
      </c>
      <c r="D7594" t="inlineStr">
        <is>
          <t>VÄRMLANDS LÄN</t>
        </is>
      </c>
      <c r="E7594" t="inlineStr">
        <is>
          <t>TORSBY</t>
        </is>
      </c>
      <c r="F7594" t="inlineStr">
        <is>
          <t>Kyrkan</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10028-2023</t>
        </is>
      </c>
      <c r="B7595" s="1" t="n">
        <v>44985</v>
      </c>
      <c r="C7595" s="1" t="n">
        <v>45932</v>
      </c>
      <c r="D7595" t="inlineStr">
        <is>
          <t>VÄRMLANDS LÄN</t>
        </is>
      </c>
      <c r="E7595" t="inlineStr">
        <is>
          <t>SÄFFLE</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32796-2023</t>
        </is>
      </c>
      <c r="B7596" s="1" t="n">
        <v>45124</v>
      </c>
      <c r="C7596" s="1" t="n">
        <v>45932</v>
      </c>
      <c r="D7596" t="inlineStr">
        <is>
          <t>VÄRMLANDS LÄN</t>
        </is>
      </c>
      <c r="E7596" t="inlineStr">
        <is>
          <t>FORSHAGA</t>
        </is>
      </c>
      <c r="F7596" t="inlineStr">
        <is>
          <t>Kommuner</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60183-2021</t>
        </is>
      </c>
      <c r="B7597" s="1" t="n">
        <v>44495</v>
      </c>
      <c r="C7597" s="1" t="n">
        <v>45932</v>
      </c>
      <c r="D7597" t="inlineStr">
        <is>
          <t>VÄRMLANDS LÄN</t>
        </is>
      </c>
      <c r="E7597" t="inlineStr">
        <is>
          <t>ARVIKA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32822-2023</t>
        </is>
      </c>
      <c r="B7598" s="1" t="n">
        <v>45124.57144675926</v>
      </c>
      <c r="C7598" s="1" t="n">
        <v>45932</v>
      </c>
      <c r="D7598" t="inlineStr">
        <is>
          <t>VÄRMLANDS LÄN</t>
        </is>
      </c>
      <c r="E7598" t="inlineStr">
        <is>
          <t>FORSHAGA</t>
        </is>
      </c>
      <c r="F7598" t="inlineStr">
        <is>
          <t>Kommuner</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58874-2023</t>
        </is>
      </c>
      <c r="B7599" s="1" t="n">
        <v>45252</v>
      </c>
      <c r="C7599" s="1" t="n">
        <v>45932</v>
      </c>
      <c r="D7599" t="inlineStr">
        <is>
          <t>VÄRMLANDS LÄN</t>
        </is>
      </c>
      <c r="E7599" t="inlineStr">
        <is>
          <t>ÅRJÄNG</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58893-2023</t>
        </is>
      </c>
      <c r="B7600" s="1" t="n">
        <v>45252.48734953703</v>
      </c>
      <c r="C7600" s="1" t="n">
        <v>45932</v>
      </c>
      <c r="D7600" t="inlineStr">
        <is>
          <t>VÄRMLANDS LÄN</t>
        </is>
      </c>
      <c r="E7600" t="inlineStr">
        <is>
          <t>KRISTINEHAMN</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62453-2022</t>
        </is>
      </c>
      <c r="B7601" s="1" t="n">
        <v>44924.42072916667</v>
      </c>
      <c r="C7601" s="1" t="n">
        <v>45932</v>
      </c>
      <c r="D7601" t="inlineStr">
        <is>
          <t>VÄRMLANDS LÄN</t>
        </is>
      </c>
      <c r="E7601" t="inlineStr">
        <is>
          <t>KRISTINEHAMN</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33516-2025</t>
        </is>
      </c>
      <c r="B7602" s="1" t="n">
        <v>45841.5347800926</v>
      </c>
      <c r="C7602" s="1" t="n">
        <v>45932</v>
      </c>
      <c r="D7602" t="inlineStr">
        <is>
          <t>VÄRMLANDS LÄN</t>
        </is>
      </c>
      <c r="E7602" t="inlineStr">
        <is>
          <t>SUNNE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48405-2023</t>
        </is>
      </c>
      <c r="B7603" s="1" t="n">
        <v>45201</v>
      </c>
      <c r="C7603" s="1" t="n">
        <v>45932</v>
      </c>
      <c r="D7603" t="inlineStr">
        <is>
          <t>VÄRMLANDS LÄN</t>
        </is>
      </c>
      <c r="E7603" t="inlineStr">
        <is>
          <t>KRISTINEHAMN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33749-2025</t>
        </is>
      </c>
      <c r="B7604" s="1" t="n">
        <v>45841</v>
      </c>
      <c r="C7604" s="1" t="n">
        <v>45932</v>
      </c>
      <c r="D7604" t="inlineStr">
        <is>
          <t>VÄRMLANDS LÄN</t>
        </is>
      </c>
      <c r="E7604" t="inlineStr">
        <is>
          <t>SÄFFLE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33567-2025</t>
        </is>
      </c>
      <c r="B7605" s="1" t="n">
        <v>45841.58232638889</v>
      </c>
      <c r="C7605" s="1" t="n">
        <v>45932</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23337-2024</t>
        </is>
      </c>
      <c r="B7606" s="1" t="n">
        <v>45453</v>
      </c>
      <c r="C7606" s="1" t="n">
        <v>45932</v>
      </c>
      <c r="D7606" t="inlineStr">
        <is>
          <t>VÄRMLANDS LÄN</t>
        </is>
      </c>
      <c r="E7606" t="inlineStr">
        <is>
          <t>SÄFFLE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8025-2025</t>
        </is>
      </c>
      <c r="B7607" s="1" t="n">
        <v>45707</v>
      </c>
      <c r="C7607" s="1" t="n">
        <v>45932</v>
      </c>
      <c r="D7607" t="inlineStr">
        <is>
          <t>VÄRMLANDS LÄN</t>
        </is>
      </c>
      <c r="E7607" t="inlineStr">
        <is>
          <t>TORSBY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46759-2021</t>
        </is>
      </c>
      <c r="B7608" s="1" t="n">
        <v>44445</v>
      </c>
      <c r="C7608" s="1" t="n">
        <v>45932</v>
      </c>
      <c r="D7608" t="inlineStr">
        <is>
          <t>VÄRMLANDS LÄN</t>
        </is>
      </c>
      <c r="E7608" t="inlineStr">
        <is>
          <t>EDA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33600-2025</t>
        </is>
      </c>
      <c r="B7609" s="1" t="n">
        <v>45841.60918981482</v>
      </c>
      <c r="C7609" s="1" t="n">
        <v>45932</v>
      </c>
      <c r="D7609" t="inlineStr">
        <is>
          <t>VÄRMLANDS LÄN</t>
        </is>
      </c>
      <c r="E7609" t="inlineStr">
        <is>
          <t>ÅRJÄNG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50076-2023</t>
        </is>
      </c>
      <c r="B7610" s="1" t="n">
        <v>45208</v>
      </c>
      <c r="C7610" s="1" t="n">
        <v>45932</v>
      </c>
      <c r="D7610" t="inlineStr">
        <is>
          <t>VÄRMLANDS LÄN</t>
        </is>
      </c>
      <c r="E7610" t="inlineStr">
        <is>
          <t>SÄFFLE</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50103-2023</t>
        </is>
      </c>
      <c r="B7611" s="1" t="n">
        <v>45208</v>
      </c>
      <c r="C7611" s="1" t="n">
        <v>45932</v>
      </c>
      <c r="D7611" t="inlineStr">
        <is>
          <t>VÄRMLANDS LÄN</t>
        </is>
      </c>
      <c r="E7611" t="inlineStr">
        <is>
          <t>KRISTINEHAMN</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33364-2025</t>
        </is>
      </c>
      <c r="B7612" s="1" t="n">
        <v>45841</v>
      </c>
      <c r="C7612" s="1" t="n">
        <v>45932</v>
      </c>
      <c r="D7612" t="inlineStr">
        <is>
          <t>VÄRMLANDS LÄN</t>
        </is>
      </c>
      <c r="E7612" t="inlineStr">
        <is>
          <t>HAGFORS</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34402-2022</t>
        </is>
      </c>
      <c r="B7613" s="1" t="n">
        <v>44792.52918981481</v>
      </c>
      <c r="C7613" s="1" t="n">
        <v>45932</v>
      </c>
      <c r="D7613" t="inlineStr">
        <is>
          <t>VÄRMLANDS LÄN</t>
        </is>
      </c>
      <c r="E7613" t="inlineStr">
        <is>
          <t>KIL</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8018-2025</t>
        </is>
      </c>
      <c r="B7614" s="1" t="n">
        <v>45707</v>
      </c>
      <c r="C7614" s="1" t="n">
        <v>45932</v>
      </c>
      <c r="D7614" t="inlineStr">
        <is>
          <t>VÄRMLANDS LÄN</t>
        </is>
      </c>
      <c r="E7614" t="inlineStr">
        <is>
          <t>TORSBY</t>
        </is>
      </c>
      <c r="G7614" t="n">
        <v>22.6</v>
      </c>
      <c r="H7614" t="n">
        <v>0</v>
      </c>
      <c r="I7614" t="n">
        <v>0</v>
      </c>
      <c r="J7614" t="n">
        <v>0</v>
      </c>
      <c r="K7614" t="n">
        <v>0</v>
      </c>
      <c r="L7614" t="n">
        <v>0</v>
      </c>
      <c r="M7614" t="n">
        <v>0</v>
      </c>
      <c r="N7614" t="n">
        <v>0</v>
      </c>
      <c r="O7614" t="n">
        <v>0</v>
      </c>
      <c r="P7614" t="n">
        <v>0</v>
      </c>
      <c r="Q7614" t="n">
        <v>0</v>
      </c>
      <c r="R7614" s="2" t="inlineStr"/>
    </row>
    <row r="7615" ht="15" customHeight="1">
      <c r="A7615" t="inlineStr">
        <is>
          <t>A 13490-2025</t>
        </is>
      </c>
      <c r="B7615" s="1" t="n">
        <v>45736</v>
      </c>
      <c r="C7615" s="1" t="n">
        <v>45932</v>
      </c>
      <c r="D7615" t="inlineStr">
        <is>
          <t>VÄRMLANDS LÄN</t>
        </is>
      </c>
      <c r="E7615" t="inlineStr">
        <is>
          <t>ARVIKA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33575-2025</t>
        </is>
      </c>
      <c r="B7616" s="1" t="n">
        <v>45841</v>
      </c>
      <c r="C7616" s="1" t="n">
        <v>45932</v>
      </c>
      <c r="D7616" t="inlineStr">
        <is>
          <t>VÄRMLANDS LÄN</t>
        </is>
      </c>
      <c r="E7616" t="inlineStr">
        <is>
          <t>ARVIKA</t>
        </is>
      </c>
      <c r="G7616" t="n">
        <v>14.3</v>
      </c>
      <c r="H7616" t="n">
        <v>0</v>
      </c>
      <c r="I7616" t="n">
        <v>0</v>
      </c>
      <c r="J7616" t="n">
        <v>0</v>
      </c>
      <c r="K7616" t="n">
        <v>0</v>
      </c>
      <c r="L7616" t="n">
        <v>0</v>
      </c>
      <c r="M7616" t="n">
        <v>0</v>
      </c>
      <c r="N7616" t="n">
        <v>0</v>
      </c>
      <c r="O7616" t="n">
        <v>0</v>
      </c>
      <c r="P7616" t="n">
        <v>0</v>
      </c>
      <c r="Q7616" t="n">
        <v>0</v>
      </c>
      <c r="R7616" s="2" t="inlineStr"/>
    </row>
    <row r="7617" ht="15" customHeight="1">
      <c r="A7617" t="inlineStr">
        <is>
          <t>A 33412-2025</t>
        </is>
      </c>
      <c r="B7617" s="1" t="n">
        <v>45841</v>
      </c>
      <c r="C7617" s="1" t="n">
        <v>45932</v>
      </c>
      <c r="D7617" t="inlineStr">
        <is>
          <t>VÄRMLANDS LÄN</t>
        </is>
      </c>
      <c r="E7617" t="inlineStr">
        <is>
          <t>ÅRJÄNG</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49683-2023</t>
        </is>
      </c>
      <c r="B7618" s="1" t="n">
        <v>45212</v>
      </c>
      <c r="C7618" s="1" t="n">
        <v>45932</v>
      </c>
      <c r="D7618" t="inlineStr">
        <is>
          <t>VÄRMLANDS LÄN</t>
        </is>
      </c>
      <c r="E7618" t="inlineStr">
        <is>
          <t>SUNNE</t>
        </is>
      </c>
      <c r="F7618" t="inlineStr">
        <is>
          <t>Kommuner</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40080-2025</t>
        </is>
      </c>
      <c r="B7619" s="1" t="n">
        <v>45894</v>
      </c>
      <c r="C7619" s="1" t="n">
        <v>45932</v>
      </c>
      <c r="D7619" t="inlineStr">
        <is>
          <t>VÄRMLANDS LÄN</t>
        </is>
      </c>
      <c r="E7619" t="inlineStr">
        <is>
          <t>FORSHAGA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50640-2023</t>
        </is>
      </c>
      <c r="B7620" s="1" t="n">
        <v>45217.46871527778</v>
      </c>
      <c r="C7620" s="1" t="n">
        <v>45932</v>
      </c>
      <c r="D7620" t="inlineStr">
        <is>
          <t>VÄRMLANDS LÄN</t>
        </is>
      </c>
      <c r="E7620" t="inlineStr">
        <is>
          <t>GRUMS</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33187-2025</t>
        </is>
      </c>
      <c r="B7621" s="1" t="n">
        <v>45840.59494212963</v>
      </c>
      <c r="C7621" s="1" t="n">
        <v>45932</v>
      </c>
      <c r="D7621" t="inlineStr">
        <is>
          <t>VÄRMLANDS LÄN</t>
        </is>
      </c>
      <c r="E7621" t="inlineStr">
        <is>
          <t>HAGFORS</t>
        </is>
      </c>
      <c r="G7621" t="n">
        <v>18.2</v>
      </c>
      <c r="H7621" t="n">
        <v>0</v>
      </c>
      <c r="I7621" t="n">
        <v>0</v>
      </c>
      <c r="J7621" t="n">
        <v>0</v>
      </c>
      <c r="K7621" t="n">
        <v>0</v>
      </c>
      <c r="L7621" t="n">
        <v>0</v>
      </c>
      <c r="M7621" t="n">
        <v>0</v>
      </c>
      <c r="N7621" t="n">
        <v>0</v>
      </c>
      <c r="O7621" t="n">
        <v>0</v>
      </c>
      <c r="P7621" t="n">
        <v>0</v>
      </c>
      <c r="Q7621" t="n">
        <v>0</v>
      </c>
      <c r="R7621" s="2" t="inlineStr"/>
    </row>
    <row r="7622" ht="15" customHeight="1">
      <c r="A7622" t="inlineStr">
        <is>
          <t>A 33189-2025</t>
        </is>
      </c>
      <c r="B7622" s="1" t="n">
        <v>45840.59884259259</v>
      </c>
      <c r="C7622" s="1" t="n">
        <v>45932</v>
      </c>
      <c r="D7622" t="inlineStr">
        <is>
          <t>VÄRMLANDS LÄN</t>
        </is>
      </c>
      <c r="E7622" t="inlineStr">
        <is>
          <t>TORSBY</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33973-2023</t>
        </is>
      </c>
      <c r="B7623" s="1" t="n">
        <v>45124</v>
      </c>
      <c r="C7623" s="1" t="n">
        <v>45932</v>
      </c>
      <c r="D7623" t="inlineStr">
        <is>
          <t>VÄRMLANDS LÄN</t>
        </is>
      </c>
      <c r="E7623" t="inlineStr">
        <is>
          <t>FILIPSTAD</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46850-2025</t>
        </is>
      </c>
      <c r="B7624" s="1" t="n">
        <v>45928.85655092593</v>
      </c>
      <c r="C7624" s="1" t="n">
        <v>45932</v>
      </c>
      <c r="D7624" t="inlineStr">
        <is>
          <t>VÄRMLANDS LÄN</t>
        </is>
      </c>
      <c r="E7624" t="inlineStr">
        <is>
          <t>SUNNE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46851-2025</t>
        </is>
      </c>
      <c r="B7625" s="1" t="n">
        <v>45928.85929398148</v>
      </c>
      <c r="C7625" s="1" t="n">
        <v>45932</v>
      </c>
      <c r="D7625" t="inlineStr">
        <is>
          <t>VÄRMLANDS LÄN</t>
        </is>
      </c>
      <c r="E7625" t="inlineStr">
        <is>
          <t>SUNNE</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46868-2025</t>
        </is>
      </c>
      <c r="B7626" s="1" t="n">
        <v>45929.33350694444</v>
      </c>
      <c r="C7626" s="1" t="n">
        <v>45932</v>
      </c>
      <c r="D7626" t="inlineStr">
        <is>
          <t>VÄRMLANDS LÄN</t>
        </is>
      </c>
      <c r="E7626" t="inlineStr">
        <is>
          <t>FORSHAGA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33526-2025</t>
        </is>
      </c>
      <c r="B7627" s="1" t="n">
        <v>45841.54869212963</v>
      </c>
      <c r="C7627" s="1" t="n">
        <v>45932</v>
      </c>
      <c r="D7627" t="inlineStr">
        <is>
          <t>VÄRMLANDS LÄN</t>
        </is>
      </c>
      <c r="E7627" t="inlineStr">
        <is>
          <t>ÅRJÄNG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32983-2025</t>
        </is>
      </c>
      <c r="B7628" s="1" t="n">
        <v>45839.92967592592</v>
      </c>
      <c r="C7628" s="1" t="n">
        <v>45932</v>
      </c>
      <c r="D7628" t="inlineStr">
        <is>
          <t>VÄRMLANDS LÄN</t>
        </is>
      </c>
      <c r="E7628" t="inlineStr">
        <is>
          <t>TORSBY</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34055-2023</t>
        </is>
      </c>
      <c r="B7629" s="1" t="n">
        <v>45125</v>
      </c>
      <c r="C7629" s="1" t="n">
        <v>45932</v>
      </c>
      <c r="D7629" t="inlineStr">
        <is>
          <t>VÄRMLANDS LÄN</t>
        </is>
      </c>
      <c r="E7629" t="inlineStr">
        <is>
          <t>SUNNE</t>
        </is>
      </c>
      <c r="G7629" t="n">
        <v>5.5</v>
      </c>
      <c r="H7629" t="n">
        <v>0</v>
      </c>
      <c r="I7629" t="n">
        <v>0</v>
      </c>
      <c r="J7629" t="n">
        <v>0</v>
      </c>
      <c r="K7629" t="n">
        <v>0</v>
      </c>
      <c r="L7629" t="n">
        <v>0</v>
      </c>
      <c r="M7629" t="n">
        <v>0</v>
      </c>
      <c r="N7629" t="n">
        <v>0</v>
      </c>
      <c r="O7629" t="n">
        <v>0</v>
      </c>
      <c r="P7629" t="n">
        <v>0</v>
      </c>
      <c r="Q7629" t="n">
        <v>0</v>
      </c>
      <c r="R7629" s="2" t="inlineStr"/>
    </row>
    <row r="7630" ht="15" customHeight="1">
      <c r="A7630" t="inlineStr">
        <is>
          <t>A 17036-2023</t>
        </is>
      </c>
      <c r="B7630" s="1" t="n">
        <v>45034</v>
      </c>
      <c r="C7630" s="1" t="n">
        <v>45932</v>
      </c>
      <c r="D7630" t="inlineStr">
        <is>
          <t>VÄRMLANDS LÄN</t>
        </is>
      </c>
      <c r="E7630" t="inlineStr">
        <is>
          <t>SUNNE</t>
        </is>
      </c>
      <c r="F7630" t="inlineStr">
        <is>
          <t>Övriga Aktiebolag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36030-2023</t>
        </is>
      </c>
      <c r="B7631" s="1" t="n">
        <v>45149.38164351852</v>
      </c>
      <c r="C7631" s="1" t="n">
        <v>45932</v>
      </c>
      <c r="D7631" t="inlineStr">
        <is>
          <t>VÄRMLANDS LÄN</t>
        </is>
      </c>
      <c r="E7631" t="inlineStr">
        <is>
          <t>HAGFORS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41175-2024</t>
        </is>
      </c>
      <c r="B7632" s="1" t="n">
        <v>45559.4950925926</v>
      </c>
      <c r="C7632" s="1" t="n">
        <v>45932</v>
      </c>
      <c r="D7632" t="inlineStr">
        <is>
          <t>VÄRMLANDS LÄN</t>
        </is>
      </c>
      <c r="E7632" t="inlineStr">
        <is>
          <t>ARVIKA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33027-2025</t>
        </is>
      </c>
      <c r="B7633" s="1" t="n">
        <v>45840.38318287037</v>
      </c>
      <c r="C7633" s="1" t="n">
        <v>45932</v>
      </c>
      <c r="D7633" t="inlineStr">
        <is>
          <t>VÄRMLANDS LÄN</t>
        </is>
      </c>
      <c r="E7633" t="inlineStr">
        <is>
          <t>SUNNE</t>
        </is>
      </c>
      <c r="F7633" t="inlineStr">
        <is>
          <t>Bergvik skog väst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18336-2023</t>
        </is>
      </c>
      <c r="B7634" s="1" t="n">
        <v>45041</v>
      </c>
      <c r="C7634" s="1" t="n">
        <v>45932</v>
      </c>
      <c r="D7634" t="inlineStr">
        <is>
          <t>VÄRMLANDS LÄN</t>
        </is>
      </c>
      <c r="E7634" t="inlineStr">
        <is>
          <t>KIL</t>
        </is>
      </c>
      <c r="F7634" t="inlineStr">
        <is>
          <t>Bergvik skog väst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17827-2025</t>
        </is>
      </c>
      <c r="B7635" s="1" t="n">
        <v>45758.57596064815</v>
      </c>
      <c r="C7635" s="1" t="n">
        <v>45932</v>
      </c>
      <c r="D7635" t="inlineStr">
        <is>
          <t>VÄRMLANDS LÄN</t>
        </is>
      </c>
      <c r="E7635" t="inlineStr">
        <is>
          <t>ÅRJÄNG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17841-2025</t>
        </is>
      </c>
      <c r="B7636" s="1" t="n">
        <v>45758</v>
      </c>
      <c r="C7636" s="1" t="n">
        <v>45932</v>
      </c>
      <c r="D7636" t="inlineStr">
        <is>
          <t>VÄRMLANDS LÄN</t>
        </is>
      </c>
      <c r="E7636" t="inlineStr">
        <is>
          <t>TORSBY</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33379-2025</t>
        </is>
      </c>
      <c r="B7637" s="1" t="n">
        <v>45841.40168981482</v>
      </c>
      <c r="C7637" s="1" t="n">
        <v>45932</v>
      </c>
      <c r="D7637" t="inlineStr">
        <is>
          <t>VÄRMLANDS LÄN</t>
        </is>
      </c>
      <c r="E7637" t="inlineStr">
        <is>
          <t>FILIPSTAD</t>
        </is>
      </c>
      <c r="F7637" t="inlineStr">
        <is>
          <t>Bergvik skog väst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61104-2023</t>
        </is>
      </c>
      <c r="B7638" s="1" t="n">
        <v>45261.66388888889</v>
      </c>
      <c r="C7638" s="1" t="n">
        <v>45932</v>
      </c>
      <c r="D7638" t="inlineStr">
        <is>
          <t>VÄRMLANDS LÄN</t>
        </is>
      </c>
      <c r="E7638" t="inlineStr">
        <is>
          <t>EDA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61108-2023</t>
        </is>
      </c>
      <c r="B7639" s="1" t="n">
        <v>45260</v>
      </c>
      <c r="C7639" s="1" t="n">
        <v>45932</v>
      </c>
      <c r="D7639" t="inlineStr">
        <is>
          <t>VÄRMLANDS LÄN</t>
        </is>
      </c>
      <c r="E7639" t="inlineStr">
        <is>
          <t>KARLSTAD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33031-2025</t>
        </is>
      </c>
      <c r="B7640" s="1" t="n">
        <v>45840.38782407407</v>
      </c>
      <c r="C7640" s="1" t="n">
        <v>45932</v>
      </c>
      <c r="D7640" t="inlineStr">
        <is>
          <t>VÄRMLANDS LÄN</t>
        </is>
      </c>
      <c r="E7640" t="inlineStr">
        <is>
          <t>ARVIKA</t>
        </is>
      </c>
      <c r="F7640" t="inlineStr">
        <is>
          <t>Bergvik skog väst AB</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33039-2025</t>
        </is>
      </c>
      <c r="B7641" s="1" t="n">
        <v>45840.40047453704</v>
      </c>
      <c r="C7641" s="1" t="n">
        <v>45932</v>
      </c>
      <c r="D7641" t="inlineStr">
        <is>
          <t>VÄRMLANDS LÄN</t>
        </is>
      </c>
      <c r="E7641" t="inlineStr">
        <is>
          <t>EDA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20413-2025</t>
        </is>
      </c>
      <c r="B7642" s="1" t="n">
        <v>45775.46146990741</v>
      </c>
      <c r="C7642" s="1" t="n">
        <v>45932</v>
      </c>
      <c r="D7642" t="inlineStr">
        <is>
          <t>VÄRMLANDS LÄN</t>
        </is>
      </c>
      <c r="E7642" t="inlineStr">
        <is>
          <t>EDA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20457-2025</t>
        </is>
      </c>
      <c r="B7643" s="1" t="n">
        <v>45775.5158912037</v>
      </c>
      <c r="C7643" s="1" t="n">
        <v>45932</v>
      </c>
      <c r="D7643" t="inlineStr">
        <is>
          <t>VÄRMLANDS LÄN</t>
        </is>
      </c>
      <c r="E7643" t="inlineStr">
        <is>
          <t>SUNNE</t>
        </is>
      </c>
      <c r="F7643" t="inlineStr">
        <is>
          <t>Övriga Aktiebolag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33573-2025</t>
        </is>
      </c>
      <c r="B7644" s="1" t="n">
        <v>45841</v>
      </c>
      <c r="C7644" s="1" t="n">
        <v>45932</v>
      </c>
      <c r="D7644" t="inlineStr">
        <is>
          <t>VÄRMLANDS LÄN</t>
        </is>
      </c>
      <c r="E7644" t="inlineStr">
        <is>
          <t>KRISTINEHAMN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33578-2025</t>
        </is>
      </c>
      <c r="B7645" s="1" t="n">
        <v>45841</v>
      </c>
      <c r="C7645" s="1" t="n">
        <v>45932</v>
      </c>
      <c r="D7645" t="inlineStr">
        <is>
          <t>VÄRMLANDS LÄN</t>
        </is>
      </c>
      <c r="E7645" t="inlineStr">
        <is>
          <t>KRISTINEHAMN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11892-2025</t>
        </is>
      </c>
      <c r="B7646" s="1" t="n">
        <v>45728.46597222222</v>
      </c>
      <c r="C7646" s="1" t="n">
        <v>45932</v>
      </c>
      <c r="D7646" t="inlineStr">
        <is>
          <t>VÄRMLANDS LÄN</t>
        </is>
      </c>
      <c r="E7646" t="inlineStr">
        <is>
          <t>ARVIKA</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56682-2021</t>
        </is>
      </c>
      <c r="B7647" s="1" t="n">
        <v>44481</v>
      </c>
      <c r="C7647" s="1" t="n">
        <v>45932</v>
      </c>
      <c r="D7647" t="inlineStr">
        <is>
          <t>VÄRMLANDS LÄN</t>
        </is>
      </c>
      <c r="E7647" t="inlineStr">
        <is>
          <t>ÅRJÄNG</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38674-2025</t>
        </is>
      </c>
      <c r="B7648" s="1" t="n">
        <v>45884</v>
      </c>
      <c r="C7648" s="1" t="n">
        <v>45932</v>
      </c>
      <c r="D7648" t="inlineStr">
        <is>
          <t>VÄRMLANDS LÄN</t>
        </is>
      </c>
      <c r="E7648" t="inlineStr">
        <is>
          <t>ARVIKA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33627-2025</t>
        </is>
      </c>
      <c r="B7649" s="1" t="n">
        <v>45841.63614583333</v>
      </c>
      <c r="C7649" s="1" t="n">
        <v>45932</v>
      </c>
      <c r="D7649" t="inlineStr">
        <is>
          <t>VÄRMLANDS LÄN</t>
        </is>
      </c>
      <c r="E7649" t="inlineStr">
        <is>
          <t>SUNNE</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41156-2023</t>
        </is>
      </c>
      <c r="B7650" s="1" t="n">
        <v>45174</v>
      </c>
      <c r="C7650" s="1" t="n">
        <v>45932</v>
      </c>
      <c r="D7650" t="inlineStr">
        <is>
          <t>VÄRMLANDS LÄN</t>
        </is>
      </c>
      <c r="E7650" t="inlineStr">
        <is>
          <t>TORSBY</t>
        </is>
      </c>
      <c r="F7650" t="inlineStr">
        <is>
          <t>Kyrkan</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35065-2023</t>
        </is>
      </c>
      <c r="B7651" s="1" t="n">
        <v>45145</v>
      </c>
      <c r="C7651" s="1" t="n">
        <v>45932</v>
      </c>
      <c r="D7651" t="inlineStr">
        <is>
          <t>VÄRMLANDS LÄN</t>
        </is>
      </c>
      <c r="E7651" t="inlineStr">
        <is>
          <t>HAGFORS</t>
        </is>
      </c>
      <c r="G7651" t="n">
        <v>13.5</v>
      </c>
      <c r="H7651" t="n">
        <v>0</v>
      </c>
      <c r="I7651" t="n">
        <v>0</v>
      </c>
      <c r="J7651" t="n">
        <v>0</v>
      </c>
      <c r="K7651" t="n">
        <v>0</v>
      </c>
      <c r="L7651" t="n">
        <v>0</v>
      </c>
      <c r="M7651" t="n">
        <v>0</v>
      </c>
      <c r="N7651" t="n">
        <v>0</v>
      </c>
      <c r="O7651" t="n">
        <v>0</v>
      </c>
      <c r="P7651" t="n">
        <v>0</v>
      </c>
      <c r="Q7651" t="n">
        <v>0</v>
      </c>
      <c r="R7651" s="2" t="inlineStr"/>
    </row>
    <row r="7652" ht="15" customHeight="1">
      <c r="A7652" t="inlineStr">
        <is>
          <t>A 33440-2025</t>
        </is>
      </c>
      <c r="B7652" s="1" t="n">
        <v>45841</v>
      </c>
      <c r="C7652" s="1" t="n">
        <v>45932</v>
      </c>
      <c r="D7652" t="inlineStr">
        <is>
          <t>VÄRMLANDS LÄN</t>
        </is>
      </c>
      <c r="E7652" t="inlineStr">
        <is>
          <t>HAGFORS</t>
        </is>
      </c>
      <c r="F7652" t="inlineStr">
        <is>
          <t>Bergvik skog väst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33592-2025</t>
        </is>
      </c>
      <c r="B7653" s="1" t="n">
        <v>45841</v>
      </c>
      <c r="C7653" s="1" t="n">
        <v>45932</v>
      </c>
      <c r="D7653" t="inlineStr">
        <is>
          <t>VÄRMLANDS LÄN</t>
        </is>
      </c>
      <c r="E7653" t="inlineStr">
        <is>
          <t>KRISTINEHAMN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37979-2025</t>
        </is>
      </c>
      <c r="B7654" s="1" t="n">
        <v>45881</v>
      </c>
      <c r="C7654" s="1" t="n">
        <v>45932</v>
      </c>
      <c r="D7654" t="inlineStr">
        <is>
          <t>VÄRMLANDS LÄN</t>
        </is>
      </c>
      <c r="E7654" t="inlineStr">
        <is>
          <t>SÄFFLE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33632-2025</t>
        </is>
      </c>
      <c r="B7655" s="1" t="n">
        <v>45841.64119212963</v>
      </c>
      <c r="C7655" s="1" t="n">
        <v>45932</v>
      </c>
      <c r="D7655" t="inlineStr">
        <is>
          <t>VÄRMLANDS LÄN</t>
        </is>
      </c>
      <c r="E7655" t="inlineStr">
        <is>
          <t>SUNNE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27886-2023</t>
        </is>
      </c>
      <c r="B7656" s="1" t="n">
        <v>45098.60960648148</v>
      </c>
      <c r="C7656" s="1" t="n">
        <v>45932</v>
      </c>
      <c r="D7656" t="inlineStr">
        <is>
          <t>VÄRMLANDS LÄN</t>
        </is>
      </c>
      <c r="E7656" t="inlineStr">
        <is>
          <t>EDA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33521-2025</t>
        </is>
      </c>
      <c r="B7657" s="1" t="n">
        <v>45841</v>
      </c>
      <c r="C7657" s="1" t="n">
        <v>45932</v>
      </c>
      <c r="D7657" t="inlineStr">
        <is>
          <t>VÄRMLANDS LÄN</t>
        </is>
      </c>
      <c r="E7657" t="inlineStr">
        <is>
          <t>ARVIKA</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33161-2025</t>
        </is>
      </c>
      <c r="B7658" s="1" t="n">
        <v>45840.56846064814</v>
      </c>
      <c r="C7658" s="1" t="n">
        <v>45932</v>
      </c>
      <c r="D7658" t="inlineStr">
        <is>
          <t>VÄRMLANDS LÄN</t>
        </is>
      </c>
      <c r="E7658" t="inlineStr">
        <is>
          <t>TORSBY</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57142-2024</t>
        </is>
      </c>
      <c r="B7659" s="1" t="n">
        <v>45628</v>
      </c>
      <c r="C7659" s="1" t="n">
        <v>45932</v>
      </c>
      <c r="D7659" t="inlineStr">
        <is>
          <t>VÄRMLANDS LÄN</t>
        </is>
      </c>
      <c r="E7659" t="inlineStr">
        <is>
          <t>ÅRJÄNG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34580-2022</t>
        </is>
      </c>
      <c r="B7660" s="1" t="n">
        <v>44795</v>
      </c>
      <c r="C7660" s="1" t="n">
        <v>45932</v>
      </c>
      <c r="D7660" t="inlineStr">
        <is>
          <t>VÄRMLANDS LÄN</t>
        </is>
      </c>
      <c r="E7660" t="inlineStr">
        <is>
          <t>GRUMS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34667-2022</t>
        </is>
      </c>
      <c r="B7661" s="1" t="n">
        <v>44795</v>
      </c>
      <c r="C7661" s="1" t="n">
        <v>45932</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27939-2023</t>
        </is>
      </c>
      <c r="B7662" s="1" t="n">
        <v>45098</v>
      </c>
      <c r="C7662" s="1" t="n">
        <v>45932</v>
      </c>
      <c r="D7662" t="inlineStr">
        <is>
          <t>VÄRMLANDS LÄN</t>
        </is>
      </c>
      <c r="E7662" t="inlineStr">
        <is>
          <t>KRISTINEHAMN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27991-2023</t>
        </is>
      </c>
      <c r="B7663" s="1" t="n">
        <v>45098.86320601852</v>
      </c>
      <c r="C7663" s="1" t="n">
        <v>45932</v>
      </c>
      <c r="D7663" t="inlineStr">
        <is>
          <t>VÄRMLANDS LÄN</t>
        </is>
      </c>
      <c r="E7663" t="inlineStr">
        <is>
          <t>SUNNE</t>
        </is>
      </c>
      <c r="G7663" t="n">
        <v>13.9</v>
      </c>
      <c r="H7663" t="n">
        <v>0</v>
      </c>
      <c r="I7663" t="n">
        <v>0</v>
      </c>
      <c r="J7663" t="n">
        <v>0</v>
      </c>
      <c r="K7663" t="n">
        <v>0</v>
      </c>
      <c r="L7663" t="n">
        <v>0</v>
      </c>
      <c r="M7663" t="n">
        <v>0</v>
      </c>
      <c r="N7663" t="n">
        <v>0</v>
      </c>
      <c r="O7663" t="n">
        <v>0</v>
      </c>
      <c r="P7663" t="n">
        <v>0</v>
      </c>
      <c r="Q7663" t="n">
        <v>0</v>
      </c>
      <c r="R7663" s="2" t="inlineStr"/>
    </row>
    <row r="7664" ht="15" customHeight="1">
      <c r="A7664" t="inlineStr">
        <is>
          <t>A 55423-2021</t>
        </is>
      </c>
      <c r="B7664" s="1" t="n">
        <v>44475</v>
      </c>
      <c r="C7664" s="1" t="n">
        <v>45932</v>
      </c>
      <c r="D7664" t="inlineStr">
        <is>
          <t>VÄRMLANDS LÄN</t>
        </is>
      </c>
      <c r="E7664" t="inlineStr">
        <is>
          <t>SUNNE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55430-2021</t>
        </is>
      </c>
      <c r="B7665" s="1" t="n">
        <v>44475</v>
      </c>
      <c r="C7665" s="1" t="n">
        <v>45932</v>
      </c>
      <c r="D7665" t="inlineStr">
        <is>
          <t>VÄRMLANDS LÄN</t>
        </is>
      </c>
      <c r="E7665" t="inlineStr">
        <is>
          <t>SUNNE</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33653-2025</t>
        </is>
      </c>
      <c r="B7666" s="1" t="n">
        <v>45841</v>
      </c>
      <c r="C7666" s="1" t="n">
        <v>45932</v>
      </c>
      <c r="D7666" t="inlineStr">
        <is>
          <t>VÄRMLANDS LÄN</t>
        </is>
      </c>
      <c r="E7666" t="inlineStr">
        <is>
          <t>SUNNE</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33171-2025</t>
        </is>
      </c>
      <c r="B7667" s="1" t="n">
        <v>45840.58363425926</v>
      </c>
      <c r="C7667" s="1" t="n">
        <v>45932</v>
      </c>
      <c r="D7667" t="inlineStr">
        <is>
          <t>VÄRMLANDS LÄN</t>
        </is>
      </c>
      <c r="E7667" t="inlineStr">
        <is>
          <t>HAGFORS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59625-2024</t>
        </is>
      </c>
      <c r="B7668" s="1" t="n">
        <v>45638</v>
      </c>
      <c r="C7668" s="1" t="n">
        <v>45932</v>
      </c>
      <c r="D7668" t="inlineStr">
        <is>
          <t>VÄRMLANDS LÄN</t>
        </is>
      </c>
      <c r="E7668" t="inlineStr">
        <is>
          <t>ARVIKA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59666-2024</t>
        </is>
      </c>
      <c r="B7669" s="1" t="n">
        <v>45639</v>
      </c>
      <c r="C7669" s="1" t="n">
        <v>45932</v>
      </c>
      <c r="D7669" t="inlineStr">
        <is>
          <t>VÄRMLANDS LÄN</t>
        </is>
      </c>
      <c r="E7669" t="inlineStr">
        <is>
          <t>HAGFORS</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33449-2025</t>
        </is>
      </c>
      <c r="B7670" s="1" t="n">
        <v>45841.46604166667</v>
      </c>
      <c r="C7670" s="1" t="n">
        <v>45932</v>
      </c>
      <c r="D7670" t="inlineStr">
        <is>
          <t>VÄRMLANDS LÄN</t>
        </is>
      </c>
      <c r="E7670" t="inlineStr">
        <is>
          <t>FILIPSTAD</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37959-2025</t>
        </is>
      </c>
      <c r="B7671" s="1" t="n">
        <v>45881</v>
      </c>
      <c r="C7671" s="1" t="n">
        <v>45932</v>
      </c>
      <c r="D7671" t="inlineStr">
        <is>
          <t>VÄRMLANDS LÄN</t>
        </is>
      </c>
      <c r="E7671" t="inlineStr">
        <is>
          <t>SÄFFLE</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58097-2022</t>
        </is>
      </c>
      <c r="B7672" s="1" t="n">
        <v>44900.63787037037</v>
      </c>
      <c r="C7672" s="1" t="n">
        <v>45932</v>
      </c>
      <c r="D7672" t="inlineStr">
        <is>
          <t>VÄRMLANDS LÄN</t>
        </is>
      </c>
      <c r="E7672" t="inlineStr">
        <is>
          <t>SUNNE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16684-2025</t>
        </is>
      </c>
      <c r="B7673" s="1" t="n">
        <v>45754.45274305555</v>
      </c>
      <c r="C7673" s="1" t="n">
        <v>45932</v>
      </c>
      <c r="D7673" t="inlineStr">
        <is>
          <t>VÄRMLANDS LÄN</t>
        </is>
      </c>
      <c r="E7673" t="inlineStr">
        <is>
          <t>MUNKFORS</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16712-2025</t>
        </is>
      </c>
      <c r="B7674" s="1" t="n">
        <v>45754.48180555556</v>
      </c>
      <c r="C7674" s="1" t="n">
        <v>45932</v>
      </c>
      <c r="D7674" t="inlineStr">
        <is>
          <t>VÄRMLANDS LÄN</t>
        </is>
      </c>
      <c r="E7674" t="inlineStr">
        <is>
          <t>SUNNE</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16714-2025</t>
        </is>
      </c>
      <c r="B7675" s="1" t="n">
        <v>45754</v>
      </c>
      <c r="C7675" s="1" t="n">
        <v>45932</v>
      </c>
      <c r="D7675" t="inlineStr">
        <is>
          <t>VÄRMLANDS LÄN</t>
        </is>
      </c>
      <c r="E7675" t="inlineStr">
        <is>
          <t>STORFORS</t>
        </is>
      </c>
      <c r="F7675" t="inlineStr">
        <is>
          <t>Bergvik skog väst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33481-2025</t>
        </is>
      </c>
      <c r="B7676" s="1" t="n">
        <v>45841</v>
      </c>
      <c r="C7676" s="1" t="n">
        <v>45932</v>
      </c>
      <c r="D7676" t="inlineStr">
        <is>
          <t>VÄRMLANDS LÄN</t>
        </is>
      </c>
      <c r="E7676" t="inlineStr">
        <is>
          <t>ÅRJÄNG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38132-2022</t>
        </is>
      </c>
      <c r="B7677" s="1" t="n">
        <v>44812</v>
      </c>
      <c r="C7677" s="1" t="n">
        <v>45932</v>
      </c>
      <c r="D7677" t="inlineStr">
        <is>
          <t>VÄRMLANDS LÄN</t>
        </is>
      </c>
      <c r="E7677" t="inlineStr">
        <is>
          <t>HAGFORS</t>
        </is>
      </c>
      <c r="F7677" t="inlineStr">
        <is>
          <t>Kyrkan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55249-2023</t>
        </is>
      </c>
      <c r="B7678" s="1" t="n">
        <v>45237.64636574074</v>
      </c>
      <c r="C7678" s="1" t="n">
        <v>45932</v>
      </c>
      <c r="D7678" t="inlineStr">
        <is>
          <t>VÄRMLANDS LÄN</t>
        </is>
      </c>
      <c r="E7678" t="inlineStr">
        <is>
          <t>FORSHAGA</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33838-2025</t>
        </is>
      </c>
      <c r="B7679" s="1" t="n">
        <v>45842</v>
      </c>
      <c r="C7679" s="1" t="n">
        <v>45932</v>
      </c>
      <c r="D7679" t="inlineStr">
        <is>
          <t>VÄRMLANDS LÄN</t>
        </is>
      </c>
      <c r="E7679" t="inlineStr">
        <is>
          <t>SÄFFLE</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33867-2025</t>
        </is>
      </c>
      <c r="B7680" s="1" t="n">
        <v>45842</v>
      </c>
      <c r="C7680" s="1" t="n">
        <v>45932</v>
      </c>
      <c r="D7680" t="inlineStr">
        <is>
          <t>VÄRMLANDS LÄN</t>
        </is>
      </c>
      <c r="E7680" t="inlineStr">
        <is>
          <t>SÄFFLE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33896-2025</t>
        </is>
      </c>
      <c r="B7681" s="1" t="n">
        <v>45842.59207175926</v>
      </c>
      <c r="C7681" s="1" t="n">
        <v>45932</v>
      </c>
      <c r="D7681" t="inlineStr">
        <is>
          <t>VÄRMLANDS LÄN</t>
        </is>
      </c>
      <c r="E7681" t="inlineStr">
        <is>
          <t>SUNNE</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64672-2023</t>
        </is>
      </c>
      <c r="B7682" s="1" t="n">
        <v>45281.61913194445</v>
      </c>
      <c r="C7682" s="1" t="n">
        <v>45932</v>
      </c>
      <c r="D7682" t="inlineStr">
        <is>
          <t>VÄRMLANDS LÄN</t>
        </is>
      </c>
      <c r="E7682" t="inlineStr">
        <is>
          <t>TORSBY</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34150-2025</t>
        </is>
      </c>
      <c r="B7683" s="1" t="n">
        <v>45845.56644675926</v>
      </c>
      <c r="C7683" s="1" t="n">
        <v>45932</v>
      </c>
      <c r="D7683" t="inlineStr">
        <is>
          <t>VÄRMLANDS LÄN</t>
        </is>
      </c>
      <c r="E7683" t="inlineStr">
        <is>
          <t>EDA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34153-2025</t>
        </is>
      </c>
      <c r="B7684" s="1" t="n">
        <v>45845.57174768519</v>
      </c>
      <c r="C7684" s="1" t="n">
        <v>45932</v>
      </c>
      <c r="D7684" t="inlineStr">
        <is>
          <t>VÄRMLANDS LÄN</t>
        </is>
      </c>
      <c r="E7684" t="inlineStr">
        <is>
          <t>HAGFORS</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34158-2025</t>
        </is>
      </c>
      <c r="B7685" s="1" t="n">
        <v>45845.57493055556</v>
      </c>
      <c r="C7685" s="1" t="n">
        <v>45932</v>
      </c>
      <c r="D7685" t="inlineStr">
        <is>
          <t>VÄRMLANDS LÄN</t>
        </is>
      </c>
      <c r="E7685" t="inlineStr">
        <is>
          <t>HAGFORS</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34262-2024</t>
        </is>
      </c>
      <c r="B7686" s="1" t="n">
        <v>45524.60002314814</v>
      </c>
      <c r="C7686" s="1" t="n">
        <v>45932</v>
      </c>
      <c r="D7686" t="inlineStr">
        <is>
          <t>VÄRMLANDS LÄN</t>
        </is>
      </c>
      <c r="E7686" t="inlineStr">
        <is>
          <t>FILIPSTAD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33983-2025</t>
        </is>
      </c>
      <c r="B7687" s="1" t="n">
        <v>45843</v>
      </c>
      <c r="C7687" s="1" t="n">
        <v>45932</v>
      </c>
      <c r="D7687" t="inlineStr">
        <is>
          <t>VÄRMLANDS LÄN</t>
        </is>
      </c>
      <c r="E7687" t="inlineStr">
        <is>
          <t>ARVIKA</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33998-2025</t>
        </is>
      </c>
      <c r="B7688" s="1" t="n">
        <v>45843.99453703704</v>
      </c>
      <c r="C7688" s="1" t="n">
        <v>45932</v>
      </c>
      <c r="D7688" t="inlineStr">
        <is>
          <t>VÄRMLANDS LÄN</t>
        </is>
      </c>
      <c r="E7688" t="inlineStr">
        <is>
          <t>ÅRJÄNG</t>
        </is>
      </c>
      <c r="F7688" t="inlineStr">
        <is>
          <t>Kyrkan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34849-2024</t>
        </is>
      </c>
      <c r="B7689" s="1" t="n">
        <v>45527</v>
      </c>
      <c r="C7689" s="1" t="n">
        <v>45932</v>
      </c>
      <c r="D7689" t="inlineStr">
        <is>
          <t>VÄRMLANDS LÄN</t>
        </is>
      </c>
      <c r="E7689" t="inlineStr">
        <is>
          <t>FORSHAGA</t>
        </is>
      </c>
      <c r="F7689" t="inlineStr">
        <is>
          <t>Bergvik skog väst AB</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46740-2025</t>
        </is>
      </c>
      <c r="B7690" s="1" t="n">
        <v>45926.60765046296</v>
      </c>
      <c r="C7690" s="1" t="n">
        <v>45932</v>
      </c>
      <c r="D7690" t="inlineStr">
        <is>
          <t>VÄRMLANDS LÄN</t>
        </is>
      </c>
      <c r="E7690" t="inlineStr">
        <is>
          <t>FORSHAGA</t>
        </is>
      </c>
      <c r="F7690" t="inlineStr">
        <is>
          <t>Bergvik skog väst AB</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46756-2025</t>
        </is>
      </c>
      <c r="B7691" s="1" t="n">
        <v>45926.61857638889</v>
      </c>
      <c r="C7691" s="1" t="n">
        <v>45932</v>
      </c>
      <c r="D7691" t="inlineStr">
        <is>
          <t>VÄRMLANDS LÄN</t>
        </is>
      </c>
      <c r="E7691" t="inlineStr">
        <is>
          <t>FILIPSTAD</t>
        </is>
      </c>
      <c r="F7691" t="inlineStr">
        <is>
          <t>Bergvik skog väst AB</t>
        </is>
      </c>
      <c r="G7691" t="n">
        <v>14.5</v>
      </c>
      <c r="H7691" t="n">
        <v>0</v>
      </c>
      <c r="I7691" t="n">
        <v>0</v>
      </c>
      <c r="J7691" t="n">
        <v>0</v>
      </c>
      <c r="K7691" t="n">
        <v>0</v>
      </c>
      <c r="L7691" t="n">
        <v>0</v>
      </c>
      <c r="M7691" t="n">
        <v>0</v>
      </c>
      <c r="N7691" t="n">
        <v>0</v>
      </c>
      <c r="O7691" t="n">
        <v>0</v>
      </c>
      <c r="P7691" t="n">
        <v>0</v>
      </c>
      <c r="Q7691" t="n">
        <v>0</v>
      </c>
      <c r="R7691" s="2" t="inlineStr"/>
    </row>
    <row r="7692" ht="15" customHeight="1">
      <c r="A7692" t="inlineStr">
        <is>
          <t>A 11980-2022</t>
        </is>
      </c>
      <c r="B7692" s="1" t="n">
        <v>44635</v>
      </c>
      <c r="C7692" s="1" t="n">
        <v>45932</v>
      </c>
      <c r="D7692" t="inlineStr">
        <is>
          <t>VÄRMLANDS LÄN</t>
        </is>
      </c>
      <c r="E7692" t="inlineStr">
        <is>
          <t>HAGFORS</t>
        </is>
      </c>
      <c r="F7692" t="inlineStr">
        <is>
          <t>Bergvik skog väst AB</t>
        </is>
      </c>
      <c r="G7692" t="n">
        <v>15.5</v>
      </c>
      <c r="H7692" t="n">
        <v>0</v>
      </c>
      <c r="I7692" t="n">
        <v>0</v>
      </c>
      <c r="J7692" t="n">
        <v>0</v>
      </c>
      <c r="K7692" t="n">
        <v>0</v>
      </c>
      <c r="L7692" t="n">
        <v>0</v>
      </c>
      <c r="M7692" t="n">
        <v>0</v>
      </c>
      <c r="N7692" t="n">
        <v>0</v>
      </c>
      <c r="O7692" t="n">
        <v>0</v>
      </c>
      <c r="P7692" t="n">
        <v>0</v>
      </c>
      <c r="Q7692" t="n">
        <v>0</v>
      </c>
      <c r="R7692" s="2" t="inlineStr"/>
    </row>
    <row r="7693" ht="15" customHeight="1">
      <c r="A7693" t="inlineStr">
        <is>
          <t>A 252-2022</t>
        </is>
      </c>
      <c r="B7693" s="1" t="n">
        <v>44565</v>
      </c>
      <c r="C7693" s="1" t="n">
        <v>45932</v>
      </c>
      <c r="D7693" t="inlineStr">
        <is>
          <t>VÄRMLANDS LÄN</t>
        </is>
      </c>
      <c r="E7693" t="inlineStr">
        <is>
          <t>SUNNE</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12000-2022</t>
        </is>
      </c>
      <c r="B7694" s="1" t="n">
        <v>44635</v>
      </c>
      <c r="C7694" s="1" t="n">
        <v>45932</v>
      </c>
      <c r="D7694" t="inlineStr">
        <is>
          <t>VÄRMLANDS LÄN</t>
        </is>
      </c>
      <c r="E7694" t="inlineStr">
        <is>
          <t>GRUMS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11620-2023</t>
        </is>
      </c>
      <c r="B7695" s="1" t="n">
        <v>44994.42158564815</v>
      </c>
      <c r="C7695" s="1" t="n">
        <v>45932</v>
      </c>
      <c r="D7695" t="inlineStr">
        <is>
          <t>VÄRMLANDS LÄN</t>
        </is>
      </c>
      <c r="E7695" t="inlineStr">
        <is>
          <t>KARLSTAD</t>
        </is>
      </c>
      <c r="F7695" t="inlineStr">
        <is>
          <t>Kommuner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34058-2025</t>
        </is>
      </c>
      <c r="B7696" s="1" t="n">
        <v>45845.41854166667</v>
      </c>
      <c r="C7696" s="1" t="n">
        <v>45932</v>
      </c>
      <c r="D7696" t="inlineStr">
        <is>
          <t>VÄRMLANDS LÄN</t>
        </is>
      </c>
      <c r="E7696" t="inlineStr">
        <is>
          <t>EDA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1449-2024</t>
        </is>
      </c>
      <c r="B7697" s="1" t="n">
        <v>45303.81282407408</v>
      </c>
      <c r="C7697" s="1" t="n">
        <v>45932</v>
      </c>
      <c r="D7697" t="inlineStr">
        <is>
          <t>VÄRMLANDS LÄN</t>
        </is>
      </c>
      <c r="E7697" t="inlineStr">
        <is>
          <t>SÄFFLE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11633-2023</t>
        </is>
      </c>
      <c r="B7698" s="1" t="n">
        <v>44994.44269675926</v>
      </c>
      <c r="C7698" s="1" t="n">
        <v>45932</v>
      </c>
      <c r="D7698" t="inlineStr">
        <is>
          <t>VÄRMLANDS LÄN</t>
        </is>
      </c>
      <c r="E7698" t="inlineStr">
        <is>
          <t>SÄFFLE</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6323-2022</t>
        </is>
      </c>
      <c r="B7699" s="1" t="n">
        <v>44600</v>
      </c>
      <c r="C7699" s="1" t="n">
        <v>45932</v>
      </c>
      <c r="D7699" t="inlineStr">
        <is>
          <t>VÄRMLANDS LÄN</t>
        </is>
      </c>
      <c r="E7699" t="inlineStr">
        <is>
          <t>KARLSTAD</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4564-2025</t>
        </is>
      </c>
      <c r="B7700" s="1" t="n">
        <v>45687.46071759259</v>
      </c>
      <c r="C7700" s="1" t="n">
        <v>45932</v>
      </c>
      <c r="D7700" t="inlineStr">
        <is>
          <t>VÄRMLANDS LÄN</t>
        </is>
      </c>
      <c r="E7700" t="inlineStr">
        <is>
          <t>SUNNE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40244-2023</t>
        </is>
      </c>
      <c r="B7701" s="1" t="n">
        <v>45169.48890046297</v>
      </c>
      <c r="C7701" s="1" t="n">
        <v>45932</v>
      </c>
      <c r="D7701" t="inlineStr">
        <is>
          <t>VÄRMLANDS LÄN</t>
        </is>
      </c>
      <c r="E7701" t="inlineStr">
        <is>
          <t>FILIPSTAD</t>
        </is>
      </c>
      <c r="F7701" t="inlineStr">
        <is>
          <t>Bergvik skog väst AB</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34248-2025</t>
        </is>
      </c>
      <c r="B7702" s="1" t="n">
        <v>45845</v>
      </c>
      <c r="C7702" s="1" t="n">
        <v>45932</v>
      </c>
      <c r="D7702" t="inlineStr">
        <is>
          <t>VÄRMLANDS LÄN</t>
        </is>
      </c>
      <c r="E7702" t="inlineStr">
        <is>
          <t>ÅRJÄNG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33454-2025</t>
        </is>
      </c>
      <c r="B7703" s="1" t="n">
        <v>45841</v>
      </c>
      <c r="C7703" s="1" t="n">
        <v>45932</v>
      </c>
      <c r="D7703" t="inlineStr">
        <is>
          <t>VÄRMLANDS LÄN</t>
        </is>
      </c>
      <c r="E7703" t="inlineStr">
        <is>
          <t>HAGFORS</t>
        </is>
      </c>
      <c r="F7703" t="inlineStr">
        <is>
          <t>Bergvik skog väst AB</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1717-2025</t>
        </is>
      </c>
      <c r="B7704" s="1" t="n">
        <v>45671.32938657407</v>
      </c>
      <c r="C7704" s="1" t="n">
        <v>45932</v>
      </c>
      <c r="D7704" t="inlineStr">
        <is>
          <t>VÄRMLANDS LÄN</t>
        </is>
      </c>
      <c r="E7704" t="inlineStr">
        <is>
          <t>ÅRJÄNG</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34243-2025</t>
        </is>
      </c>
      <c r="B7705" s="1" t="n">
        <v>45845</v>
      </c>
      <c r="C7705" s="1" t="n">
        <v>45932</v>
      </c>
      <c r="D7705" t="inlineStr">
        <is>
          <t>VÄRMLANDS LÄN</t>
        </is>
      </c>
      <c r="E7705" t="inlineStr">
        <is>
          <t>ÅRJÄNG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34258-2025</t>
        </is>
      </c>
      <c r="B7706" s="1" t="n">
        <v>45845.71586805556</v>
      </c>
      <c r="C7706" s="1" t="n">
        <v>45932</v>
      </c>
      <c r="D7706" t="inlineStr">
        <is>
          <t>VÄRMLANDS LÄN</t>
        </is>
      </c>
      <c r="E7706" t="inlineStr">
        <is>
          <t>SÄFFLE</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34268-2025</t>
        </is>
      </c>
      <c r="B7707" s="1" t="n">
        <v>45845</v>
      </c>
      <c r="C7707" s="1" t="n">
        <v>45932</v>
      </c>
      <c r="D7707" t="inlineStr">
        <is>
          <t>VÄRMLANDS LÄN</t>
        </is>
      </c>
      <c r="E7707" t="inlineStr">
        <is>
          <t>TORSBY</t>
        </is>
      </c>
      <c r="F7707" t="inlineStr">
        <is>
          <t>Bergvik skog väst AB</t>
        </is>
      </c>
      <c r="G7707" t="n">
        <v>19.7</v>
      </c>
      <c r="H7707" t="n">
        <v>0</v>
      </c>
      <c r="I7707" t="n">
        <v>0</v>
      </c>
      <c r="J7707" t="n">
        <v>0</v>
      </c>
      <c r="K7707" t="n">
        <v>0</v>
      </c>
      <c r="L7707" t="n">
        <v>0</v>
      </c>
      <c r="M7707" t="n">
        <v>0</v>
      </c>
      <c r="N7707" t="n">
        <v>0</v>
      </c>
      <c r="O7707" t="n">
        <v>0</v>
      </c>
      <c r="P7707" t="n">
        <v>0</v>
      </c>
      <c r="Q7707" t="n">
        <v>0</v>
      </c>
      <c r="R7707" s="2" t="inlineStr"/>
    </row>
    <row r="7708" ht="15" customHeight="1">
      <c r="A7708" t="inlineStr">
        <is>
          <t>A 50929-2023</t>
        </is>
      </c>
      <c r="B7708" s="1" t="n">
        <v>45211</v>
      </c>
      <c r="C7708" s="1" t="n">
        <v>45932</v>
      </c>
      <c r="D7708" t="inlineStr">
        <is>
          <t>VÄRMLANDS LÄN</t>
        </is>
      </c>
      <c r="E7708" t="inlineStr">
        <is>
          <t>HAGFORS</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33774-2025</t>
        </is>
      </c>
      <c r="B7709" s="1" t="n">
        <v>45842.39324074074</v>
      </c>
      <c r="C7709" s="1" t="n">
        <v>45932</v>
      </c>
      <c r="D7709" t="inlineStr">
        <is>
          <t>VÄRMLANDS LÄN</t>
        </is>
      </c>
      <c r="E7709" t="inlineStr">
        <is>
          <t>SUNNE</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33778-2025</t>
        </is>
      </c>
      <c r="B7710" s="1" t="n">
        <v>45842.39819444445</v>
      </c>
      <c r="C7710" s="1" t="n">
        <v>45932</v>
      </c>
      <c r="D7710" t="inlineStr">
        <is>
          <t>VÄRMLANDS LÄN</t>
        </is>
      </c>
      <c r="E7710" t="inlineStr">
        <is>
          <t>SUNNE</t>
        </is>
      </c>
      <c r="G7710" t="n">
        <v>12.7</v>
      </c>
      <c r="H7710" t="n">
        <v>0</v>
      </c>
      <c r="I7710" t="n">
        <v>0</v>
      </c>
      <c r="J7710" t="n">
        <v>0</v>
      </c>
      <c r="K7710" t="n">
        <v>0</v>
      </c>
      <c r="L7710" t="n">
        <v>0</v>
      </c>
      <c r="M7710" t="n">
        <v>0</v>
      </c>
      <c r="N7710" t="n">
        <v>0</v>
      </c>
      <c r="O7710" t="n">
        <v>0</v>
      </c>
      <c r="P7710" t="n">
        <v>0</v>
      </c>
      <c r="Q7710" t="n">
        <v>0</v>
      </c>
      <c r="R7710" s="2" t="inlineStr"/>
    </row>
    <row r="7711" ht="15" customHeight="1">
      <c r="A7711" t="inlineStr">
        <is>
          <t>A 26302-2023</t>
        </is>
      </c>
      <c r="B7711" s="1" t="n">
        <v>45091</v>
      </c>
      <c r="C7711" s="1" t="n">
        <v>45932</v>
      </c>
      <c r="D7711" t="inlineStr">
        <is>
          <t>VÄRMLANDS LÄN</t>
        </is>
      </c>
      <c r="E7711" t="inlineStr">
        <is>
          <t>SUNNE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42557-2022</t>
        </is>
      </c>
      <c r="B7712" s="1" t="n">
        <v>44831</v>
      </c>
      <c r="C7712" s="1" t="n">
        <v>45932</v>
      </c>
      <c r="D7712" t="inlineStr">
        <is>
          <t>VÄRMLANDS LÄN</t>
        </is>
      </c>
      <c r="E7712" t="inlineStr">
        <is>
          <t>GRUMS</t>
        </is>
      </c>
      <c r="G7712" t="n">
        <v>13.7</v>
      </c>
      <c r="H7712" t="n">
        <v>0</v>
      </c>
      <c r="I7712" t="n">
        <v>0</v>
      </c>
      <c r="J7712" t="n">
        <v>0</v>
      </c>
      <c r="K7712" t="n">
        <v>0</v>
      </c>
      <c r="L7712" t="n">
        <v>0</v>
      </c>
      <c r="M7712" t="n">
        <v>0</v>
      </c>
      <c r="N7712" t="n">
        <v>0</v>
      </c>
      <c r="O7712" t="n">
        <v>0</v>
      </c>
      <c r="P7712" t="n">
        <v>0</v>
      </c>
      <c r="Q7712" t="n">
        <v>0</v>
      </c>
      <c r="R7712" s="2" t="inlineStr"/>
    </row>
    <row r="7713" ht="15" customHeight="1">
      <c r="A7713" t="inlineStr">
        <is>
          <t>A 5332-2024</t>
        </is>
      </c>
      <c r="B7713" s="1" t="n">
        <v>45331.43228009259</v>
      </c>
      <c r="C7713" s="1" t="n">
        <v>45932</v>
      </c>
      <c r="D7713" t="inlineStr">
        <is>
          <t>VÄRMLANDS LÄN</t>
        </is>
      </c>
      <c r="E7713" t="inlineStr">
        <is>
          <t>ARVIKA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51815-2024</t>
        </is>
      </c>
      <c r="B7714" s="1" t="n">
        <v>45607</v>
      </c>
      <c r="C7714" s="1" t="n">
        <v>45932</v>
      </c>
      <c r="D7714" t="inlineStr">
        <is>
          <t>VÄRMLANDS LÄN</t>
        </is>
      </c>
      <c r="E7714" t="inlineStr">
        <is>
          <t>ARVIKA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34164-2025</t>
        </is>
      </c>
      <c r="B7715" s="1" t="n">
        <v>45845.58019675926</v>
      </c>
      <c r="C7715" s="1" t="n">
        <v>45932</v>
      </c>
      <c r="D7715" t="inlineStr">
        <is>
          <t>VÄRMLANDS LÄN</t>
        </is>
      </c>
      <c r="E7715" t="inlineStr">
        <is>
          <t>SUNNE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5744-2024</t>
        </is>
      </c>
      <c r="B7716" s="1" t="n">
        <v>45335.29577546296</v>
      </c>
      <c r="C7716" s="1" t="n">
        <v>45932</v>
      </c>
      <c r="D7716" t="inlineStr">
        <is>
          <t>VÄRMLANDS LÄN</t>
        </is>
      </c>
      <c r="E7716" t="inlineStr">
        <is>
          <t>ARVIKA</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23601-2023</t>
        </is>
      </c>
      <c r="B7717" s="1" t="n">
        <v>45077.45690972222</v>
      </c>
      <c r="C7717" s="1" t="n">
        <v>45932</v>
      </c>
      <c r="D7717" t="inlineStr">
        <is>
          <t>VÄRMLANDS LÄN</t>
        </is>
      </c>
      <c r="E7717" t="inlineStr">
        <is>
          <t>ARVIKA</t>
        </is>
      </c>
      <c r="G7717" t="n">
        <v>10.6</v>
      </c>
      <c r="H7717" t="n">
        <v>0</v>
      </c>
      <c r="I7717" t="n">
        <v>0</v>
      </c>
      <c r="J7717" t="n">
        <v>0</v>
      </c>
      <c r="K7717" t="n">
        <v>0</v>
      </c>
      <c r="L7717" t="n">
        <v>0</v>
      </c>
      <c r="M7717" t="n">
        <v>0</v>
      </c>
      <c r="N7717" t="n">
        <v>0</v>
      </c>
      <c r="O7717" t="n">
        <v>0</v>
      </c>
      <c r="P7717" t="n">
        <v>0</v>
      </c>
      <c r="Q7717" t="n">
        <v>0</v>
      </c>
      <c r="R7717" s="2" t="inlineStr"/>
    </row>
    <row r="7718" ht="15" customHeight="1">
      <c r="A7718" t="inlineStr">
        <is>
          <t>A 34249-2025</t>
        </is>
      </c>
      <c r="B7718" s="1" t="n">
        <v>45845.68298611111</v>
      </c>
      <c r="C7718" s="1" t="n">
        <v>45932</v>
      </c>
      <c r="D7718" t="inlineStr">
        <is>
          <t>VÄRMLANDS LÄN</t>
        </is>
      </c>
      <c r="E7718" t="inlineStr">
        <is>
          <t>SUNNE</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33961-2025</t>
        </is>
      </c>
      <c r="B7719" s="1" t="n">
        <v>45842</v>
      </c>
      <c r="C7719" s="1" t="n">
        <v>45932</v>
      </c>
      <c r="D7719" t="inlineStr">
        <is>
          <t>VÄRMLANDS LÄN</t>
        </is>
      </c>
      <c r="E7719" t="inlineStr">
        <is>
          <t>ARVIKA</t>
        </is>
      </c>
      <c r="F7719" t="inlineStr">
        <is>
          <t>Bergvik skog väst AB</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33897-2025</t>
        </is>
      </c>
      <c r="B7720" s="1" t="n">
        <v>45842</v>
      </c>
      <c r="C7720" s="1" t="n">
        <v>45932</v>
      </c>
      <c r="D7720" t="inlineStr">
        <is>
          <t>VÄRMLANDS LÄN</t>
        </is>
      </c>
      <c r="E7720" t="inlineStr">
        <is>
          <t>TORSBY</t>
        </is>
      </c>
      <c r="G7720" t="n">
        <v>13.7</v>
      </c>
      <c r="H7720" t="n">
        <v>0</v>
      </c>
      <c r="I7720" t="n">
        <v>0</v>
      </c>
      <c r="J7720" t="n">
        <v>0</v>
      </c>
      <c r="K7720" t="n">
        <v>0</v>
      </c>
      <c r="L7720" t="n">
        <v>0</v>
      </c>
      <c r="M7720" t="n">
        <v>0</v>
      </c>
      <c r="N7720" t="n">
        <v>0</v>
      </c>
      <c r="O7720" t="n">
        <v>0</v>
      </c>
      <c r="P7720" t="n">
        <v>0</v>
      </c>
      <c r="Q7720" t="n">
        <v>0</v>
      </c>
      <c r="R7720" s="2" t="inlineStr"/>
    </row>
    <row r="7721" ht="15" customHeight="1">
      <c r="A7721" t="inlineStr">
        <is>
          <t>A 23728-2023</t>
        </is>
      </c>
      <c r="B7721" s="1" t="n">
        <v>45077</v>
      </c>
      <c r="C7721" s="1" t="n">
        <v>45932</v>
      </c>
      <c r="D7721" t="inlineStr">
        <is>
          <t>VÄRMLANDS LÄN</t>
        </is>
      </c>
      <c r="E7721" t="inlineStr">
        <is>
          <t>SUNNE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33705-2025</t>
        </is>
      </c>
      <c r="B7722" s="1" t="n">
        <v>45841.78270833333</v>
      </c>
      <c r="C7722" s="1" t="n">
        <v>45932</v>
      </c>
      <c r="D7722" t="inlineStr">
        <is>
          <t>VÄRMLANDS LÄN</t>
        </is>
      </c>
      <c r="E7722" t="inlineStr">
        <is>
          <t>KARLSTAD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33993-2025</t>
        </is>
      </c>
      <c r="B7723" s="1" t="n">
        <v>45843.61189814815</v>
      </c>
      <c r="C7723" s="1" t="n">
        <v>45932</v>
      </c>
      <c r="D7723" t="inlineStr">
        <is>
          <t>VÄRMLANDS LÄN</t>
        </is>
      </c>
      <c r="E7723" t="inlineStr">
        <is>
          <t>ÅRJÄNG</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21627-2024</t>
        </is>
      </c>
      <c r="B7724" s="1" t="n">
        <v>45442.31208333333</v>
      </c>
      <c r="C7724" s="1" t="n">
        <v>45932</v>
      </c>
      <c r="D7724" t="inlineStr">
        <is>
          <t>VÄRMLANDS LÄN</t>
        </is>
      </c>
      <c r="E7724" t="inlineStr">
        <is>
          <t>EDA</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1665-2023</t>
        </is>
      </c>
      <c r="B7725" s="1" t="n">
        <v>44938</v>
      </c>
      <c r="C7725" s="1" t="n">
        <v>45932</v>
      </c>
      <c r="D7725" t="inlineStr">
        <is>
          <t>VÄRMLANDS LÄN</t>
        </is>
      </c>
      <c r="E7725" t="inlineStr">
        <is>
          <t>ÅRJÄNG</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36479-2024</t>
        </is>
      </c>
      <c r="B7726" s="1" t="n">
        <v>45537.3708449074</v>
      </c>
      <c r="C7726" s="1" t="n">
        <v>45932</v>
      </c>
      <c r="D7726" t="inlineStr">
        <is>
          <t>VÄRMLANDS LÄN</t>
        </is>
      </c>
      <c r="E7726" t="inlineStr">
        <is>
          <t>ARVIKA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34140-2025</t>
        </is>
      </c>
      <c r="B7727" s="1" t="n">
        <v>45845.54896990741</v>
      </c>
      <c r="C7727" s="1" t="n">
        <v>45932</v>
      </c>
      <c r="D7727" t="inlineStr">
        <is>
          <t>VÄRMLANDS LÄN</t>
        </is>
      </c>
      <c r="E7727" t="inlineStr">
        <is>
          <t>TORSBY</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22409-2023</t>
        </is>
      </c>
      <c r="B7728" s="1" t="n">
        <v>45070</v>
      </c>
      <c r="C7728" s="1" t="n">
        <v>45932</v>
      </c>
      <c r="D7728" t="inlineStr">
        <is>
          <t>VÄRMLANDS LÄN</t>
        </is>
      </c>
      <c r="E7728" t="inlineStr">
        <is>
          <t>KARLSTAD</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57346-2022</t>
        </is>
      </c>
      <c r="B7729" s="1" t="n">
        <v>44896.40659722222</v>
      </c>
      <c r="C7729" s="1" t="n">
        <v>45932</v>
      </c>
      <c r="D7729" t="inlineStr">
        <is>
          <t>VÄRMLANDS LÄN</t>
        </is>
      </c>
      <c r="E7729" t="inlineStr">
        <is>
          <t>ARVIKA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34230-2025</t>
        </is>
      </c>
      <c r="B7730" s="1" t="n">
        <v>45845</v>
      </c>
      <c r="C7730" s="1" t="n">
        <v>45932</v>
      </c>
      <c r="D7730" t="inlineStr">
        <is>
          <t>VÄRMLANDS LÄN</t>
        </is>
      </c>
      <c r="E7730" t="inlineStr">
        <is>
          <t>ÅRJÄNG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34235-2025</t>
        </is>
      </c>
      <c r="B7731" s="1" t="n">
        <v>45845</v>
      </c>
      <c r="C7731" s="1" t="n">
        <v>45932</v>
      </c>
      <c r="D7731" t="inlineStr">
        <is>
          <t>VÄRMLANDS LÄN</t>
        </is>
      </c>
      <c r="E7731" t="inlineStr">
        <is>
          <t>ÅRJÄNG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978-2023</t>
        </is>
      </c>
      <c r="B7732" s="1" t="n">
        <v>44935</v>
      </c>
      <c r="C7732" s="1" t="n">
        <v>45932</v>
      </c>
      <c r="D7732" t="inlineStr">
        <is>
          <t>VÄRMLANDS LÄN</t>
        </is>
      </c>
      <c r="E7732" t="inlineStr">
        <is>
          <t>SUNNE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57359-2022</t>
        </is>
      </c>
      <c r="B7733" s="1" t="n">
        <v>44896</v>
      </c>
      <c r="C7733" s="1" t="n">
        <v>45932</v>
      </c>
      <c r="D7733" t="inlineStr">
        <is>
          <t>VÄRMLANDS LÄN</t>
        </is>
      </c>
      <c r="E7733" t="inlineStr">
        <is>
          <t>HAGFORS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5778-2024</t>
        </is>
      </c>
      <c r="B7734" s="1" t="n">
        <v>45335.41743055556</v>
      </c>
      <c r="C7734" s="1" t="n">
        <v>45932</v>
      </c>
      <c r="D7734" t="inlineStr">
        <is>
          <t>VÄRMLANDS LÄN</t>
        </is>
      </c>
      <c r="E7734" t="inlineStr">
        <is>
          <t>HAGFORS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32977-2025</t>
        </is>
      </c>
      <c r="B7735" s="1" t="n">
        <v>45839</v>
      </c>
      <c r="C7735" s="1" t="n">
        <v>45932</v>
      </c>
      <c r="D7735" t="inlineStr">
        <is>
          <t>VÄRMLANDS LÄN</t>
        </is>
      </c>
      <c r="E7735" t="inlineStr">
        <is>
          <t>HAGFORS</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33704-2025</t>
        </is>
      </c>
      <c r="B7736" s="1" t="n">
        <v>45841.77523148148</v>
      </c>
      <c r="C7736" s="1" t="n">
        <v>45932</v>
      </c>
      <c r="D7736" t="inlineStr">
        <is>
          <t>VÄRMLANDS LÄN</t>
        </is>
      </c>
      <c r="E7736" t="inlineStr">
        <is>
          <t>KARLSTAD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42314-2021</t>
        </is>
      </c>
      <c r="B7737" s="1" t="n">
        <v>44427</v>
      </c>
      <c r="C7737" s="1" t="n">
        <v>45932</v>
      </c>
      <c r="D7737" t="inlineStr">
        <is>
          <t>VÄRMLANDS LÄN</t>
        </is>
      </c>
      <c r="E7737" t="inlineStr">
        <is>
          <t>ARVIKA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22030-2023</t>
        </is>
      </c>
      <c r="B7738" s="1" t="n">
        <v>45069</v>
      </c>
      <c r="C7738" s="1" t="n">
        <v>45932</v>
      </c>
      <c r="D7738" t="inlineStr">
        <is>
          <t>VÄRMLANDS LÄN</t>
        </is>
      </c>
      <c r="E7738" t="inlineStr">
        <is>
          <t>TORSBY</t>
        </is>
      </c>
      <c r="F7738" t="inlineStr">
        <is>
          <t>Bergvik skog väst AB</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13784-2024</t>
        </is>
      </c>
      <c r="B7739" s="1" t="n">
        <v>45391.33817129629</v>
      </c>
      <c r="C7739" s="1" t="n">
        <v>45932</v>
      </c>
      <c r="D7739" t="inlineStr">
        <is>
          <t>VÄRMLANDS LÄN</t>
        </is>
      </c>
      <c r="E7739" t="inlineStr">
        <is>
          <t>ÅRJÄNG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55031-2023</t>
        </is>
      </c>
      <c r="B7740" s="1" t="n">
        <v>45237.34733796296</v>
      </c>
      <c r="C7740" s="1" t="n">
        <v>45932</v>
      </c>
      <c r="D7740" t="inlineStr">
        <is>
          <t>VÄRMLANDS LÄN</t>
        </is>
      </c>
      <c r="E7740" t="inlineStr">
        <is>
          <t>TORSBY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55061-2023</t>
        </is>
      </c>
      <c r="B7741" s="1" t="n">
        <v>45237</v>
      </c>
      <c r="C7741" s="1" t="n">
        <v>45932</v>
      </c>
      <c r="D7741" t="inlineStr">
        <is>
          <t>VÄRMLANDS LÄN</t>
        </is>
      </c>
      <c r="E7741" t="inlineStr">
        <is>
          <t>ARVIKA</t>
        </is>
      </c>
      <c r="F7741" t="inlineStr">
        <is>
          <t>Bergvik skog väst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55847-2023</t>
        </is>
      </c>
      <c r="B7742" s="1" t="n">
        <v>45233</v>
      </c>
      <c r="C7742" s="1" t="n">
        <v>45932</v>
      </c>
      <c r="D7742" t="inlineStr">
        <is>
          <t>VÄRMLANDS LÄN</t>
        </is>
      </c>
      <c r="E7742" t="inlineStr">
        <is>
          <t>SÄFFLE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55901-2023</t>
        </is>
      </c>
      <c r="B7743" s="1" t="n">
        <v>45239.86618055555</v>
      </c>
      <c r="C7743" s="1" t="n">
        <v>45932</v>
      </c>
      <c r="D7743" t="inlineStr">
        <is>
          <t>VÄRMLANDS LÄN</t>
        </is>
      </c>
      <c r="E7743" t="inlineStr">
        <is>
          <t>ÅRJÄNG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33768-2025</t>
        </is>
      </c>
      <c r="B7744" s="1" t="n">
        <v>45842.38961805555</v>
      </c>
      <c r="C7744" s="1" t="n">
        <v>45932</v>
      </c>
      <c r="D7744" t="inlineStr">
        <is>
          <t>VÄRMLANDS LÄN</t>
        </is>
      </c>
      <c r="E7744" t="inlineStr">
        <is>
          <t>SUNNE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33827-2025</t>
        </is>
      </c>
      <c r="B7745" s="1" t="n">
        <v>45842.4705787037</v>
      </c>
      <c r="C7745" s="1" t="n">
        <v>45932</v>
      </c>
      <c r="D7745" t="inlineStr">
        <is>
          <t>VÄRMLANDS LÄN</t>
        </is>
      </c>
      <c r="E7745" t="inlineStr">
        <is>
          <t>FILIPSTAD</t>
        </is>
      </c>
      <c r="F7745" t="inlineStr">
        <is>
          <t>Bergvik skog väst AB</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12041-2024</t>
        </is>
      </c>
      <c r="B7746" s="1" t="n">
        <v>45377.42774305555</v>
      </c>
      <c r="C7746" s="1" t="n">
        <v>45932</v>
      </c>
      <c r="D7746" t="inlineStr">
        <is>
          <t>VÄRMLANDS LÄN</t>
        </is>
      </c>
      <c r="E7746" t="inlineStr">
        <is>
          <t>KRISTINEHAMN</t>
        </is>
      </c>
      <c r="G7746" t="n">
        <v>13.2</v>
      </c>
      <c r="H7746" t="n">
        <v>0</v>
      </c>
      <c r="I7746" t="n">
        <v>0</v>
      </c>
      <c r="J7746" t="n">
        <v>0</v>
      </c>
      <c r="K7746" t="n">
        <v>0</v>
      </c>
      <c r="L7746" t="n">
        <v>0</v>
      </c>
      <c r="M7746" t="n">
        <v>0</v>
      </c>
      <c r="N7746" t="n">
        <v>0</v>
      </c>
      <c r="O7746" t="n">
        <v>0</v>
      </c>
      <c r="P7746" t="n">
        <v>0</v>
      </c>
      <c r="Q7746" t="n">
        <v>0</v>
      </c>
      <c r="R7746" s="2" t="inlineStr"/>
    </row>
    <row r="7747" ht="15" customHeight="1">
      <c r="A7747" t="inlineStr">
        <is>
          <t>A 12072-2024</t>
        </is>
      </c>
      <c r="B7747" s="1" t="n">
        <v>45377</v>
      </c>
      <c r="C7747" s="1" t="n">
        <v>45932</v>
      </c>
      <c r="D7747" t="inlineStr">
        <is>
          <t>VÄRMLANDS LÄN</t>
        </is>
      </c>
      <c r="E7747" t="inlineStr">
        <is>
          <t>ÅRJÄNG</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9261-2024</t>
        </is>
      </c>
      <c r="B7748" s="1" t="n">
        <v>45358</v>
      </c>
      <c r="C7748" s="1" t="n">
        <v>45932</v>
      </c>
      <c r="D7748" t="inlineStr">
        <is>
          <t>VÄRMLANDS LÄN</t>
        </is>
      </c>
      <c r="E7748" t="inlineStr">
        <is>
          <t>SÄFFLE</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12475-2023</t>
        </is>
      </c>
      <c r="B7749" s="1" t="n">
        <v>44999</v>
      </c>
      <c r="C7749" s="1" t="n">
        <v>45932</v>
      </c>
      <c r="D7749" t="inlineStr">
        <is>
          <t>VÄRMLANDS LÄN</t>
        </is>
      </c>
      <c r="E7749" t="inlineStr">
        <is>
          <t>KARLSTAD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41092-2024</t>
        </is>
      </c>
      <c r="B7750" s="1" t="n">
        <v>45559.42854166667</v>
      </c>
      <c r="C7750" s="1" t="n">
        <v>45932</v>
      </c>
      <c r="D7750" t="inlineStr">
        <is>
          <t>VÄRMLANDS LÄN</t>
        </is>
      </c>
      <c r="E7750" t="inlineStr">
        <is>
          <t>HAGFORS</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58423-2023</t>
        </is>
      </c>
      <c r="B7751" s="1" t="n">
        <v>45250</v>
      </c>
      <c r="C7751" s="1" t="n">
        <v>45932</v>
      </c>
      <c r="D7751" t="inlineStr">
        <is>
          <t>VÄRMLANDS LÄN</t>
        </is>
      </c>
      <c r="E7751" t="inlineStr">
        <is>
          <t>ARVIKA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58434-2023</t>
        </is>
      </c>
      <c r="B7752" s="1" t="n">
        <v>45250</v>
      </c>
      <c r="C7752" s="1" t="n">
        <v>45932</v>
      </c>
      <c r="D7752" t="inlineStr">
        <is>
          <t>VÄRMLANDS LÄN</t>
        </is>
      </c>
      <c r="E7752" t="inlineStr">
        <is>
          <t>ÅRJÄNG</t>
        </is>
      </c>
      <c r="F7752" t="inlineStr">
        <is>
          <t>Naturvårdsverket</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26189-2024</t>
        </is>
      </c>
      <c r="B7753" s="1" t="n">
        <v>45468</v>
      </c>
      <c r="C7753" s="1" t="n">
        <v>45932</v>
      </c>
      <c r="D7753" t="inlineStr">
        <is>
          <t>VÄRMLANDS LÄN</t>
        </is>
      </c>
      <c r="E7753" t="inlineStr">
        <is>
          <t>STORFORS</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55079-2022</t>
        </is>
      </c>
      <c r="B7754" s="1" t="n">
        <v>44886</v>
      </c>
      <c r="C7754" s="1" t="n">
        <v>45932</v>
      </c>
      <c r="D7754" t="inlineStr">
        <is>
          <t>VÄRMLANDS LÄN</t>
        </is>
      </c>
      <c r="E7754" t="inlineStr">
        <is>
          <t>SUNNE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60385-2024</t>
        </is>
      </c>
      <c r="B7755" s="1" t="n">
        <v>45643</v>
      </c>
      <c r="C7755" s="1" t="n">
        <v>45932</v>
      </c>
      <c r="D7755" t="inlineStr">
        <is>
          <t>VÄRMLANDS LÄN</t>
        </is>
      </c>
      <c r="E7755" t="inlineStr">
        <is>
          <t>TORSBY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55090-2022</t>
        </is>
      </c>
      <c r="B7756" s="1" t="n">
        <v>44881</v>
      </c>
      <c r="C7756" s="1" t="n">
        <v>45932</v>
      </c>
      <c r="D7756" t="inlineStr">
        <is>
          <t>VÄRMLANDS LÄN</t>
        </is>
      </c>
      <c r="E7756" t="inlineStr">
        <is>
          <t>SÄFFLE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55094-2022</t>
        </is>
      </c>
      <c r="B7757" s="1" t="n">
        <v>44886</v>
      </c>
      <c r="C7757" s="1" t="n">
        <v>45932</v>
      </c>
      <c r="D7757" t="inlineStr">
        <is>
          <t>VÄRMLANDS LÄN</t>
        </is>
      </c>
      <c r="E7757" t="inlineStr">
        <is>
          <t>SÄFFLE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42319-2023</t>
        </is>
      </c>
      <c r="B7758" s="1" t="n">
        <v>45180.47318287037</v>
      </c>
      <c r="C7758" s="1" t="n">
        <v>45932</v>
      </c>
      <c r="D7758" t="inlineStr">
        <is>
          <t>VÄRMLANDS LÄN</t>
        </is>
      </c>
      <c r="E7758" t="inlineStr">
        <is>
          <t>SÄFFLE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39120-2025</t>
        </is>
      </c>
      <c r="B7759" s="1" t="n">
        <v>45887</v>
      </c>
      <c r="C7759" s="1" t="n">
        <v>45932</v>
      </c>
      <c r="D7759" t="inlineStr">
        <is>
          <t>VÄRMLANDS LÄN</t>
        </is>
      </c>
      <c r="E7759" t="inlineStr">
        <is>
          <t>ARVIKA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46680-2025</t>
        </is>
      </c>
      <c r="B7760" s="1" t="n">
        <v>45926.54627314815</v>
      </c>
      <c r="C7760" s="1" t="n">
        <v>45932</v>
      </c>
      <c r="D7760" t="inlineStr">
        <is>
          <t>VÄRMLANDS LÄN</t>
        </is>
      </c>
      <c r="E7760" t="inlineStr">
        <is>
          <t>ARVIKA</t>
        </is>
      </c>
      <c r="F7760" t="inlineStr">
        <is>
          <t>Bergvik skog väst AB</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28317-2023</t>
        </is>
      </c>
      <c r="B7761" s="1" t="n">
        <v>45099</v>
      </c>
      <c r="C7761" s="1" t="n">
        <v>45932</v>
      </c>
      <c r="D7761" t="inlineStr">
        <is>
          <t>VÄRMLANDS LÄN</t>
        </is>
      </c>
      <c r="E7761" t="inlineStr">
        <is>
          <t>ÅRJÄNG</t>
        </is>
      </c>
      <c r="G7761" t="n">
        <v>10.2</v>
      </c>
      <c r="H7761" t="n">
        <v>0</v>
      </c>
      <c r="I7761" t="n">
        <v>0</v>
      </c>
      <c r="J7761" t="n">
        <v>0</v>
      </c>
      <c r="K7761" t="n">
        <v>0</v>
      </c>
      <c r="L7761" t="n">
        <v>0</v>
      </c>
      <c r="M7761" t="n">
        <v>0</v>
      </c>
      <c r="N7761" t="n">
        <v>0</v>
      </c>
      <c r="O7761" t="n">
        <v>0</v>
      </c>
      <c r="P7761" t="n">
        <v>0</v>
      </c>
      <c r="Q7761" t="n">
        <v>0</v>
      </c>
      <c r="R7761" s="2" t="inlineStr"/>
    </row>
    <row r="7762" ht="15" customHeight="1">
      <c r="A7762" t="inlineStr">
        <is>
          <t>A 28321-2023</t>
        </is>
      </c>
      <c r="B7762" s="1" t="n">
        <v>45099</v>
      </c>
      <c r="C7762" s="1" t="n">
        <v>45932</v>
      </c>
      <c r="D7762" t="inlineStr">
        <is>
          <t>VÄRMLANDS LÄN</t>
        </is>
      </c>
      <c r="E7762" t="inlineStr">
        <is>
          <t>FORSHAGA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44096-2024</t>
        </is>
      </c>
      <c r="B7763" s="1" t="n">
        <v>45572.6249537037</v>
      </c>
      <c r="C7763" s="1" t="n">
        <v>45932</v>
      </c>
      <c r="D7763" t="inlineStr">
        <is>
          <t>VÄRMLANDS LÄN</t>
        </is>
      </c>
      <c r="E7763" t="inlineStr">
        <is>
          <t>SUNNE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44097-2024</t>
        </is>
      </c>
      <c r="B7764" s="1" t="n">
        <v>45572.62533564815</v>
      </c>
      <c r="C7764" s="1" t="n">
        <v>45932</v>
      </c>
      <c r="D7764" t="inlineStr">
        <is>
          <t>VÄRMLANDS LÄN</t>
        </is>
      </c>
      <c r="E7764" t="inlineStr">
        <is>
          <t>KARLSTAD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29017-2023</t>
        </is>
      </c>
      <c r="B7765" s="1" t="n">
        <v>45104</v>
      </c>
      <c r="C7765" s="1" t="n">
        <v>45932</v>
      </c>
      <c r="D7765" t="inlineStr">
        <is>
          <t>VÄRMLANDS LÄN</t>
        </is>
      </c>
      <c r="E7765" t="inlineStr">
        <is>
          <t>KRISTINEHAMN</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34435-2025</t>
        </is>
      </c>
      <c r="B7766" s="1" t="n">
        <v>45845</v>
      </c>
      <c r="C7766" s="1" t="n">
        <v>45932</v>
      </c>
      <c r="D7766" t="inlineStr">
        <is>
          <t>VÄRMLANDS LÄN</t>
        </is>
      </c>
      <c r="E7766" t="inlineStr">
        <is>
          <t>SÄFFLE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15547-2025</t>
        </is>
      </c>
      <c r="B7767" s="1" t="n">
        <v>45747</v>
      </c>
      <c r="C7767" s="1" t="n">
        <v>45932</v>
      </c>
      <c r="D7767" t="inlineStr">
        <is>
          <t>VÄRMLANDS LÄN</t>
        </is>
      </c>
      <c r="E7767" t="inlineStr">
        <is>
          <t>ÅRJÄNG</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15548-2025</t>
        </is>
      </c>
      <c r="B7768" s="1" t="n">
        <v>45747</v>
      </c>
      <c r="C7768" s="1" t="n">
        <v>45932</v>
      </c>
      <c r="D7768" t="inlineStr">
        <is>
          <t>VÄRMLANDS LÄN</t>
        </is>
      </c>
      <c r="E7768" t="inlineStr">
        <is>
          <t>ÅRJÄNG</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7287-2025</t>
        </is>
      </c>
      <c r="B7769" s="1" t="n">
        <v>45702</v>
      </c>
      <c r="C7769" s="1" t="n">
        <v>45932</v>
      </c>
      <c r="D7769" t="inlineStr">
        <is>
          <t>VÄRMLANDS LÄN</t>
        </is>
      </c>
      <c r="E7769" t="inlineStr">
        <is>
          <t>SUNNE</t>
        </is>
      </c>
      <c r="F7769" t="inlineStr">
        <is>
          <t>Bergvik skog väst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9871-2024</t>
        </is>
      </c>
      <c r="B7770" s="1" t="n">
        <v>45363</v>
      </c>
      <c r="C7770" s="1" t="n">
        <v>45932</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34972-2025</t>
        </is>
      </c>
      <c r="B7771" s="1" t="n">
        <v>45849</v>
      </c>
      <c r="C7771" s="1" t="n">
        <v>45932</v>
      </c>
      <c r="D7771" t="inlineStr">
        <is>
          <t>VÄRMLANDS LÄN</t>
        </is>
      </c>
      <c r="E7771" t="inlineStr">
        <is>
          <t>ARVIKA</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30304-2024</t>
        </is>
      </c>
      <c r="B7772" s="1" t="n">
        <v>45490.69657407407</v>
      </c>
      <c r="C7772" s="1" t="n">
        <v>45932</v>
      </c>
      <c r="D7772" t="inlineStr">
        <is>
          <t>VÄRMLANDS LÄN</t>
        </is>
      </c>
      <c r="E7772" t="inlineStr">
        <is>
          <t>SUNNE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18925-2025</t>
        </is>
      </c>
      <c r="B7773" s="1" t="n">
        <v>45764</v>
      </c>
      <c r="C7773" s="1" t="n">
        <v>45932</v>
      </c>
      <c r="D7773" t="inlineStr">
        <is>
          <t>VÄRMLANDS LÄN</t>
        </is>
      </c>
      <c r="E7773" t="inlineStr">
        <is>
          <t>SUNNE</t>
        </is>
      </c>
      <c r="F7773" t="inlineStr">
        <is>
          <t>Bergvik skog väst AB</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46120-2023</t>
        </is>
      </c>
      <c r="B7774" s="1" t="n">
        <v>45196.55380787037</v>
      </c>
      <c r="C7774" s="1" t="n">
        <v>45932</v>
      </c>
      <c r="D7774" t="inlineStr">
        <is>
          <t>VÄRMLANDS LÄN</t>
        </is>
      </c>
      <c r="E7774" t="inlineStr">
        <is>
          <t>SUNNE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33832-2025</t>
        </is>
      </c>
      <c r="B7775" s="1" t="n">
        <v>45842.47506944444</v>
      </c>
      <c r="C7775" s="1" t="n">
        <v>45932</v>
      </c>
      <c r="D7775" t="inlineStr">
        <is>
          <t>VÄRMLANDS LÄN</t>
        </is>
      </c>
      <c r="E7775" t="inlineStr">
        <is>
          <t>ÅRJÄNG</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6434-2023</t>
        </is>
      </c>
      <c r="B7776" s="1" t="n">
        <v>44965.87659722222</v>
      </c>
      <c r="C7776" s="1" t="n">
        <v>45932</v>
      </c>
      <c r="D7776" t="inlineStr">
        <is>
          <t>VÄRMLANDS LÄN</t>
        </is>
      </c>
      <c r="E7776" t="inlineStr">
        <is>
          <t>SUNNE</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34256-2024</t>
        </is>
      </c>
      <c r="B7777" s="1" t="n">
        <v>45524.59434027778</v>
      </c>
      <c r="C7777" s="1" t="n">
        <v>45932</v>
      </c>
      <c r="D7777" t="inlineStr">
        <is>
          <t>VÄRMLANDS LÄN</t>
        </is>
      </c>
      <c r="E7777" t="inlineStr">
        <is>
          <t>TORSBY</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62149-2024</t>
        </is>
      </c>
      <c r="B7778" s="1" t="n">
        <v>45646</v>
      </c>
      <c r="C7778" s="1" t="n">
        <v>45932</v>
      </c>
      <c r="D7778" t="inlineStr">
        <is>
          <t>VÄRMLANDS LÄN</t>
        </is>
      </c>
      <c r="E7778" t="inlineStr">
        <is>
          <t>SUNNE</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29043-2023</t>
        </is>
      </c>
      <c r="B7779" s="1" t="n">
        <v>45104</v>
      </c>
      <c r="C7779" s="1" t="n">
        <v>45932</v>
      </c>
      <c r="D7779" t="inlineStr">
        <is>
          <t>VÄRMLANDS LÄN</t>
        </is>
      </c>
      <c r="E7779" t="inlineStr">
        <is>
          <t>TORSBY</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201-2021</t>
        </is>
      </c>
      <c r="B7780" s="1" t="n">
        <v>44200</v>
      </c>
      <c r="C7780" s="1" t="n">
        <v>45932</v>
      </c>
      <c r="D7780" t="inlineStr">
        <is>
          <t>VÄRMLANDS LÄN</t>
        </is>
      </c>
      <c r="E7780" t="inlineStr">
        <is>
          <t>SUNNE</t>
        </is>
      </c>
      <c r="F7780" t="inlineStr">
        <is>
          <t>Övriga Aktiebolag</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210-2021</t>
        </is>
      </c>
      <c r="B7781" s="1" t="n">
        <v>44200</v>
      </c>
      <c r="C7781" s="1" t="n">
        <v>45932</v>
      </c>
      <c r="D7781" t="inlineStr">
        <is>
          <t>VÄRMLANDS LÄN</t>
        </is>
      </c>
      <c r="E7781" t="inlineStr">
        <is>
          <t>SUNNE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55003-2021</t>
        </is>
      </c>
      <c r="B7782" s="1" t="n">
        <v>44474</v>
      </c>
      <c r="C7782" s="1" t="n">
        <v>45932</v>
      </c>
      <c r="D7782" t="inlineStr">
        <is>
          <t>VÄRMLANDS LÄN</t>
        </is>
      </c>
      <c r="E7782" t="inlineStr">
        <is>
          <t>KRISTINEHAMN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30531-2023</t>
        </is>
      </c>
      <c r="B7783" s="1" t="n">
        <v>45111.68223379629</v>
      </c>
      <c r="C7783" s="1" t="n">
        <v>45932</v>
      </c>
      <c r="D7783" t="inlineStr">
        <is>
          <t>VÄRMLANDS LÄN</t>
        </is>
      </c>
      <c r="E7783" t="inlineStr">
        <is>
          <t>TORSBY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63040-2023</t>
        </is>
      </c>
      <c r="B7784" s="1" t="n">
        <v>45272.84534722222</v>
      </c>
      <c r="C7784" s="1" t="n">
        <v>45932</v>
      </c>
      <c r="D7784" t="inlineStr">
        <is>
          <t>VÄRMLANDS LÄN</t>
        </is>
      </c>
      <c r="E7784" t="inlineStr">
        <is>
          <t>EDA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73936-2021</t>
        </is>
      </c>
      <c r="B7785" s="1" t="n">
        <v>44552</v>
      </c>
      <c r="C7785" s="1" t="n">
        <v>45932</v>
      </c>
      <c r="D7785" t="inlineStr">
        <is>
          <t>VÄRMLANDS LÄN</t>
        </is>
      </c>
      <c r="E7785" t="inlineStr">
        <is>
          <t>ARVIKA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1410-2025</t>
        </is>
      </c>
      <c r="B7786" s="1" t="n">
        <v>45667.97048611111</v>
      </c>
      <c r="C7786" s="1" t="n">
        <v>45932</v>
      </c>
      <c r="D7786" t="inlineStr">
        <is>
          <t>VÄRMLANDS LÄN</t>
        </is>
      </c>
      <c r="E7786" t="inlineStr">
        <is>
          <t>ARVIKA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30548-2023</t>
        </is>
      </c>
      <c r="B7787" s="1" t="n">
        <v>45111.77894675926</v>
      </c>
      <c r="C7787" s="1" t="n">
        <v>45932</v>
      </c>
      <c r="D7787" t="inlineStr">
        <is>
          <t>VÄRMLANDS LÄN</t>
        </is>
      </c>
      <c r="E7787" t="inlineStr">
        <is>
          <t>ÅRJÄNG</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35253-2022</t>
        </is>
      </c>
      <c r="B7788" s="1" t="n">
        <v>44797</v>
      </c>
      <c r="C7788" s="1" t="n">
        <v>45932</v>
      </c>
      <c r="D7788" t="inlineStr">
        <is>
          <t>VÄRMLANDS LÄN</t>
        </is>
      </c>
      <c r="E7788" t="inlineStr">
        <is>
          <t>GRUMS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8614-2023</t>
        </is>
      </c>
      <c r="B7789" s="1" t="n">
        <v>44977</v>
      </c>
      <c r="C7789" s="1" t="n">
        <v>45932</v>
      </c>
      <c r="D7789" t="inlineStr">
        <is>
          <t>VÄRMLANDS LÄN</t>
        </is>
      </c>
      <c r="E7789" t="inlineStr">
        <is>
          <t>ÅRJÄNG</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1415-2025</t>
        </is>
      </c>
      <c r="B7790" s="1" t="n">
        <v>45668.32795138889</v>
      </c>
      <c r="C7790" s="1" t="n">
        <v>45932</v>
      </c>
      <c r="D7790" t="inlineStr">
        <is>
          <t>VÄRMLANDS LÄN</t>
        </is>
      </c>
      <c r="E7790" t="inlineStr">
        <is>
          <t>ÅRJÄNG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719-2022</t>
        </is>
      </c>
      <c r="B7791" s="1" t="n">
        <v>44568</v>
      </c>
      <c r="C7791" s="1" t="n">
        <v>45932</v>
      </c>
      <c r="D7791" t="inlineStr">
        <is>
          <t>VÄRMLANDS LÄN</t>
        </is>
      </c>
      <c r="E7791" t="inlineStr">
        <is>
          <t>ARVIKA</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46714-2025</t>
        </is>
      </c>
      <c r="B7792" s="1" t="n">
        <v>45926.57719907408</v>
      </c>
      <c r="C7792" s="1" t="n">
        <v>45932</v>
      </c>
      <c r="D7792" t="inlineStr">
        <is>
          <t>VÄRMLANDS LÄN</t>
        </is>
      </c>
      <c r="E7792" t="inlineStr">
        <is>
          <t>ARVIKA</t>
        </is>
      </c>
      <c r="F7792" t="inlineStr">
        <is>
          <t>Bergvik skog väst AB</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60058-2023</t>
        </is>
      </c>
      <c r="B7793" s="1" t="n">
        <v>45258.37978009259</v>
      </c>
      <c r="C7793" s="1" t="n">
        <v>45932</v>
      </c>
      <c r="D7793" t="inlineStr">
        <is>
          <t>VÄRMLANDS LÄN</t>
        </is>
      </c>
      <c r="E7793" t="inlineStr">
        <is>
          <t>TORSBY</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46738-2025</t>
        </is>
      </c>
      <c r="B7794" s="1" t="n">
        <v>45926</v>
      </c>
      <c r="C7794" s="1" t="n">
        <v>45932</v>
      </c>
      <c r="D7794" t="inlineStr">
        <is>
          <t>VÄRMLANDS LÄN</t>
        </is>
      </c>
      <c r="E7794" t="inlineStr">
        <is>
          <t>SUNNE</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17799-2022</t>
        </is>
      </c>
      <c r="B7795" s="1" t="n">
        <v>44683</v>
      </c>
      <c r="C7795" s="1" t="n">
        <v>45932</v>
      </c>
      <c r="D7795" t="inlineStr">
        <is>
          <t>VÄRMLANDS LÄN</t>
        </is>
      </c>
      <c r="E7795" t="inlineStr">
        <is>
          <t>EDA</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45098-2024</t>
        </is>
      </c>
      <c r="B7796" s="1" t="n">
        <v>45575.58648148148</v>
      </c>
      <c r="C7796" s="1" t="n">
        <v>45932</v>
      </c>
      <c r="D7796" t="inlineStr">
        <is>
          <t>VÄRMLANDS LÄN</t>
        </is>
      </c>
      <c r="E7796" t="inlineStr">
        <is>
          <t>FILIPSTAD</t>
        </is>
      </c>
      <c r="F7796" t="inlineStr">
        <is>
          <t>Bergvik skog väst AB</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74086-2021</t>
        </is>
      </c>
      <c r="B7797" s="1" t="n">
        <v>44557.58112268519</v>
      </c>
      <c r="C7797" s="1" t="n">
        <v>45932</v>
      </c>
      <c r="D7797" t="inlineStr">
        <is>
          <t>VÄRMLANDS LÄN</t>
        </is>
      </c>
      <c r="E7797" t="inlineStr">
        <is>
          <t>ÅRJÄNG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46767-2025</t>
        </is>
      </c>
      <c r="B7798" s="1" t="n">
        <v>45926.62878472222</v>
      </c>
      <c r="C7798" s="1" t="n">
        <v>45932</v>
      </c>
      <c r="D7798" t="inlineStr">
        <is>
          <t>VÄRMLANDS LÄN</t>
        </is>
      </c>
      <c r="E7798" t="inlineStr">
        <is>
          <t>FORSHAGA</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33955-2025</t>
        </is>
      </c>
      <c r="B7799" s="1" t="n">
        <v>45842.67679398148</v>
      </c>
      <c r="C7799" s="1" t="n">
        <v>45932</v>
      </c>
      <c r="D7799" t="inlineStr">
        <is>
          <t>VÄRMLANDS LÄN</t>
        </is>
      </c>
      <c r="E7799" t="inlineStr">
        <is>
          <t>SUNNE</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42506-2025</t>
        </is>
      </c>
      <c r="B7800" s="1" t="n">
        <v>45904</v>
      </c>
      <c r="C7800" s="1" t="n">
        <v>45932</v>
      </c>
      <c r="D7800" t="inlineStr">
        <is>
          <t>VÄRMLANDS LÄN</t>
        </is>
      </c>
      <c r="E7800" t="inlineStr">
        <is>
          <t>KRISTINEHAMN</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8281-2023</t>
        </is>
      </c>
      <c r="B7801" s="1" t="n">
        <v>44974</v>
      </c>
      <c r="C7801" s="1" t="n">
        <v>45932</v>
      </c>
      <c r="D7801" t="inlineStr">
        <is>
          <t>VÄRMLANDS LÄN</t>
        </is>
      </c>
      <c r="E7801" t="inlineStr">
        <is>
          <t>TORSBY</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34252-2025</t>
        </is>
      </c>
      <c r="B7802" s="1" t="n">
        <v>45845</v>
      </c>
      <c r="C7802" s="1" t="n">
        <v>45932</v>
      </c>
      <c r="D7802" t="inlineStr">
        <is>
          <t>VÄRMLANDS LÄN</t>
        </is>
      </c>
      <c r="E7802" t="inlineStr">
        <is>
          <t>ÅRJÄNG</t>
        </is>
      </c>
      <c r="G7802" t="n">
        <v>7.1</v>
      </c>
      <c r="H7802" t="n">
        <v>0</v>
      </c>
      <c r="I7802" t="n">
        <v>0</v>
      </c>
      <c r="J7802" t="n">
        <v>0</v>
      </c>
      <c r="K7802" t="n">
        <v>0</v>
      </c>
      <c r="L7802" t="n">
        <v>0</v>
      </c>
      <c r="M7802" t="n">
        <v>0</v>
      </c>
      <c r="N7802" t="n">
        <v>0</v>
      </c>
      <c r="O7802" t="n">
        <v>0</v>
      </c>
      <c r="P7802" t="n">
        <v>0</v>
      </c>
      <c r="Q7802" t="n">
        <v>0</v>
      </c>
      <c r="R7802" s="2" t="inlineStr"/>
      <c r="U7802">
        <f>HYPERLINK("https://klasma.github.io/Logging_1765/knärot/A 34252-2025 karta knärot.png", "A 34252-2025")</f>
        <v/>
      </c>
      <c r="V7802">
        <f>HYPERLINK("https://klasma.github.io/Logging_1765/klagomål/A 34252-2025 FSC-klagomål.docx", "A 34252-2025")</f>
        <v/>
      </c>
      <c r="W7802">
        <f>HYPERLINK("https://klasma.github.io/Logging_1765/klagomålsmail/A 34252-2025 FSC-klagomål mail.docx", "A 34252-2025")</f>
        <v/>
      </c>
      <c r="X7802">
        <f>HYPERLINK("https://klasma.github.io/Logging_1765/tillsyn/A 34252-2025 tillsynsbegäran.docx", "A 34252-2025")</f>
        <v/>
      </c>
      <c r="Y7802">
        <f>HYPERLINK("https://klasma.github.io/Logging_1765/tillsynsmail/A 34252-2025 tillsynsbegäran mail.docx", "A 34252-2025")</f>
        <v/>
      </c>
    </row>
    <row r="7803" ht="15" customHeight="1">
      <c r="A7803" t="inlineStr">
        <is>
          <t>A 33985-2025</t>
        </is>
      </c>
      <c r="B7803" s="1" t="n">
        <v>45843</v>
      </c>
      <c r="C7803" s="1" t="n">
        <v>45932</v>
      </c>
      <c r="D7803" t="inlineStr">
        <is>
          <t>VÄRMLANDS LÄN</t>
        </is>
      </c>
      <c r="E7803" t="inlineStr">
        <is>
          <t>ARVIKA</t>
        </is>
      </c>
      <c r="F7803" t="inlineStr">
        <is>
          <t>Bergvik skog väst AB</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34151-2025</t>
        </is>
      </c>
      <c r="B7804" s="1" t="n">
        <v>45845</v>
      </c>
      <c r="C7804" s="1" t="n">
        <v>45932</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34077-2025</t>
        </is>
      </c>
      <c r="B7805" s="1" t="n">
        <v>45845.45206018518</v>
      </c>
      <c r="C7805" s="1" t="n">
        <v>45932</v>
      </c>
      <c r="D7805" t="inlineStr">
        <is>
          <t>VÄRMLANDS LÄN</t>
        </is>
      </c>
      <c r="E7805" t="inlineStr">
        <is>
          <t>ÅRJÄNG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34107-2025</t>
        </is>
      </c>
      <c r="B7806" s="1" t="n">
        <v>45845</v>
      </c>
      <c r="C7806" s="1" t="n">
        <v>45932</v>
      </c>
      <c r="D7806" t="inlineStr">
        <is>
          <t>VÄRMLANDS LÄN</t>
        </is>
      </c>
      <c r="E7806" t="inlineStr">
        <is>
          <t>HAGFORS</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38808-2025</t>
        </is>
      </c>
      <c r="B7807" s="1" t="n">
        <v>45887.47344907407</v>
      </c>
      <c r="C7807" s="1" t="n">
        <v>45932</v>
      </c>
      <c r="D7807" t="inlineStr">
        <is>
          <t>VÄRMLANDS LÄN</t>
        </is>
      </c>
      <c r="E7807" t="inlineStr">
        <is>
          <t>TORSBY</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34133-2025</t>
        </is>
      </c>
      <c r="B7808" s="1" t="n">
        <v>45845.53253472222</v>
      </c>
      <c r="C7808" s="1" t="n">
        <v>45932</v>
      </c>
      <c r="D7808" t="inlineStr">
        <is>
          <t>VÄRMLANDS LÄN</t>
        </is>
      </c>
      <c r="E7808" t="inlineStr">
        <is>
          <t>HAGFORS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34136-2025</t>
        </is>
      </c>
      <c r="B7809" s="1" t="n">
        <v>45845.54184027778</v>
      </c>
      <c r="C7809" s="1" t="n">
        <v>45932</v>
      </c>
      <c r="D7809" t="inlineStr">
        <is>
          <t>VÄRMLANDS LÄN</t>
        </is>
      </c>
      <c r="E7809" t="inlineStr">
        <is>
          <t>TORSBY</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34192-2025</t>
        </is>
      </c>
      <c r="B7810" s="1" t="n">
        <v>45845.61989583333</v>
      </c>
      <c r="C7810" s="1" t="n">
        <v>45932</v>
      </c>
      <c r="D7810" t="inlineStr">
        <is>
          <t>VÄRMLANDS LÄN</t>
        </is>
      </c>
      <c r="E7810" t="inlineStr">
        <is>
          <t>SUNNE</t>
        </is>
      </c>
      <c r="F7810" t="inlineStr">
        <is>
          <t>Kommuner</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38935-2025</t>
        </is>
      </c>
      <c r="B7811" s="1" t="n">
        <v>45887</v>
      </c>
      <c r="C7811" s="1" t="n">
        <v>45932</v>
      </c>
      <c r="D7811" t="inlineStr">
        <is>
          <t>VÄRMLANDS LÄN</t>
        </is>
      </c>
      <c r="E7811" t="inlineStr">
        <is>
          <t>ARVIKA</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42141-2024</t>
        </is>
      </c>
      <c r="B7812" s="1" t="n">
        <v>45562.43354166667</v>
      </c>
      <c r="C7812" s="1" t="n">
        <v>45932</v>
      </c>
      <c r="D7812" t="inlineStr">
        <is>
          <t>VÄRMLANDS LÄN</t>
        </is>
      </c>
      <c r="E7812" t="inlineStr">
        <is>
          <t>ÅRJÄNG</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27363-2024</t>
        </is>
      </c>
      <c r="B7813" s="1" t="n">
        <v>45473</v>
      </c>
      <c r="C7813" s="1" t="n">
        <v>45932</v>
      </c>
      <c r="D7813" t="inlineStr">
        <is>
          <t>VÄRMLANDS LÄN</t>
        </is>
      </c>
      <c r="E7813" t="inlineStr">
        <is>
          <t>TORSBY</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27444-2024</t>
        </is>
      </c>
      <c r="B7814" s="1" t="n">
        <v>45474</v>
      </c>
      <c r="C7814" s="1" t="n">
        <v>45932</v>
      </c>
      <c r="D7814" t="inlineStr">
        <is>
          <t>VÄRMLANDS LÄN</t>
        </is>
      </c>
      <c r="E7814" t="inlineStr">
        <is>
          <t>SÄFFLE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31247-2025</t>
        </is>
      </c>
      <c r="B7815" s="1" t="n">
        <v>45832</v>
      </c>
      <c r="C7815" s="1" t="n">
        <v>45932</v>
      </c>
      <c r="D7815" t="inlineStr">
        <is>
          <t>VÄRMLANDS LÄN</t>
        </is>
      </c>
      <c r="E7815" t="inlineStr">
        <is>
          <t>SÄFFLE</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34179-2025</t>
        </is>
      </c>
      <c r="B7816" s="1" t="n">
        <v>45845</v>
      </c>
      <c r="C7816" s="1" t="n">
        <v>45932</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58129-2022</t>
        </is>
      </c>
      <c r="B7817" s="1" t="n">
        <v>44900</v>
      </c>
      <c r="C7817" s="1" t="n">
        <v>45932</v>
      </c>
      <c r="D7817" t="inlineStr">
        <is>
          <t>VÄRMLANDS LÄN</t>
        </is>
      </c>
      <c r="E7817" t="inlineStr">
        <is>
          <t>SUNNE</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33772-2025</t>
        </is>
      </c>
      <c r="B7818" s="1" t="n">
        <v>45842.39123842592</v>
      </c>
      <c r="C7818" s="1" t="n">
        <v>45932</v>
      </c>
      <c r="D7818" t="inlineStr">
        <is>
          <t>VÄRMLANDS LÄN</t>
        </is>
      </c>
      <c r="E7818" t="inlineStr">
        <is>
          <t>SUNNE</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34446-2023</t>
        </is>
      </c>
      <c r="B7819" s="1" t="n">
        <v>45135</v>
      </c>
      <c r="C7819" s="1" t="n">
        <v>45932</v>
      </c>
      <c r="D7819" t="inlineStr">
        <is>
          <t>VÄRMLANDS LÄN</t>
        </is>
      </c>
      <c r="E7819" t="inlineStr">
        <is>
          <t>ARVIKA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33784-2025</t>
        </is>
      </c>
      <c r="B7820" s="1" t="n">
        <v>45842.40771990741</v>
      </c>
      <c r="C7820" s="1" t="n">
        <v>45932</v>
      </c>
      <c r="D7820" t="inlineStr">
        <is>
          <t>VÄRMLANDS LÄN</t>
        </is>
      </c>
      <c r="E7820" t="inlineStr">
        <is>
          <t>SUNNE</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8197-2025</t>
        </is>
      </c>
      <c r="B7821" s="1" t="n">
        <v>45708.4318287037</v>
      </c>
      <c r="C7821" s="1" t="n">
        <v>45932</v>
      </c>
      <c r="D7821" t="inlineStr">
        <is>
          <t>VÄRMLANDS LÄN</t>
        </is>
      </c>
      <c r="E7821" t="inlineStr">
        <is>
          <t>TORSBY</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34121-2025</t>
        </is>
      </c>
      <c r="B7822" s="1" t="n">
        <v>45845.51818287037</v>
      </c>
      <c r="C7822" s="1" t="n">
        <v>45932</v>
      </c>
      <c r="D7822" t="inlineStr">
        <is>
          <t>VÄRMLANDS LÄN</t>
        </is>
      </c>
      <c r="E7822" t="inlineStr">
        <is>
          <t>HAGFORS</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43766-2024</t>
        </is>
      </c>
      <c r="B7823" s="1" t="n">
        <v>45569</v>
      </c>
      <c r="C7823" s="1" t="n">
        <v>45932</v>
      </c>
      <c r="D7823" t="inlineStr">
        <is>
          <t>VÄRMLANDS LÄN</t>
        </is>
      </c>
      <c r="E7823" t="inlineStr">
        <is>
          <t>SÄFFLE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34145-2025</t>
        </is>
      </c>
      <c r="B7824" s="1" t="n">
        <v>45845.55372685185</v>
      </c>
      <c r="C7824" s="1" t="n">
        <v>45932</v>
      </c>
      <c r="D7824" t="inlineStr">
        <is>
          <t>VÄRMLANDS LÄN</t>
        </is>
      </c>
      <c r="E7824" t="inlineStr">
        <is>
          <t>TORSBY</t>
        </is>
      </c>
      <c r="G7824" t="n">
        <v>19.2</v>
      </c>
      <c r="H7824" t="n">
        <v>0</v>
      </c>
      <c r="I7824" t="n">
        <v>0</v>
      </c>
      <c r="J7824" t="n">
        <v>0</v>
      </c>
      <c r="K7824" t="n">
        <v>0</v>
      </c>
      <c r="L7824" t="n">
        <v>0</v>
      </c>
      <c r="M7824" t="n">
        <v>0</v>
      </c>
      <c r="N7824" t="n">
        <v>0</v>
      </c>
      <c r="O7824" t="n">
        <v>0</v>
      </c>
      <c r="P7824" t="n">
        <v>0</v>
      </c>
      <c r="Q7824" t="n">
        <v>0</v>
      </c>
      <c r="R7824" s="2" t="inlineStr"/>
    </row>
    <row r="7825" ht="15" customHeight="1">
      <c r="A7825" t="inlineStr">
        <is>
          <t>A 34149-2025</t>
        </is>
      </c>
      <c r="B7825" s="1" t="n">
        <v>45845.5663425926</v>
      </c>
      <c r="C7825" s="1" t="n">
        <v>45932</v>
      </c>
      <c r="D7825" t="inlineStr">
        <is>
          <t>VÄRMLANDS LÄN</t>
        </is>
      </c>
      <c r="E7825" t="inlineStr">
        <is>
          <t>HAGFORS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16425-2025</t>
        </is>
      </c>
      <c r="B7826" s="1" t="n">
        <v>45751.47630787037</v>
      </c>
      <c r="C7826" s="1" t="n">
        <v>45932</v>
      </c>
      <c r="D7826" t="inlineStr">
        <is>
          <t>VÄRMLANDS LÄN</t>
        </is>
      </c>
      <c r="E7826" t="inlineStr">
        <is>
          <t>KARLSTAD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53788-2022</t>
        </is>
      </c>
      <c r="B7827" s="1" t="n">
        <v>44880</v>
      </c>
      <c r="C7827" s="1" t="n">
        <v>45932</v>
      </c>
      <c r="D7827" t="inlineStr">
        <is>
          <t>VÄRMLANDS LÄN</t>
        </is>
      </c>
      <c r="E7827" t="inlineStr">
        <is>
          <t>SÄFFLE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33848-2025</t>
        </is>
      </c>
      <c r="B7828" s="1" t="n">
        <v>45842</v>
      </c>
      <c r="C7828" s="1" t="n">
        <v>45932</v>
      </c>
      <c r="D7828" t="inlineStr">
        <is>
          <t>VÄRMLANDS LÄN</t>
        </is>
      </c>
      <c r="E7828" t="inlineStr">
        <is>
          <t>HAGFORS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56571-2024</t>
        </is>
      </c>
      <c r="B7829" s="1" t="n">
        <v>45625</v>
      </c>
      <c r="C7829" s="1" t="n">
        <v>45932</v>
      </c>
      <c r="D7829" t="inlineStr">
        <is>
          <t>VÄRMLANDS LÄN</t>
        </is>
      </c>
      <c r="E7829" t="inlineStr">
        <is>
          <t>TORSBY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34008-2025</t>
        </is>
      </c>
      <c r="B7830" s="1" t="n">
        <v>45844.82642361111</v>
      </c>
      <c r="C7830" s="1" t="n">
        <v>45932</v>
      </c>
      <c r="D7830" t="inlineStr">
        <is>
          <t>VÄRMLANDS LÄN</t>
        </is>
      </c>
      <c r="E7830" t="inlineStr">
        <is>
          <t>SUNNE</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34009-2025</t>
        </is>
      </c>
      <c r="B7831" s="1" t="n">
        <v>45844.82790509259</v>
      </c>
      <c r="C7831" s="1" t="n">
        <v>45932</v>
      </c>
      <c r="D7831" t="inlineStr">
        <is>
          <t>VÄRMLANDS LÄN</t>
        </is>
      </c>
      <c r="E7831" t="inlineStr">
        <is>
          <t>SUNNE</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34137-2025</t>
        </is>
      </c>
      <c r="B7832" s="1" t="n">
        <v>45845.54340277778</v>
      </c>
      <c r="C7832" s="1" t="n">
        <v>45932</v>
      </c>
      <c r="D7832" t="inlineStr">
        <is>
          <t>VÄRMLANDS LÄN</t>
        </is>
      </c>
      <c r="E7832" t="inlineStr">
        <is>
          <t>TORSBY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34138-2025</t>
        </is>
      </c>
      <c r="B7833" s="1" t="n">
        <v>45845.54486111111</v>
      </c>
      <c r="C7833" s="1" t="n">
        <v>45932</v>
      </c>
      <c r="D7833" t="inlineStr">
        <is>
          <t>VÄRMLANDS LÄN</t>
        </is>
      </c>
      <c r="E7833" t="inlineStr">
        <is>
          <t>TORSBY</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34146-2025</t>
        </is>
      </c>
      <c r="B7834" s="1" t="n">
        <v>45845.56008101852</v>
      </c>
      <c r="C7834" s="1" t="n">
        <v>45932</v>
      </c>
      <c r="D7834" t="inlineStr">
        <is>
          <t>VÄRMLANDS LÄN</t>
        </is>
      </c>
      <c r="E7834" t="inlineStr">
        <is>
          <t>TORSBY</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34046-2025</t>
        </is>
      </c>
      <c r="B7835" s="1" t="n">
        <v>45845.38671296297</v>
      </c>
      <c r="C7835" s="1" t="n">
        <v>45932</v>
      </c>
      <c r="D7835" t="inlineStr">
        <is>
          <t>VÄRMLANDS LÄN</t>
        </is>
      </c>
      <c r="E7835" t="inlineStr">
        <is>
          <t>TORSBY</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34134-2025</t>
        </is>
      </c>
      <c r="B7836" s="1" t="n">
        <v>45845.53645833334</v>
      </c>
      <c r="C7836" s="1" t="n">
        <v>45932</v>
      </c>
      <c r="D7836" t="inlineStr">
        <is>
          <t>VÄRMLANDS LÄN</t>
        </is>
      </c>
      <c r="E7836" t="inlineStr">
        <is>
          <t>HAGFORS</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34148-2025</t>
        </is>
      </c>
      <c r="B7837" s="1" t="n">
        <v>45844</v>
      </c>
      <c r="C7837" s="1" t="n">
        <v>45932</v>
      </c>
      <c r="D7837" t="inlineStr">
        <is>
          <t>VÄRMLANDS LÄN</t>
        </is>
      </c>
      <c r="E7837" t="inlineStr">
        <is>
          <t>ÅRJÄNG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34152-2025</t>
        </is>
      </c>
      <c r="B7838" s="1" t="n">
        <v>45845.57018518518</v>
      </c>
      <c r="C7838" s="1" t="n">
        <v>45932</v>
      </c>
      <c r="D7838" t="inlineStr">
        <is>
          <t>VÄRMLANDS LÄN</t>
        </is>
      </c>
      <c r="E7838" t="inlineStr">
        <is>
          <t>SÄFFLE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6255-2023</t>
        </is>
      </c>
      <c r="B7839" s="1" t="n">
        <v>44965.34155092593</v>
      </c>
      <c r="C7839" s="1" t="n">
        <v>45932</v>
      </c>
      <c r="D7839" t="inlineStr">
        <is>
          <t>VÄRMLANDS LÄN</t>
        </is>
      </c>
      <c r="E7839" t="inlineStr">
        <is>
          <t>ARVIKA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33232-2024</t>
        </is>
      </c>
      <c r="B7840" s="1" t="n">
        <v>45518</v>
      </c>
      <c r="C7840" s="1" t="n">
        <v>45932</v>
      </c>
      <c r="D7840" t="inlineStr">
        <is>
          <t>VÄRMLANDS LÄN</t>
        </is>
      </c>
      <c r="E7840" t="inlineStr">
        <is>
          <t>TORSBY</t>
        </is>
      </c>
      <c r="F7840" t="inlineStr">
        <is>
          <t>Bergvik skog väst AB</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52803-2024</t>
        </is>
      </c>
      <c r="B7841" s="1" t="n">
        <v>45610</v>
      </c>
      <c r="C7841" s="1" t="n">
        <v>45932</v>
      </c>
      <c r="D7841" t="inlineStr">
        <is>
          <t>VÄRMLANDS LÄN</t>
        </is>
      </c>
      <c r="E7841" t="inlineStr">
        <is>
          <t>ÅRJÄNG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28091-2025</t>
        </is>
      </c>
      <c r="B7842" s="1" t="n">
        <v>45817.77519675926</v>
      </c>
      <c r="C7842" s="1" t="n">
        <v>45932</v>
      </c>
      <c r="D7842" t="inlineStr">
        <is>
          <t>VÄRMLANDS LÄN</t>
        </is>
      </c>
      <c r="E7842" t="inlineStr">
        <is>
          <t>EDA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34398-2025</t>
        </is>
      </c>
      <c r="B7843" s="1" t="n">
        <v>45846.60688657407</v>
      </c>
      <c r="C7843" s="1" t="n">
        <v>45932</v>
      </c>
      <c r="D7843" t="inlineStr">
        <is>
          <t>VÄRMLANDS LÄN</t>
        </is>
      </c>
      <c r="E7843" t="inlineStr">
        <is>
          <t>TORSBY</t>
        </is>
      </c>
      <c r="F7843" t="inlineStr">
        <is>
          <t>Bergvik skog väst AB</t>
        </is>
      </c>
      <c r="G7843" t="n">
        <v>22.3</v>
      </c>
      <c r="H7843" t="n">
        <v>0</v>
      </c>
      <c r="I7843" t="n">
        <v>0</v>
      </c>
      <c r="J7843" t="n">
        <v>0</v>
      </c>
      <c r="K7843" t="n">
        <v>0</v>
      </c>
      <c r="L7843" t="n">
        <v>0</v>
      </c>
      <c r="M7843" t="n">
        <v>0</v>
      </c>
      <c r="N7843" t="n">
        <v>0</v>
      </c>
      <c r="O7843" t="n">
        <v>0</v>
      </c>
      <c r="P7843" t="n">
        <v>0</v>
      </c>
      <c r="Q7843" t="n">
        <v>0</v>
      </c>
      <c r="R7843" s="2" t="inlineStr"/>
    </row>
    <row r="7844" ht="15" customHeight="1">
      <c r="A7844" t="inlineStr">
        <is>
          <t>A 34399-2025</t>
        </is>
      </c>
      <c r="B7844" s="1" t="n">
        <v>45846.610625</v>
      </c>
      <c r="C7844" s="1" t="n">
        <v>45932</v>
      </c>
      <c r="D7844" t="inlineStr">
        <is>
          <t>VÄRMLANDS LÄN</t>
        </is>
      </c>
      <c r="E7844" t="inlineStr">
        <is>
          <t>TORSBY</t>
        </is>
      </c>
      <c r="F7844" t="inlineStr">
        <is>
          <t>Bergvik skog väst AB</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17756-2025</t>
        </is>
      </c>
      <c r="B7845" s="1" t="n">
        <v>45758.49068287037</v>
      </c>
      <c r="C7845" s="1" t="n">
        <v>45932</v>
      </c>
      <c r="D7845" t="inlineStr">
        <is>
          <t>VÄRMLANDS LÄN</t>
        </is>
      </c>
      <c r="E7845" t="inlineStr">
        <is>
          <t>EDA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44420-2021</t>
        </is>
      </c>
      <c r="B7846" s="1" t="n">
        <v>44435</v>
      </c>
      <c r="C7846" s="1" t="n">
        <v>45932</v>
      </c>
      <c r="D7846" t="inlineStr">
        <is>
          <t>VÄRMLANDS LÄN</t>
        </is>
      </c>
      <c r="E7846" t="inlineStr">
        <is>
          <t>ARVIKA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63985-2023</t>
        </is>
      </c>
      <c r="B7847" s="1" t="n">
        <v>45278</v>
      </c>
      <c r="C7847" s="1" t="n">
        <v>45932</v>
      </c>
      <c r="D7847" t="inlineStr">
        <is>
          <t>VÄRMLANDS LÄN</t>
        </is>
      </c>
      <c r="E7847" t="inlineStr">
        <is>
          <t>SÄFFLE</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26611-2025</t>
        </is>
      </c>
      <c r="B7848" s="1" t="n">
        <v>45808</v>
      </c>
      <c r="C7848" s="1" t="n">
        <v>45932</v>
      </c>
      <c r="D7848" t="inlineStr">
        <is>
          <t>VÄRMLANDS LÄN</t>
        </is>
      </c>
      <c r="E7848" t="inlineStr">
        <is>
          <t>SÄFFLE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34851-2024</t>
        </is>
      </c>
      <c r="B7849" s="1" t="n">
        <v>45527.32226851852</v>
      </c>
      <c r="C7849" s="1" t="n">
        <v>45932</v>
      </c>
      <c r="D7849" t="inlineStr">
        <is>
          <t>VÄRMLANDS LÄN</t>
        </is>
      </c>
      <c r="E7849" t="inlineStr">
        <is>
          <t>SÄFFLE</t>
        </is>
      </c>
      <c r="F7849" t="inlineStr">
        <is>
          <t>Kyrkan</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34355-2025</t>
        </is>
      </c>
      <c r="B7850" s="1" t="n">
        <v>45846.48114583334</v>
      </c>
      <c r="C7850" s="1" t="n">
        <v>45932</v>
      </c>
      <c r="D7850" t="inlineStr">
        <is>
          <t>VÄRMLANDS LÄN</t>
        </is>
      </c>
      <c r="E7850" t="inlineStr">
        <is>
          <t>TORSBY</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34358-2025</t>
        </is>
      </c>
      <c r="B7851" s="1" t="n">
        <v>45846.48637731482</v>
      </c>
      <c r="C7851" s="1" t="n">
        <v>45932</v>
      </c>
      <c r="D7851" t="inlineStr">
        <is>
          <t>VÄRMLANDS LÄN</t>
        </is>
      </c>
      <c r="E7851" t="inlineStr">
        <is>
          <t>TORSBY</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41654-2024</t>
        </is>
      </c>
      <c r="B7852" s="1" t="n">
        <v>45560</v>
      </c>
      <c r="C7852" s="1" t="n">
        <v>45932</v>
      </c>
      <c r="D7852" t="inlineStr">
        <is>
          <t>VÄRMLANDS LÄN</t>
        </is>
      </c>
      <c r="E7852" t="inlineStr">
        <is>
          <t>KARLSTAD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14772-2022</t>
        </is>
      </c>
      <c r="B7853" s="1" t="n">
        <v>44656</v>
      </c>
      <c r="C7853" s="1" t="n">
        <v>45932</v>
      </c>
      <c r="D7853" t="inlineStr">
        <is>
          <t>VÄRMLANDS LÄN</t>
        </is>
      </c>
      <c r="E7853" t="inlineStr">
        <is>
          <t>KRISTINEHAMN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34886-2024</t>
        </is>
      </c>
      <c r="B7854" s="1" t="n">
        <v>45527</v>
      </c>
      <c r="C7854" s="1" t="n">
        <v>45932</v>
      </c>
      <c r="D7854" t="inlineStr">
        <is>
          <t>VÄRMLANDS LÄN</t>
        </is>
      </c>
      <c r="E7854" t="inlineStr">
        <is>
          <t>FORSHAGA</t>
        </is>
      </c>
      <c r="F7854" t="inlineStr">
        <is>
          <t>Bergvik skog väst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34316-2025</t>
        </is>
      </c>
      <c r="B7855" s="1" t="n">
        <v>45846</v>
      </c>
      <c r="C7855" s="1" t="n">
        <v>45932</v>
      </c>
      <c r="D7855" t="inlineStr">
        <is>
          <t>VÄRMLANDS LÄN</t>
        </is>
      </c>
      <c r="E7855" t="inlineStr">
        <is>
          <t>ARVIKA</t>
        </is>
      </c>
      <c r="F7855" t="inlineStr">
        <is>
          <t>Bergvik skog väst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50199-2022</t>
        </is>
      </c>
      <c r="B7856" s="1" t="n">
        <v>44865</v>
      </c>
      <c r="C7856" s="1" t="n">
        <v>45932</v>
      </c>
      <c r="D7856" t="inlineStr">
        <is>
          <t>VÄRMLANDS LÄN</t>
        </is>
      </c>
      <c r="E7856" t="inlineStr">
        <is>
          <t>HAGFORS</t>
        </is>
      </c>
      <c r="F7856" t="inlineStr">
        <is>
          <t>Bergvik skog väst AB</t>
        </is>
      </c>
      <c r="G7856" t="n">
        <v>33.2</v>
      </c>
      <c r="H7856" t="n">
        <v>0</v>
      </c>
      <c r="I7856" t="n">
        <v>0</v>
      </c>
      <c r="J7856" t="n">
        <v>0</v>
      </c>
      <c r="K7856" t="n">
        <v>0</v>
      </c>
      <c r="L7856" t="n">
        <v>0</v>
      </c>
      <c r="M7856" t="n">
        <v>0</v>
      </c>
      <c r="N7856" t="n">
        <v>0</v>
      </c>
      <c r="O7856" t="n">
        <v>0</v>
      </c>
      <c r="P7856" t="n">
        <v>0</v>
      </c>
      <c r="Q7856" t="n">
        <v>0</v>
      </c>
      <c r="R7856" s="2" t="inlineStr"/>
    </row>
    <row r="7857" ht="15" customHeight="1">
      <c r="A7857" t="inlineStr">
        <is>
          <t>A 34365-2025</t>
        </is>
      </c>
      <c r="B7857" s="1" t="n">
        <v>45846.49326388889</v>
      </c>
      <c r="C7857" s="1" t="n">
        <v>45932</v>
      </c>
      <c r="D7857" t="inlineStr">
        <is>
          <t>VÄRMLANDS LÄN</t>
        </is>
      </c>
      <c r="E7857" t="inlineStr">
        <is>
          <t>TORSBY</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34451-2025</t>
        </is>
      </c>
      <c r="B7858" s="1" t="n">
        <v>45846.85114583333</v>
      </c>
      <c r="C7858" s="1" t="n">
        <v>45932</v>
      </c>
      <c r="D7858" t="inlineStr">
        <is>
          <t>VÄRMLANDS LÄN</t>
        </is>
      </c>
      <c r="E7858" t="inlineStr">
        <is>
          <t>TORSBY</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59100-2024</t>
        </is>
      </c>
      <c r="B7859" s="1" t="n">
        <v>45637</v>
      </c>
      <c r="C7859" s="1" t="n">
        <v>45932</v>
      </c>
      <c r="D7859" t="inlineStr">
        <is>
          <t>VÄRMLANDS LÄN</t>
        </is>
      </c>
      <c r="E7859" t="inlineStr">
        <is>
          <t>ARVIKA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28968-2021</t>
        </is>
      </c>
      <c r="B7860" s="1" t="n">
        <v>44358</v>
      </c>
      <c r="C7860" s="1" t="n">
        <v>45932</v>
      </c>
      <c r="D7860" t="inlineStr">
        <is>
          <t>VÄRMLANDS LÄN</t>
        </is>
      </c>
      <c r="E7860" t="inlineStr">
        <is>
          <t>SUNNE</t>
        </is>
      </c>
      <c r="G7860" t="n">
        <v>16.6</v>
      </c>
      <c r="H7860" t="n">
        <v>0</v>
      </c>
      <c r="I7860" t="n">
        <v>0</v>
      </c>
      <c r="J7860" t="n">
        <v>0</v>
      </c>
      <c r="K7860" t="n">
        <v>0</v>
      </c>
      <c r="L7860" t="n">
        <v>0</v>
      </c>
      <c r="M7860" t="n">
        <v>0</v>
      </c>
      <c r="N7860" t="n">
        <v>0</v>
      </c>
      <c r="O7860" t="n">
        <v>0</v>
      </c>
      <c r="P7860" t="n">
        <v>0</v>
      </c>
      <c r="Q7860" t="n">
        <v>0</v>
      </c>
      <c r="R7860" s="2" t="inlineStr"/>
    </row>
    <row r="7861" ht="15" customHeight="1">
      <c r="A7861" t="inlineStr">
        <is>
          <t>A 3590-2025</t>
        </is>
      </c>
      <c r="B7861" s="1" t="n">
        <v>45680</v>
      </c>
      <c r="C7861" s="1" t="n">
        <v>45932</v>
      </c>
      <c r="D7861" t="inlineStr">
        <is>
          <t>VÄRMLANDS LÄN</t>
        </is>
      </c>
      <c r="E7861" t="inlineStr">
        <is>
          <t>ARVIKA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34480-2025</t>
        </is>
      </c>
      <c r="B7862" s="1" t="n">
        <v>45847.37582175926</v>
      </c>
      <c r="C7862" s="1" t="n">
        <v>45932</v>
      </c>
      <c r="D7862" t="inlineStr">
        <is>
          <t>VÄRMLANDS LÄN</t>
        </is>
      </c>
      <c r="E7862" t="inlineStr">
        <is>
          <t>TORSBY</t>
        </is>
      </c>
      <c r="F7862" t="inlineStr">
        <is>
          <t>Övriga Aktiebolag</t>
        </is>
      </c>
      <c r="G7862" t="n">
        <v>13.4</v>
      </c>
      <c r="H7862" t="n">
        <v>0</v>
      </c>
      <c r="I7862" t="n">
        <v>0</v>
      </c>
      <c r="J7862" t="n">
        <v>0</v>
      </c>
      <c r="K7862" t="n">
        <v>0</v>
      </c>
      <c r="L7862" t="n">
        <v>0</v>
      </c>
      <c r="M7862" t="n">
        <v>0</v>
      </c>
      <c r="N7862" t="n">
        <v>0</v>
      </c>
      <c r="O7862" t="n">
        <v>0</v>
      </c>
      <c r="P7862" t="n">
        <v>0</v>
      </c>
      <c r="Q7862" t="n">
        <v>0</v>
      </c>
      <c r="R7862" s="2" t="inlineStr"/>
    </row>
    <row r="7863" ht="15" customHeight="1">
      <c r="A7863" t="inlineStr">
        <is>
          <t>A 34495-2025</t>
        </is>
      </c>
      <c r="B7863" s="1" t="n">
        <v>45847.42686342593</v>
      </c>
      <c r="C7863" s="1" t="n">
        <v>45932</v>
      </c>
      <c r="D7863" t="inlineStr">
        <is>
          <t>VÄRMLANDS LÄN</t>
        </is>
      </c>
      <c r="E7863" t="inlineStr">
        <is>
          <t>TORSBY</t>
        </is>
      </c>
      <c r="F7863" t="inlineStr">
        <is>
          <t>Övriga Aktiebolag</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24756-2023</t>
        </is>
      </c>
      <c r="B7864" s="1" t="n">
        <v>45084</v>
      </c>
      <c r="C7864" s="1" t="n">
        <v>45932</v>
      </c>
      <c r="D7864" t="inlineStr">
        <is>
          <t>VÄRMLANDS LÄN</t>
        </is>
      </c>
      <c r="E7864" t="inlineStr">
        <is>
          <t>EDA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34505-2025</t>
        </is>
      </c>
      <c r="B7865" s="1" t="n">
        <v>45847.43850694445</v>
      </c>
      <c r="C7865" s="1" t="n">
        <v>45932</v>
      </c>
      <c r="D7865" t="inlineStr">
        <is>
          <t>VÄRMLANDS LÄN</t>
        </is>
      </c>
      <c r="E7865" t="inlineStr">
        <is>
          <t>SÄFFLE</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17473-2025</t>
        </is>
      </c>
      <c r="B7866" s="1" t="n">
        <v>45757.47975694444</v>
      </c>
      <c r="C7866" s="1" t="n">
        <v>45932</v>
      </c>
      <c r="D7866" t="inlineStr">
        <is>
          <t>VÄRMLANDS LÄN</t>
        </is>
      </c>
      <c r="E7866" t="inlineStr">
        <is>
          <t>KIL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39390-2023</t>
        </is>
      </c>
      <c r="B7867" s="1" t="n">
        <v>45166.65104166666</v>
      </c>
      <c r="C7867" s="1" t="n">
        <v>45932</v>
      </c>
      <c r="D7867" t="inlineStr">
        <is>
          <t>VÄRMLANDS LÄN</t>
        </is>
      </c>
      <c r="E7867" t="inlineStr">
        <is>
          <t>TORSBY</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39396-2023</t>
        </is>
      </c>
      <c r="B7868" s="1" t="n">
        <v>45166</v>
      </c>
      <c r="C7868" s="1" t="n">
        <v>45932</v>
      </c>
      <c r="D7868" t="inlineStr">
        <is>
          <t>VÄRMLANDS LÄN</t>
        </is>
      </c>
      <c r="E7868" t="inlineStr">
        <is>
          <t>HAGFORS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32031-2024</t>
        </is>
      </c>
      <c r="B7869" s="1" t="n">
        <v>45510.6646875</v>
      </c>
      <c r="C7869" s="1" t="n">
        <v>45932</v>
      </c>
      <c r="D7869" t="inlineStr">
        <is>
          <t>VÄRMLANDS LÄN</t>
        </is>
      </c>
      <c r="E7869" t="inlineStr">
        <is>
          <t>HAGFORS</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34517-2025</t>
        </is>
      </c>
      <c r="B7870" s="1" t="n">
        <v>45847.46900462963</v>
      </c>
      <c r="C7870" s="1" t="n">
        <v>45932</v>
      </c>
      <c r="D7870" t="inlineStr">
        <is>
          <t>VÄRMLANDS LÄN</t>
        </is>
      </c>
      <c r="E7870" t="inlineStr">
        <is>
          <t>TORSBY</t>
        </is>
      </c>
      <c r="F7870" t="inlineStr">
        <is>
          <t>Övriga Aktiebolag</t>
        </is>
      </c>
      <c r="G7870" t="n">
        <v>13.5</v>
      </c>
      <c r="H7870" t="n">
        <v>0</v>
      </c>
      <c r="I7870" t="n">
        <v>0</v>
      </c>
      <c r="J7870" t="n">
        <v>0</v>
      </c>
      <c r="K7870" t="n">
        <v>0</v>
      </c>
      <c r="L7870" t="n">
        <v>0</v>
      </c>
      <c r="M7870" t="n">
        <v>0</v>
      </c>
      <c r="N7870" t="n">
        <v>0</v>
      </c>
      <c r="O7870" t="n">
        <v>0</v>
      </c>
      <c r="P7870" t="n">
        <v>0</v>
      </c>
      <c r="Q7870" t="n">
        <v>0</v>
      </c>
      <c r="R7870" s="2" t="inlineStr"/>
    </row>
    <row r="7871" ht="15" customHeight="1">
      <c r="A7871" t="inlineStr">
        <is>
          <t>A 45592-2024</t>
        </is>
      </c>
      <c r="B7871" s="1" t="n">
        <v>45579</v>
      </c>
      <c r="C7871" s="1" t="n">
        <v>45932</v>
      </c>
      <c r="D7871" t="inlineStr">
        <is>
          <t>VÄRMLANDS LÄN</t>
        </is>
      </c>
      <c r="E7871" t="inlineStr">
        <is>
          <t>FILIPSTAD</t>
        </is>
      </c>
      <c r="F7871" t="inlineStr">
        <is>
          <t>Kyrkan</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26297-2024</t>
        </is>
      </c>
      <c r="B7872" s="1" t="n">
        <v>45468</v>
      </c>
      <c r="C7872" s="1" t="n">
        <v>45932</v>
      </c>
      <c r="D7872" t="inlineStr">
        <is>
          <t>VÄRMLANDS LÄN</t>
        </is>
      </c>
      <c r="E7872" t="inlineStr">
        <is>
          <t>HAGFORS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6703-2025</t>
        </is>
      </c>
      <c r="B7873" s="1" t="n">
        <v>45700</v>
      </c>
      <c r="C7873" s="1" t="n">
        <v>45932</v>
      </c>
      <c r="D7873" t="inlineStr">
        <is>
          <t>VÄRMLANDS LÄN</t>
        </is>
      </c>
      <c r="E7873" t="inlineStr">
        <is>
          <t>SUNNE</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9506-2025</t>
        </is>
      </c>
      <c r="B7874" s="1" t="n">
        <v>45715</v>
      </c>
      <c r="C7874" s="1" t="n">
        <v>45932</v>
      </c>
      <c r="D7874" t="inlineStr">
        <is>
          <t>VÄRMLANDS LÄN</t>
        </is>
      </c>
      <c r="E7874" t="inlineStr">
        <is>
          <t>EDA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47770-2023</t>
        </is>
      </c>
      <c r="B7875" s="1" t="n">
        <v>45203.8788425926</v>
      </c>
      <c r="C7875" s="1" t="n">
        <v>45932</v>
      </c>
      <c r="D7875" t="inlineStr">
        <is>
          <t>VÄRMLANDS LÄN</t>
        </is>
      </c>
      <c r="E7875" t="inlineStr">
        <is>
          <t>KRISTINEHAMN</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618-2024</t>
        </is>
      </c>
      <c r="B7876" s="1" t="n">
        <v>45299.66027777778</v>
      </c>
      <c r="C7876" s="1" t="n">
        <v>45932</v>
      </c>
      <c r="D7876" t="inlineStr">
        <is>
          <t>VÄRMLANDS LÄN</t>
        </is>
      </c>
      <c r="E7876" t="inlineStr">
        <is>
          <t>KARLSTAD</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29489-2022</t>
        </is>
      </c>
      <c r="B7877" s="1" t="n">
        <v>44753</v>
      </c>
      <c r="C7877" s="1" t="n">
        <v>45932</v>
      </c>
      <c r="D7877" t="inlineStr">
        <is>
          <t>VÄRMLANDS LÄN</t>
        </is>
      </c>
      <c r="E7877" t="inlineStr">
        <is>
          <t>SUNNE</t>
        </is>
      </c>
      <c r="F7877" t="inlineStr">
        <is>
          <t>Övriga Aktiebolag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57316-2021</t>
        </is>
      </c>
      <c r="B7878" s="1" t="n">
        <v>44483</v>
      </c>
      <c r="C7878" s="1" t="n">
        <v>45932</v>
      </c>
      <c r="D7878" t="inlineStr">
        <is>
          <t>VÄRMLANDS LÄN</t>
        </is>
      </c>
      <c r="E7878" t="inlineStr">
        <is>
          <t>SUNNE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48253-2024</t>
        </is>
      </c>
      <c r="B7879" s="1" t="n">
        <v>45590</v>
      </c>
      <c r="C7879" s="1" t="n">
        <v>45932</v>
      </c>
      <c r="D7879" t="inlineStr">
        <is>
          <t>VÄRMLANDS LÄN</t>
        </is>
      </c>
      <c r="E7879" t="inlineStr">
        <is>
          <t>TORSBY</t>
        </is>
      </c>
      <c r="F7879" t="inlineStr">
        <is>
          <t>Bergvik skog väst AB</t>
        </is>
      </c>
      <c r="G7879" t="n">
        <v>20.7</v>
      </c>
      <c r="H7879" t="n">
        <v>0</v>
      </c>
      <c r="I7879" t="n">
        <v>0</v>
      </c>
      <c r="J7879" t="n">
        <v>0</v>
      </c>
      <c r="K7879" t="n">
        <v>0</v>
      </c>
      <c r="L7879" t="n">
        <v>0</v>
      </c>
      <c r="M7879" t="n">
        <v>0</v>
      </c>
      <c r="N7879" t="n">
        <v>0</v>
      </c>
      <c r="O7879" t="n">
        <v>0</v>
      </c>
      <c r="P7879" t="n">
        <v>0</v>
      </c>
      <c r="Q7879" t="n">
        <v>0</v>
      </c>
      <c r="R7879" s="2" t="inlineStr"/>
    </row>
    <row r="7880" ht="15" customHeight="1">
      <c r="A7880" t="inlineStr">
        <is>
          <t>A 15126-2024</t>
        </is>
      </c>
      <c r="B7880" s="1" t="n">
        <v>45399</v>
      </c>
      <c r="C7880" s="1" t="n">
        <v>45932</v>
      </c>
      <c r="D7880" t="inlineStr">
        <is>
          <t>VÄRMLANDS LÄN</t>
        </is>
      </c>
      <c r="E7880" t="inlineStr">
        <is>
          <t>TORSBY</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15127-2024</t>
        </is>
      </c>
      <c r="B7881" s="1" t="n">
        <v>45399.76815972223</v>
      </c>
      <c r="C7881" s="1" t="n">
        <v>45932</v>
      </c>
      <c r="D7881" t="inlineStr">
        <is>
          <t>VÄRMLANDS LÄN</t>
        </is>
      </c>
      <c r="E7881" t="inlineStr">
        <is>
          <t>TORSBY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34388-2025</t>
        </is>
      </c>
      <c r="B7882" s="1" t="n">
        <v>45846.57305555556</v>
      </c>
      <c r="C7882" s="1" t="n">
        <v>45932</v>
      </c>
      <c r="D7882" t="inlineStr">
        <is>
          <t>VÄRMLANDS LÄN</t>
        </is>
      </c>
      <c r="E7882" t="inlineStr">
        <is>
          <t>TORSBY</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2342-2025</t>
        </is>
      </c>
      <c r="B7883" s="1" t="n">
        <v>45673</v>
      </c>
      <c r="C7883" s="1" t="n">
        <v>45932</v>
      </c>
      <c r="D7883" t="inlineStr">
        <is>
          <t>VÄRMLANDS LÄN</t>
        </is>
      </c>
      <c r="E7883" t="inlineStr">
        <is>
          <t>SÄFFLE</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10239-2023</t>
        </is>
      </c>
      <c r="B7884" s="1" t="n">
        <v>44986</v>
      </c>
      <c r="C7884" s="1" t="n">
        <v>45932</v>
      </c>
      <c r="D7884" t="inlineStr">
        <is>
          <t>VÄRMLANDS LÄN</t>
        </is>
      </c>
      <c r="E7884" t="inlineStr">
        <is>
          <t>ÅRJÄNG</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10240-2023</t>
        </is>
      </c>
      <c r="B7885" s="1" t="n">
        <v>44980</v>
      </c>
      <c r="C7885" s="1" t="n">
        <v>45932</v>
      </c>
      <c r="D7885" t="inlineStr">
        <is>
          <t>VÄRMLANDS LÄN</t>
        </is>
      </c>
      <c r="E7885" t="inlineStr">
        <is>
          <t>SÄFFLE</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18629-2025</t>
        </is>
      </c>
      <c r="B7886" s="1" t="n">
        <v>45763</v>
      </c>
      <c r="C7886" s="1" t="n">
        <v>45932</v>
      </c>
      <c r="D7886" t="inlineStr">
        <is>
          <t>VÄRMLANDS LÄN</t>
        </is>
      </c>
      <c r="E7886" t="inlineStr">
        <is>
          <t>HAGFORS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18630-2025</t>
        </is>
      </c>
      <c r="B7887" s="1" t="n">
        <v>45763</v>
      </c>
      <c r="C7887" s="1" t="n">
        <v>45932</v>
      </c>
      <c r="D7887" t="inlineStr">
        <is>
          <t>VÄRMLANDS LÄN</t>
        </is>
      </c>
      <c r="E7887" t="inlineStr">
        <is>
          <t>HAGFORS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10647-2024</t>
        </is>
      </c>
      <c r="B7888" s="1" t="n">
        <v>45368.47725694445</v>
      </c>
      <c r="C7888" s="1" t="n">
        <v>45932</v>
      </c>
      <c r="D7888" t="inlineStr">
        <is>
          <t>VÄRMLANDS LÄN</t>
        </is>
      </c>
      <c r="E7888" t="inlineStr">
        <is>
          <t>GRUMS</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13636-2024</t>
        </is>
      </c>
      <c r="B7889" s="1" t="n">
        <v>45390</v>
      </c>
      <c r="C7889" s="1" t="n">
        <v>45932</v>
      </c>
      <c r="D7889" t="inlineStr">
        <is>
          <t>VÄRMLANDS LÄN</t>
        </is>
      </c>
      <c r="E7889" t="inlineStr">
        <is>
          <t>STORFORS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34538-2025</t>
        </is>
      </c>
      <c r="B7890" s="1" t="n">
        <v>45847.53019675926</v>
      </c>
      <c r="C7890" s="1" t="n">
        <v>45932</v>
      </c>
      <c r="D7890" t="inlineStr">
        <is>
          <t>VÄRMLANDS LÄN</t>
        </is>
      </c>
      <c r="E7890" t="inlineStr">
        <is>
          <t>SUNNE</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34353-2025</t>
        </is>
      </c>
      <c r="B7891" s="1" t="n">
        <v>45846.4775</v>
      </c>
      <c r="C7891" s="1" t="n">
        <v>45932</v>
      </c>
      <c r="D7891" t="inlineStr">
        <is>
          <t>VÄRMLANDS LÄN</t>
        </is>
      </c>
      <c r="E7891" t="inlineStr">
        <is>
          <t>TORSBY</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48130-2023</t>
        </is>
      </c>
      <c r="B7892" s="1" t="n">
        <v>45201</v>
      </c>
      <c r="C7892" s="1" t="n">
        <v>45932</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8746-2024</t>
        </is>
      </c>
      <c r="B7893" s="1" t="n">
        <v>45356</v>
      </c>
      <c r="C7893" s="1" t="n">
        <v>45932</v>
      </c>
      <c r="D7893" t="inlineStr">
        <is>
          <t>VÄRMLANDS LÄN</t>
        </is>
      </c>
      <c r="E7893" t="inlineStr">
        <is>
          <t>SÄFFLE</t>
        </is>
      </c>
      <c r="G7893" t="n">
        <v>9.300000000000001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43264-2024</t>
        </is>
      </c>
      <c r="B7894" s="1" t="n">
        <v>45568.36819444445</v>
      </c>
      <c r="C7894" s="1" t="n">
        <v>45932</v>
      </c>
      <c r="D7894" t="inlineStr">
        <is>
          <t>VÄRMLANDS LÄN</t>
        </is>
      </c>
      <c r="E7894" t="inlineStr">
        <is>
          <t>FILIPSTAD</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50234-2023</t>
        </is>
      </c>
      <c r="B7895" s="1" t="n">
        <v>45216</v>
      </c>
      <c r="C7895" s="1" t="n">
        <v>45932</v>
      </c>
      <c r="D7895" t="inlineStr">
        <is>
          <t>VÄRMLANDS LÄN</t>
        </is>
      </c>
      <c r="E7895" t="inlineStr">
        <is>
          <t>ARVIKA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43301-2024</t>
        </is>
      </c>
      <c r="B7896" s="1" t="n">
        <v>45568</v>
      </c>
      <c r="C7896" s="1" t="n">
        <v>45932</v>
      </c>
      <c r="D7896" t="inlineStr">
        <is>
          <t>VÄRMLANDS LÄN</t>
        </is>
      </c>
      <c r="E7896" t="inlineStr">
        <is>
          <t>TORSBY</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34372-2025</t>
        </is>
      </c>
      <c r="B7897" s="1" t="n">
        <v>45846.5134837963</v>
      </c>
      <c r="C7897" s="1" t="n">
        <v>45932</v>
      </c>
      <c r="D7897" t="inlineStr">
        <is>
          <t>VÄRMLANDS LÄN</t>
        </is>
      </c>
      <c r="E7897" t="inlineStr">
        <is>
          <t>TORSBY</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59192-2023</t>
        </is>
      </c>
      <c r="B7898" s="1" t="n">
        <v>45253.45641203703</v>
      </c>
      <c r="C7898" s="1" t="n">
        <v>45932</v>
      </c>
      <c r="D7898" t="inlineStr">
        <is>
          <t>VÄRMLANDS LÄN</t>
        </is>
      </c>
      <c r="E7898" t="inlineStr">
        <is>
          <t>EDA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21045-2023</t>
        </is>
      </c>
      <c r="B7899" s="1" t="n">
        <v>45061.59405092592</v>
      </c>
      <c r="C7899" s="1" t="n">
        <v>45932</v>
      </c>
      <c r="D7899" t="inlineStr">
        <is>
          <t>VÄRMLANDS LÄN</t>
        </is>
      </c>
      <c r="E7899" t="inlineStr">
        <is>
          <t>EDA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22041-2025</t>
        </is>
      </c>
      <c r="B7900" s="1" t="n">
        <v>45785.33200231481</v>
      </c>
      <c r="C7900" s="1" t="n">
        <v>45932</v>
      </c>
      <c r="D7900" t="inlineStr">
        <is>
          <t>VÄRMLANDS LÄN</t>
        </is>
      </c>
      <c r="E7900" t="inlineStr">
        <is>
          <t>ARVIKA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34583-2025</t>
        </is>
      </c>
      <c r="B7901" s="1" t="n">
        <v>45847.61231481482</v>
      </c>
      <c r="C7901" s="1" t="n">
        <v>45932</v>
      </c>
      <c r="D7901" t="inlineStr">
        <is>
          <t>VÄRMLANDS LÄN</t>
        </is>
      </c>
      <c r="E7901" t="inlineStr">
        <is>
          <t>SÄFFLE</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34569-2024</t>
        </is>
      </c>
      <c r="B7902" s="1" t="n">
        <v>45526.34626157407</v>
      </c>
      <c r="C7902" s="1" t="n">
        <v>45932</v>
      </c>
      <c r="D7902" t="inlineStr">
        <is>
          <t>VÄRMLANDS LÄN</t>
        </is>
      </c>
      <c r="E7902" t="inlineStr">
        <is>
          <t>EDA</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20345-2022</t>
        </is>
      </c>
      <c r="B7903" s="1" t="n">
        <v>44699</v>
      </c>
      <c r="C7903" s="1" t="n">
        <v>45932</v>
      </c>
      <c r="D7903" t="inlineStr">
        <is>
          <t>VÄRMLANDS LÄN</t>
        </is>
      </c>
      <c r="E7903" t="inlineStr">
        <is>
          <t>ARVIKA</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42523-2023</t>
        </is>
      </c>
      <c r="B7904" s="1" t="n">
        <v>45181</v>
      </c>
      <c r="C7904" s="1" t="n">
        <v>45932</v>
      </c>
      <c r="D7904" t="inlineStr">
        <is>
          <t>VÄRMLANDS LÄN</t>
        </is>
      </c>
      <c r="E7904" t="inlineStr">
        <is>
          <t>SUNNE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6959-2024</t>
        </is>
      </c>
      <c r="B7905" s="1" t="n">
        <v>45343.45314814815</v>
      </c>
      <c r="C7905" s="1" t="n">
        <v>45932</v>
      </c>
      <c r="D7905" t="inlineStr">
        <is>
          <t>VÄRMLANDS LÄN</t>
        </is>
      </c>
      <c r="E7905" t="inlineStr">
        <is>
          <t>SÄFFLE</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48237-2021</t>
        </is>
      </c>
      <c r="B7906" s="1" t="n">
        <v>44449</v>
      </c>
      <c r="C7906" s="1" t="n">
        <v>45932</v>
      </c>
      <c r="D7906" t="inlineStr">
        <is>
          <t>VÄRMLANDS LÄN</t>
        </is>
      </c>
      <c r="E7906" t="inlineStr">
        <is>
          <t>SUNNE</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46097-2023</t>
        </is>
      </c>
      <c r="B7907" s="1" t="n">
        <v>45196</v>
      </c>
      <c r="C7907" s="1" t="n">
        <v>45932</v>
      </c>
      <c r="D7907" t="inlineStr">
        <is>
          <t>VÄRMLANDS LÄN</t>
        </is>
      </c>
      <c r="E7907" t="inlineStr">
        <is>
          <t>KARLSTAD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1401-2024</t>
        </is>
      </c>
      <c r="B7908" s="1" t="n">
        <v>45303</v>
      </c>
      <c r="C7908" s="1" t="n">
        <v>45932</v>
      </c>
      <c r="D7908" t="inlineStr">
        <is>
          <t>VÄRMLANDS LÄN</t>
        </is>
      </c>
      <c r="E7908" t="inlineStr">
        <is>
          <t>SÄFFLE</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34363-2025</t>
        </is>
      </c>
      <c r="B7909" s="1" t="n">
        <v>45846.49144675926</v>
      </c>
      <c r="C7909" s="1" t="n">
        <v>45932</v>
      </c>
      <c r="D7909" t="inlineStr">
        <is>
          <t>VÄRMLANDS LÄN</t>
        </is>
      </c>
      <c r="E7909" t="inlineStr">
        <is>
          <t>TORSBY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34369-2025</t>
        </is>
      </c>
      <c r="B7910" s="1" t="n">
        <v>45846</v>
      </c>
      <c r="C7910" s="1" t="n">
        <v>45932</v>
      </c>
      <c r="D7910" t="inlineStr">
        <is>
          <t>VÄRMLANDS LÄN</t>
        </is>
      </c>
      <c r="E7910" t="inlineStr">
        <is>
          <t>ARVIKA</t>
        </is>
      </c>
      <c r="F7910" t="inlineStr">
        <is>
          <t>Bergvik skog väst AB</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34370-2025</t>
        </is>
      </c>
      <c r="B7911" s="1" t="n">
        <v>45846.51056712963</v>
      </c>
      <c r="C7911" s="1" t="n">
        <v>45932</v>
      </c>
      <c r="D7911" t="inlineStr">
        <is>
          <t>VÄRMLANDS LÄN</t>
        </is>
      </c>
      <c r="E7911" t="inlineStr">
        <is>
          <t>TORSBY</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34578-2025</t>
        </is>
      </c>
      <c r="B7912" s="1" t="n">
        <v>45847</v>
      </c>
      <c r="C7912" s="1" t="n">
        <v>45932</v>
      </c>
      <c r="D7912" t="inlineStr">
        <is>
          <t>VÄRMLANDS LÄN</t>
        </is>
      </c>
      <c r="E7912" t="inlineStr">
        <is>
          <t>SÄFFLE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33913-2025</t>
        </is>
      </c>
      <c r="B7913" s="1" t="n">
        <v>45842</v>
      </c>
      <c r="C7913" s="1" t="n">
        <v>45932</v>
      </c>
      <c r="D7913" t="inlineStr">
        <is>
          <t>VÄRMLANDS LÄN</t>
        </is>
      </c>
      <c r="E7913" t="inlineStr">
        <is>
          <t>KIL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33914-2025</t>
        </is>
      </c>
      <c r="B7914" s="1" t="n">
        <v>45842</v>
      </c>
      <c r="C7914" s="1" t="n">
        <v>45932</v>
      </c>
      <c r="D7914" t="inlineStr">
        <is>
          <t>VÄRMLANDS LÄN</t>
        </is>
      </c>
      <c r="E7914" t="inlineStr">
        <is>
          <t>KIL</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17604-2025</t>
        </is>
      </c>
      <c r="B7915" s="1" t="n">
        <v>45757.72967592593</v>
      </c>
      <c r="C7915" s="1" t="n">
        <v>45932</v>
      </c>
      <c r="D7915" t="inlineStr">
        <is>
          <t>VÄRMLANDS LÄN</t>
        </is>
      </c>
      <c r="E7915" t="inlineStr">
        <is>
          <t>SUNNE</t>
        </is>
      </c>
      <c r="F7915" t="inlineStr">
        <is>
          <t>Övriga Aktiebolag</t>
        </is>
      </c>
      <c r="G7915" t="n">
        <v>12.3</v>
      </c>
      <c r="H7915" t="n">
        <v>0</v>
      </c>
      <c r="I7915" t="n">
        <v>0</v>
      </c>
      <c r="J7915" t="n">
        <v>0</v>
      </c>
      <c r="K7915" t="n">
        <v>0</v>
      </c>
      <c r="L7915" t="n">
        <v>0</v>
      </c>
      <c r="M7915" t="n">
        <v>0</v>
      </c>
      <c r="N7915" t="n">
        <v>0</v>
      </c>
      <c r="O7915" t="n">
        <v>0</v>
      </c>
      <c r="P7915" t="n">
        <v>0</v>
      </c>
      <c r="Q7915" t="n">
        <v>0</v>
      </c>
      <c r="R7915" s="2" t="inlineStr"/>
    </row>
    <row r="7916" ht="15" customHeight="1">
      <c r="A7916" t="inlineStr">
        <is>
          <t>A 34580-2025</t>
        </is>
      </c>
      <c r="B7916" s="1" t="n">
        <v>45847</v>
      </c>
      <c r="C7916" s="1" t="n">
        <v>45932</v>
      </c>
      <c r="D7916" t="inlineStr">
        <is>
          <t>VÄRMLANDS LÄN</t>
        </is>
      </c>
      <c r="E7916" t="inlineStr">
        <is>
          <t>SÄFFLE</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20872-2024</t>
        </is>
      </c>
      <c r="B7917" s="1" t="n">
        <v>45439.44173611111</v>
      </c>
      <c r="C7917" s="1" t="n">
        <v>45932</v>
      </c>
      <c r="D7917" t="inlineStr">
        <is>
          <t>VÄRMLANDS LÄN</t>
        </is>
      </c>
      <c r="E7917" t="inlineStr">
        <is>
          <t>TORSBY</t>
        </is>
      </c>
      <c r="G7917" t="n">
        <v>7.4</v>
      </c>
      <c r="H7917" t="n">
        <v>0</v>
      </c>
      <c r="I7917" t="n">
        <v>0</v>
      </c>
      <c r="J7917" t="n">
        <v>0</v>
      </c>
      <c r="K7917" t="n">
        <v>0</v>
      </c>
      <c r="L7917" t="n">
        <v>0</v>
      </c>
      <c r="M7917" t="n">
        <v>0</v>
      </c>
      <c r="N7917" t="n">
        <v>0</v>
      </c>
      <c r="O7917" t="n">
        <v>0</v>
      </c>
      <c r="P7917" t="n">
        <v>0</v>
      </c>
      <c r="Q7917" t="n">
        <v>0</v>
      </c>
      <c r="R7917" s="2" t="inlineStr"/>
    </row>
    <row r="7918" ht="15" customHeight="1">
      <c r="A7918" t="inlineStr">
        <is>
          <t>A 8054-2022</t>
        </is>
      </c>
      <c r="B7918" s="1" t="n">
        <v>44609</v>
      </c>
      <c r="C7918" s="1" t="n">
        <v>45932</v>
      </c>
      <c r="D7918" t="inlineStr">
        <is>
          <t>VÄRMLANDS LÄN</t>
        </is>
      </c>
      <c r="E7918" t="inlineStr">
        <is>
          <t>TORSBY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34285-2025</t>
        </is>
      </c>
      <c r="B7919" s="1" t="n">
        <v>45846</v>
      </c>
      <c r="C7919" s="1" t="n">
        <v>45932</v>
      </c>
      <c r="D7919" t="inlineStr">
        <is>
          <t>VÄRMLANDS LÄN</t>
        </is>
      </c>
      <c r="E7919" t="inlineStr">
        <is>
          <t>ARVIKA</t>
        </is>
      </c>
      <c r="F7919" t="inlineStr">
        <is>
          <t>Bergvik skog väst AB</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24004-2024</t>
        </is>
      </c>
      <c r="B7920" s="1" t="n">
        <v>45456</v>
      </c>
      <c r="C7920" s="1" t="n">
        <v>45932</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34533-2025</t>
        </is>
      </c>
      <c r="B7921" s="1" t="n">
        <v>45847.50868055555</v>
      </c>
      <c r="C7921" s="1" t="n">
        <v>45932</v>
      </c>
      <c r="D7921" t="inlineStr">
        <is>
          <t>VÄRMLANDS LÄN</t>
        </is>
      </c>
      <c r="E7921" t="inlineStr">
        <is>
          <t>TORSBY</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34543-2025</t>
        </is>
      </c>
      <c r="B7922" s="1" t="n">
        <v>45847.53372685185</v>
      </c>
      <c r="C7922" s="1" t="n">
        <v>45932</v>
      </c>
      <c r="D7922" t="inlineStr">
        <is>
          <t>VÄRMLANDS LÄN</t>
        </is>
      </c>
      <c r="E7922" t="inlineStr">
        <is>
          <t>SUNNE</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48721-2024</t>
        </is>
      </c>
      <c r="B7923" s="1" t="n">
        <v>45593.54752314815</v>
      </c>
      <c r="C7923" s="1" t="n">
        <v>45932</v>
      </c>
      <c r="D7923" t="inlineStr">
        <is>
          <t>VÄRMLANDS LÄN</t>
        </is>
      </c>
      <c r="E7923" t="inlineStr">
        <is>
          <t>TORSBY</t>
        </is>
      </c>
      <c r="F7923" t="inlineStr">
        <is>
          <t>Bergvik skog väst AB</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51258-2023</t>
        </is>
      </c>
      <c r="B7924" s="1" t="n">
        <v>45219.49118055555</v>
      </c>
      <c r="C7924" s="1" t="n">
        <v>45932</v>
      </c>
      <c r="D7924" t="inlineStr">
        <is>
          <t>VÄRMLANDS LÄN</t>
        </is>
      </c>
      <c r="E7924" t="inlineStr">
        <is>
          <t>HAGFORS</t>
        </is>
      </c>
      <c r="F7924" t="inlineStr">
        <is>
          <t>Bergvik skog väst AB</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34572-2025</t>
        </is>
      </c>
      <c r="B7925" s="1" t="n">
        <v>45847.59761574074</v>
      </c>
      <c r="C7925" s="1" t="n">
        <v>45932</v>
      </c>
      <c r="D7925" t="inlineStr">
        <is>
          <t>VÄRMLANDS LÄN</t>
        </is>
      </c>
      <c r="E7925" t="inlineStr">
        <is>
          <t>HAGFORS</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34575-2025</t>
        </is>
      </c>
      <c r="B7926" s="1" t="n">
        <v>45847</v>
      </c>
      <c r="C7926" s="1" t="n">
        <v>45932</v>
      </c>
      <c r="D7926" t="inlineStr">
        <is>
          <t>VÄRMLANDS LÄN</t>
        </is>
      </c>
      <c r="E7926" t="inlineStr">
        <is>
          <t>SÄFFLE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34581-2025</t>
        </is>
      </c>
      <c r="B7927" s="1" t="n">
        <v>45847</v>
      </c>
      <c r="C7927" s="1" t="n">
        <v>45932</v>
      </c>
      <c r="D7927" t="inlineStr">
        <is>
          <t>VÄRMLANDS LÄN</t>
        </is>
      </c>
      <c r="E7927" t="inlineStr">
        <is>
          <t>SÄFFLE</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8359-2025</t>
        </is>
      </c>
      <c r="B7928" s="1" t="n">
        <v>45708</v>
      </c>
      <c r="C7928" s="1" t="n">
        <v>45932</v>
      </c>
      <c r="D7928" t="inlineStr">
        <is>
          <t>VÄRMLANDS LÄN</t>
        </is>
      </c>
      <c r="E7928" t="inlineStr">
        <is>
          <t>GRUMS</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9256-2024</t>
        </is>
      </c>
      <c r="B7929" s="1" t="n">
        <v>45358</v>
      </c>
      <c r="C7929" s="1" t="n">
        <v>45932</v>
      </c>
      <c r="D7929" t="inlineStr">
        <is>
          <t>VÄRMLANDS LÄN</t>
        </is>
      </c>
      <c r="E7929" t="inlineStr">
        <is>
          <t>SÄFFLE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17754-2024</t>
        </is>
      </c>
      <c r="B7930" s="1" t="n">
        <v>45418.60708333334</v>
      </c>
      <c r="C7930" s="1" t="n">
        <v>45932</v>
      </c>
      <c r="D7930" t="inlineStr">
        <is>
          <t>VÄRMLANDS LÄN</t>
        </is>
      </c>
      <c r="E7930" t="inlineStr">
        <is>
          <t>EDA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34281-2025</t>
        </is>
      </c>
      <c r="B7931" s="1" t="n">
        <v>45846</v>
      </c>
      <c r="C7931" s="1" t="n">
        <v>45932</v>
      </c>
      <c r="D7931" t="inlineStr">
        <is>
          <t>VÄRMLANDS LÄN</t>
        </is>
      </c>
      <c r="E7931" t="inlineStr">
        <is>
          <t>HAGFORS</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34284-2025</t>
        </is>
      </c>
      <c r="B7932" s="1" t="n">
        <v>45846</v>
      </c>
      <c r="C7932" s="1" t="n">
        <v>45932</v>
      </c>
      <c r="D7932" t="inlineStr">
        <is>
          <t>VÄRMLANDS LÄN</t>
        </is>
      </c>
      <c r="E7932" t="inlineStr">
        <is>
          <t>ARVIKA</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47929-2023</t>
        </is>
      </c>
      <c r="B7933" s="1" t="n">
        <v>45204</v>
      </c>
      <c r="C7933" s="1" t="n">
        <v>45932</v>
      </c>
      <c r="D7933" t="inlineStr">
        <is>
          <t>VÄRMLANDS LÄN</t>
        </is>
      </c>
      <c r="E7933" t="inlineStr">
        <is>
          <t>KARLSTAD</t>
        </is>
      </c>
      <c r="F7933" t="inlineStr">
        <is>
          <t>Kommuner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72073-2021</t>
        </is>
      </c>
      <c r="B7934" s="1" t="n">
        <v>44544.50324074074</v>
      </c>
      <c r="C7934" s="1" t="n">
        <v>45932</v>
      </c>
      <c r="D7934" t="inlineStr">
        <is>
          <t>VÄRMLANDS LÄN</t>
        </is>
      </c>
      <c r="E7934" t="inlineStr">
        <is>
          <t>KIL</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9288-2025</t>
        </is>
      </c>
      <c r="B7935" s="1" t="n">
        <v>45714.65424768518</v>
      </c>
      <c r="C7935" s="1" t="n">
        <v>45932</v>
      </c>
      <c r="D7935" t="inlineStr">
        <is>
          <t>VÄRMLANDS LÄN</t>
        </is>
      </c>
      <c r="E7935" t="inlineStr">
        <is>
          <t>HAGFORS</t>
        </is>
      </c>
      <c r="F7935" t="inlineStr">
        <is>
          <t>Bergvik skog väst AB</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47759-2024</t>
        </is>
      </c>
      <c r="B7936" s="1" t="n">
        <v>45588.55368055555</v>
      </c>
      <c r="C7936" s="1" t="n">
        <v>45932</v>
      </c>
      <c r="D7936" t="inlineStr">
        <is>
          <t>VÄRMLANDS LÄN</t>
        </is>
      </c>
      <c r="E7936" t="inlineStr">
        <is>
          <t>EDA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45097-2024</t>
        </is>
      </c>
      <c r="B7937" s="1" t="n">
        <v>45575</v>
      </c>
      <c r="C7937" s="1" t="n">
        <v>45932</v>
      </c>
      <c r="D7937" t="inlineStr">
        <is>
          <t>VÄRMLANDS LÄN</t>
        </is>
      </c>
      <c r="E7937" t="inlineStr">
        <is>
          <t>SÄFFLE</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34831-2025</t>
        </is>
      </c>
      <c r="B7938" s="1" t="n">
        <v>45849</v>
      </c>
      <c r="C7938" s="1" t="n">
        <v>45932</v>
      </c>
      <c r="D7938" t="inlineStr">
        <is>
          <t>VÄRMLANDS LÄN</t>
        </is>
      </c>
      <c r="E7938" t="inlineStr">
        <is>
          <t>ÅRJÄNG</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34920-2025</t>
        </is>
      </c>
      <c r="B7939" s="1" t="n">
        <v>45849.5537962963</v>
      </c>
      <c r="C7939" s="1" t="n">
        <v>45932</v>
      </c>
      <c r="D7939" t="inlineStr">
        <is>
          <t>VÄRMLANDS LÄN</t>
        </is>
      </c>
      <c r="E7939" t="inlineStr">
        <is>
          <t>ARVIKA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19515-2025</t>
        </is>
      </c>
      <c r="B7940" s="1" t="n">
        <v>45770.43998842593</v>
      </c>
      <c r="C7940" s="1" t="n">
        <v>45932</v>
      </c>
      <c r="D7940" t="inlineStr">
        <is>
          <t>VÄRMLANDS LÄN</t>
        </is>
      </c>
      <c r="E7940" t="inlineStr">
        <is>
          <t>HAGFORS</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41500-2025</t>
        </is>
      </c>
      <c r="B7941" s="1" t="n">
        <v>45901</v>
      </c>
      <c r="C7941" s="1" t="n">
        <v>45932</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37623-2023</t>
        </is>
      </c>
      <c r="B7942" s="1" t="n">
        <v>45159.45560185185</v>
      </c>
      <c r="C7942" s="1" t="n">
        <v>45932</v>
      </c>
      <c r="D7942" t="inlineStr">
        <is>
          <t>VÄRMLANDS LÄN</t>
        </is>
      </c>
      <c r="E7942" t="inlineStr">
        <is>
          <t>TORSBY</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49073-2022</t>
        </is>
      </c>
      <c r="B7943" s="1" t="n">
        <v>44860</v>
      </c>
      <c r="C7943" s="1" t="n">
        <v>45932</v>
      </c>
      <c r="D7943" t="inlineStr">
        <is>
          <t>VÄRMLANDS LÄN</t>
        </is>
      </c>
      <c r="E7943" t="inlineStr">
        <is>
          <t>TORSBY</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46915-2024</t>
        </is>
      </c>
      <c r="B7944" s="1" t="n">
        <v>45583</v>
      </c>
      <c r="C7944" s="1" t="n">
        <v>45932</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34951-2025</t>
        </is>
      </c>
      <c r="B7945" s="1" t="n">
        <v>45849.59826388889</v>
      </c>
      <c r="C7945" s="1" t="n">
        <v>45932</v>
      </c>
      <c r="D7945" t="inlineStr">
        <is>
          <t>VÄRMLANDS LÄN</t>
        </is>
      </c>
      <c r="E7945" t="inlineStr">
        <is>
          <t>SUNNE</t>
        </is>
      </c>
      <c r="F7945" t="inlineStr">
        <is>
          <t>Bergvik skog väst AB</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34630-2025</t>
        </is>
      </c>
      <c r="B7946" s="1" t="n">
        <v>45847.96275462963</v>
      </c>
      <c r="C7946" s="1" t="n">
        <v>45932</v>
      </c>
      <c r="D7946" t="inlineStr">
        <is>
          <t>VÄRMLANDS LÄN</t>
        </is>
      </c>
      <c r="E7946" t="inlineStr">
        <is>
          <t>KARLSTAD</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34649-2025</t>
        </is>
      </c>
      <c r="B7947" s="1" t="n">
        <v>45848.34846064815</v>
      </c>
      <c r="C7947" s="1" t="n">
        <v>45932</v>
      </c>
      <c r="D7947" t="inlineStr">
        <is>
          <t>VÄRMLANDS LÄN</t>
        </is>
      </c>
      <c r="E7947" t="inlineStr">
        <is>
          <t>HAGFORS</t>
        </is>
      </c>
      <c r="F7947" t="inlineStr">
        <is>
          <t>Bergvik skog väst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34654-2025</t>
        </is>
      </c>
      <c r="B7948" s="1" t="n">
        <v>45848</v>
      </c>
      <c r="C7948" s="1" t="n">
        <v>45932</v>
      </c>
      <c r="D7948" t="inlineStr">
        <is>
          <t>VÄRMLANDS LÄN</t>
        </is>
      </c>
      <c r="E7948" t="inlineStr">
        <is>
          <t>SÄFFLE</t>
        </is>
      </c>
      <c r="G7948" t="n">
        <v>15.4</v>
      </c>
      <c r="H7948" t="n">
        <v>0</v>
      </c>
      <c r="I7948" t="n">
        <v>0</v>
      </c>
      <c r="J7948" t="n">
        <v>0</v>
      </c>
      <c r="K7948" t="n">
        <v>0</v>
      </c>
      <c r="L7948" t="n">
        <v>0</v>
      </c>
      <c r="M7948" t="n">
        <v>0</v>
      </c>
      <c r="N7948" t="n">
        <v>0</v>
      </c>
      <c r="O7948" t="n">
        <v>0</v>
      </c>
      <c r="P7948" t="n">
        <v>0</v>
      </c>
      <c r="Q7948" t="n">
        <v>0</v>
      </c>
      <c r="R7948" s="2" t="inlineStr"/>
    </row>
    <row r="7949" ht="15" customHeight="1">
      <c r="A7949" t="inlineStr">
        <is>
          <t>A 20017-2025</t>
        </is>
      </c>
      <c r="B7949" s="1" t="n">
        <v>45772.31625</v>
      </c>
      <c r="C7949" s="1" t="n">
        <v>45932</v>
      </c>
      <c r="D7949" t="inlineStr">
        <is>
          <t>VÄRMLANDS LÄN</t>
        </is>
      </c>
      <c r="E7949" t="inlineStr">
        <is>
          <t>SUNNE</t>
        </is>
      </c>
      <c r="F7949" t="inlineStr">
        <is>
          <t>Övriga statliga verk och myndigheter</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23900-2024</t>
        </is>
      </c>
      <c r="B7950" s="1" t="n">
        <v>45455.70663194444</v>
      </c>
      <c r="C7950" s="1" t="n">
        <v>45932</v>
      </c>
      <c r="D7950" t="inlineStr">
        <is>
          <t>VÄRMLANDS LÄN</t>
        </is>
      </c>
      <c r="E7950" t="inlineStr">
        <is>
          <t>FORSHAGA</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10509-2024</t>
        </is>
      </c>
      <c r="B7951" s="1" t="n">
        <v>45366</v>
      </c>
      <c r="C7951" s="1" t="n">
        <v>45932</v>
      </c>
      <c r="D7951" t="inlineStr">
        <is>
          <t>VÄRMLANDS LÄN</t>
        </is>
      </c>
      <c r="E7951" t="inlineStr">
        <is>
          <t>SUNNE</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10522-2024</t>
        </is>
      </c>
      <c r="B7952" s="1" t="n">
        <v>45366.52236111111</v>
      </c>
      <c r="C7952" s="1" t="n">
        <v>45932</v>
      </c>
      <c r="D7952" t="inlineStr">
        <is>
          <t>VÄRMLANDS LÄN</t>
        </is>
      </c>
      <c r="E7952" t="inlineStr">
        <is>
          <t>KRISTINEHAMN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62623-2023</t>
        </is>
      </c>
      <c r="B7953" s="1" t="n">
        <v>45267</v>
      </c>
      <c r="C7953" s="1" t="n">
        <v>45932</v>
      </c>
      <c r="D7953" t="inlineStr">
        <is>
          <t>VÄRMLANDS LÄN</t>
        </is>
      </c>
      <c r="E7953" t="inlineStr">
        <is>
          <t>KRISTINEHAMN</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50130-2023</t>
        </is>
      </c>
      <c r="B7954" s="1" t="n">
        <v>45215.65230324074</v>
      </c>
      <c r="C7954" s="1" t="n">
        <v>45932</v>
      </c>
      <c r="D7954" t="inlineStr">
        <is>
          <t>VÄRMLANDS LÄN</t>
        </is>
      </c>
      <c r="E7954" t="inlineStr">
        <is>
          <t>SUNNE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50147-2023</t>
        </is>
      </c>
      <c r="B7955" s="1" t="n">
        <v>45215</v>
      </c>
      <c r="C7955" s="1" t="n">
        <v>45932</v>
      </c>
      <c r="D7955" t="inlineStr">
        <is>
          <t>VÄRMLANDS LÄN</t>
        </is>
      </c>
      <c r="E7955" t="inlineStr">
        <is>
          <t>TORSBY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73310-2021</t>
        </is>
      </c>
      <c r="B7956" s="1" t="n">
        <v>44547</v>
      </c>
      <c r="C7956" s="1" t="n">
        <v>45932</v>
      </c>
      <c r="D7956" t="inlineStr">
        <is>
          <t>VÄRMLANDS LÄN</t>
        </is>
      </c>
      <c r="E7956" t="inlineStr">
        <is>
          <t>GRUMS</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38819-2025</t>
        </is>
      </c>
      <c r="B7957" s="1" t="n">
        <v>45887.49913194445</v>
      </c>
      <c r="C7957" s="1" t="n">
        <v>45932</v>
      </c>
      <c r="D7957" t="inlineStr">
        <is>
          <t>VÄRMLANDS LÄN</t>
        </is>
      </c>
      <c r="E7957" t="inlineStr">
        <is>
          <t>HAGFORS</t>
        </is>
      </c>
      <c r="F7957" t="inlineStr">
        <is>
          <t>Bergvik skog väst AB</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45327-2021</t>
        </is>
      </c>
      <c r="B7958" s="1" t="n">
        <v>44439.78618055556</v>
      </c>
      <c r="C7958" s="1" t="n">
        <v>45932</v>
      </c>
      <c r="D7958" t="inlineStr">
        <is>
          <t>VÄRMLANDS LÄN</t>
        </is>
      </c>
      <c r="E7958" t="inlineStr">
        <is>
          <t>SUNNE</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4065-2025</t>
        </is>
      </c>
      <c r="B7959" s="1" t="n">
        <v>45684.63273148148</v>
      </c>
      <c r="C7959" s="1" t="n">
        <v>45932</v>
      </c>
      <c r="D7959" t="inlineStr">
        <is>
          <t>VÄRMLANDS LÄN</t>
        </is>
      </c>
      <c r="E7959" t="inlineStr">
        <is>
          <t>ARVIKA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38770-2022</t>
        </is>
      </c>
      <c r="B7960" s="1" t="n">
        <v>44816.39305555556</v>
      </c>
      <c r="C7960" s="1" t="n">
        <v>45932</v>
      </c>
      <c r="D7960" t="inlineStr">
        <is>
          <t>VÄRMLANDS LÄN</t>
        </is>
      </c>
      <c r="E7960" t="inlineStr">
        <is>
          <t>KARLSTAD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42347-2021</t>
        </is>
      </c>
      <c r="B7961" s="1" t="n">
        <v>44427</v>
      </c>
      <c r="C7961" s="1" t="n">
        <v>45932</v>
      </c>
      <c r="D7961" t="inlineStr">
        <is>
          <t>VÄRMLANDS LÄN</t>
        </is>
      </c>
      <c r="E7961" t="inlineStr">
        <is>
          <t>TORSBY</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61653-2023</t>
        </is>
      </c>
      <c r="B7962" s="1" t="n">
        <v>45265</v>
      </c>
      <c r="C7962" s="1" t="n">
        <v>45932</v>
      </c>
      <c r="D7962" t="inlineStr">
        <is>
          <t>VÄRMLANDS LÄN</t>
        </is>
      </c>
      <c r="E7962" t="inlineStr">
        <is>
          <t>ARVIKA</t>
        </is>
      </c>
      <c r="F7962" t="inlineStr">
        <is>
          <t>Bergvik skog väst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67134-2020</t>
        </is>
      </c>
      <c r="B7963" s="1" t="n">
        <v>44179</v>
      </c>
      <c r="C7963" s="1" t="n">
        <v>45932</v>
      </c>
      <c r="D7963" t="inlineStr">
        <is>
          <t>VÄRMLANDS LÄN</t>
        </is>
      </c>
      <c r="E7963" t="inlineStr">
        <is>
          <t>ÅRJÄNG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9990-2025</t>
        </is>
      </c>
      <c r="B7964" s="1" t="n">
        <v>45719</v>
      </c>
      <c r="C7964" s="1" t="n">
        <v>45932</v>
      </c>
      <c r="D7964" t="inlineStr">
        <is>
          <t>VÄRMLANDS LÄN</t>
        </is>
      </c>
      <c r="E7964" t="inlineStr">
        <is>
          <t>ÅRJÄNG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9992-2025</t>
        </is>
      </c>
      <c r="B7965" s="1" t="n">
        <v>45719.43708333333</v>
      </c>
      <c r="C7965" s="1" t="n">
        <v>45932</v>
      </c>
      <c r="D7965" t="inlineStr">
        <is>
          <t>VÄRMLANDS LÄN</t>
        </is>
      </c>
      <c r="E7965" t="inlineStr">
        <is>
          <t>ÅRJÄNG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20171-2025</t>
        </is>
      </c>
      <c r="B7966" s="1" t="n">
        <v>45772</v>
      </c>
      <c r="C7966" s="1" t="n">
        <v>45932</v>
      </c>
      <c r="D7966" t="inlineStr">
        <is>
          <t>VÄRMLANDS LÄN</t>
        </is>
      </c>
      <c r="E7966" t="inlineStr">
        <is>
          <t>ARVIKA</t>
        </is>
      </c>
      <c r="F7966" t="inlineStr">
        <is>
          <t>Bergvik skog väst AB</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28035-2024</t>
        </is>
      </c>
      <c r="B7967" s="1" t="n">
        <v>45476</v>
      </c>
      <c r="C7967" s="1" t="n">
        <v>45932</v>
      </c>
      <c r="D7967" t="inlineStr">
        <is>
          <t>VÄRMLANDS LÄN</t>
        </is>
      </c>
      <c r="E7967" t="inlineStr">
        <is>
          <t>TORSBY</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11447-2022</t>
        </is>
      </c>
      <c r="B7968" s="1" t="n">
        <v>44630</v>
      </c>
      <c r="C7968" s="1" t="n">
        <v>45932</v>
      </c>
      <c r="D7968" t="inlineStr">
        <is>
          <t>VÄRMLANDS LÄN</t>
        </is>
      </c>
      <c r="E7968" t="inlineStr">
        <is>
          <t>TORSBY</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39565-2025</t>
        </is>
      </c>
      <c r="B7969" s="1" t="n">
        <v>45890</v>
      </c>
      <c r="C7969" s="1" t="n">
        <v>45932</v>
      </c>
      <c r="D7969" t="inlineStr">
        <is>
          <t>VÄRMLANDS LÄN</t>
        </is>
      </c>
      <c r="E7969" t="inlineStr">
        <is>
          <t>TORSBY</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39588-2025</t>
        </is>
      </c>
      <c r="B7970" s="1" t="n">
        <v>45890</v>
      </c>
      <c r="C7970" s="1" t="n">
        <v>45932</v>
      </c>
      <c r="D7970" t="inlineStr">
        <is>
          <t>VÄRMLANDS LÄN</t>
        </is>
      </c>
      <c r="E7970" t="inlineStr">
        <is>
          <t>SÄFFLE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39596-2025</t>
        </is>
      </c>
      <c r="B7971" s="1" t="n">
        <v>45890.54078703704</v>
      </c>
      <c r="C7971" s="1" t="n">
        <v>45932</v>
      </c>
      <c r="D7971" t="inlineStr">
        <is>
          <t>VÄRMLANDS LÄN</t>
        </is>
      </c>
      <c r="E7971" t="inlineStr">
        <is>
          <t>ARVIKA</t>
        </is>
      </c>
      <c r="F7971" t="inlineStr">
        <is>
          <t>Bergvik skog väst AB</t>
        </is>
      </c>
      <c r="G7971" t="n">
        <v>21.5</v>
      </c>
      <c r="H7971" t="n">
        <v>0</v>
      </c>
      <c r="I7971" t="n">
        <v>0</v>
      </c>
      <c r="J7971" t="n">
        <v>0</v>
      </c>
      <c r="K7971" t="n">
        <v>0</v>
      </c>
      <c r="L7971" t="n">
        <v>0</v>
      </c>
      <c r="M7971" t="n">
        <v>0</v>
      </c>
      <c r="N7971" t="n">
        <v>0</v>
      </c>
      <c r="O7971" t="n">
        <v>0</v>
      </c>
      <c r="P7971" t="n">
        <v>0</v>
      </c>
      <c r="Q7971" t="n">
        <v>0</v>
      </c>
      <c r="R7971" s="2" t="inlineStr"/>
    </row>
    <row r="7972" ht="15" customHeight="1">
      <c r="A7972" t="inlineStr">
        <is>
          <t>A 39598-2025</t>
        </is>
      </c>
      <c r="B7972" s="1" t="n">
        <v>45890.54863425926</v>
      </c>
      <c r="C7972" s="1" t="n">
        <v>45932</v>
      </c>
      <c r="D7972" t="inlineStr">
        <is>
          <t>VÄRMLANDS LÄN</t>
        </is>
      </c>
      <c r="E7972" t="inlineStr">
        <is>
          <t>ARVIKA</t>
        </is>
      </c>
      <c r="F7972" t="inlineStr">
        <is>
          <t>Bergvik skog väst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39623-2025</t>
        </is>
      </c>
      <c r="B7973" s="1" t="n">
        <v>45890.57476851852</v>
      </c>
      <c r="C7973" s="1" t="n">
        <v>45932</v>
      </c>
      <c r="D7973" t="inlineStr">
        <is>
          <t>VÄRMLANDS LÄN</t>
        </is>
      </c>
      <c r="E7973" t="inlineStr">
        <is>
          <t>STORFORS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60516-2024</t>
        </is>
      </c>
      <c r="B7974" s="1" t="n">
        <v>45643</v>
      </c>
      <c r="C7974" s="1" t="n">
        <v>45932</v>
      </c>
      <c r="D7974" t="inlineStr">
        <is>
          <t>VÄRMLANDS LÄN</t>
        </is>
      </c>
      <c r="E7974" t="inlineStr">
        <is>
          <t>ARVIKA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39779-2025</t>
        </is>
      </c>
      <c r="B7975" s="1" t="n">
        <v>45891</v>
      </c>
      <c r="C7975" s="1" t="n">
        <v>45932</v>
      </c>
      <c r="D7975" t="inlineStr">
        <is>
          <t>VÄRMLANDS LÄN</t>
        </is>
      </c>
      <c r="E7975" t="inlineStr">
        <is>
          <t>ÅRJÄNG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39781-2025</t>
        </is>
      </c>
      <c r="B7976" s="1" t="n">
        <v>45891</v>
      </c>
      <c r="C7976" s="1" t="n">
        <v>45932</v>
      </c>
      <c r="D7976" t="inlineStr">
        <is>
          <t>VÄRMLANDS LÄN</t>
        </is>
      </c>
      <c r="E7976" t="inlineStr">
        <is>
          <t>ÅRJÄNG</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39783-2025</t>
        </is>
      </c>
      <c r="B7977" s="1" t="n">
        <v>45891.4766087963</v>
      </c>
      <c r="C7977" s="1" t="n">
        <v>45932</v>
      </c>
      <c r="D7977" t="inlineStr">
        <is>
          <t>VÄRMLANDS LÄN</t>
        </is>
      </c>
      <c r="E7977" t="inlineStr">
        <is>
          <t>HAGFORS</t>
        </is>
      </c>
      <c r="F7977" t="inlineStr">
        <is>
          <t>Bergvik skog väst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34846-2025</t>
        </is>
      </c>
      <c r="B7978" s="1" t="n">
        <v>45849.41454861111</v>
      </c>
      <c r="C7978" s="1" t="n">
        <v>45932</v>
      </c>
      <c r="D7978" t="inlineStr">
        <is>
          <t>VÄRMLANDS LÄN</t>
        </is>
      </c>
      <c r="E7978" t="inlineStr">
        <is>
          <t>TORSBY</t>
        </is>
      </c>
      <c r="F7978" t="inlineStr">
        <is>
          <t>Bergvik skog väst AB</t>
        </is>
      </c>
      <c r="G7978" t="n">
        <v>12.2</v>
      </c>
      <c r="H7978" t="n">
        <v>0</v>
      </c>
      <c r="I7978" t="n">
        <v>0</v>
      </c>
      <c r="J7978" t="n">
        <v>0</v>
      </c>
      <c r="K7978" t="n">
        <v>0</v>
      </c>
      <c r="L7978" t="n">
        <v>0</v>
      </c>
      <c r="M7978" t="n">
        <v>0</v>
      </c>
      <c r="N7978" t="n">
        <v>0</v>
      </c>
      <c r="O7978" t="n">
        <v>0</v>
      </c>
      <c r="P7978" t="n">
        <v>0</v>
      </c>
      <c r="Q7978" t="n">
        <v>0</v>
      </c>
      <c r="R7978" s="2" t="inlineStr"/>
    </row>
    <row r="7979" ht="15" customHeight="1">
      <c r="A7979" t="inlineStr">
        <is>
          <t>A 23044-2024</t>
        </is>
      </c>
      <c r="B7979" s="1" t="n">
        <v>45450</v>
      </c>
      <c r="C7979" s="1" t="n">
        <v>45932</v>
      </c>
      <c r="D7979" t="inlineStr">
        <is>
          <t>VÄRMLANDS LÄN</t>
        </is>
      </c>
      <c r="E7979" t="inlineStr">
        <is>
          <t>TORSBY</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24955-2024</t>
        </is>
      </c>
      <c r="B7980" s="1" t="n">
        <v>45461</v>
      </c>
      <c r="C7980" s="1" t="n">
        <v>45932</v>
      </c>
      <c r="D7980" t="inlineStr">
        <is>
          <t>VÄRMLANDS LÄN</t>
        </is>
      </c>
      <c r="E7980" t="inlineStr">
        <is>
          <t>HAGFORS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15538-2024</t>
        </is>
      </c>
      <c r="B7981" s="1" t="n">
        <v>45401.61784722222</v>
      </c>
      <c r="C7981" s="1" t="n">
        <v>45932</v>
      </c>
      <c r="D7981" t="inlineStr">
        <is>
          <t>VÄRMLANDS LÄN</t>
        </is>
      </c>
      <c r="E7981" t="inlineStr">
        <is>
          <t>HAGFORS</t>
        </is>
      </c>
      <c r="F7981" t="inlineStr">
        <is>
          <t>Bergvik skog väst AB</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39519-2025</t>
        </is>
      </c>
      <c r="B7982" s="1" t="n">
        <v>45890.42920138889</v>
      </c>
      <c r="C7982" s="1" t="n">
        <v>45932</v>
      </c>
      <c r="D7982" t="inlineStr">
        <is>
          <t>VÄRMLANDS LÄN</t>
        </is>
      </c>
      <c r="E7982" t="inlineStr">
        <is>
          <t>SUNNE</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39906-2025</t>
        </is>
      </c>
      <c r="B7983" s="1" t="n">
        <v>45891.64363425926</v>
      </c>
      <c r="C7983" s="1" t="n">
        <v>45932</v>
      </c>
      <c r="D7983" t="inlineStr">
        <is>
          <t>VÄRMLANDS LÄN</t>
        </is>
      </c>
      <c r="E7983" t="inlineStr">
        <is>
          <t>EDA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39578-2025</t>
        </is>
      </c>
      <c r="B7984" s="1" t="n">
        <v>45890.49292824074</v>
      </c>
      <c r="C7984" s="1" t="n">
        <v>45932</v>
      </c>
      <c r="D7984" t="inlineStr">
        <is>
          <t>VÄRMLANDS LÄN</t>
        </is>
      </c>
      <c r="E7984" t="inlineStr">
        <is>
          <t>ÅRJÄNG</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34936-2025</t>
        </is>
      </c>
      <c r="B7985" s="1" t="n">
        <v>45849.57689814815</v>
      </c>
      <c r="C7985" s="1" t="n">
        <v>45932</v>
      </c>
      <c r="D7985" t="inlineStr">
        <is>
          <t>VÄRMLANDS LÄN</t>
        </is>
      </c>
      <c r="E7985" t="inlineStr">
        <is>
          <t>SUNNE</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15545-2024</t>
        </is>
      </c>
      <c r="B7986" s="1" t="n">
        <v>45401</v>
      </c>
      <c r="C7986" s="1" t="n">
        <v>45932</v>
      </c>
      <c r="D7986" t="inlineStr">
        <is>
          <t>VÄRMLANDS LÄN</t>
        </is>
      </c>
      <c r="E7986" t="inlineStr">
        <is>
          <t>GRUMS</t>
        </is>
      </c>
      <c r="F7986" t="inlineStr">
        <is>
          <t>Bergvik skog väst AB</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19198-2025</t>
        </is>
      </c>
      <c r="B7987" s="1" t="n">
        <v>45769.42725694444</v>
      </c>
      <c r="C7987" s="1" t="n">
        <v>45932</v>
      </c>
      <c r="D7987" t="inlineStr">
        <is>
          <t>VÄRMLANDS LÄN</t>
        </is>
      </c>
      <c r="E7987" t="inlineStr">
        <is>
          <t>SUNNE</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19291-2023</t>
        </is>
      </c>
      <c r="B7988" s="1" t="n">
        <v>45049.45099537037</v>
      </c>
      <c r="C7988" s="1" t="n">
        <v>45932</v>
      </c>
      <c r="D7988" t="inlineStr">
        <is>
          <t>VÄRMLANDS LÄN</t>
        </is>
      </c>
      <c r="E7988" t="inlineStr">
        <is>
          <t>KARLSTAD</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18354-2021</t>
        </is>
      </c>
      <c r="B7989" s="1" t="n">
        <v>44305.56186342592</v>
      </c>
      <c r="C7989" s="1" t="n">
        <v>45932</v>
      </c>
      <c r="D7989" t="inlineStr">
        <is>
          <t>VÄRMLANDS LÄN</t>
        </is>
      </c>
      <c r="E7989" t="inlineStr">
        <is>
          <t>TORSBY</t>
        </is>
      </c>
      <c r="F7989" t="inlineStr">
        <is>
          <t>Kommuner</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4848-2023</t>
        </is>
      </c>
      <c r="B7990" s="1" t="n">
        <v>44952</v>
      </c>
      <c r="C7990" s="1" t="n">
        <v>45932</v>
      </c>
      <c r="D7990" t="inlineStr">
        <is>
          <t>VÄRMLANDS LÄN</t>
        </is>
      </c>
      <c r="E7990" t="inlineStr">
        <is>
          <t>SÄFFLE</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44470-2024</t>
        </is>
      </c>
      <c r="B7991" s="1" t="n">
        <v>45574</v>
      </c>
      <c r="C7991" s="1" t="n">
        <v>45932</v>
      </c>
      <c r="D7991" t="inlineStr">
        <is>
          <t>VÄRMLANDS LÄN</t>
        </is>
      </c>
      <c r="E7991" t="inlineStr">
        <is>
          <t>TORSBY</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39635-2023</t>
        </is>
      </c>
      <c r="B7992" s="1" t="n">
        <v>45167.52609953703</v>
      </c>
      <c r="C7992" s="1" t="n">
        <v>45932</v>
      </c>
      <c r="D7992" t="inlineStr">
        <is>
          <t>VÄRMLANDS LÄN</t>
        </is>
      </c>
      <c r="E7992" t="inlineStr">
        <is>
          <t>GRUMS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44497-2023</t>
        </is>
      </c>
      <c r="B7993" s="1" t="n">
        <v>45189.45701388889</v>
      </c>
      <c r="C7993" s="1" t="n">
        <v>45932</v>
      </c>
      <c r="D7993" t="inlineStr">
        <is>
          <t>VÄRMLANDS LÄN</t>
        </is>
      </c>
      <c r="E7993" t="inlineStr">
        <is>
          <t>TORSBY</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44499-2023</t>
        </is>
      </c>
      <c r="B7994" s="1" t="n">
        <v>45189.4577662037</v>
      </c>
      <c r="C7994" s="1" t="n">
        <v>45932</v>
      </c>
      <c r="D7994" t="inlineStr">
        <is>
          <t>VÄRMLANDS LÄN</t>
        </is>
      </c>
      <c r="E7994" t="inlineStr">
        <is>
          <t>SÄFFLE</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2930-2022</t>
        </is>
      </c>
      <c r="B7995" s="1" t="n">
        <v>44581</v>
      </c>
      <c r="C7995" s="1" t="n">
        <v>45932</v>
      </c>
      <c r="D7995" t="inlineStr">
        <is>
          <t>VÄRMLANDS LÄN</t>
        </is>
      </c>
      <c r="E7995" t="inlineStr">
        <is>
          <t>SUNNE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58049-2024</t>
        </is>
      </c>
      <c r="B7996" s="1" t="n">
        <v>45631.82186342592</v>
      </c>
      <c r="C7996" s="1" t="n">
        <v>45932</v>
      </c>
      <c r="D7996" t="inlineStr">
        <is>
          <t>VÄRMLANDS LÄN</t>
        </is>
      </c>
      <c r="E7996" t="inlineStr">
        <is>
          <t>MUNKFORS</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58084-2024</t>
        </is>
      </c>
      <c r="B7997" s="1" t="n">
        <v>45632.34158564815</v>
      </c>
      <c r="C7997" s="1" t="n">
        <v>45932</v>
      </c>
      <c r="D7997" t="inlineStr">
        <is>
          <t>VÄRMLANDS LÄN</t>
        </is>
      </c>
      <c r="E7997" t="inlineStr">
        <is>
          <t>HAGFORS</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58114-2024</t>
        </is>
      </c>
      <c r="B7998" s="1" t="n">
        <v>45632</v>
      </c>
      <c r="C7998" s="1" t="n">
        <v>45932</v>
      </c>
      <c r="D7998" t="inlineStr">
        <is>
          <t>VÄRMLANDS LÄN</t>
        </is>
      </c>
      <c r="E7998" t="inlineStr">
        <is>
          <t>FORSHAGA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19702-2022</t>
        </is>
      </c>
      <c r="B7999" s="1" t="n">
        <v>44694</v>
      </c>
      <c r="C7999" s="1" t="n">
        <v>45932</v>
      </c>
      <c r="D7999" t="inlineStr">
        <is>
          <t>VÄRMLANDS LÄN</t>
        </is>
      </c>
      <c r="E7999" t="inlineStr">
        <is>
          <t>HAGFORS</t>
        </is>
      </c>
      <c r="F7999" t="inlineStr">
        <is>
          <t>Bergvik skog väst AB</t>
        </is>
      </c>
      <c r="G7999" t="n">
        <v>24.6</v>
      </c>
      <c r="H7999" t="n">
        <v>0</v>
      </c>
      <c r="I7999" t="n">
        <v>0</v>
      </c>
      <c r="J7999" t="n">
        <v>0</v>
      </c>
      <c r="K7999" t="n">
        <v>0</v>
      </c>
      <c r="L7999" t="n">
        <v>0</v>
      </c>
      <c r="M7999" t="n">
        <v>0</v>
      </c>
      <c r="N7999" t="n">
        <v>0</v>
      </c>
      <c r="O7999" t="n">
        <v>0</v>
      </c>
      <c r="P7999" t="n">
        <v>0</v>
      </c>
      <c r="Q7999" t="n">
        <v>0</v>
      </c>
      <c r="R7999" s="2" t="inlineStr"/>
    </row>
    <row r="8000" ht="15" customHeight="1">
      <c r="A8000" t="inlineStr">
        <is>
          <t>A 38738-2025</t>
        </is>
      </c>
      <c r="B8000" s="1" t="n">
        <v>45887.3715162037</v>
      </c>
      <c r="C8000" s="1" t="n">
        <v>45932</v>
      </c>
      <c r="D8000" t="inlineStr">
        <is>
          <t>VÄRMLANDS LÄN</t>
        </is>
      </c>
      <c r="E8000" t="inlineStr">
        <is>
          <t>TORSBY</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39503-2025</t>
        </is>
      </c>
      <c r="B8001" s="1" t="n">
        <v>45890.40311342593</v>
      </c>
      <c r="C8001" s="1" t="n">
        <v>45932</v>
      </c>
      <c r="D8001" t="inlineStr">
        <is>
          <t>VÄRMLANDS LÄN</t>
        </is>
      </c>
      <c r="E8001" t="inlineStr">
        <is>
          <t>SUNNE</t>
        </is>
      </c>
      <c r="F8001" t="inlineStr">
        <is>
          <t>Kyrkan</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17174-2023</t>
        </is>
      </c>
      <c r="B8002" s="1" t="n">
        <v>45034</v>
      </c>
      <c r="C8002" s="1" t="n">
        <v>45932</v>
      </c>
      <c r="D8002" t="inlineStr">
        <is>
          <t>VÄRMLANDS LÄN</t>
        </is>
      </c>
      <c r="E8002" t="inlineStr">
        <is>
          <t>ÅRJÄNG</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17184-2023</t>
        </is>
      </c>
      <c r="B8003" s="1" t="n">
        <v>45034.69127314815</v>
      </c>
      <c r="C8003" s="1" t="n">
        <v>45932</v>
      </c>
      <c r="D8003" t="inlineStr">
        <is>
          <t>VÄRMLANDS LÄN</t>
        </is>
      </c>
      <c r="E8003" t="inlineStr">
        <is>
          <t>TORSBY</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38643-2025</t>
        </is>
      </c>
      <c r="B8004" s="1" t="n">
        <v>45884.57711805555</v>
      </c>
      <c r="C8004" s="1" t="n">
        <v>45932</v>
      </c>
      <c r="D8004" t="inlineStr">
        <is>
          <t>VÄRMLANDS LÄN</t>
        </is>
      </c>
      <c r="E8004" t="inlineStr">
        <is>
          <t>ARVIKA</t>
        </is>
      </c>
      <c r="F8004" t="inlineStr">
        <is>
          <t>Bergvik skog väst AB</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39606-2025</t>
        </is>
      </c>
      <c r="B8005" s="1" t="n">
        <v>45890.55534722222</v>
      </c>
      <c r="C8005" s="1" t="n">
        <v>45932</v>
      </c>
      <c r="D8005" t="inlineStr">
        <is>
          <t>VÄRMLANDS LÄN</t>
        </is>
      </c>
      <c r="E8005" t="inlineStr">
        <is>
          <t>ARVIKA</t>
        </is>
      </c>
      <c r="F8005" t="inlineStr">
        <is>
          <t>Bergvik skog väst AB</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687-2024</t>
        </is>
      </c>
      <c r="B8006" s="1" t="n">
        <v>45300.37333333334</v>
      </c>
      <c r="C8006" s="1" t="n">
        <v>45932</v>
      </c>
      <c r="D8006" t="inlineStr">
        <is>
          <t>VÄRMLANDS LÄN</t>
        </is>
      </c>
      <c r="E8006" t="inlineStr">
        <is>
          <t>ÅRJÄNG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711-2024</t>
        </is>
      </c>
      <c r="B8007" s="1" t="n">
        <v>45300</v>
      </c>
      <c r="C8007" s="1" t="n">
        <v>45932</v>
      </c>
      <c r="D8007" t="inlineStr">
        <is>
          <t>VÄRMLANDS LÄN</t>
        </is>
      </c>
      <c r="E8007" t="inlineStr">
        <is>
          <t>EDA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37339-2022</t>
        </is>
      </c>
      <c r="B8008" s="1" t="n">
        <v>44806</v>
      </c>
      <c r="C8008" s="1" t="n">
        <v>45932</v>
      </c>
      <c r="D8008" t="inlineStr">
        <is>
          <t>VÄRMLANDS LÄN</t>
        </is>
      </c>
      <c r="E8008" t="inlineStr">
        <is>
          <t>GRUMS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47815-2023</t>
        </is>
      </c>
      <c r="B8009" s="1" t="n">
        <v>45204.34394675926</v>
      </c>
      <c r="C8009" s="1" t="n">
        <v>45932</v>
      </c>
      <c r="D8009" t="inlineStr">
        <is>
          <t>VÄRMLANDS LÄN</t>
        </is>
      </c>
      <c r="E8009" t="inlineStr">
        <is>
          <t>EDA</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47833-2023</t>
        </is>
      </c>
      <c r="B8010" s="1" t="n">
        <v>45204.36287037037</v>
      </c>
      <c r="C8010" s="1" t="n">
        <v>45932</v>
      </c>
      <c r="D8010" t="inlineStr">
        <is>
          <t>VÄRMLANDS LÄN</t>
        </is>
      </c>
      <c r="E8010" t="inlineStr">
        <is>
          <t>ÅRJÄNG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24568-2024</t>
        </is>
      </c>
      <c r="B8011" s="1" t="n">
        <v>45460.44770833333</v>
      </c>
      <c r="C8011" s="1" t="n">
        <v>45932</v>
      </c>
      <c r="D8011" t="inlineStr">
        <is>
          <t>VÄRMLANDS LÄN</t>
        </is>
      </c>
      <c r="E8011" t="inlineStr">
        <is>
          <t>KIL</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39646-2025</t>
        </is>
      </c>
      <c r="B8012" s="1" t="n">
        <v>45890.61451388889</v>
      </c>
      <c r="C8012" s="1" t="n">
        <v>45932</v>
      </c>
      <c r="D8012" t="inlineStr">
        <is>
          <t>VÄRMLANDS LÄN</t>
        </is>
      </c>
      <c r="E8012" t="inlineStr">
        <is>
          <t>ARVIKA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713-2024</t>
        </is>
      </c>
      <c r="B8013" s="1" t="n">
        <v>45300.4261574074</v>
      </c>
      <c r="C8013" s="1" t="n">
        <v>45932</v>
      </c>
      <c r="D8013" t="inlineStr">
        <is>
          <t>VÄRMLANDS LÄN</t>
        </is>
      </c>
      <c r="E8013" t="inlineStr">
        <is>
          <t>ÅRJÄNG</t>
        </is>
      </c>
      <c r="F8013" t="inlineStr">
        <is>
          <t>Kyrkan</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55167-2024</t>
        </is>
      </c>
      <c r="B8014" s="1" t="n">
        <v>45621</v>
      </c>
      <c r="C8014" s="1" t="n">
        <v>45932</v>
      </c>
      <c r="D8014" t="inlineStr">
        <is>
          <t>VÄRMLANDS LÄN</t>
        </is>
      </c>
      <c r="E8014" t="inlineStr">
        <is>
          <t>ÅRJÄNG</t>
        </is>
      </c>
      <c r="F8014" t="inlineStr">
        <is>
          <t>Bergvik skog väst AB</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6405-2024</t>
        </is>
      </c>
      <c r="B8015" s="1" t="n">
        <v>45338</v>
      </c>
      <c r="C8015" s="1" t="n">
        <v>45932</v>
      </c>
      <c r="D8015" t="inlineStr">
        <is>
          <t>VÄRMLANDS LÄN</t>
        </is>
      </c>
      <c r="E8015" t="inlineStr">
        <is>
          <t>ÅRJÄNG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13453-2025</t>
        </is>
      </c>
      <c r="B8016" s="1" t="n">
        <v>45736.38199074074</v>
      </c>
      <c r="C8016" s="1" t="n">
        <v>45932</v>
      </c>
      <c r="D8016" t="inlineStr">
        <is>
          <t>VÄRMLANDS LÄN</t>
        </is>
      </c>
      <c r="E8016" t="inlineStr">
        <is>
          <t>EDA</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25760-2025</t>
        </is>
      </c>
      <c r="B8017" s="1" t="n">
        <v>45804</v>
      </c>
      <c r="C8017" s="1" t="n">
        <v>45932</v>
      </c>
      <c r="D8017" t="inlineStr">
        <is>
          <t>VÄRMLANDS LÄN</t>
        </is>
      </c>
      <c r="E8017" t="inlineStr">
        <is>
          <t>STORFORS</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14613-2022</t>
        </is>
      </c>
      <c r="B8018" s="1" t="n">
        <v>44655.61015046296</v>
      </c>
      <c r="C8018" s="1" t="n">
        <v>45932</v>
      </c>
      <c r="D8018" t="inlineStr">
        <is>
          <t>VÄRMLANDS LÄN</t>
        </is>
      </c>
      <c r="E8018" t="inlineStr">
        <is>
          <t>MUNKFORS</t>
        </is>
      </c>
      <c r="F8018" t="inlineStr">
        <is>
          <t>Bergvik skog väst AB</t>
        </is>
      </c>
      <c r="G8018" t="n">
        <v>21.3</v>
      </c>
      <c r="H8018" t="n">
        <v>0</v>
      </c>
      <c r="I8018" t="n">
        <v>0</v>
      </c>
      <c r="J8018" t="n">
        <v>0</v>
      </c>
      <c r="K8018" t="n">
        <v>0</v>
      </c>
      <c r="L8018" t="n">
        <v>0</v>
      </c>
      <c r="M8018" t="n">
        <v>0</v>
      </c>
      <c r="N8018" t="n">
        <v>0</v>
      </c>
      <c r="O8018" t="n">
        <v>0</v>
      </c>
      <c r="P8018" t="n">
        <v>0</v>
      </c>
      <c r="Q8018" t="n">
        <v>0</v>
      </c>
      <c r="R8018" s="2" t="inlineStr"/>
    </row>
    <row r="8019" ht="15" customHeight="1">
      <c r="A8019" t="inlineStr">
        <is>
          <t>A 39747-2025</t>
        </is>
      </c>
      <c r="B8019" s="1" t="n">
        <v>45891</v>
      </c>
      <c r="C8019" s="1" t="n">
        <v>45932</v>
      </c>
      <c r="D8019" t="inlineStr">
        <is>
          <t>VÄRMLANDS LÄN</t>
        </is>
      </c>
      <c r="E8019" t="inlineStr">
        <is>
          <t>HAGFORS</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39687-2025</t>
        </is>
      </c>
      <c r="B8020" s="1" t="n">
        <v>45890.66885416667</v>
      </c>
      <c r="C8020" s="1" t="n">
        <v>45932</v>
      </c>
      <c r="D8020" t="inlineStr">
        <is>
          <t>VÄRMLANDS LÄN</t>
        </is>
      </c>
      <c r="E8020" t="inlineStr">
        <is>
          <t>ARVIKA</t>
        </is>
      </c>
      <c r="F8020" t="inlineStr">
        <is>
          <t>Bergvik skog väst AB</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41936-2024</t>
        </is>
      </c>
      <c r="B8021" s="1" t="n">
        <v>45561</v>
      </c>
      <c r="C8021" s="1" t="n">
        <v>45932</v>
      </c>
      <c r="D8021" t="inlineStr">
        <is>
          <t>VÄRMLANDS LÄN</t>
        </is>
      </c>
      <c r="E8021" t="inlineStr">
        <is>
          <t>TORSBY</t>
        </is>
      </c>
      <c r="G8021" t="n">
        <v>9.9</v>
      </c>
      <c r="H8021" t="n">
        <v>0</v>
      </c>
      <c r="I8021" t="n">
        <v>0</v>
      </c>
      <c r="J8021" t="n">
        <v>0</v>
      </c>
      <c r="K8021" t="n">
        <v>0</v>
      </c>
      <c r="L8021" t="n">
        <v>0</v>
      </c>
      <c r="M8021" t="n">
        <v>0</v>
      </c>
      <c r="N8021" t="n">
        <v>0</v>
      </c>
      <c r="O8021" t="n">
        <v>0</v>
      </c>
      <c r="P8021" t="n">
        <v>0</v>
      </c>
      <c r="Q8021" t="n">
        <v>0</v>
      </c>
      <c r="R8021" s="2" t="inlineStr"/>
    </row>
    <row r="8022" ht="15" customHeight="1">
      <c r="A8022" t="inlineStr">
        <is>
          <t>A 58058-2024</t>
        </is>
      </c>
      <c r="B8022" s="1" t="n">
        <v>45631</v>
      </c>
      <c r="C8022" s="1" t="n">
        <v>45932</v>
      </c>
      <c r="D8022" t="inlineStr">
        <is>
          <t>VÄRMLANDS LÄN</t>
        </is>
      </c>
      <c r="E8022" t="inlineStr">
        <is>
          <t>ARVIKA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58059-2024</t>
        </is>
      </c>
      <c r="B8023" s="1" t="n">
        <v>45631</v>
      </c>
      <c r="C8023" s="1" t="n">
        <v>45932</v>
      </c>
      <c r="D8023" t="inlineStr">
        <is>
          <t>VÄRMLANDS LÄN</t>
        </is>
      </c>
      <c r="E8023" t="inlineStr">
        <is>
          <t>ARVIKA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39903-2025</t>
        </is>
      </c>
      <c r="B8024" s="1" t="n">
        <v>45891.63664351852</v>
      </c>
      <c r="C8024" s="1" t="n">
        <v>45932</v>
      </c>
      <c r="D8024" t="inlineStr">
        <is>
          <t>VÄRMLANDS LÄN</t>
        </is>
      </c>
      <c r="E8024" t="inlineStr">
        <is>
          <t>FILIPSTAD</t>
        </is>
      </c>
      <c r="F8024" t="inlineStr">
        <is>
          <t>Bergvik skog väst AB</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56386-2022</t>
        </is>
      </c>
      <c r="B8025" s="1" t="n">
        <v>44890</v>
      </c>
      <c r="C8025" s="1" t="n">
        <v>45932</v>
      </c>
      <c r="D8025" t="inlineStr">
        <is>
          <t>VÄRMLANDS LÄN</t>
        </is>
      </c>
      <c r="E8025" t="inlineStr">
        <is>
          <t>GRUMS</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56433-2022</t>
        </is>
      </c>
      <c r="B8026" s="1" t="n">
        <v>44891.82001157408</v>
      </c>
      <c r="C8026" s="1" t="n">
        <v>45932</v>
      </c>
      <c r="D8026" t="inlineStr">
        <is>
          <t>VÄRMLANDS LÄN</t>
        </is>
      </c>
      <c r="E8026" t="inlineStr">
        <is>
          <t>SUNNE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42413-2021</t>
        </is>
      </c>
      <c r="B8027" s="1" t="n">
        <v>44427</v>
      </c>
      <c r="C8027" s="1" t="n">
        <v>45932</v>
      </c>
      <c r="D8027" t="inlineStr">
        <is>
          <t>VÄRMLANDS LÄN</t>
        </is>
      </c>
      <c r="E8027" t="inlineStr">
        <is>
          <t>EDA</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39540-2025</t>
        </is>
      </c>
      <c r="B8028" s="1" t="n">
        <v>45890.45358796296</v>
      </c>
      <c r="C8028" s="1" t="n">
        <v>45932</v>
      </c>
      <c r="D8028" t="inlineStr">
        <is>
          <t>VÄRMLANDS LÄN</t>
        </is>
      </c>
      <c r="E8028" t="inlineStr">
        <is>
          <t>SUNNE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34795-2025</t>
        </is>
      </c>
      <c r="B8029" s="1" t="n">
        <v>45848.7830787037</v>
      </c>
      <c r="C8029" s="1" t="n">
        <v>45932</v>
      </c>
      <c r="D8029" t="inlineStr">
        <is>
          <t>VÄRMLANDS LÄN</t>
        </is>
      </c>
      <c r="E8029" t="inlineStr">
        <is>
          <t>EDA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58121-2024</t>
        </is>
      </c>
      <c r="B8030" s="1" t="n">
        <v>45632</v>
      </c>
      <c r="C8030" s="1" t="n">
        <v>45932</v>
      </c>
      <c r="D8030" t="inlineStr">
        <is>
          <t>VÄRMLANDS LÄN</t>
        </is>
      </c>
      <c r="E8030" t="inlineStr">
        <is>
          <t>FORSHAGA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50486-2020</t>
        </is>
      </c>
      <c r="B8031" s="1" t="n">
        <v>44110</v>
      </c>
      <c r="C8031" s="1" t="n">
        <v>45932</v>
      </c>
      <c r="D8031" t="inlineStr">
        <is>
          <t>VÄRMLANDS LÄN</t>
        </is>
      </c>
      <c r="E8031" t="inlineStr">
        <is>
          <t>TORSBY</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42801-2024</t>
        </is>
      </c>
      <c r="B8032" s="1" t="n">
        <v>45565</v>
      </c>
      <c r="C8032" s="1" t="n">
        <v>45932</v>
      </c>
      <c r="D8032" t="inlineStr">
        <is>
          <t>VÄRMLANDS LÄN</t>
        </is>
      </c>
      <c r="E8032" t="inlineStr">
        <is>
          <t>HAGFORS</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44424-2024</t>
        </is>
      </c>
      <c r="B8033" s="1" t="n">
        <v>45573</v>
      </c>
      <c r="C8033" s="1" t="n">
        <v>45932</v>
      </c>
      <c r="D8033" t="inlineStr">
        <is>
          <t>VÄRMLANDS LÄN</t>
        </is>
      </c>
      <c r="E8033" t="inlineStr">
        <is>
          <t>TORSBY</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18472-2024</t>
        </is>
      </c>
      <c r="B8034" s="1" t="n">
        <v>45425.50491898148</v>
      </c>
      <c r="C8034" s="1" t="n">
        <v>45932</v>
      </c>
      <c r="D8034" t="inlineStr">
        <is>
          <t>VÄRMLANDS LÄN</t>
        </is>
      </c>
      <c r="E8034" t="inlineStr">
        <is>
          <t>HAGFORS</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39896-2025</t>
        </is>
      </c>
      <c r="B8035" s="1" t="n">
        <v>45891.63328703704</v>
      </c>
      <c r="C8035" s="1" t="n">
        <v>45932</v>
      </c>
      <c r="D8035" t="inlineStr">
        <is>
          <t>VÄRMLANDS LÄN</t>
        </is>
      </c>
      <c r="E8035" t="inlineStr">
        <is>
          <t>FILIPSTAD</t>
        </is>
      </c>
      <c r="F8035" t="inlineStr">
        <is>
          <t>Bergvik skog väst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50478-2024</t>
        </is>
      </c>
      <c r="B8036" s="1" t="n">
        <v>45601</v>
      </c>
      <c r="C8036" s="1" t="n">
        <v>45932</v>
      </c>
      <c r="D8036" t="inlineStr">
        <is>
          <t>VÄRMLANDS LÄN</t>
        </is>
      </c>
      <c r="E8036" t="inlineStr">
        <is>
          <t>KARLSTAD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39919-2025</t>
        </is>
      </c>
      <c r="B8037" s="1" t="n">
        <v>45891.66664351852</v>
      </c>
      <c r="C8037" s="1" t="n">
        <v>45932</v>
      </c>
      <c r="D8037" t="inlineStr">
        <is>
          <t>VÄRMLANDS LÄN</t>
        </is>
      </c>
      <c r="E8037" t="inlineStr">
        <is>
          <t>TORSBY</t>
        </is>
      </c>
      <c r="F8037" t="inlineStr">
        <is>
          <t>Bergvik skog väst AB</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34689-2025</t>
        </is>
      </c>
      <c r="B8038" s="1" t="n">
        <v>45848.44229166667</v>
      </c>
      <c r="C8038" s="1" t="n">
        <v>45932</v>
      </c>
      <c r="D8038" t="inlineStr">
        <is>
          <t>VÄRMLANDS LÄN</t>
        </is>
      </c>
      <c r="E8038" t="inlineStr">
        <is>
          <t>FILIPSTAD</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39930-2025</t>
        </is>
      </c>
      <c r="B8039" s="1" t="n">
        <v>45891.70458333333</v>
      </c>
      <c r="C8039" s="1" t="n">
        <v>45932</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16312-2023</t>
        </is>
      </c>
      <c r="B8040" s="1" t="n">
        <v>45028</v>
      </c>
      <c r="C8040" s="1" t="n">
        <v>45932</v>
      </c>
      <c r="D8040" t="inlineStr">
        <is>
          <t>VÄRMLANDS LÄN</t>
        </is>
      </c>
      <c r="E8040" t="inlineStr">
        <is>
          <t>KARLSTAD</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6860-2024</t>
        </is>
      </c>
      <c r="B8041" s="1" t="n">
        <v>45342</v>
      </c>
      <c r="C8041" s="1" t="n">
        <v>45932</v>
      </c>
      <c r="D8041" t="inlineStr">
        <is>
          <t>VÄRMLANDS LÄN</t>
        </is>
      </c>
      <c r="E8041" t="inlineStr">
        <is>
          <t>FILIPSTAD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8447-2023</t>
        </is>
      </c>
      <c r="B8042" s="1" t="n">
        <v>44977</v>
      </c>
      <c r="C8042" s="1" t="n">
        <v>45932</v>
      </c>
      <c r="D8042" t="inlineStr">
        <is>
          <t>VÄRMLANDS LÄN</t>
        </is>
      </c>
      <c r="E8042" t="inlineStr">
        <is>
          <t>TORSBY</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19666-2023</t>
        </is>
      </c>
      <c r="B8043" s="1" t="n">
        <v>45051</v>
      </c>
      <c r="C8043" s="1" t="n">
        <v>45932</v>
      </c>
      <c r="D8043" t="inlineStr">
        <is>
          <t>VÄRMLANDS LÄN</t>
        </is>
      </c>
      <c r="E8043" t="inlineStr">
        <is>
          <t>KARLSTAD</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10180-2023</t>
        </is>
      </c>
      <c r="B8044" s="1" t="n">
        <v>44986</v>
      </c>
      <c r="C8044" s="1" t="n">
        <v>45932</v>
      </c>
      <c r="D8044" t="inlineStr">
        <is>
          <t>VÄRMLANDS LÄN</t>
        </is>
      </c>
      <c r="E8044" t="inlineStr">
        <is>
          <t>ÅRJÄNG</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61988-2023</t>
        </is>
      </c>
      <c r="B8045" s="1" t="n">
        <v>45266</v>
      </c>
      <c r="C8045" s="1" t="n">
        <v>45932</v>
      </c>
      <c r="D8045" t="inlineStr">
        <is>
          <t>VÄRMLANDS LÄN</t>
        </is>
      </c>
      <c r="E8045" t="inlineStr">
        <is>
          <t>KRISTINEHAMN</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9470-2023</t>
        </is>
      </c>
      <c r="B8046" s="1" t="n">
        <v>44981</v>
      </c>
      <c r="C8046" s="1" t="n">
        <v>45932</v>
      </c>
      <c r="D8046" t="inlineStr">
        <is>
          <t>VÄRMLANDS LÄN</t>
        </is>
      </c>
      <c r="E8046" t="inlineStr">
        <is>
          <t>KARLSTAD</t>
        </is>
      </c>
      <c r="F8046" t="inlineStr">
        <is>
          <t>Kyrkan</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5594-2024</t>
        </is>
      </c>
      <c r="B8047" s="1" t="n">
        <v>45334</v>
      </c>
      <c r="C8047" s="1" t="n">
        <v>45932</v>
      </c>
      <c r="D8047" t="inlineStr">
        <is>
          <t>VÄRMLANDS LÄN</t>
        </is>
      </c>
      <c r="E8047" t="inlineStr">
        <is>
          <t>SÄFFLE</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50114-2022</t>
        </is>
      </c>
      <c r="B8048" s="1" t="n">
        <v>44865.54180555556</v>
      </c>
      <c r="C8048" s="1" t="n">
        <v>45932</v>
      </c>
      <c r="D8048" t="inlineStr">
        <is>
          <t>VÄRMLANDS LÄN</t>
        </is>
      </c>
      <c r="E8048" t="inlineStr">
        <is>
          <t>EDA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52278-2023</t>
        </is>
      </c>
      <c r="B8049" s="1" t="n">
        <v>45224.57358796296</v>
      </c>
      <c r="C8049" s="1" t="n">
        <v>45932</v>
      </c>
      <c r="D8049" t="inlineStr">
        <is>
          <t>VÄRMLANDS LÄN</t>
        </is>
      </c>
      <c r="E8049" t="inlineStr">
        <is>
          <t>ÅRJÄNG</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33853-2021</t>
        </is>
      </c>
      <c r="B8050" s="1" t="n">
        <v>44378.61460648148</v>
      </c>
      <c r="C8050" s="1" t="n">
        <v>45932</v>
      </c>
      <c r="D8050" t="inlineStr">
        <is>
          <t>VÄRMLANDS LÄN</t>
        </is>
      </c>
      <c r="E8050" t="inlineStr">
        <is>
          <t>TORSBY</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58964-2024</t>
        </is>
      </c>
      <c r="B8051" s="1" t="n">
        <v>45636</v>
      </c>
      <c r="C8051" s="1" t="n">
        <v>45932</v>
      </c>
      <c r="D8051" t="inlineStr">
        <is>
          <t>VÄRMLANDS LÄN</t>
        </is>
      </c>
      <c r="E8051" t="inlineStr">
        <is>
          <t>EDA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39652-2025</t>
        </is>
      </c>
      <c r="B8052" s="1" t="n">
        <v>45890.61689814815</v>
      </c>
      <c r="C8052" s="1" t="n">
        <v>45932</v>
      </c>
      <c r="D8052" t="inlineStr">
        <is>
          <t>VÄRMLANDS LÄN</t>
        </is>
      </c>
      <c r="E8052" t="inlineStr">
        <is>
          <t>TORSBY</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49936-2024</t>
        </is>
      </c>
      <c r="B8053" s="1" t="n">
        <v>45597</v>
      </c>
      <c r="C8053" s="1" t="n">
        <v>45932</v>
      </c>
      <c r="D8053" t="inlineStr">
        <is>
          <t>VÄRMLANDS LÄN</t>
        </is>
      </c>
      <c r="E8053" t="inlineStr">
        <is>
          <t>TORSBY</t>
        </is>
      </c>
      <c r="F8053" t="inlineStr">
        <is>
          <t>Bergvik skog väst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64903-2023</t>
        </is>
      </c>
      <c r="B8054" s="1" t="n">
        <v>45282</v>
      </c>
      <c r="C8054" s="1" t="n">
        <v>45932</v>
      </c>
      <c r="D8054" t="inlineStr">
        <is>
          <t>VÄRMLANDS LÄN</t>
        </is>
      </c>
      <c r="E8054" t="inlineStr">
        <is>
          <t>ÅRJÄNG</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57089-2023</t>
        </is>
      </c>
      <c r="B8055" s="1" t="n">
        <v>45245</v>
      </c>
      <c r="C8055" s="1" t="n">
        <v>45932</v>
      </c>
      <c r="D8055" t="inlineStr">
        <is>
          <t>VÄRMLANDS LÄN</t>
        </is>
      </c>
      <c r="E8055" t="inlineStr">
        <is>
          <t>SÄFFLE</t>
        </is>
      </c>
      <c r="F8055" t="inlineStr">
        <is>
          <t>Bergvik skog väst AB</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46493-2025</t>
        </is>
      </c>
      <c r="B8056" s="1" t="n">
        <v>45925</v>
      </c>
      <c r="C8056" s="1" t="n">
        <v>45932</v>
      </c>
      <c r="D8056" t="inlineStr">
        <is>
          <t>VÄRMLANDS LÄN</t>
        </is>
      </c>
      <c r="E8056" t="inlineStr">
        <is>
          <t>TORSBY</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16010-2024</t>
        </is>
      </c>
      <c r="B8057" s="1" t="n">
        <v>45405</v>
      </c>
      <c r="C8057" s="1" t="n">
        <v>45932</v>
      </c>
      <c r="D8057" t="inlineStr">
        <is>
          <t>VÄRMLANDS LÄN</t>
        </is>
      </c>
      <c r="E8057" t="inlineStr">
        <is>
          <t>ÅRJÄNG</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54036-2022</t>
        </is>
      </c>
      <c r="B8058" s="1" t="n">
        <v>44881.45065972222</v>
      </c>
      <c r="C8058" s="1" t="n">
        <v>45932</v>
      </c>
      <c r="D8058" t="inlineStr">
        <is>
          <t>VÄRMLANDS LÄN</t>
        </is>
      </c>
      <c r="E8058" t="inlineStr">
        <is>
          <t>SUNNE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60842-2021</t>
        </is>
      </c>
      <c r="B8059" s="1" t="n">
        <v>44496</v>
      </c>
      <c r="C8059" s="1" t="n">
        <v>45932</v>
      </c>
      <c r="D8059" t="inlineStr">
        <is>
          <t>VÄRMLANDS LÄN</t>
        </is>
      </c>
      <c r="E8059" t="inlineStr">
        <is>
          <t>ARVIKA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44623-2023</t>
        </is>
      </c>
      <c r="B8060" s="1" t="n">
        <v>45189.64806712963</v>
      </c>
      <c r="C8060" s="1" t="n">
        <v>45932</v>
      </c>
      <c r="D8060" t="inlineStr">
        <is>
          <t>VÄRMLANDS LÄN</t>
        </is>
      </c>
      <c r="E8060" t="inlineStr">
        <is>
          <t>SUNNE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39625-2025</t>
        </is>
      </c>
      <c r="B8061" s="1" t="n">
        <v>45890.57746527778</v>
      </c>
      <c r="C8061" s="1" t="n">
        <v>45932</v>
      </c>
      <c r="D8061" t="inlineStr">
        <is>
          <t>VÄRMLANDS LÄN</t>
        </is>
      </c>
      <c r="E8061" t="inlineStr">
        <is>
          <t>STORFORS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31087-2024</t>
        </is>
      </c>
      <c r="B8062" s="1" t="n">
        <v>45502</v>
      </c>
      <c r="C8062" s="1" t="n">
        <v>45932</v>
      </c>
      <c r="D8062" t="inlineStr">
        <is>
          <t>VÄRMLANDS LÄN</t>
        </is>
      </c>
      <c r="E8062" t="inlineStr">
        <is>
          <t>HAGFORS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62032-2024</t>
        </is>
      </c>
      <c r="B8063" s="1" t="n">
        <v>45656</v>
      </c>
      <c r="C8063" s="1" t="n">
        <v>45932</v>
      </c>
      <c r="D8063" t="inlineStr">
        <is>
          <t>VÄRMLANDS LÄN</t>
        </is>
      </c>
      <c r="E8063" t="inlineStr">
        <is>
          <t>KRISTINEHAMN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34656-2025</t>
        </is>
      </c>
      <c r="B8064" s="1" t="n">
        <v>45848</v>
      </c>
      <c r="C8064" s="1" t="n">
        <v>45932</v>
      </c>
      <c r="D8064" t="inlineStr">
        <is>
          <t>VÄRMLANDS LÄN</t>
        </is>
      </c>
      <c r="E8064" t="inlineStr">
        <is>
          <t>SÄFFLE</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13849-2024</t>
        </is>
      </c>
      <c r="B8065" s="1" t="n">
        <v>45390</v>
      </c>
      <c r="C8065" s="1" t="n">
        <v>45932</v>
      </c>
      <c r="D8065" t="inlineStr">
        <is>
          <t>VÄRMLANDS LÄN</t>
        </is>
      </c>
      <c r="E8065" t="inlineStr">
        <is>
          <t>KARLSTAD</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39894-2025</t>
        </is>
      </c>
      <c r="B8066" s="1" t="n">
        <v>45891.63018518518</v>
      </c>
      <c r="C8066" s="1" t="n">
        <v>45932</v>
      </c>
      <c r="D8066" t="inlineStr">
        <is>
          <t>VÄRMLANDS LÄN</t>
        </is>
      </c>
      <c r="E8066" t="inlineStr">
        <is>
          <t>EDA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13853-2024</t>
        </is>
      </c>
      <c r="B8067" s="1" t="n">
        <v>45390</v>
      </c>
      <c r="C8067" s="1" t="n">
        <v>45932</v>
      </c>
      <c r="D8067" t="inlineStr">
        <is>
          <t>VÄRMLANDS LÄN</t>
        </is>
      </c>
      <c r="E8067" t="inlineStr">
        <is>
          <t>KARLSTAD</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4717-2025</t>
        </is>
      </c>
      <c r="B8068" s="1" t="n">
        <v>45688</v>
      </c>
      <c r="C8068" s="1" t="n">
        <v>45932</v>
      </c>
      <c r="D8068" t="inlineStr">
        <is>
          <t>VÄRMLANDS LÄN</t>
        </is>
      </c>
      <c r="E8068" t="inlineStr">
        <is>
          <t>KARLSTAD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4736-2025</t>
        </is>
      </c>
      <c r="B8069" s="1" t="n">
        <v>45688.44668981482</v>
      </c>
      <c r="C8069" s="1" t="n">
        <v>45932</v>
      </c>
      <c r="D8069" t="inlineStr">
        <is>
          <t>VÄRMLANDS LÄN</t>
        </is>
      </c>
      <c r="E8069" t="inlineStr">
        <is>
          <t>ARVIKA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39776-2025</t>
        </is>
      </c>
      <c r="B8070" s="1" t="n">
        <v>45891</v>
      </c>
      <c r="C8070" s="1" t="n">
        <v>45932</v>
      </c>
      <c r="D8070" t="inlineStr">
        <is>
          <t>VÄRMLANDS LÄN</t>
        </is>
      </c>
      <c r="E8070" t="inlineStr">
        <is>
          <t>ÅRJÄNG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39841-2025</t>
        </is>
      </c>
      <c r="B8071" s="1" t="n">
        <v>45891</v>
      </c>
      <c r="C8071" s="1" t="n">
        <v>45932</v>
      </c>
      <c r="D8071" t="inlineStr">
        <is>
          <t>VÄRMLANDS LÄN</t>
        </is>
      </c>
      <c r="E8071" t="inlineStr">
        <is>
          <t>SÄFFLE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60022-2023</t>
        </is>
      </c>
      <c r="B8072" s="1" t="n">
        <v>45258.30541666667</v>
      </c>
      <c r="C8072" s="1" t="n">
        <v>45932</v>
      </c>
      <c r="D8072" t="inlineStr">
        <is>
          <t>VÄRMLANDS LÄN</t>
        </is>
      </c>
      <c r="E8072" t="inlineStr">
        <is>
          <t>KARLSTAD</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16596-2023</t>
        </is>
      </c>
      <c r="B8073" s="1" t="n">
        <v>45030</v>
      </c>
      <c r="C8073" s="1" t="n">
        <v>45932</v>
      </c>
      <c r="D8073" t="inlineStr">
        <is>
          <t>VÄRMLANDS LÄN</t>
        </is>
      </c>
      <c r="E8073" t="inlineStr">
        <is>
          <t>KIL</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64287-2023</t>
        </is>
      </c>
      <c r="B8074" s="1" t="n">
        <v>45279</v>
      </c>
      <c r="C8074" s="1" t="n">
        <v>45932</v>
      </c>
      <c r="D8074" t="inlineStr">
        <is>
          <t>VÄRMLANDS LÄN</t>
        </is>
      </c>
      <c r="E8074" t="inlineStr">
        <is>
          <t>EDA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33047-2024</t>
        </is>
      </c>
      <c r="B8075" s="1" t="n">
        <v>45517</v>
      </c>
      <c r="C8075" s="1" t="n">
        <v>45932</v>
      </c>
      <c r="D8075" t="inlineStr">
        <is>
          <t>VÄRMLANDS LÄN</t>
        </is>
      </c>
      <c r="E8075" t="inlineStr">
        <is>
          <t>ARVIKA</t>
        </is>
      </c>
      <c r="G8075" t="n">
        <v>1.5</v>
      </c>
      <c r="H8075" t="n">
        <v>0</v>
      </c>
      <c r="I8075" t="n">
        <v>0</v>
      </c>
      <c r="J8075" t="n">
        <v>0</v>
      </c>
      <c r="K8075" t="n">
        <v>0</v>
      </c>
      <c r="L8075" t="n">
        <v>0</v>
      </c>
      <c r="M8075" t="n">
        <v>0</v>
      </c>
      <c r="N8075" t="n">
        <v>0</v>
      </c>
      <c r="O8075" t="n">
        <v>0</v>
      </c>
      <c r="P8075" t="n">
        <v>0</v>
      </c>
      <c r="Q8075" t="n">
        <v>0</v>
      </c>
      <c r="R8075" s="2" t="inlineStr"/>
      <c r="U8075">
        <f>HYPERLINK("https://klasma.github.io/Logging_1784/knärot/A 33047-2024 karta knärot.png", "A 33047-2024")</f>
        <v/>
      </c>
      <c r="V8075">
        <f>HYPERLINK("https://klasma.github.io/Logging_1784/klagomål/A 33047-2024 FSC-klagomål.docx", "A 33047-2024")</f>
        <v/>
      </c>
      <c r="W8075">
        <f>HYPERLINK("https://klasma.github.io/Logging_1784/klagomålsmail/A 33047-2024 FSC-klagomål mail.docx", "A 33047-2024")</f>
        <v/>
      </c>
      <c r="X8075">
        <f>HYPERLINK("https://klasma.github.io/Logging_1784/tillsyn/A 33047-2024 tillsynsbegäran.docx", "A 33047-2024")</f>
        <v/>
      </c>
      <c r="Y8075">
        <f>HYPERLINK("https://klasma.github.io/Logging_1784/tillsynsmail/A 33047-2024 tillsynsbegäran mail.docx", "A 33047-2024")</f>
        <v/>
      </c>
    </row>
    <row r="8076" ht="15" customHeight="1">
      <c r="A8076" t="inlineStr">
        <is>
          <t>A 33072-2023</t>
        </is>
      </c>
      <c r="B8076" s="1" t="n">
        <v>45126</v>
      </c>
      <c r="C8076" s="1" t="n">
        <v>45932</v>
      </c>
      <c r="D8076" t="inlineStr">
        <is>
          <t>VÄRMLANDS LÄN</t>
        </is>
      </c>
      <c r="E8076" t="inlineStr">
        <is>
          <t>TORSBY</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38291-2022</t>
        </is>
      </c>
      <c r="B8077" s="1" t="n">
        <v>44812.56072916667</v>
      </c>
      <c r="C8077" s="1" t="n">
        <v>45932</v>
      </c>
      <c r="D8077" t="inlineStr">
        <is>
          <t>VÄRMLANDS LÄN</t>
        </is>
      </c>
      <c r="E8077" t="inlineStr">
        <is>
          <t>SÄFFLE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39815-2025</t>
        </is>
      </c>
      <c r="B8078" s="1" t="n">
        <v>45891.52760416667</v>
      </c>
      <c r="C8078" s="1" t="n">
        <v>45932</v>
      </c>
      <c r="D8078" t="inlineStr">
        <is>
          <t>VÄRMLANDS LÄN</t>
        </is>
      </c>
      <c r="E8078" t="inlineStr">
        <is>
          <t>TORSBY</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40807-2024</t>
        </is>
      </c>
      <c r="B8079" s="1" t="n">
        <v>45558</v>
      </c>
      <c r="C8079" s="1" t="n">
        <v>45932</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51009-2024</t>
        </is>
      </c>
      <c r="B8080" s="1" t="n">
        <v>45603.39179398148</v>
      </c>
      <c r="C8080" s="1" t="n">
        <v>45932</v>
      </c>
      <c r="D8080" t="inlineStr">
        <is>
          <t>VÄRMLANDS LÄN</t>
        </is>
      </c>
      <c r="E8080" t="inlineStr">
        <is>
          <t>SUNNE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44556-2023</t>
        </is>
      </c>
      <c r="B8081" s="1" t="n">
        <v>45189.53738425926</v>
      </c>
      <c r="C8081" s="1" t="n">
        <v>45932</v>
      </c>
      <c r="D8081" t="inlineStr">
        <is>
          <t>VÄRMLANDS LÄN</t>
        </is>
      </c>
      <c r="E8081" t="inlineStr">
        <is>
          <t>ÅRJÄNG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16466-2022</t>
        </is>
      </c>
      <c r="B8082" s="1" t="n">
        <v>44671.60475694444</v>
      </c>
      <c r="C8082" s="1" t="n">
        <v>45932</v>
      </c>
      <c r="D8082" t="inlineStr">
        <is>
          <t>VÄRMLANDS LÄN</t>
        </is>
      </c>
      <c r="E8082" t="inlineStr">
        <is>
          <t>ARVIKA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8621-2025</t>
        </is>
      </c>
      <c r="B8083" s="1" t="n">
        <v>45711.45023148148</v>
      </c>
      <c r="C8083" s="1" t="n">
        <v>45932</v>
      </c>
      <c r="D8083" t="inlineStr">
        <is>
          <t>VÄRMLANDS LÄN</t>
        </is>
      </c>
      <c r="E8083" t="inlineStr">
        <is>
          <t>SÄFFLE</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34840-2025</t>
        </is>
      </c>
      <c r="B8084" s="1" t="n">
        <v>45849</v>
      </c>
      <c r="C8084" s="1" t="n">
        <v>45932</v>
      </c>
      <c r="D8084" t="inlineStr">
        <is>
          <t>VÄRMLANDS LÄN</t>
        </is>
      </c>
      <c r="E8084" t="inlineStr">
        <is>
          <t>ÅRJÄNG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53583-2024</t>
        </is>
      </c>
      <c r="B8085" s="1" t="n">
        <v>45614.66449074074</v>
      </c>
      <c r="C8085" s="1" t="n">
        <v>45932</v>
      </c>
      <c r="D8085" t="inlineStr">
        <is>
          <t>VÄRMLANDS LÄN</t>
        </is>
      </c>
      <c r="E8085" t="inlineStr">
        <is>
          <t>TORSBY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39883-2025</t>
        </is>
      </c>
      <c r="B8086" s="1" t="n">
        <v>45891.62112268519</v>
      </c>
      <c r="C8086" s="1" t="n">
        <v>45932</v>
      </c>
      <c r="D8086" t="inlineStr">
        <is>
          <t>VÄRMLANDS LÄN</t>
        </is>
      </c>
      <c r="E8086" t="inlineStr">
        <is>
          <t>EDA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39905-2025</t>
        </is>
      </c>
      <c r="B8087" s="1" t="n">
        <v>45891.63949074074</v>
      </c>
      <c r="C8087" s="1" t="n">
        <v>45932</v>
      </c>
      <c r="D8087" t="inlineStr">
        <is>
          <t>VÄRMLANDS LÄN</t>
        </is>
      </c>
      <c r="E8087" t="inlineStr">
        <is>
          <t>ÅRJÄNG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59146-2023</t>
        </is>
      </c>
      <c r="B8088" s="1" t="n">
        <v>45251</v>
      </c>
      <c r="C8088" s="1" t="n">
        <v>45932</v>
      </c>
      <c r="D8088" t="inlineStr">
        <is>
          <t>VÄRMLANDS LÄN</t>
        </is>
      </c>
      <c r="E8088" t="inlineStr">
        <is>
          <t>MUNKFORS</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61034-2021</t>
        </is>
      </c>
      <c r="B8089" s="1" t="n">
        <v>44497</v>
      </c>
      <c r="C8089" s="1" t="n">
        <v>45932</v>
      </c>
      <c r="D8089" t="inlineStr">
        <is>
          <t>VÄRMLANDS LÄN</t>
        </is>
      </c>
      <c r="E8089" t="inlineStr">
        <is>
          <t>KRISTINEHAMN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24273-2023</t>
        </is>
      </c>
      <c r="B8090" s="1" t="n">
        <v>45079.6764699074</v>
      </c>
      <c r="C8090" s="1" t="n">
        <v>45932</v>
      </c>
      <c r="D8090" t="inlineStr">
        <is>
          <t>VÄRMLANDS LÄN</t>
        </is>
      </c>
      <c r="E8090" t="inlineStr">
        <is>
          <t>ÅRJÄNG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39719-2025</t>
        </is>
      </c>
      <c r="B8091" s="1" t="n">
        <v>45891</v>
      </c>
      <c r="C8091" s="1" t="n">
        <v>45932</v>
      </c>
      <c r="D8091" t="inlineStr">
        <is>
          <t>VÄRMLANDS LÄN</t>
        </is>
      </c>
      <c r="E8091" t="inlineStr">
        <is>
          <t>FILIPSTAD</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52078-2023</t>
        </is>
      </c>
      <c r="B8092" s="1" t="n">
        <v>45223</v>
      </c>
      <c r="C8092" s="1" t="n">
        <v>45932</v>
      </c>
      <c r="D8092" t="inlineStr">
        <is>
          <t>VÄRMLANDS LÄN</t>
        </is>
      </c>
      <c r="E8092" t="inlineStr">
        <is>
          <t>TORSBY</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24385-2023</t>
        </is>
      </c>
      <c r="B8093" s="1" t="n">
        <v>45076</v>
      </c>
      <c r="C8093" s="1" t="n">
        <v>45932</v>
      </c>
      <c r="D8093" t="inlineStr">
        <is>
          <t>VÄRMLANDS LÄN</t>
        </is>
      </c>
      <c r="E8093" t="inlineStr">
        <is>
          <t>KRISTINEHAMN</t>
        </is>
      </c>
      <c r="G8093" t="n">
        <v>15.9</v>
      </c>
      <c r="H8093" t="n">
        <v>0</v>
      </c>
      <c r="I8093" t="n">
        <v>0</v>
      </c>
      <c r="J8093" t="n">
        <v>0</v>
      </c>
      <c r="K8093" t="n">
        <v>0</v>
      </c>
      <c r="L8093" t="n">
        <v>0</v>
      </c>
      <c r="M8093" t="n">
        <v>0</v>
      </c>
      <c r="N8093" t="n">
        <v>0</v>
      </c>
      <c r="O8093" t="n">
        <v>0</v>
      </c>
      <c r="P8093" t="n">
        <v>0</v>
      </c>
      <c r="Q8093" t="n">
        <v>0</v>
      </c>
      <c r="R8093" s="2" t="inlineStr"/>
    </row>
    <row r="8094" ht="15" customHeight="1">
      <c r="A8094" t="inlineStr">
        <is>
          <t>A 39748-2025</t>
        </is>
      </c>
      <c r="B8094" s="1" t="n">
        <v>45891</v>
      </c>
      <c r="C8094" s="1" t="n">
        <v>45932</v>
      </c>
      <c r="D8094" t="inlineStr">
        <is>
          <t>VÄRMLANDS LÄN</t>
        </is>
      </c>
      <c r="E8094" t="inlineStr">
        <is>
          <t>FORSHAGA</t>
        </is>
      </c>
      <c r="F8094" t="inlineStr">
        <is>
          <t>Kyrkan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52773-2022</t>
        </is>
      </c>
      <c r="B8095" s="1" t="n">
        <v>44875.35628472222</v>
      </c>
      <c r="C8095" s="1" t="n">
        <v>45932</v>
      </c>
      <c r="D8095" t="inlineStr">
        <is>
          <t>VÄRMLANDS LÄN</t>
        </is>
      </c>
      <c r="E8095" t="inlineStr">
        <is>
          <t>ÅRJÄNG</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54107-2023</t>
        </is>
      </c>
      <c r="B8096" s="1" t="n">
        <v>45232</v>
      </c>
      <c r="C8096" s="1" t="n">
        <v>45932</v>
      </c>
      <c r="D8096" t="inlineStr">
        <is>
          <t>VÄRMLANDS LÄN</t>
        </is>
      </c>
      <c r="E8096" t="inlineStr">
        <is>
          <t>ARVIKA</t>
        </is>
      </c>
      <c r="F8096" t="inlineStr">
        <is>
          <t>Bergvik skog väst AB</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30599-2023</t>
        </is>
      </c>
      <c r="B8097" s="1" t="n">
        <v>45112</v>
      </c>
      <c r="C8097" s="1" t="n">
        <v>45932</v>
      </c>
      <c r="D8097" t="inlineStr">
        <is>
          <t>VÄRMLANDS LÄN</t>
        </is>
      </c>
      <c r="E8097" t="inlineStr">
        <is>
          <t>KIL</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3670-2023</t>
        </is>
      </c>
      <c r="B8098" s="1" t="n">
        <v>44950</v>
      </c>
      <c r="C8098" s="1" t="n">
        <v>45932</v>
      </c>
      <c r="D8098" t="inlineStr">
        <is>
          <t>VÄRMLANDS LÄN</t>
        </is>
      </c>
      <c r="E8098" t="inlineStr">
        <is>
          <t>TORSBY</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31702-2024</t>
        </is>
      </c>
      <c r="B8099" s="1" t="n">
        <v>45508</v>
      </c>
      <c r="C8099" s="1" t="n">
        <v>45932</v>
      </c>
      <c r="D8099" t="inlineStr">
        <is>
          <t>VÄRMLANDS LÄN</t>
        </is>
      </c>
      <c r="E8099" t="inlineStr">
        <is>
          <t>SUNNE</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58066-2024</t>
        </is>
      </c>
      <c r="B8100" s="1" t="n">
        <v>45631</v>
      </c>
      <c r="C8100" s="1" t="n">
        <v>45932</v>
      </c>
      <c r="D8100" t="inlineStr">
        <is>
          <t>VÄRMLANDS LÄN</t>
        </is>
      </c>
      <c r="E8100" t="inlineStr">
        <is>
          <t>ARVIKA</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50055-2024</t>
        </is>
      </c>
      <c r="B8101" s="1" t="n">
        <v>45600</v>
      </c>
      <c r="C8101" s="1" t="n">
        <v>45932</v>
      </c>
      <c r="D8101" t="inlineStr">
        <is>
          <t>VÄRMLANDS LÄN</t>
        </is>
      </c>
      <c r="E8101" t="inlineStr">
        <is>
          <t>FORSHAGA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71778-2021</t>
        </is>
      </c>
      <c r="B8102" s="1" t="n">
        <v>44543</v>
      </c>
      <c r="C8102" s="1" t="n">
        <v>45932</v>
      </c>
      <c r="D8102" t="inlineStr">
        <is>
          <t>VÄRMLANDS LÄN</t>
        </is>
      </c>
      <c r="E8102" t="inlineStr">
        <is>
          <t>ARVIKA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39725-2025</t>
        </is>
      </c>
      <c r="B8103" s="1" t="n">
        <v>45891</v>
      </c>
      <c r="C8103" s="1" t="n">
        <v>45932</v>
      </c>
      <c r="D8103" t="inlineStr">
        <is>
          <t>VÄRMLANDS LÄN</t>
        </is>
      </c>
      <c r="E8103" t="inlineStr">
        <is>
          <t>ÅRJÄNG</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71781-2021</t>
        </is>
      </c>
      <c r="B8104" s="1" t="n">
        <v>44539</v>
      </c>
      <c r="C8104" s="1" t="n">
        <v>45932</v>
      </c>
      <c r="D8104" t="inlineStr">
        <is>
          <t>VÄRMLANDS LÄN</t>
        </is>
      </c>
      <c r="E8104" t="inlineStr">
        <is>
          <t>GRUMS</t>
        </is>
      </c>
      <c r="F8104" t="inlineStr">
        <is>
          <t>Bergvik skog väst AB</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58151-2024</t>
        </is>
      </c>
      <c r="B8105" s="1" t="n">
        <v>45632</v>
      </c>
      <c r="C8105" s="1" t="n">
        <v>45932</v>
      </c>
      <c r="D8105" t="inlineStr">
        <is>
          <t>VÄRMLANDS LÄN</t>
        </is>
      </c>
      <c r="E8105" t="inlineStr">
        <is>
          <t>ARVIKA</t>
        </is>
      </c>
      <c r="F8105" t="inlineStr">
        <is>
          <t>Bergvik skog väst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58152-2024</t>
        </is>
      </c>
      <c r="B8106" s="1" t="n">
        <v>45632.43947916666</v>
      </c>
      <c r="C8106" s="1" t="n">
        <v>45932</v>
      </c>
      <c r="D8106" t="inlineStr">
        <is>
          <t>VÄRMLANDS LÄN</t>
        </is>
      </c>
      <c r="E8106" t="inlineStr">
        <is>
          <t>ÅRJÄNG</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58153-2024</t>
        </is>
      </c>
      <c r="B8107" s="1" t="n">
        <v>45632</v>
      </c>
      <c r="C8107" s="1" t="n">
        <v>45932</v>
      </c>
      <c r="D8107" t="inlineStr">
        <is>
          <t>VÄRMLANDS LÄN</t>
        </is>
      </c>
      <c r="E8107" t="inlineStr">
        <is>
          <t>ARVIKA</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21954-2025</t>
        </is>
      </c>
      <c r="B8108" s="1" t="n">
        <v>45784.59996527778</v>
      </c>
      <c r="C8108" s="1" t="n">
        <v>45932</v>
      </c>
      <c r="D8108" t="inlineStr">
        <is>
          <t>VÄRMLANDS LÄN</t>
        </is>
      </c>
      <c r="E8108" t="inlineStr">
        <is>
          <t>HAGFORS</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31316-2025</t>
        </is>
      </c>
      <c r="B8109" s="1" t="n">
        <v>45833.40241898148</v>
      </c>
      <c r="C8109" s="1" t="n">
        <v>45932</v>
      </c>
      <c r="D8109" t="inlineStr">
        <is>
          <t>VÄRMLANDS LÄN</t>
        </is>
      </c>
      <c r="E8109" t="inlineStr">
        <is>
          <t>TORSBY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46765-2025</t>
        </is>
      </c>
      <c r="B8110" s="1" t="n">
        <v>45926</v>
      </c>
      <c r="C8110" s="1" t="n">
        <v>45932</v>
      </c>
      <c r="D8110" t="inlineStr">
        <is>
          <t>VÄRMLANDS LÄN</t>
        </is>
      </c>
      <c r="E8110" t="inlineStr">
        <is>
          <t>ARVIKA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6713-2025</t>
        </is>
      </c>
      <c r="B8111" s="1" t="n">
        <v>45700</v>
      </c>
      <c r="C8111" s="1" t="n">
        <v>45932</v>
      </c>
      <c r="D8111" t="inlineStr">
        <is>
          <t>VÄRMLANDS LÄN</t>
        </is>
      </c>
      <c r="E8111" t="inlineStr">
        <is>
          <t>GRUMS</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51157-2024</t>
        </is>
      </c>
      <c r="B8112" s="1" t="n">
        <v>45603</v>
      </c>
      <c r="C8112" s="1" t="n">
        <v>45932</v>
      </c>
      <c r="D8112" t="inlineStr">
        <is>
          <t>VÄRMLANDS LÄN</t>
        </is>
      </c>
      <c r="E8112" t="inlineStr">
        <is>
          <t>ÅRJÄNG</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39641-2025</t>
        </is>
      </c>
      <c r="B8113" s="1" t="n">
        <v>45890.60829861111</v>
      </c>
      <c r="C8113" s="1" t="n">
        <v>45932</v>
      </c>
      <c r="D8113" t="inlineStr">
        <is>
          <t>VÄRMLANDS LÄN</t>
        </is>
      </c>
      <c r="E8113" t="inlineStr">
        <is>
          <t>ARVIKA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34839-2025</t>
        </is>
      </c>
      <c r="B8114" s="1" t="n">
        <v>45849.39505787037</v>
      </c>
      <c r="C8114" s="1" t="n">
        <v>45932</v>
      </c>
      <c r="D8114" t="inlineStr">
        <is>
          <t>VÄRMLANDS LÄN</t>
        </is>
      </c>
      <c r="E8114" t="inlineStr">
        <is>
          <t>ÅRJÄNG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39597-2023</t>
        </is>
      </c>
      <c r="B8115" s="1" t="n">
        <v>45163</v>
      </c>
      <c r="C8115" s="1" t="n">
        <v>45932</v>
      </c>
      <c r="D8115" t="inlineStr">
        <is>
          <t>VÄRMLANDS LÄN</t>
        </is>
      </c>
      <c r="E8115" t="inlineStr">
        <is>
          <t>ARVIKA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39601-2023</t>
        </is>
      </c>
      <c r="B8116" s="1" t="n">
        <v>45163</v>
      </c>
      <c r="C8116" s="1" t="n">
        <v>45932</v>
      </c>
      <c r="D8116" t="inlineStr">
        <is>
          <t>VÄRMLANDS LÄN</t>
        </is>
      </c>
      <c r="E8116" t="inlineStr">
        <is>
          <t>ARVIKA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39880-2025</t>
        </is>
      </c>
      <c r="B8117" s="1" t="n">
        <v>45891.61701388889</v>
      </c>
      <c r="C8117" s="1" t="n">
        <v>45932</v>
      </c>
      <c r="D8117" t="inlineStr">
        <is>
          <t>VÄRMLANDS LÄN</t>
        </is>
      </c>
      <c r="E8117" t="inlineStr">
        <is>
          <t>EDA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26979-2023</t>
        </is>
      </c>
      <c r="B8118" s="1" t="n">
        <v>45091</v>
      </c>
      <c r="C8118" s="1" t="n">
        <v>45932</v>
      </c>
      <c r="D8118" t="inlineStr">
        <is>
          <t>VÄRMLANDS LÄN</t>
        </is>
      </c>
      <c r="E8118" t="inlineStr">
        <is>
          <t>TORSBY</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48781-2024</t>
        </is>
      </c>
      <c r="B8119" s="1" t="n">
        <v>45593</v>
      </c>
      <c r="C8119" s="1" t="n">
        <v>45932</v>
      </c>
      <c r="D8119" t="inlineStr">
        <is>
          <t>VÄRMLANDS LÄN</t>
        </is>
      </c>
      <c r="E8119" t="inlineStr">
        <is>
          <t>ÅRJÄNG</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27031-2023</t>
        </is>
      </c>
      <c r="B8120" s="1" t="n">
        <v>45095.48106481481</v>
      </c>
      <c r="C8120" s="1" t="n">
        <v>45932</v>
      </c>
      <c r="D8120" t="inlineStr">
        <is>
          <t>VÄRMLANDS LÄN</t>
        </is>
      </c>
      <c r="E8120" t="inlineStr">
        <is>
          <t>SÄFFLE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34792-2025</t>
        </is>
      </c>
      <c r="B8121" s="1" t="n">
        <v>45848.70331018518</v>
      </c>
      <c r="C8121" s="1" t="n">
        <v>45932</v>
      </c>
      <c r="D8121" t="inlineStr">
        <is>
          <t>VÄRMLANDS LÄN</t>
        </is>
      </c>
      <c r="E8121" t="inlineStr">
        <is>
          <t>TORSBY</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40219-2025</t>
        </is>
      </c>
      <c r="B8122" s="1" t="n">
        <v>45894.69025462963</v>
      </c>
      <c r="C8122" s="1" t="n">
        <v>45932</v>
      </c>
      <c r="D8122" t="inlineStr">
        <is>
          <t>VÄRMLANDS LÄN</t>
        </is>
      </c>
      <c r="E8122" t="inlineStr">
        <is>
          <t>ÅRJÄNG</t>
        </is>
      </c>
      <c r="F8122" t="inlineStr">
        <is>
          <t>Bergvik skog väst AB</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61555-2022</t>
        </is>
      </c>
      <c r="B8123" s="1" t="n">
        <v>44916.58346064815</v>
      </c>
      <c r="C8123" s="1" t="n">
        <v>45932</v>
      </c>
      <c r="D8123" t="inlineStr">
        <is>
          <t>VÄRMLANDS LÄN</t>
        </is>
      </c>
      <c r="E8123" t="inlineStr">
        <is>
          <t>ARVIKA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33484-2025</t>
        </is>
      </c>
      <c r="B8124" s="1" t="n">
        <v>45841</v>
      </c>
      <c r="C8124" s="1" t="n">
        <v>45932</v>
      </c>
      <c r="D8124" t="inlineStr">
        <is>
          <t>VÄRMLANDS LÄN</t>
        </is>
      </c>
      <c r="E8124" t="inlineStr">
        <is>
          <t>SÄFFLE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34159-2025</t>
        </is>
      </c>
      <c r="B8125" s="1" t="n">
        <v>45844</v>
      </c>
      <c r="C8125" s="1" t="n">
        <v>45932</v>
      </c>
      <c r="D8125" t="inlineStr">
        <is>
          <t>VÄRMLANDS LÄN</t>
        </is>
      </c>
      <c r="E8125" t="inlineStr">
        <is>
          <t>ÅRJÄNG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11697-2022</t>
        </is>
      </c>
      <c r="B8126" s="1" t="n">
        <v>44634.37144675926</v>
      </c>
      <c r="C8126" s="1" t="n">
        <v>45932</v>
      </c>
      <c r="D8126" t="inlineStr">
        <is>
          <t>VÄRMLANDS LÄN</t>
        </is>
      </c>
      <c r="E8126" t="inlineStr">
        <is>
          <t>KARLSTAD</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60974-2024</t>
        </is>
      </c>
      <c r="B8127" s="1" t="n">
        <v>45645</v>
      </c>
      <c r="C8127" s="1" t="n">
        <v>45932</v>
      </c>
      <c r="D8127" t="inlineStr">
        <is>
          <t>VÄRMLANDS LÄN</t>
        </is>
      </c>
      <c r="E8127" t="inlineStr">
        <is>
          <t>HAGFORS</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60998-2024</t>
        </is>
      </c>
      <c r="B8128" s="1" t="n">
        <v>45645</v>
      </c>
      <c r="C8128" s="1" t="n">
        <v>45932</v>
      </c>
      <c r="D8128" t="inlineStr">
        <is>
          <t>VÄRMLANDS LÄN</t>
        </is>
      </c>
      <c r="E8128" t="inlineStr">
        <is>
          <t>ARVIKA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34335-2024</t>
        </is>
      </c>
      <c r="B8129" s="1" t="n">
        <v>45524.92658564815</v>
      </c>
      <c r="C8129" s="1" t="n">
        <v>45932</v>
      </c>
      <c r="D8129" t="inlineStr">
        <is>
          <t>VÄRMLANDS LÄN</t>
        </is>
      </c>
      <c r="E8129" t="inlineStr">
        <is>
          <t>KARLSTAD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34997-2025</t>
        </is>
      </c>
      <c r="B8130" s="1" t="n">
        <v>45849.87340277778</v>
      </c>
      <c r="C8130" s="1" t="n">
        <v>45932</v>
      </c>
      <c r="D8130" t="inlineStr">
        <is>
          <t>VÄRMLANDS LÄN</t>
        </is>
      </c>
      <c r="E8130" t="inlineStr">
        <is>
          <t>TORSBY</t>
        </is>
      </c>
      <c r="G8130" t="n">
        <v>24.4</v>
      </c>
      <c r="H8130" t="n">
        <v>0</v>
      </c>
      <c r="I8130" t="n">
        <v>0</v>
      </c>
      <c r="J8130" t="n">
        <v>0</v>
      </c>
      <c r="K8130" t="n">
        <v>0</v>
      </c>
      <c r="L8130" t="n">
        <v>0</v>
      </c>
      <c r="M8130" t="n">
        <v>0</v>
      </c>
      <c r="N8130" t="n">
        <v>0</v>
      </c>
      <c r="O8130" t="n">
        <v>0</v>
      </c>
      <c r="P8130" t="n">
        <v>0</v>
      </c>
      <c r="Q8130" t="n">
        <v>0</v>
      </c>
      <c r="R8130" s="2" t="inlineStr"/>
    </row>
    <row r="8131" ht="15" customHeight="1">
      <c r="A8131" t="inlineStr">
        <is>
          <t>A 34378-2024</t>
        </is>
      </c>
      <c r="B8131" s="1" t="n">
        <v>45525</v>
      </c>
      <c r="C8131" s="1" t="n">
        <v>45932</v>
      </c>
      <c r="D8131" t="inlineStr">
        <is>
          <t>VÄRMLANDS LÄN</t>
        </is>
      </c>
      <c r="E8131" t="inlineStr">
        <is>
          <t>EDA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35063-2025</t>
        </is>
      </c>
      <c r="B8132" s="1" t="n">
        <v>45852.43511574074</v>
      </c>
      <c r="C8132" s="1" t="n">
        <v>45932</v>
      </c>
      <c r="D8132" t="inlineStr">
        <is>
          <t>VÄRMLANDS LÄN</t>
        </is>
      </c>
      <c r="E8132" t="inlineStr">
        <is>
          <t>SUNNE</t>
        </is>
      </c>
      <c r="F8132" t="inlineStr">
        <is>
          <t>Kyrkan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51316-2024</t>
        </is>
      </c>
      <c r="B8133" s="1" t="n">
        <v>45604.32564814815</v>
      </c>
      <c r="C8133" s="1" t="n">
        <v>45932</v>
      </c>
      <c r="D8133" t="inlineStr">
        <is>
          <t>VÄRMLANDS LÄN</t>
        </is>
      </c>
      <c r="E8133" t="inlineStr">
        <is>
          <t>ARVIKA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35104-2025</t>
        </is>
      </c>
      <c r="B8134" s="1" t="n">
        <v>45852.57070601852</v>
      </c>
      <c r="C8134" s="1" t="n">
        <v>45932</v>
      </c>
      <c r="D8134" t="inlineStr">
        <is>
          <t>VÄRMLANDS LÄN</t>
        </is>
      </c>
      <c r="E8134" t="inlineStr">
        <is>
          <t>ÅRJÄNG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39125-2025</t>
        </is>
      </c>
      <c r="B8135" s="1" t="n">
        <v>45888</v>
      </c>
      <c r="C8135" s="1" t="n">
        <v>45932</v>
      </c>
      <c r="D8135" t="inlineStr">
        <is>
          <t>VÄRMLANDS LÄN</t>
        </is>
      </c>
      <c r="E8135" t="inlineStr">
        <is>
          <t>SÄFFLE</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422-2025</t>
        </is>
      </c>
      <c r="B8136" s="1" t="n">
        <v>45664</v>
      </c>
      <c r="C8136" s="1" t="n">
        <v>45932</v>
      </c>
      <c r="D8136" t="inlineStr">
        <is>
          <t>VÄRMLANDS LÄN</t>
        </is>
      </c>
      <c r="E8136" t="inlineStr">
        <is>
          <t>FILIPSTAD</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424-2025</t>
        </is>
      </c>
      <c r="B8137" s="1" t="n">
        <v>45664</v>
      </c>
      <c r="C8137" s="1" t="n">
        <v>45932</v>
      </c>
      <c r="D8137" t="inlineStr">
        <is>
          <t>VÄRMLANDS LÄN</t>
        </is>
      </c>
      <c r="E8137" t="inlineStr">
        <is>
          <t>ÅRJÄNG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35185-2025</t>
        </is>
      </c>
      <c r="B8138" s="1" t="n">
        <v>45853.30383101852</v>
      </c>
      <c r="C8138" s="1" t="n">
        <v>45932</v>
      </c>
      <c r="D8138" t="inlineStr">
        <is>
          <t>VÄRMLANDS LÄN</t>
        </is>
      </c>
      <c r="E8138" t="inlineStr">
        <is>
          <t>TORSBY</t>
        </is>
      </c>
      <c r="F8138" t="inlineStr">
        <is>
          <t>Bergvik skog väst AB</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59144-2021</t>
        </is>
      </c>
      <c r="B8139" s="1" t="n">
        <v>44490.49238425926</v>
      </c>
      <c r="C8139" s="1" t="n">
        <v>45932</v>
      </c>
      <c r="D8139" t="inlineStr">
        <is>
          <t>VÄRMLANDS LÄN</t>
        </is>
      </c>
      <c r="E8139" t="inlineStr">
        <is>
          <t>KRISTINEHAMN</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46942-2025</t>
        </is>
      </c>
      <c r="B8140" s="1" t="n">
        <v>45929.45822916667</v>
      </c>
      <c r="C8140" s="1" t="n">
        <v>45932</v>
      </c>
      <c r="D8140" t="inlineStr">
        <is>
          <t>VÄRMLANDS LÄN</t>
        </is>
      </c>
      <c r="E8140" t="inlineStr">
        <is>
          <t>ÅRJÄNG</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43244-2023</t>
        </is>
      </c>
      <c r="B8141" s="1" t="n">
        <v>45183.48121527778</v>
      </c>
      <c r="C8141" s="1" t="n">
        <v>45932</v>
      </c>
      <c r="D8141" t="inlineStr">
        <is>
          <t>VÄRMLANDS LÄN</t>
        </is>
      </c>
      <c r="E8141" t="inlineStr">
        <is>
          <t>ÅRJÄNG</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47025-2025</t>
        </is>
      </c>
      <c r="B8142" s="1" t="n">
        <v>45929.5793287037</v>
      </c>
      <c r="C8142" s="1" t="n">
        <v>45932</v>
      </c>
      <c r="D8142" t="inlineStr">
        <is>
          <t>VÄRMLANDS LÄN</t>
        </is>
      </c>
      <c r="E8142" t="inlineStr">
        <is>
          <t>SUNNE</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37965-2025</t>
        </is>
      </c>
      <c r="B8143" s="1" t="n">
        <v>45881</v>
      </c>
      <c r="C8143" s="1" t="n">
        <v>45932</v>
      </c>
      <c r="D8143" t="inlineStr">
        <is>
          <t>VÄRMLANDS LÄN</t>
        </is>
      </c>
      <c r="E8143" t="inlineStr">
        <is>
          <t>SÄFFLE</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39704-2025</t>
        </is>
      </c>
      <c r="B8144" s="1" t="n">
        <v>45890</v>
      </c>
      <c r="C8144" s="1" t="n">
        <v>45932</v>
      </c>
      <c r="D8144" t="inlineStr">
        <is>
          <t>VÄRMLANDS LÄN</t>
        </is>
      </c>
      <c r="E8144" t="inlineStr">
        <is>
          <t>TORSBY</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22702-2023</t>
        </is>
      </c>
      <c r="B8145" s="1" t="n">
        <v>45071</v>
      </c>
      <c r="C8145" s="1" t="n">
        <v>45932</v>
      </c>
      <c r="D8145" t="inlineStr">
        <is>
          <t>VÄRMLANDS LÄN</t>
        </is>
      </c>
      <c r="E8145" t="inlineStr">
        <is>
          <t>TORSBY</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4180-2024</t>
        </is>
      </c>
      <c r="B8146" s="1" t="n">
        <v>45323</v>
      </c>
      <c r="C8146" s="1" t="n">
        <v>45932</v>
      </c>
      <c r="D8146" t="inlineStr">
        <is>
          <t>VÄRMLANDS LÄN</t>
        </is>
      </c>
      <c r="E8146" t="inlineStr">
        <is>
          <t>KRISTINEHAMN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52512-2023</t>
        </is>
      </c>
      <c r="B8147" s="1" t="n">
        <v>45225.47777777778</v>
      </c>
      <c r="C8147" s="1" t="n">
        <v>45932</v>
      </c>
      <c r="D8147" t="inlineStr">
        <is>
          <t>VÄRMLANDS LÄN</t>
        </is>
      </c>
      <c r="E8147" t="inlineStr">
        <is>
          <t>SUNNE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22503-2024</t>
        </is>
      </c>
      <c r="B8148" s="1" t="n">
        <v>45447</v>
      </c>
      <c r="C8148" s="1" t="n">
        <v>45932</v>
      </c>
      <c r="D8148" t="inlineStr">
        <is>
          <t>VÄRMLANDS LÄN</t>
        </is>
      </c>
      <c r="E8148" t="inlineStr">
        <is>
          <t>HAGFORS</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38955-2025</t>
        </is>
      </c>
      <c r="B8149" s="1" t="n">
        <v>45887.67186342592</v>
      </c>
      <c r="C8149" s="1" t="n">
        <v>45932</v>
      </c>
      <c r="D8149" t="inlineStr">
        <is>
          <t>VÄRMLANDS LÄN</t>
        </is>
      </c>
      <c r="E8149" t="inlineStr">
        <is>
          <t>FILIPSTAD</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52338-2023</t>
        </is>
      </c>
      <c r="B8150" s="1" t="n">
        <v>45224</v>
      </c>
      <c r="C8150" s="1" t="n">
        <v>45932</v>
      </c>
      <c r="D8150" t="inlineStr">
        <is>
          <t>VÄRMLANDS LÄN</t>
        </is>
      </c>
      <c r="E8150" t="inlineStr">
        <is>
          <t>EDA</t>
        </is>
      </c>
      <c r="F8150" t="inlineStr">
        <is>
          <t>Bergvik skog väst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39473-2025</t>
        </is>
      </c>
      <c r="B8151" s="1" t="n">
        <v>45890</v>
      </c>
      <c r="C8151" s="1" t="n">
        <v>45932</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59341-2022</t>
        </is>
      </c>
      <c r="B8152" s="1" t="n">
        <v>44904.66460648148</v>
      </c>
      <c r="C8152" s="1" t="n">
        <v>45932</v>
      </c>
      <c r="D8152" t="inlineStr">
        <is>
          <t>VÄRMLANDS LÄN</t>
        </is>
      </c>
      <c r="E8152" t="inlineStr">
        <is>
          <t>ARVIKA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56799-2022</t>
        </is>
      </c>
      <c r="B8153" s="1" t="n">
        <v>44894.425625</v>
      </c>
      <c r="C8153" s="1" t="n">
        <v>45932</v>
      </c>
      <c r="D8153" t="inlineStr">
        <is>
          <t>VÄRMLANDS LÄN</t>
        </is>
      </c>
      <c r="E8153" t="inlineStr">
        <is>
          <t>HAMMARÖ</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49887-2021</t>
        </is>
      </c>
      <c r="B8154" s="1" t="n">
        <v>44455</v>
      </c>
      <c r="C8154" s="1" t="n">
        <v>45932</v>
      </c>
      <c r="D8154" t="inlineStr">
        <is>
          <t>VÄRMLANDS LÄN</t>
        </is>
      </c>
      <c r="E8154" t="inlineStr">
        <is>
          <t>SUNNE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29615-2025</t>
        </is>
      </c>
      <c r="B8155" s="1" t="n">
        <v>45825</v>
      </c>
      <c r="C8155" s="1" t="n">
        <v>45932</v>
      </c>
      <c r="D8155" t="inlineStr">
        <is>
          <t>VÄRMLANDS LÄN</t>
        </is>
      </c>
      <c r="E8155" t="inlineStr">
        <is>
          <t>ARVIKA</t>
        </is>
      </c>
      <c r="F8155" t="inlineStr">
        <is>
          <t>Bergvik skog väst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32500-2025</t>
        </is>
      </c>
      <c r="B8156" s="1" t="n">
        <v>45838.45957175926</v>
      </c>
      <c r="C8156" s="1" t="n">
        <v>45932</v>
      </c>
      <c r="D8156" t="inlineStr">
        <is>
          <t>VÄRMLANDS LÄN</t>
        </is>
      </c>
      <c r="E8156" t="inlineStr">
        <is>
          <t>KRISTINEHAMN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47540-2024</t>
        </is>
      </c>
      <c r="B8157" s="1" t="n">
        <v>45587</v>
      </c>
      <c r="C8157" s="1" t="n">
        <v>45932</v>
      </c>
      <c r="D8157" t="inlineStr">
        <is>
          <t>VÄRMLANDS LÄN</t>
        </is>
      </c>
      <c r="E8157" t="inlineStr">
        <is>
          <t>ARVIKA</t>
        </is>
      </c>
      <c r="F8157" t="inlineStr">
        <is>
          <t>Bergvik skog väst AB</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14183-2022</t>
        </is>
      </c>
      <c r="B8158" s="1" t="n">
        <v>44651</v>
      </c>
      <c r="C8158" s="1" t="n">
        <v>45932</v>
      </c>
      <c r="D8158" t="inlineStr">
        <is>
          <t>VÄRMLANDS LÄN</t>
        </is>
      </c>
      <c r="E8158" t="inlineStr">
        <is>
          <t>KRISTINEHAMN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34163-2025</t>
        </is>
      </c>
      <c r="B8159" s="1" t="n">
        <v>45844</v>
      </c>
      <c r="C8159" s="1" t="n">
        <v>45932</v>
      </c>
      <c r="D8159" t="inlineStr">
        <is>
          <t>VÄRMLANDS LÄN</t>
        </is>
      </c>
      <c r="E8159" t="inlineStr">
        <is>
          <t>ÅRJÄNG</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37083-2021</t>
        </is>
      </c>
      <c r="B8160" s="1" t="n">
        <v>44395</v>
      </c>
      <c r="C8160" s="1" t="n">
        <v>45932</v>
      </c>
      <c r="D8160" t="inlineStr">
        <is>
          <t>VÄRMLANDS LÄN</t>
        </is>
      </c>
      <c r="E8160" t="inlineStr">
        <is>
          <t>SUNNE</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38611-2025</t>
        </is>
      </c>
      <c r="B8161" s="1" t="n">
        <v>45884.53958333333</v>
      </c>
      <c r="C8161" s="1" t="n">
        <v>45932</v>
      </c>
      <c r="D8161" t="inlineStr">
        <is>
          <t>VÄRMLANDS LÄN</t>
        </is>
      </c>
      <c r="E8161" t="inlineStr">
        <is>
          <t>TORSBY</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35077-2025</t>
        </is>
      </c>
      <c r="B8162" s="1" t="n">
        <v>45852.48447916667</v>
      </c>
      <c r="C8162" s="1" t="n">
        <v>45932</v>
      </c>
      <c r="D8162" t="inlineStr">
        <is>
          <t>VÄRMLANDS LÄN</t>
        </is>
      </c>
      <c r="E8162" t="inlineStr">
        <is>
          <t>SUNNE</t>
        </is>
      </c>
      <c r="F8162" t="inlineStr">
        <is>
          <t>Bergvik skog väst AB</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47225-2023</t>
        </is>
      </c>
      <c r="B8163" s="1" t="n">
        <v>45196</v>
      </c>
      <c r="C8163" s="1" t="n">
        <v>45932</v>
      </c>
      <c r="D8163" t="inlineStr">
        <is>
          <t>VÄRMLANDS LÄN</t>
        </is>
      </c>
      <c r="E8163" t="inlineStr">
        <is>
          <t>SUNNE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4279-2024</t>
        </is>
      </c>
      <c r="B8164" s="1" t="n">
        <v>45324.58115740741</v>
      </c>
      <c r="C8164" s="1" t="n">
        <v>45932</v>
      </c>
      <c r="D8164" t="inlineStr">
        <is>
          <t>VÄRMLANDS LÄN</t>
        </is>
      </c>
      <c r="E8164" t="inlineStr">
        <is>
          <t>HAGFORS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23971-2023</t>
        </is>
      </c>
      <c r="B8165" s="1" t="n">
        <v>45078.63996527778</v>
      </c>
      <c r="C8165" s="1" t="n">
        <v>45932</v>
      </c>
      <c r="D8165" t="inlineStr">
        <is>
          <t>VÄRMLANDS LÄN</t>
        </is>
      </c>
      <c r="E8165" t="inlineStr">
        <is>
          <t>ÅRJÄNG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61901-2024</t>
        </is>
      </c>
      <c r="B8166" s="1" t="n">
        <v>45653</v>
      </c>
      <c r="C8166" s="1" t="n">
        <v>45932</v>
      </c>
      <c r="D8166" t="inlineStr">
        <is>
          <t>VÄRMLANDS LÄN</t>
        </is>
      </c>
      <c r="E8166" t="inlineStr">
        <is>
          <t>EDA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8188-2025</t>
        </is>
      </c>
      <c r="B8167" s="1" t="n">
        <v>45708.40246527778</v>
      </c>
      <c r="C8167" s="1" t="n">
        <v>45932</v>
      </c>
      <c r="D8167" t="inlineStr">
        <is>
          <t>VÄRMLANDS LÄN</t>
        </is>
      </c>
      <c r="E8167" t="inlineStr">
        <is>
          <t>TORSBY</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39998-2023</t>
        </is>
      </c>
      <c r="B8168" s="1" t="n">
        <v>45168</v>
      </c>
      <c r="C8168" s="1" t="n">
        <v>45932</v>
      </c>
      <c r="D8168" t="inlineStr">
        <is>
          <t>VÄRMLANDS LÄN</t>
        </is>
      </c>
      <c r="E8168" t="inlineStr">
        <is>
          <t>STORFORS</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40028-2023</t>
        </is>
      </c>
      <c r="B8169" s="1" t="n">
        <v>45168.65633101852</v>
      </c>
      <c r="C8169" s="1" t="n">
        <v>45932</v>
      </c>
      <c r="D8169" t="inlineStr">
        <is>
          <t>VÄRMLANDS LÄN</t>
        </is>
      </c>
      <c r="E8169" t="inlineStr">
        <is>
          <t>SÄFFLE</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5353-2025</t>
        </is>
      </c>
      <c r="B8170" s="1" t="n">
        <v>45692.56569444444</v>
      </c>
      <c r="C8170" s="1" t="n">
        <v>45932</v>
      </c>
      <c r="D8170" t="inlineStr">
        <is>
          <t>VÄRMLANDS LÄN</t>
        </is>
      </c>
      <c r="E8170" t="inlineStr">
        <is>
          <t>FILIPSTAD</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9749-2024</t>
        </is>
      </c>
      <c r="B8171" s="1" t="n">
        <v>45362</v>
      </c>
      <c r="C8171" s="1" t="n">
        <v>45932</v>
      </c>
      <c r="D8171" t="inlineStr">
        <is>
          <t>VÄRMLANDS LÄN</t>
        </is>
      </c>
      <c r="E8171" t="inlineStr">
        <is>
          <t>ÅRJÄNG</t>
        </is>
      </c>
      <c r="F8171" t="inlineStr">
        <is>
          <t>Kyrkan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38839-2025</t>
        </is>
      </c>
      <c r="B8172" s="1" t="n">
        <v>45887.53543981481</v>
      </c>
      <c r="C8172" s="1" t="n">
        <v>45932</v>
      </c>
      <c r="D8172" t="inlineStr">
        <is>
          <t>VÄRMLANDS LÄN</t>
        </is>
      </c>
      <c r="E8172" t="inlineStr">
        <is>
          <t>SUNNE</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920-2022</t>
        </is>
      </c>
      <c r="B8173" s="1" t="n">
        <v>44571.48952546297</v>
      </c>
      <c r="C8173" s="1" t="n">
        <v>45932</v>
      </c>
      <c r="D8173" t="inlineStr">
        <is>
          <t>VÄRMLANDS LÄN</t>
        </is>
      </c>
      <c r="E8173" t="inlineStr">
        <is>
          <t>HAGFORS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6354-2024</t>
        </is>
      </c>
      <c r="B8174" s="1" t="n">
        <v>45338.46987268519</v>
      </c>
      <c r="C8174" s="1" t="n">
        <v>45932</v>
      </c>
      <c r="D8174" t="inlineStr">
        <is>
          <t>VÄRMLANDS LÄN</t>
        </is>
      </c>
      <c r="E8174" t="inlineStr">
        <is>
          <t>ÅRJÄNG</t>
        </is>
      </c>
      <c r="F8174" t="inlineStr">
        <is>
          <t>Bergvik skog väst AB</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3861-2025</t>
        </is>
      </c>
      <c r="B8175" s="1" t="n">
        <v>45683</v>
      </c>
      <c r="C8175" s="1" t="n">
        <v>45932</v>
      </c>
      <c r="D8175" t="inlineStr">
        <is>
          <t>VÄRMLANDS LÄN</t>
        </is>
      </c>
      <c r="E8175" t="inlineStr">
        <is>
          <t>ÅRJÄNG</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51281-2024</t>
        </is>
      </c>
      <c r="B8176" s="1" t="n">
        <v>45603.76157407407</v>
      </c>
      <c r="C8176" s="1" t="n">
        <v>45932</v>
      </c>
      <c r="D8176" t="inlineStr">
        <is>
          <t>VÄRMLANDS LÄN</t>
        </is>
      </c>
      <c r="E8176" t="inlineStr">
        <is>
          <t>SUNNE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21577-2024</t>
        </is>
      </c>
      <c r="B8177" s="1" t="n">
        <v>45441</v>
      </c>
      <c r="C8177" s="1" t="n">
        <v>45932</v>
      </c>
      <c r="D8177" t="inlineStr">
        <is>
          <t>VÄRMLANDS LÄN</t>
        </is>
      </c>
      <c r="E8177" t="inlineStr">
        <is>
          <t>SUNNE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55095-2024</t>
        </is>
      </c>
      <c r="B8178" s="1" t="n">
        <v>45621</v>
      </c>
      <c r="C8178" s="1" t="n">
        <v>45932</v>
      </c>
      <c r="D8178" t="inlineStr">
        <is>
          <t>VÄRMLANDS LÄN</t>
        </is>
      </c>
      <c r="E8178" t="inlineStr">
        <is>
          <t>EDA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21581-2024</t>
        </is>
      </c>
      <c r="B8179" s="1" t="n">
        <v>45441</v>
      </c>
      <c r="C8179" s="1" t="n">
        <v>45932</v>
      </c>
      <c r="D8179" t="inlineStr">
        <is>
          <t>VÄRMLANDS LÄN</t>
        </is>
      </c>
      <c r="E8179" t="inlineStr">
        <is>
          <t>TORSBY</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20985-2024</t>
        </is>
      </c>
      <c r="B8180" s="1" t="n">
        <v>45439</v>
      </c>
      <c r="C8180" s="1" t="n">
        <v>45932</v>
      </c>
      <c r="D8180" t="inlineStr">
        <is>
          <t>VÄRMLANDS LÄN</t>
        </is>
      </c>
      <c r="E8180" t="inlineStr">
        <is>
          <t>TORSBY</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35191-2025</t>
        </is>
      </c>
      <c r="B8181" s="1" t="n">
        <v>45853.3469675926</v>
      </c>
      <c r="C8181" s="1" t="n">
        <v>45932</v>
      </c>
      <c r="D8181" t="inlineStr">
        <is>
          <t>VÄRMLANDS LÄN</t>
        </is>
      </c>
      <c r="E8181" t="inlineStr">
        <is>
          <t>TORSBY</t>
        </is>
      </c>
      <c r="F8181" t="inlineStr">
        <is>
          <t>Bergvik skog väst AB</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35212-2025</t>
        </is>
      </c>
      <c r="B8182" s="1" t="n">
        <v>45853.46285879629</v>
      </c>
      <c r="C8182" s="1" t="n">
        <v>45932</v>
      </c>
      <c r="D8182" t="inlineStr">
        <is>
          <t>VÄRMLANDS LÄN</t>
        </is>
      </c>
      <c r="E8182" t="inlineStr">
        <is>
          <t>HAGFORS</t>
        </is>
      </c>
      <c r="F8182" t="inlineStr">
        <is>
          <t>Bergvik skog väst AB</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45752-2024</t>
        </is>
      </c>
      <c r="B8183" s="1" t="n">
        <v>45579</v>
      </c>
      <c r="C8183" s="1" t="n">
        <v>45932</v>
      </c>
      <c r="D8183" t="inlineStr">
        <is>
          <t>VÄRMLANDS LÄN</t>
        </is>
      </c>
      <c r="E8183" t="inlineStr">
        <is>
          <t>SUNNE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30077-2025</t>
        </is>
      </c>
      <c r="B8184" s="1" t="n">
        <v>45826</v>
      </c>
      <c r="C8184" s="1" t="n">
        <v>45932</v>
      </c>
      <c r="D8184" t="inlineStr">
        <is>
          <t>VÄRMLANDS LÄN</t>
        </is>
      </c>
      <c r="E8184" t="inlineStr">
        <is>
          <t>FILIPSTAD</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62546-2022</t>
        </is>
      </c>
      <c r="B8185" s="1" t="n">
        <v>44924</v>
      </c>
      <c r="C8185" s="1" t="n">
        <v>45932</v>
      </c>
      <c r="D8185" t="inlineStr">
        <is>
          <t>VÄRMLANDS LÄN</t>
        </is>
      </c>
      <c r="E8185" t="inlineStr">
        <is>
          <t>HAGFORS</t>
        </is>
      </c>
      <c r="F8185" t="inlineStr">
        <is>
          <t>Bergvik skog väst AB</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39985-2025</t>
        </is>
      </c>
      <c r="B8186" s="1" t="n">
        <v>45893</v>
      </c>
      <c r="C8186" s="1" t="n">
        <v>45932</v>
      </c>
      <c r="D8186" t="inlineStr">
        <is>
          <t>VÄRMLANDS LÄN</t>
        </is>
      </c>
      <c r="E8186" t="inlineStr">
        <is>
          <t>SÄFFLE</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41214-2023</t>
        </is>
      </c>
      <c r="B8187" s="1" t="n">
        <v>45174</v>
      </c>
      <c r="C8187" s="1" t="n">
        <v>45932</v>
      </c>
      <c r="D8187" t="inlineStr">
        <is>
          <t>VÄRMLANDS LÄN</t>
        </is>
      </c>
      <c r="E8187" t="inlineStr">
        <is>
          <t>STORFORS</t>
        </is>
      </c>
      <c r="F8187" t="inlineStr">
        <is>
          <t>Bergvik skog väst AB</t>
        </is>
      </c>
      <c r="G8187" t="n">
        <v>51.6</v>
      </c>
      <c r="H8187" t="n">
        <v>0</v>
      </c>
      <c r="I8187" t="n">
        <v>0</v>
      </c>
      <c r="J8187" t="n">
        <v>0</v>
      </c>
      <c r="K8187" t="n">
        <v>0</v>
      </c>
      <c r="L8187" t="n">
        <v>0</v>
      </c>
      <c r="M8187" t="n">
        <v>0</v>
      </c>
      <c r="N8187" t="n">
        <v>0</v>
      </c>
      <c r="O8187" t="n">
        <v>0</v>
      </c>
      <c r="P8187" t="n">
        <v>0</v>
      </c>
      <c r="Q8187" t="n">
        <v>0</v>
      </c>
      <c r="R8187" s="2" t="inlineStr"/>
    </row>
    <row r="8188" ht="15" customHeight="1">
      <c r="A8188" t="inlineStr">
        <is>
          <t>A 10888-2023</t>
        </is>
      </c>
      <c r="B8188" s="1" t="n">
        <v>44985</v>
      </c>
      <c r="C8188" s="1" t="n">
        <v>45932</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37955-2025</t>
        </is>
      </c>
      <c r="B8189" s="1" t="n">
        <v>45881</v>
      </c>
      <c r="C8189" s="1" t="n">
        <v>45932</v>
      </c>
      <c r="D8189" t="inlineStr">
        <is>
          <t>VÄRMLANDS LÄN</t>
        </is>
      </c>
      <c r="E8189" t="inlineStr">
        <is>
          <t>SÄFFLE</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10960-2023</t>
        </is>
      </c>
      <c r="B8190" s="1" t="n">
        <v>44991.57304398148</v>
      </c>
      <c r="C8190" s="1" t="n">
        <v>45932</v>
      </c>
      <c r="D8190" t="inlineStr">
        <is>
          <t>VÄRMLANDS LÄN</t>
        </is>
      </c>
      <c r="E8190" t="inlineStr">
        <is>
          <t>FORSHAGA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50608-2023</t>
        </is>
      </c>
      <c r="B8191" s="1" t="n">
        <v>45217</v>
      </c>
      <c r="C8191" s="1" t="n">
        <v>45932</v>
      </c>
      <c r="D8191" t="inlineStr">
        <is>
          <t>VÄRMLANDS LÄN</t>
        </is>
      </c>
      <c r="E8191" t="inlineStr">
        <is>
          <t>TORSBY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19445-2025</t>
        </is>
      </c>
      <c r="B8192" s="1" t="n">
        <v>45770.32002314815</v>
      </c>
      <c r="C8192" s="1" t="n">
        <v>45932</v>
      </c>
      <c r="D8192" t="inlineStr">
        <is>
          <t>VÄRMLANDS LÄN</t>
        </is>
      </c>
      <c r="E8192" t="inlineStr">
        <is>
          <t>FILIPSTAD</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45260-2024</t>
        </is>
      </c>
      <c r="B8193" s="1" t="n">
        <v>45576</v>
      </c>
      <c r="C8193" s="1" t="n">
        <v>45932</v>
      </c>
      <c r="D8193" t="inlineStr">
        <is>
          <t>VÄRMLANDS LÄN</t>
        </is>
      </c>
      <c r="E8193" t="inlineStr">
        <is>
          <t>STORFORS</t>
        </is>
      </c>
      <c r="F8193" t="inlineStr">
        <is>
          <t>Naturvårdsverket</t>
        </is>
      </c>
      <c r="G8193" t="n">
        <v>16.3</v>
      </c>
      <c r="H8193" t="n">
        <v>0</v>
      </c>
      <c r="I8193" t="n">
        <v>0</v>
      </c>
      <c r="J8193" t="n">
        <v>0</v>
      </c>
      <c r="K8193" t="n">
        <v>0</v>
      </c>
      <c r="L8193" t="n">
        <v>0</v>
      </c>
      <c r="M8193" t="n">
        <v>0</v>
      </c>
      <c r="N8193" t="n">
        <v>0</v>
      </c>
      <c r="O8193" t="n">
        <v>0</v>
      </c>
      <c r="P8193" t="n">
        <v>0</v>
      </c>
      <c r="Q8193" t="n">
        <v>0</v>
      </c>
      <c r="R8193" s="2" t="inlineStr"/>
    </row>
    <row r="8194" ht="15" customHeight="1">
      <c r="A8194" t="inlineStr">
        <is>
          <t>A 35064-2025</t>
        </is>
      </c>
      <c r="B8194" s="1" t="n">
        <v>45852.43826388889</v>
      </c>
      <c r="C8194" s="1" t="n">
        <v>45932</v>
      </c>
      <c r="D8194" t="inlineStr">
        <is>
          <t>VÄRMLANDS LÄN</t>
        </is>
      </c>
      <c r="E8194" t="inlineStr">
        <is>
          <t>SUNNE</t>
        </is>
      </c>
      <c r="F8194" t="inlineStr">
        <is>
          <t>Kyrkan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48293-2022</t>
        </is>
      </c>
      <c r="B8195" s="1" t="n">
        <v>44858.51623842592</v>
      </c>
      <c r="C8195" s="1" t="n">
        <v>45932</v>
      </c>
      <c r="D8195" t="inlineStr">
        <is>
          <t>VÄRMLANDS LÄN</t>
        </is>
      </c>
      <c r="E8195" t="inlineStr">
        <is>
          <t>ÅRJÄNG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26230-2024</t>
        </is>
      </c>
      <c r="B8196" s="1" t="n">
        <v>45468</v>
      </c>
      <c r="C8196" s="1" t="n">
        <v>45932</v>
      </c>
      <c r="D8196" t="inlineStr">
        <is>
          <t>VÄRMLANDS LÄN</t>
        </is>
      </c>
      <c r="E8196" t="inlineStr">
        <is>
          <t>STORFORS</t>
        </is>
      </c>
      <c r="F8196" t="inlineStr">
        <is>
          <t>Bergvik skog väst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40051-2025</t>
        </is>
      </c>
      <c r="B8197" s="1" t="n">
        <v>45894.40730324074</v>
      </c>
      <c r="C8197" s="1" t="n">
        <v>45932</v>
      </c>
      <c r="D8197" t="inlineStr">
        <is>
          <t>VÄRMLANDS LÄN</t>
        </is>
      </c>
      <c r="E8197" t="inlineStr">
        <is>
          <t>TORSBY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39986-2025</t>
        </is>
      </c>
      <c r="B8198" s="1" t="n">
        <v>45893</v>
      </c>
      <c r="C8198" s="1" t="n">
        <v>45932</v>
      </c>
      <c r="D8198" t="inlineStr">
        <is>
          <t>VÄRMLANDS LÄN</t>
        </is>
      </c>
      <c r="E8198" t="inlineStr">
        <is>
          <t>SÄFFLE</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8979-2025</t>
        </is>
      </c>
      <c r="B8199" s="1" t="n">
        <v>45713</v>
      </c>
      <c r="C8199" s="1" t="n">
        <v>45932</v>
      </c>
      <c r="D8199" t="inlineStr">
        <is>
          <t>VÄRMLANDS LÄN</t>
        </is>
      </c>
      <c r="E8199" t="inlineStr">
        <is>
          <t>TORSBY</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13990-2025</t>
        </is>
      </c>
      <c r="B8200" s="1" t="n">
        <v>45739.65274305556</v>
      </c>
      <c r="C8200" s="1" t="n">
        <v>45932</v>
      </c>
      <c r="D8200" t="inlineStr">
        <is>
          <t>VÄRMLANDS LÄN</t>
        </is>
      </c>
      <c r="E8200" t="inlineStr">
        <is>
          <t>HAGFORS</t>
        </is>
      </c>
      <c r="F8200" t="inlineStr">
        <is>
          <t>Bergvik skog väst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58383-2021</t>
        </is>
      </c>
      <c r="B8201" s="1" t="n">
        <v>44488</v>
      </c>
      <c r="C8201" s="1" t="n">
        <v>45932</v>
      </c>
      <c r="D8201" t="inlineStr">
        <is>
          <t>VÄRMLANDS LÄN</t>
        </is>
      </c>
      <c r="E8201" t="inlineStr">
        <is>
          <t>SÄFFLE</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40363-2025</t>
        </is>
      </c>
      <c r="B8202" s="1" t="n">
        <v>45895.4925</v>
      </c>
      <c r="C8202" s="1" t="n">
        <v>45932</v>
      </c>
      <c r="D8202" t="inlineStr">
        <is>
          <t>VÄRMLANDS LÄN</t>
        </is>
      </c>
      <c r="E8202" t="inlineStr">
        <is>
          <t>SÄFFLE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40371-2025</t>
        </is>
      </c>
      <c r="B8203" s="1" t="n">
        <v>45895.51576388889</v>
      </c>
      <c r="C8203" s="1" t="n">
        <v>45932</v>
      </c>
      <c r="D8203" t="inlineStr">
        <is>
          <t>VÄRMLANDS LÄN</t>
        </is>
      </c>
      <c r="E8203" t="inlineStr">
        <is>
          <t>SUNNE</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20032-2025</t>
        </is>
      </c>
      <c r="B8204" s="1" t="n">
        <v>45772.35950231482</v>
      </c>
      <c r="C8204" s="1" t="n">
        <v>45932</v>
      </c>
      <c r="D8204" t="inlineStr">
        <is>
          <t>VÄRMLANDS LÄN</t>
        </is>
      </c>
      <c r="E8204" t="inlineStr">
        <is>
          <t>SUNNE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46758-2025</t>
        </is>
      </c>
      <c r="B8205" s="1" t="n">
        <v>45926</v>
      </c>
      <c r="C8205" s="1" t="n">
        <v>45932</v>
      </c>
      <c r="D8205" t="inlineStr">
        <is>
          <t>VÄRMLANDS LÄN</t>
        </is>
      </c>
      <c r="E8205" t="inlineStr">
        <is>
          <t>ARVIKA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38987-2022</t>
        </is>
      </c>
      <c r="B8206" s="1" t="n">
        <v>44816.88849537037</v>
      </c>
      <c r="C8206" s="1" t="n">
        <v>45932</v>
      </c>
      <c r="D8206" t="inlineStr">
        <is>
          <t>VÄRMLANDS LÄN</t>
        </is>
      </c>
      <c r="E8206" t="inlineStr">
        <is>
          <t>ARVIKA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58290-2024</t>
        </is>
      </c>
      <c r="B8207" s="1" t="n">
        <v>45632.5916087963</v>
      </c>
      <c r="C8207" s="1" t="n">
        <v>45932</v>
      </c>
      <c r="D8207" t="inlineStr">
        <is>
          <t>VÄRMLANDS LÄN</t>
        </is>
      </c>
      <c r="E8207" t="inlineStr">
        <is>
          <t>ÅRJÄNG</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7794-2024</t>
        </is>
      </c>
      <c r="B8208" s="1" t="n">
        <v>45349</v>
      </c>
      <c r="C8208" s="1" t="n">
        <v>45932</v>
      </c>
      <c r="D8208" t="inlineStr">
        <is>
          <t>VÄRMLANDS LÄN</t>
        </is>
      </c>
      <c r="E8208" t="inlineStr">
        <is>
          <t>ÅRJÄNG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56566-2022</t>
        </is>
      </c>
      <c r="B8209" s="1" t="n">
        <v>44893.50795138889</v>
      </c>
      <c r="C8209" s="1" t="n">
        <v>45932</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39003-2021</t>
        </is>
      </c>
      <c r="B8210" s="1" t="n">
        <v>44412</v>
      </c>
      <c r="C8210" s="1" t="n">
        <v>45932</v>
      </c>
      <c r="D8210" t="inlineStr">
        <is>
          <t>VÄRMLANDS LÄN</t>
        </is>
      </c>
      <c r="E8210" t="inlineStr">
        <is>
          <t>TORSBY</t>
        </is>
      </c>
      <c r="F8210" t="inlineStr">
        <is>
          <t>Bergvik skog väst AB</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5631-2025</t>
        </is>
      </c>
      <c r="B8211" s="1" t="n">
        <v>45693</v>
      </c>
      <c r="C8211" s="1" t="n">
        <v>45932</v>
      </c>
      <c r="D8211" t="inlineStr">
        <is>
          <t>VÄRMLANDS LÄN</t>
        </is>
      </c>
      <c r="E8211" t="inlineStr">
        <is>
          <t>KARLSTAD</t>
        </is>
      </c>
      <c r="F8211" t="inlineStr">
        <is>
          <t>Bergvik skog väst AB</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22332-2024</t>
        </is>
      </c>
      <c r="B8212" s="1" t="n">
        <v>45446</v>
      </c>
      <c r="C8212" s="1" t="n">
        <v>45932</v>
      </c>
      <c r="D8212" t="inlineStr">
        <is>
          <t>VÄRMLANDS LÄN</t>
        </is>
      </c>
      <c r="E8212" t="inlineStr">
        <is>
          <t>HAGFORS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46663-2025</t>
        </is>
      </c>
      <c r="B8213" s="1" t="n">
        <v>45926.50615740741</v>
      </c>
      <c r="C8213" s="1" t="n">
        <v>45932</v>
      </c>
      <c r="D8213" t="inlineStr">
        <is>
          <t>VÄRMLANDS LÄN</t>
        </is>
      </c>
      <c r="E8213" t="inlineStr">
        <is>
          <t>SUNNE</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60126-2024</t>
        </is>
      </c>
      <c r="B8214" s="1" t="n">
        <v>45642.5919212963</v>
      </c>
      <c r="C8214" s="1" t="n">
        <v>45932</v>
      </c>
      <c r="D8214" t="inlineStr">
        <is>
          <t>VÄRMLANDS LÄN</t>
        </is>
      </c>
      <c r="E8214" t="inlineStr">
        <is>
          <t>ÅRJÄNG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60148-2024</t>
        </is>
      </c>
      <c r="B8215" s="1" t="n">
        <v>45642</v>
      </c>
      <c r="C8215" s="1" t="n">
        <v>45932</v>
      </c>
      <c r="D8215" t="inlineStr">
        <is>
          <t>VÄRMLANDS LÄN</t>
        </is>
      </c>
      <c r="E8215" t="inlineStr">
        <is>
          <t>TORSBY</t>
        </is>
      </c>
      <c r="G8215" t="n">
        <v>12.4</v>
      </c>
      <c r="H8215" t="n">
        <v>0</v>
      </c>
      <c r="I8215" t="n">
        <v>0</v>
      </c>
      <c r="J8215" t="n">
        <v>0</v>
      </c>
      <c r="K8215" t="n">
        <v>0</v>
      </c>
      <c r="L8215" t="n">
        <v>0</v>
      </c>
      <c r="M8215" t="n">
        <v>0</v>
      </c>
      <c r="N8215" t="n">
        <v>0</v>
      </c>
      <c r="O8215" t="n">
        <v>0</v>
      </c>
      <c r="P8215" t="n">
        <v>0</v>
      </c>
      <c r="Q8215" t="n">
        <v>0</v>
      </c>
      <c r="R8215" s="2" t="inlineStr"/>
    </row>
    <row r="8216" ht="15" customHeight="1">
      <c r="A8216" t="inlineStr">
        <is>
          <t>A 58270-2024</t>
        </is>
      </c>
      <c r="B8216" s="1" t="n">
        <v>45632.56928240741</v>
      </c>
      <c r="C8216" s="1" t="n">
        <v>45932</v>
      </c>
      <c r="D8216" t="inlineStr">
        <is>
          <t>VÄRMLANDS LÄN</t>
        </is>
      </c>
      <c r="E8216" t="inlineStr">
        <is>
          <t>ÅRJÄNG</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38742-2025</t>
        </is>
      </c>
      <c r="B8217" s="1" t="n">
        <v>45887.37425925926</v>
      </c>
      <c r="C8217" s="1" t="n">
        <v>45932</v>
      </c>
      <c r="D8217" t="inlineStr">
        <is>
          <t>VÄRMLANDS LÄN</t>
        </is>
      </c>
      <c r="E8217" t="inlineStr">
        <is>
          <t>ÅRJÄNG</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38751-2025</t>
        </is>
      </c>
      <c r="B8218" s="1" t="n">
        <v>45887.38981481481</v>
      </c>
      <c r="C8218" s="1" t="n">
        <v>45932</v>
      </c>
      <c r="D8218" t="inlineStr">
        <is>
          <t>VÄRMLANDS LÄN</t>
        </is>
      </c>
      <c r="E8218" t="inlineStr">
        <is>
          <t>HAGFORS</t>
        </is>
      </c>
      <c r="F8218" t="inlineStr">
        <is>
          <t>Bergvik skog väst AB</t>
        </is>
      </c>
      <c r="G8218" t="n">
        <v>16.5</v>
      </c>
      <c r="H8218" t="n">
        <v>0</v>
      </c>
      <c r="I8218" t="n">
        <v>0</v>
      </c>
      <c r="J8218" t="n">
        <v>0</v>
      </c>
      <c r="K8218" t="n">
        <v>0</v>
      </c>
      <c r="L8218" t="n">
        <v>0</v>
      </c>
      <c r="M8218" t="n">
        <v>0</v>
      </c>
      <c r="N8218" t="n">
        <v>0</v>
      </c>
      <c r="O8218" t="n">
        <v>0</v>
      </c>
      <c r="P8218" t="n">
        <v>0</v>
      </c>
      <c r="Q8218" t="n">
        <v>0</v>
      </c>
      <c r="R8218" s="2" t="inlineStr"/>
    </row>
    <row r="8219" ht="15" customHeight="1">
      <c r="A8219" t="inlineStr">
        <is>
          <t>A 1781-2024</t>
        </is>
      </c>
      <c r="B8219" s="1" t="n">
        <v>45307</v>
      </c>
      <c r="C8219" s="1" t="n">
        <v>45932</v>
      </c>
      <c r="D8219" t="inlineStr">
        <is>
          <t>VÄRMLANDS LÄN</t>
        </is>
      </c>
      <c r="E8219" t="inlineStr">
        <is>
          <t>HAGFORS</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1803-2024</t>
        </is>
      </c>
      <c r="B8220" s="1" t="n">
        <v>45307</v>
      </c>
      <c r="C8220" s="1" t="n">
        <v>45932</v>
      </c>
      <c r="D8220" t="inlineStr">
        <is>
          <t>VÄRMLANDS LÄN</t>
        </is>
      </c>
      <c r="E8220" t="inlineStr">
        <is>
          <t>TORSBY</t>
        </is>
      </c>
      <c r="G8220" t="n">
        <v>12.9</v>
      </c>
      <c r="H8220" t="n">
        <v>0</v>
      </c>
      <c r="I8220" t="n">
        <v>0</v>
      </c>
      <c r="J8220" t="n">
        <v>0</v>
      </c>
      <c r="K8220" t="n">
        <v>0</v>
      </c>
      <c r="L8220" t="n">
        <v>0</v>
      </c>
      <c r="M8220" t="n">
        <v>0</v>
      </c>
      <c r="N8220" t="n">
        <v>0</v>
      </c>
      <c r="O8220" t="n">
        <v>0</v>
      </c>
      <c r="P8220" t="n">
        <v>0</v>
      </c>
      <c r="Q8220" t="n">
        <v>0</v>
      </c>
      <c r="R8220" s="2" t="inlineStr"/>
    </row>
    <row r="8221" ht="15" customHeight="1">
      <c r="A8221" t="inlineStr">
        <is>
          <t>A 55517-2023</t>
        </is>
      </c>
      <c r="B8221" s="1" t="n">
        <v>45232</v>
      </c>
      <c r="C8221" s="1" t="n">
        <v>45932</v>
      </c>
      <c r="D8221" t="inlineStr">
        <is>
          <t>VÄRMLANDS LÄN</t>
        </is>
      </c>
      <c r="E8221" t="inlineStr">
        <is>
          <t>ÅRJÄNG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6478-2025</t>
        </is>
      </c>
      <c r="B8222" s="1" t="n">
        <v>45699</v>
      </c>
      <c r="C8222" s="1" t="n">
        <v>45932</v>
      </c>
      <c r="D8222" t="inlineStr">
        <is>
          <t>VÄRMLANDS LÄN</t>
        </is>
      </c>
      <c r="E8222" t="inlineStr">
        <is>
          <t>HAGFORS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6504-2025</t>
        </is>
      </c>
      <c r="B8223" s="1" t="n">
        <v>45699</v>
      </c>
      <c r="C8223" s="1" t="n">
        <v>45932</v>
      </c>
      <c r="D8223" t="inlineStr">
        <is>
          <t>VÄRMLANDS LÄN</t>
        </is>
      </c>
      <c r="E8223" t="inlineStr">
        <is>
          <t>SUNNE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57151-2023</t>
        </is>
      </c>
      <c r="B8224" s="1" t="n">
        <v>45245</v>
      </c>
      <c r="C8224" s="1" t="n">
        <v>45932</v>
      </c>
      <c r="D8224" t="inlineStr">
        <is>
          <t>VÄRMLANDS LÄN</t>
        </is>
      </c>
      <c r="E8224" t="inlineStr">
        <is>
          <t>KIL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57153-2023</t>
        </is>
      </c>
      <c r="B8225" s="1" t="n">
        <v>45239</v>
      </c>
      <c r="C8225" s="1" t="n">
        <v>45932</v>
      </c>
      <c r="D8225" t="inlineStr">
        <is>
          <t>VÄRMLANDS LÄN</t>
        </is>
      </c>
      <c r="E8225" t="inlineStr">
        <is>
          <t>SÄFFLE</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57176-2023</t>
        </is>
      </c>
      <c r="B8226" s="1" t="n">
        <v>45239</v>
      </c>
      <c r="C8226" s="1" t="n">
        <v>45932</v>
      </c>
      <c r="D8226" t="inlineStr">
        <is>
          <t>VÄRMLANDS LÄN</t>
        </is>
      </c>
      <c r="E8226" t="inlineStr">
        <is>
          <t>SÄFFLE</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56716-2023</t>
        </is>
      </c>
      <c r="B8227" s="1" t="n">
        <v>45238</v>
      </c>
      <c r="C8227" s="1" t="n">
        <v>45932</v>
      </c>
      <c r="D8227" t="inlineStr">
        <is>
          <t>VÄRMLANDS LÄN</t>
        </is>
      </c>
      <c r="E8227" t="inlineStr">
        <is>
          <t>TORSBY</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12426-2024</t>
        </is>
      </c>
      <c r="B8228" s="1" t="n">
        <v>45379</v>
      </c>
      <c r="C8228" s="1" t="n">
        <v>45932</v>
      </c>
      <c r="D8228" t="inlineStr">
        <is>
          <t>VÄRMLANDS LÄN</t>
        </is>
      </c>
      <c r="E8228" t="inlineStr">
        <is>
          <t>HAGFORS</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40027-2025</t>
        </is>
      </c>
      <c r="B8229" s="1" t="n">
        <v>45894.36900462963</v>
      </c>
      <c r="C8229" s="1" t="n">
        <v>45932</v>
      </c>
      <c r="D8229" t="inlineStr">
        <is>
          <t>VÄRMLANDS LÄN</t>
        </is>
      </c>
      <c r="E8229" t="inlineStr">
        <is>
          <t>GRUMS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40445-2025</t>
        </is>
      </c>
      <c r="B8230" s="1" t="n">
        <v>45895.63373842592</v>
      </c>
      <c r="C8230" s="1" t="n">
        <v>45932</v>
      </c>
      <c r="D8230" t="inlineStr">
        <is>
          <t>VÄRMLANDS LÄN</t>
        </is>
      </c>
      <c r="E8230" t="inlineStr">
        <is>
          <t>ARVIKA</t>
        </is>
      </c>
      <c r="F8230" t="inlineStr">
        <is>
          <t>Bergvik skog väst AB</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62069-2024</t>
        </is>
      </c>
      <c r="B8231" s="1" t="n">
        <v>45656</v>
      </c>
      <c r="C8231" s="1" t="n">
        <v>45932</v>
      </c>
      <c r="D8231" t="inlineStr">
        <is>
          <t>VÄRMLANDS LÄN</t>
        </is>
      </c>
      <c r="E8231" t="inlineStr">
        <is>
          <t>STORFORS</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40232-2025</t>
        </is>
      </c>
      <c r="B8232" s="1" t="n">
        <v>45894.7147800926</v>
      </c>
      <c r="C8232" s="1" t="n">
        <v>45932</v>
      </c>
      <c r="D8232" t="inlineStr">
        <is>
          <t>VÄRMLANDS LÄN</t>
        </is>
      </c>
      <c r="E8232" t="inlineStr">
        <is>
          <t>ÅRJÄNG</t>
        </is>
      </c>
      <c r="F8232" t="inlineStr">
        <is>
          <t>Bergvik skog väst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35250-2025</t>
        </is>
      </c>
      <c r="B8233" s="1" t="n">
        <v>45853.68032407408</v>
      </c>
      <c r="C8233" s="1" t="n">
        <v>45932</v>
      </c>
      <c r="D8233" t="inlineStr">
        <is>
          <t>VÄRMLANDS LÄN</t>
        </is>
      </c>
      <c r="E8233" t="inlineStr">
        <is>
          <t>ARVIKA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12467-2024</t>
        </is>
      </c>
      <c r="B8234" s="1" t="n">
        <v>45379.50065972222</v>
      </c>
      <c r="C8234" s="1" t="n">
        <v>45932</v>
      </c>
      <c r="D8234" t="inlineStr">
        <is>
          <t>VÄRMLANDS LÄN</t>
        </is>
      </c>
      <c r="E8234" t="inlineStr">
        <is>
          <t>KRISTINEHAMN</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62298-2023</t>
        </is>
      </c>
      <c r="B8235" s="1" t="n">
        <v>45267.67167824074</v>
      </c>
      <c r="C8235" s="1" t="n">
        <v>45932</v>
      </c>
      <c r="D8235" t="inlineStr">
        <is>
          <t>VÄRMLANDS LÄN</t>
        </is>
      </c>
      <c r="E8235" t="inlineStr">
        <is>
          <t>SÄFFLE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62324-2023</t>
        </is>
      </c>
      <c r="B8236" s="1" t="n">
        <v>45267.8165162037</v>
      </c>
      <c r="C8236" s="1" t="n">
        <v>45932</v>
      </c>
      <c r="D8236" t="inlineStr">
        <is>
          <t>VÄRMLANDS LÄN</t>
        </is>
      </c>
      <c r="E8236" t="inlineStr">
        <is>
          <t>EDA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40300-2025</t>
        </is>
      </c>
      <c r="B8237" s="1" t="n">
        <v>45895.40347222222</v>
      </c>
      <c r="C8237" s="1" t="n">
        <v>45932</v>
      </c>
      <c r="D8237" t="inlineStr">
        <is>
          <t>VÄRMLANDS LÄN</t>
        </is>
      </c>
      <c r="E8237" t="inlineStr">
        <is>
          <t>HAGFORS</t>
        </is>
      </c>
      <c r="F8237" t="inlineStr">
        <is>
          <t>Bergvik skog väst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40275-2025</t>
        </is>
      </c>
      <c r="B8238" s="1" t="n">
        <v>45895.35975694445</v>
      </c>
      <c r="C8238" s="1" t="n">
        <v>45932</v>
      </c>
      <c r="D8238" t="inlineStr">
        <is>
          <t>VÄRMLANDS LÄN</t>
        </is>
      </c>
      <c r="E8238" t="inlineStr">
        <is>
          <t>FILIPSTAD</t>
        </is>
      </c>
      <c r="F8238" t="inlineStr">
        <is>
          <t>Bergvik skog väst AB</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8356-2025</t>
        </is>
      </c>
      <c r="B8239" s="1" t="n">
        <v>45708.79752314815</v>
      </c>
      <c r="C8239" s="1" t="n">
        <v>45932</v>
      </c>
      <c r="D8239" t="inlineStr">
        <is>
          <t>VÄRMLANDS LÄN</t>
        </is>
      </c>
      <c r="E8239" t="inlineStr">
        <is>
          <t>ÅRJÄNG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8362-2025</t>
        </is>
      </c>
      <c r="B8240" s="1" t="n">
        <v>45708</v>
      </c>
      <c r="C8240" s="1" t="n">
        <v>45932</v>
      </c>
      <c r="D8240" t="inlineStr">
        <is>
          <t>VÄRMLANDS LÄN</t>
        </is>
      </c>
      <c r="E8240" t="inlineStr">
        <is>
          <t>GRUMS</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54556-2023</t>
        </is>
      </c>
      <c r="B8241" s="1" t="n">
        <v>45233.63445601852</v>
      </c>
      <c r="C8241" s="1" t="n">
        <v>45932</v>
      </c>
      <c r="D8241" t="inlineStr">
        <is>
          <t>VÄRMLANDS LÄN</t>
        </is>
      </c>
      <c r="E8241" t="inlineStr">
        <is>
          <t>TORSBY</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30700-2024</t>
        </is>
      </c>
      <c r="B8242" s="1" t="n">
        <v>45496.35869212963</v>
      </c>
      <c r="C8242" s="1" t="n">
        <v>45932</v>
      </c>
      <c r="D8242" t="inlineStr">
        <is>
          <t>VÄRMLANDS LÄN</t>
        </is>
      </c>
      <c r="E8242" t="inlineStr">
        <is>
          <t>TORSBY</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30705-2024</t>
        </is>
      </c>
      <c r="B8243" s="1" t="n">
        <v>45496.38092592593</v>
      </c>
      <c r="C8243" s="1" t="n">
        <v>45932</v>
      </c>
      <c r="D8243" t="inlineStr">
        <is>
          <t>VÄRMLANDS LÄN</t>
        </is>
      </c>
      <c r="E8243" t="inlineStr">
        <is>
          <t>TORSBY</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8922-2025</t>
        </is>
      </c>
      <c r="B8244" s="1" t="n">
        <v>45713</v>
      </c>
      <c r="C8244" s="1" t="n">
        <v>45932</v>
      </c>
      <c r="D8244" t="inlineStr">
        <is>
          <t>VÄRMLANDS LÄN</t>
        </is>
      </c>
      <c r="E8244" t="inlineStr">
        <is>
          <t>HAGFORS</t>
        </is>
      </c>
      <c r="F8244" t="inlineStr">
        <is>
          <t>Bergvik skog väst AB</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37782-2024</t>
        </is>
      </c>
      <c r="B8245" s="1" t="n">
        <v>45542</v>
      </c>
      <c r="C8245" s="1" t="n">
        <v>45932</v>
      </c>
      <c r="D8245" t="inlineStr">
        <is>
          <t>VÄRMLANDS LÄN</t>
        </is>
      </c>
      <c r="E8245" t="inlineStr">
        <is>
          <t>SÄFFLE</t>
        </is>
      </c>
      <c r="G8245" t="n">
        <v>9</v>
      </c>
      <c r="H8245" t="n">
        <v>0</v>
      </c>
      <c r="I8245" t="n">
        <v>0</v>
      </c>
      <c r="J8245" t="n">
        <v>0</v>
      </c>
      <c r="K8245" t="n">
        <v>0</v>
      </c>
      <c r="L8245" t="n">
        <v>0</v>
      </c>
      <c r="M8245" t="n">
        <v>0</v>
      </c>
      <c r="N8245" t="n">
        <v>0</v>
      </c>
      <c r="O8245" t="n">
        <v>0</v>
      </c>
      <c r="P8245" t="n">
        <v>0</v>
      </c>
      <c r="Q8245" t="n">
        <v>0</v>
      </c>
      <c r="R8245" s="2" t="inlineStr"/>
    </row>
    <row r="8246" ht="15" customHeight="1">
      <c r="A8246" t="inlineStr">
        <is>
          <t>A 28968-2021</t>
        </is>
      </c>
      <c r="B8246" s="1" t="n">
        <v>44358</v>
      </c>
      <c r="C8246" s="1" t="n">
        <v>45932</v>
      </c>
      <c r="D8246" t="inlineStr">
        <is>
          <t>VÄRMLANDS LÄN</t>
        </is>
      </c>
      <c r="E8246" t="inlineStr">
        <is>
          <t>SUNNE</t>
        </is>
      </c>
      <c r="G8246" t="n">
        <v>16.6</v>
      </c>
      <c r="H8246" t="n">
        <v>0</v>
      </c>
      <c r="I8246" t="n">
        <v>0</v>
      </c>
      <c r="J8246" t="n">
        <v>0</v>
      </c>
      <c r="K8246" t="n">
        <v>0</v>
      </c>
      <c r="L8246" t="n">
        <v>0</v>
      </c>
      <c r="M8246" t="n">
        <v>0</v>
      </c>
      <c r="N8246" t="n">
        <v>0</v>
      </c>
      <c r="O8246" t="n">
        <v>0</v>
      </c>
      <c r="P8246" t="n">
        <v>0</v>
      </c>
      <c r="Q8246" t="n">
        <v>0</v>
      </c>
      <c r="R8246" s="2" t="inlineStr"/>
    </row>
    <row r="8247" ht="15" customHeight="1">
      <c r="A8247" t="inlineStr">
        <is>
          <t>A 37790-2024</t>
        </is>
      </c>
      <c r="B8247" s="1" t="n">
        <v>45543.32729166667</v>
      </c>
      <c r="C8247" s="1" t="n">
        <v>45932</v>
      </c>
      <c r="D8247" t="inlineStr">
        <is>
          <t>VÄRMLANDS LÄN</t>
        </is>
      </c>
      <c r="E8247" t="inlineStr">
        <is>
          <t>SUNNE</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50025-2024</t>
        </is>
      </c>
      <c r="B8248" s="1" t="n">
        <v>45599</v>
      </c>
      <c r="C8248" s="1" t="n">
        <v>45932</v>
      </c>
      <c r="D8248" t="inlineStr">
        <is>
          <t>VÄRMLANDS LÄN</t>
        </is>
      </c>
      <c r="E8248" t="inlineStr">
        <is>
          <t>EDA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40030-2025</t>
        </is>
      </c>
      <c r="B8249" s="1" t="n">
        <v>45894</v>
      </c>
      <c r="C8249" s="1" t="n">
        <v>45932</v>
      </c>
      <c r="D8249" t="inlineStr">
        <is>
          <t>VÄRMLANDS LÄN</t>
        </is>
      </c>
      <c r="E8249" t="inlineStr">
        <is>
          <t>ARVIKA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19497-2023</t>
        </is>
      </c>
      <c r="B8250" s="1" t="n">
        <v>45050</v>
      </c>
      <c r="C8250" s="1" t="n">
        <v>45932</v>
      </c>
      <c r="D8250" t="inlineStr">
        <is>
          <t>VÄRMLANDS LÄN</t>
        </is>
      </c>
      <c r="E8250" t="inlineStr">
        <is>
          <t>SUNNE</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8941-2023</t>
        </is>
      </c>
      <c r="B8251" s="1" t="n">
        <v>44979.45167824074</v>
      </c>
      <c r="C8251" s="1" t="n">
        <v>45932</v>
      </c>
      <c r="D8251" t="inlineStr">
        <is>
          <t>VÄRMLANDS LÄN</t>
        </is>
      </c>
      <c r="E8251" t="inlineStr">
        <is>
          <t>SUNNE</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35449-2024</t>
        </is>
      </c>
      <c r="B8252" s="1" t="n">
        <v>45531</v>
      </c>
      <c r="C8252" s="1" t="n">
        <v>45932</v>
      </c>
      <c r="D8252" t="inlineStr">
        <is>
          <t>VÄRMLANDS LÄN</t>
        </is>
      </c>
      <c r="E8252" t="inlineStr">
        <is>
          <t>KIL</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46515-2023</t>
        </is>
      </c>
      <c r="B8253" s="1" t="n">
        <v>45197.70663194444</v>
      </c>
      <c r="C8253" s="1" t="n">
        <v>45932</v>
      </c>
      <c r="D8253" t="inlineStr">
        <is>
          <t>VÄRMLANDS LÄN</t>
        </is>
      </c>
      <c r="E8253" t="inlineStr">
        <is>
          <t>ARVIKA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6068-2021</t>
        </is>
      </c>
      <c r="B8254" s="1" t="n">
        <v>44232</v>
      </c>
      <c r="C8254" s="1" t="n">
        <v>45932</v>
      </c>
      <c r="D8254" t="inlineStr">
        <is>
          <t>VÄRMLANDS LÄN</t>
        </is>
      </c>
      <c r="E8254" t="inlineStr">
        <is>
          <t>TORSBY</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40034-2025</t>
        </is>
      </c>
      <c r="B8255" s="1" t="n">
        <v>45894.38159722222</v>
      </c>
      <c r="C8255" s="1" t="n">
        <v>45932</v>
      </c>
      <c r="D8255" t="inlineStr">
        <is>
          <t>VÄRMLANDS LÄN</t>
        </is>
      </c>
      <c r="E8255" t="inlineStr">
        <is>
          <t>TORSBY</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35194-2025</t>
        </is>
      </c>
      <c r="B8256" s="1" t="n">
        <v>45853.35740740741</v>
      </c>
      <c r="C8256" s="1" t="n">
        <v>45932</v>
      </c>
      <c r="D8256" t="inlineStr">
        <is>
          <t>VÄRMLANDS LÄN</t>
        </is>
      </c>
      <c r="E8256" t="inlineStr">
        <is>
          <t>TORSBY</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48641-2024</t>
        </is>
      </c>
      <c r="B8257" s="1" t="n">
        <v>45593</v>
      </c>
      <c r="C8257" s="1" t="n">
        <v>45932</v>
      </c>
      <c r="D8257" t="inlineStr">
        <is>
          <t>VÄRMLANDS LÄN</t>
        </is>
      </c>
      <c r="E8257" t="inlineStr">
        <is>
          <t>FORSHAGA</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60043-2022</t>
        </is>
      </c>
      <c r="B8258" s="1" t="n">
        <v>44902</v>
      </c>
      <c r="C8258" s="1" t="n">
        <v>45932</v>
      </c>
      <c r="D8258" t="inlineStr">
        <is>
          <t>VÄRMLANDS LÄN</t>
        </is>
      </c>
      <c r="E8258" t="inlineStr">
        <is>
          <t>FORSHAGA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40319-2025</t>
        </is>
      </c>
      <c r="B8259" s="1" t="n">
        <v>45895</v>
      </c>
      <c r="C8259" s="1" t="n">
        <v>45932</v>
      </c>
      <c r="D8259" t="inlineStr">
        <is>
          <t>VÄRMLANDS LÄN</t>
        </is>
      </c>
      <c r="E8259" t="inlineStr">
        <is>
          <t>SÄFFLE</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49925-2024</t>
        </is>
      </c>
      <c r="B8260" s="1" t="n">
        <v>45597</v>
      </c>
      <c r="C8260" s="1" t="n">
        <v>45932</v>
      </c>
      <c r="D8260" t="inlineStr">
        <is>
          <t>VÄRMLANDS LÄN</t>
        </is>
      </c>
      <c r="E8260" t="inlineStr">
        <is>
          <t>ARVIKA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40364-2025</t>
        </is>
      </c>
      <c r="B8261" s="1" t="n">
        <v>45895.49542824074</v>
      </c>
      <c r="C8261" s="1" t="n">
        <v>45932</v>
      </c>
      <c r="D8261" t="inlineStr">
        <is>
          <t>VÄRMLANDS LÄN</t>
        </is>
      </c>
      <c r="E8261" t="inlineStr">
        <is>
          <t>SÄFFLE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35218-2025</t>
        </is>
      </c>
      <c r="B8262" s="1" t="n">
        <v>45853.49832175926</v>
      </c>
      <c r="C8262" s="1" t="n">
        <v>45932</v>
      </c>
      <c r="D8262" t="inlineStr">
        <is>
          <t>VÄRMLANDS LÄN</t>
        </is>
      </c>
      <c r="E8262" t="inlineStr">
        <is>
          <t>SUNNE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35244-2025</t>
        </is>
      </c>
      <c r="B8263" s="1" t="n">
        <v>45853</v>
      </c>
      <c r="C8263" s="1" t="n">
        <v>45932</v>
      </c>
      <c r="D8263" t="inlineStr">
        <is>
          <t>VÄRMLANDS LÄN</t>
        </is>
      </c>
      <c r="E8263" t="inlineStr">
        <is>
          <t>FILIPSTAD</t>
        </is>
      </c>
      <c r="F8263" t="inlineStr">
        <is>
          <t>Bergvik skog väst AB</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3471-2023</t>
        </is>
      </c>
      <c r="B8264" s="1" t="n">
        <v>44949</v>
      </c>
      <c r="C8264" s="1" t="n">
        <v>45932</v>
      </c>
      <c r="D8264" t="inlineStr">
        <is>
          <t>VÄRMLANDS LÄN</t>
        </is>
      </c>
      <c r="E8264" t="inlineStr">
        <is>
          <t>ÅRJÄNG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5758-2025</t>
        </is>
      </c>
      <c r="B8265" s="1" t="n">
        <v>45694</v>
      </c>
      <c r="C8265" s="1" t="n">
        <v>45932</v>
      </c>
      <c r="D8265" t="inlineStr">
        <is>
          <t>VÄRMLANDS LÄN</t>
        </is>
      </c>
      <c r="E8265" t="inlineStr">
        <is>
          <t>KIL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40195-2025</t>
        </is>
      </c>
      <c r="B8266" s="1" t="n">
        <v>45894.65922453703</v>
      </c>
      <c r="C8266" s="1" t="n">
        <v>45932</v>
      </c>
      <c r="D8266" t="inlineStr">
        <is>
          <t>VÄRMLANDS LÄN</t>
        </is>
      </c>
      <c r="E8266" t="inlineStr">
        <is>
          <t>TORSBY</t>
        </is>
      </c>
      <c r="F8266" t="inlineStr">
        <is>
          <t>Bergvik skog väst AB</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48903-2024</t>
        </is>
      </c>
      <c r="B8267" s="1" t="n">
        <v>45594</v>
      </c>
      <c r="C8267" s="1" t="n">
        <v>45932</v>
      </c>
      <c r="D8267" t="inlineStr">
        <is>
          <t>VÄRMLANDS LÄN</t>
        </is>
      </c>
      <c r="E8267" t="inlineStr">
        <is>
          <t>TORSBY</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14972-2023</t>
        </is>
      </c>
      <c r="B8268" s="1" t="n">
        <v>45015.51855324074</v>
      </c>
      <c r="C8268" s="1" t="n">
        <v>45932</v>
      </c>
      <c r="D8268" t="inlineStr">
        <is>
          <t>VÄRMLANDS LÄN</t>
        </is>
      </c>
      <c r="E8268" t="inlineStr">
        <is>
          <t>EDA</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26686-2022</t>
        </is>
      </c>
      <c r="B8269" s="1" t="n">
        <v>44739.67833333334</v>
      </c>
      <c r="C8269" s="1" t="n">
        <v>45932</v>
      </c>
      <c r="D8269" t="inlineStr">
        <is>
          <t>VÄRMLANDS LÄN</t>
        </is>
      </c>
      <c r="E8269" t="inlineStr">
        <is>
          <t>TORSBY</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3392-2025</t>
        </is>
      </c>
      <c r="B8270" s="1" t="n">
        <v>45680.36237268519</v>
      </c>
      <c r="C8270" s="1" t="n">
        <v>45932</v>
      </c>
      <c r="D8270" t="inlineStr">
        <is>
          <t>VÄRMLANDS LÄN</t>
        </is>
      </c>
      <c r="E8270" t="inlineStr">
        <is>
          <t>SUNNE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63266-2023</t>
        </is>
      </c>
      <c r="B8271" s="1" t="n">
        <v>45273.741875</v>
      </c>
      <c r="C8271" s="1" t="n">
        <v>45932</v>
      </c>
      <c r="D8271" t="inlineStr">
        <is>
          <t>VÄRMLANDS LÄN</t>
        </is>
      </c>
      <c r="E8271" t="inlineStr">
        <is>
          <t>TORSBY</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34275-2023</t>
        </is>
      </c>
      <c r="B8272" s="1" t="n">
        <v>45138.63635416667</v>
      </c>
      <c r="C8272" s="1" t="n">
        <v>45932</v>
      </c>
      <c r="D8272" t="inlineStr">
        <is>
          <t>VÄRMLANDS LÄN</t>
        </is>
      </c>
      <c r="E8272" t="inlineStr">
        <is>
          <t>SÄFFLE</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9489-2025</t>
        </is>
      </c>
      <c r="B8273" s="1" t="n">
        <v>45715</v>
      </c>
      <c r="C8273" s="1" t="n">
        <v>45932</v>
      </c>
      <c r="D8273" t="inlineStr">
        <is>
          <t>VÄRMLANDS LÄN</t>
        </is>
      </c>
      <c r="E8273" t="inlineStr">
        <is>
          <t>ÅRJÄNG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9557-2025</t>
        </is>
      </c>
      <c r="B8274" s="1" t="n">
        <v>45714</v>
      </c>
      <c r="C8274" s="1" t="n">
        <v>45932</v>
      </c>
      <c r="D8274" t="inlineStr">
        <is>
          <t>VÄRMLANDS LÄN</t>
        </is>
      </c>
      <c r="E8274" t="inlineStr">
        <is>
          <t>SUNNE</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5280-2022</t>
        </is>
      </c>
      <c r="B8275" s="1" t="n">
        <v>44593</v>
      </c>
      <c r="C8275" s="1" t="n">
        <v>45932</v>
      </c>
      <c r="D8275" t="inlineStr">
        <is>
          <t>VÄRMLANDS LÄN</t>
        </is>
      </c>
      <c r="E8275" t="inlineStr">
        <is>
          <t>GRUMS</t>
        </is>
      </c>
      <c r="F8275" t="inlineStr">
        <is>
          <t>Bergvik skog väst AB</t>
        </is>
      </c>
      <c r="G8275" t="n">
        <v>37.1</v>
      </c>
      <c r="H8275" t="n">
        <v>0</v>
      </c>
      <c r="I8275" t="n">
        <v>0</v>
      </c>
      <c r="J8275" t="n">
        <v>0</v>
      </c>
      <c r="K8275" t="n">
        <v>0</v>
      </c>
      <c r="L8275" t="n">
        <v>0</v>
      </c>
      <c r="M8275" t="n">
        <v>0</v>
      </c>
      <c r="N8275" t="n">
        <v>0</v>
      </c>
      <c r="O8275" t="n">
        <v>0</v>
      </c>
      <c r="P8275" t="n">
        <v>0</v>
      </c>
      <c r="Q8275" t="n">
        <v>0</v>
      </c>
      <c r="R8275" s="2" t="inlineStr"/>
    </row>
    <row r="8276" ht="15" customHeight="1">
      <c r="A8276" t="inlineStr">
        <is>
          <t>A 38914-2022</t>
        </is>
      </c>
      <c r="B8276" s="1" t="n">
        <v>44816.61194444444</v>
      </c>
      <c r="C8276" s="1" t="n">
        <v>45932</v>
      </c>
      <c r="D8276" t="inlineStr">
        <is>
          <t>VÄRMLANDS LÄN</t>
        </is>
      </c>
      <c r="E8276" t="inlineStr">
        <is>
          <t>TORSBY</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10996-2025</t>
        </is>
      </c>
      <c r="B8277" s="1" t="n">
        <v>45723</v>
      </c>
      <c r="C8277" s="1" t="n">
        <v>45932</v>
      </c>
      <c r="D8277" t="inlineStr">
        <is>
          <t>VÄRMLANDS LÄN</t>
        </is>
      </c>
      <c r="E8277" t="inlineStr">
        <is>
          <t>FORSHAGA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38882-2022</t>
        </is>
      </c>
      <c r="B8278" s="1" t="n">
        <v>44816.565625</v>
      </c>
      <c r="C8278" s="1" t="n">
        <v>45932</v>
      </c>
      <c r="D8278" t="inlineStr">
        <is>
          <t>VÄRMLANDS LÄN</t>
        </is>
      </c>
      <c r="E8278" t="inlineStr">
        <is>
          <t>TORSBY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34321-2024</t>
        </is>
      </c>
      <c r="B8279" s="1" t="n">
        <v>45524</v>
      </c>
      <c r="C8279" s="1" t="n">
        <v>45932</v>
      </c>
      <c r="D8279" t="inlineStr">
        <is>
          <t>VÄRMLANDS LÄN</t>
        </is>
      </c>
      <c r="E8279" t="inlineStr">
        <is>
          <t>KARLSTAD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40036-2022</t>
        </is>
      </c>
      <c r="B8280" s="1" t="n">
        <v>44820.43179398148</v>
      </c>
      <c r="C8280" s="1" t="n">
        <v>45932</v>
      </c>
      <c r="D8280" t="inlineStr">
        <is>
          <t>VÄRMLANDS LÄN</t>
        </is>
      </c>
      <c r="E8280" t="inlineStr">
        <is>
          <t>TORSBY</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54425-2021</t>
        </is>
      </c>
      <c r="B8281" s="1" t="n">
        <v>44459</v>
      </c>
      <c r="C8281" s="1" t="n">
        <v>45932</v>
      </c>
      <c r="D8281" t="inlineStr">
        <is>
          <t>VÄRMLANDS LÄN</t>
        </is>
      </c>
      <c r="E8281" t="inlineStr">
        <is>
          <t>ÅRJÄNG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24958-2024</t>
        </is>
      </c>
      <c r="B8282" s="1" t="n">
        <v>45461</v>
      </c>
      <c r="C8282" s="1" t="n">
        <v>45932</v>
      </c>
      <c r="D8282" t="inlineStr">
        <is>
          <t>VÄRMLANDS LÄN</t>
        </is>
      </c>
      <c r="E8282" t="inlineStr">
        <is>
          <t>HAGFORS</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13098-2025</t>
        </is>
      </c>
      <c r="B8283" s="1" t="n">
        <v>45734</v>
      </c>
      <c r="C8283" s="1" t="n">
        <v>45932</v>
      </c>
      <c r="D8283" t="inlineStr">
        <is>
          <t>VÄRMLANDS LÄN</t>
        </is>
      </c>
      <c r="E8283" t="inlineStr">
        <is>
          <t>KIL</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15811-2024</t>
        </is>
      </c>
      <c r="B8284" s="1" t="n">
        <v>45404</v>
      </c>
      <c r="C8284" s="1" t="n">
        <v>45932</v>
      </c>
      <c r="D8284" t="inlineStr">
        <is>
          <t>VÄRMLANDS LÄN</t>
        </is>
      </c>
      <c r="E8284" t="inlineStr">
        <is>
          <t>KARLSTAD</t>
        </is>
      </c>
      <c r="G8284" t="n">
        <v>11.4</v>
      </c>
      <c r="H8284" t="n">
        <v>0</v>
      </c>
      <c r="I8284" t="n">
        <v>0</v>
      </c>
      <c r="J8284" t="n">
        <v>0</v>
      </c>
      <c r="K8284" t="n">
        <v>0</v>
      </c>
      <c r="L8284" t="n">
        <v>0</v>
      </c>
      <c r="M8284" t="n">
        <v>0</v>
      </c>
      <c r="N8284" t="n">
        <v>0</v>
      </c>
      <c r="O8284" t="n">
        <v>0</v>
      </c>
      <c r="P8284" t="n">
        <v>0</v>
      </c>
      <c r="Q8284" t="n">
        <v>0</v>
      </c>
      <c r="R8284" s="2" t="inlineStr"/>
    </row>
    <row r="8285" ht="15" customHeight="1">
      <c r="A8285" t="inlineStr">
        <is>
          <t>A 14649-2024</t>
        </is>
      </c>
      <c r="B8285" s="1" t="n">
        <v>45397.38871527778</v>
      </c>
      <c r="C8285" s="1" t="n">
        <v>45932</v>
      </c>
      <c r="D8285" t="inlineStr">
        <is>
          <t>VÄRMLANDS LÄN</t>
        </is>
      </c>
      <c r="E8285" t="inlineStr">
        <is>
          <t>SÄFFLE</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35395-2025</t>
        </is>
      </c>
      <c r="B8286" s="1" t="n">
        <v>45855</v>
      </c>
      <c r="C8286" s="1" t="n">
        <v>45932</v>
      </c>
      <c r="D8286" t="inlineStr">
        <is>
          <t>VÄRMLANDS LÄN</t>
        </is>
      </c>
      <c r="E8286" t="inlineStr">
        <is>
          <t>ARVIKA</t>
        </is>
      </c>
      <c r="F8286" t="inlineStr">
        <is>
          <t>Bergvik skog väst AB</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35408-2025</t>
        </is>
      </c>
      <c r="B8287" s="1" t="n">
        <v>45855.37256944444</v>
      </c>
      <c r="C8287" s="1" t="n">
        <v>45932</v>
      </c>
      <c r="D8287" t="inlineStr">
        <is>
          <t>VÄRMLANDS LÄN</t>
        </is>
      </c>
      <c r="E8287" t="inlineStr">
        <is>
          <t>TORSBY</t>
        </is>
      </c>
      <c r="F8287" t="inlineStr">
        <is>
          <t>Bergvik skog väst AB</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29785-2024</t>
        </is>
      </c>
      <c r="B8288" s="1" t="n">
        <v>45485</v>
      </c>
      <c r="C8288" s="1" t="n">
        <v>45932</v>
      </c>
      <c r="D8288" t="inlineStr">
        <is>
          <t>VÄRMLANDS LÄN</t>
        </is>
      </c>
      <c r="E8288" t="inlineStr">
        <is>
          <t>ARVIKA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35430-2025</t>
        </is>
      </c>
      <c r="B8289" s="1" t="n">
        <v>45855.4414699074</v>
      </c>
      <c r="C8289" s="1" t="n">
        <v>45932</v>
      </c>
      <c r="D8289" t="inlineStr">
        <is>
          <t>VÄRMLANDS LÄN</t>
        </is>
      </c>
      <c r="E8289" t="inlineStr">
        <is>
          <t>STORFORS</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25435-2024</t>
        </is>
      </c>
      <c r="B8290" s="1" t="n">
        <v>45463</v>
      </c>
      <c r="C8290" s="1" t="n">
        <v>45932</v>
      </c>
      <c r="D8290" t="inlineStr">
        <is>
          <t>VÄRMLANDS LÄN</t>
        </is>
      </c>
      <c r="E8290" t="inlineStr">
        <is>
          <t>KIL</t>
        </is>
      </c>
      <c r="F8290" t="inlineStr">
        <is>
          <t>Kyrkan</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31621-2021</t>
        </is>
      </c>
      <c r="B8291" s="1" t="n">
        <v>44369</v>
      </c>
      <c r="C8291" s="1" t="n">
        <v>45932</v>
      </c>
      <c r="D8291" t="inlineStr">
        <is>
          <t>VÄRMLANDS LÄN</t>
        </is>
      </c>
      <c r="E8291" t="inlineStr">
        <is>
          <t>SUNNE</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22798-2024</t>
        </is>
      </c>
      <c r="B8292" s="1" t="n">
        <v>45448</v>
      </c>
      <c r="C8292" s="1" t="n">
        <v>45932</v>
      </c>
      <c r="D8292" t="inlineStr">
        <is>
          <t>VÄRMLANDS LÄN</t>
        </is>
      </c>
      <c r="E8292" t="inlineStr">
        <is>
          <t>KIL</t>
        </is>
      </c>
      <c r="F8292" t="inlineStr">
        <is>
          <t>Kyrkan</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40595-2025</t>
        </is>
      </c>
      <c r="B8293" s="1" t="n">
        <v>45896.54966435185</v>
      </c>
      <c r="C8293" s="1" t="n">
        <v>45932</v>
      </c>
      <c r="D8293" t="inlineStr">
        <is>
          <t>VÄRMLANDS LÄN</t>
        </is>
      </c>
      <c r="E8293" t="inlineStr">
        <is>
          <t>FORSHAGA</t>
        </is>
      </c>
      <c r="F8293" t="inlineStr">
        <is>
          <t>Bergvik skog väst AB</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58531-2023</t>
        </is>
      </c>
      <c r="B8294" s="1" t="n">
        <v>45250</v>
      </c>
      <c r="C8294" s="1" t="n">
        <v>45932</v>
      </c>
      <c r="D8294" t="inlineStr">
        <is>
          <t>VÄRMLANDS LÄN</t>
        </is>
      </c>
      <c r="E8294" t="inlineStr">
        <is>
          <t>SUNNE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11065-2024</t>
        </is>
      </c>
      <c r="B8295" s="1" t="n">
        <v>45370</v>
      </c>
      <c r="C8295" s="1" t="n">
        <v>45932</v>
      </c>
      <c r="D8295" t="inlineStr">
        <is>
          <t>VÄRMLANDS LÄN</t>
        </is>
      </c>
      <c r="E8295" t="inlineStr">
        <is>
          <t>SUNNE</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55734-2024</t>
        </is>
      </c>
      <c r="B8296" s="1" t="n">
        <v>45622</v>
      </c>
      <c r="C8296" s="1" t="n">
        <v>45932</v>
      </c>
      <c r="D8296" t="inlineStr">
        <is>
          <t>VÄRMLANDS LÄN</t>
        </is>
      </c>
      <c r="E8296" t="inlineStr">
        <is>
          <t>ARVIKA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35334-2025</t>
        </is>
      </c>
      <c r="B8297" s="1" t="n">
        <v>45854.57973379629</v>
      </c>
      <c r="C8297" s="1" t="n">
        <v>45932</v>
      </c>
      <c r="D8297" t="inlineStr">
        <is>
          <t>VÄRMLANDS LÄN</t>
        </is>
      </c>
      <c r="E8297" t="inlineStr">
        <is>
          <t>TORSBY</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35342-2025</t>
        </is>
      </c>
      <c r="B8298" s="1" t="n">
        <v>45854</v>
      </c>
      <c r="C8298" s="1" t="n">
        <v>45932</v>
      </c>
      <c r="D8298" t="inlineStr">
        <is>
          <t>VÄRMLANDS LÄN</t>
        </is>
      </c>
      <c r="E8298" t="inlineStr">
        <is>
          <t>ARVIKA</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35350-2025</t>
        </is>
      </c>
      <c r="B8299" s="1" t="n">
        <v>45854.63583333333</v>
      </c>
      <c r="C8299" s="1" t="n">
        <v>45932</v>
      </c>
      <c r="D8299" t="inlineStr">
        <is>
          <t>VÄRMLANDS LÄN</t>
        </is>
      </c>
      <c r="E8299" t="inlineStr">
        <is>
          <t>STORFORS</t>
        </is>
      </c>
      <c r="F8299" t="inlineStr">
        <is>
          <t>Bergvik skog väst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35414-2025</t>
        </is>
      </c>
      <c r="B8300" s="1" t="n">
        <v>45855</v>
      </c>
      <c r="C8300" s="1" t="n">
        <v>45932</v>
      </c>
      <c r="D8300" t="inlineStr">
        <is>
          <t>VÄRMLANDS LÄN</t>
        </is>
      </c>
      <c r="E8300" t="inlineStr">
        <is>
          <t>ÅRJÄNG</t>
        </is>
      </c>
      <c r="F8300" t="inlineStr">
        <is>
          <t>Bergvik skog väst AB</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11640-2023</t>
        </is>
      </c>
      <c r="B8301" s="1" t="n">
        <v>44994.45181712963</v>
      </c>
      <c r="C8301" s="1" t="n">
        <v>45932</v>
      </c>
      <c r="D8301" t="inlineStr">
        <is>
          <t>VÄRMLANDS LÄN</t>
        </is>
      </c>
      <c r="E8301" t="inlineStr">
        <is>
          <t>SUNNE</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50918-2023</t>
        </is>
      </c>
      <c r="B8302" s="1" t="n">
        <v>45218.4339699074</v>
      </c>
      <c r="C8302" s="1" t="n">
        <v>45932</v>
      </c>
      <c r="D8302" t="inlineStr">
        <is>
          <t>VÄRMLANDS LÄN</t>
        </is>
      </c>
      <c r="E8302" t="inlineStr">
        <is>
          <t>ÅRJÄNG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38666-2024</t>
        </is>
      </c>
      <c r="B8303" s="1" t="n">
        <v>45547</v>
      </c>
      <c r="C8303" s="1" t="n">
        <v>45932</v>
      </c>
      <c r="D8303" t="inlineStr">
        <is>
          <t>VÄRMLANDS LÄN</t>
        </is>
      </c>
      <c r="E8303" t="inlineStr">
        <is>
          <t>ARVIKA</t>
        </is>
      </c>
      <c r="F8303" t="inlineStr">
        <is>
          <t>Kommuner</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9857-2022</t>
        </is>
      </c>
      <c r="B8304" s="1" t="n">
        <v>44620.54168981482</v>
      </c>
      <c r="C8304" s="1" t="n">
        <v>45932</v>
      </c>
      <c r="D8304" t="inlineStr">
        <is>
          <t>VÄRMLANDS LÄN</t>
        </is>
      </c>
      <c r="E8304" t="inlineStr">
        <is>
          <t>ARVIKA</t>
        </is>
      </c>
      <c r="F8304" t="inlineStr">
        <is>
          <t>Bergvik skog väst AB</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35417-2025</t>
        </is>
      </c>
      <c r="B8305" s="1" t="n">
        <v>45855.40596064815</v>
      </c>
      <c r="C8305" s="1" t="n">
        <v>45932</v>
      </c>
      <c r="D8305" t="inlineStr">
        <is>
          <t>VÄRMLANDS LÄN</t>
        </is>
      </c>
      <c r="E8305" t="inlineStr">
        <is>
          <t>SÄFFLE</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35427-2025</t>
        </is>
      </c>
      <c r="B8306" s="1" t="n">
        <v>45855</v>
      </c>
      <c r="C8306" s="1" t="n">
        <v>45932</v>
      </c>
      <c r="D8306" t="inlineStr">
        <is>
          <t>VÄRMLANDS LÄN</t>
        </is>
      </c>
      <c r="E8306" t="inlineStr">
        <is>
          <t>STORFORS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35441-2025</t>
        </is>
      </c>
      <c r="B8307" s="1" t="n">
        <v>45855</v>
      </c>
      <c r="C8307" s="1" t="n">
        <v>45932</v>
      </c>
      <c r="D8307" t="inlineStr">
        <is>
          <t>VÄRMLANDS LÄN</t>
        </is>
      </c>
      <c r="E8307" t="inlineStr">
        <is>
          <t>HAGFORS</t>
        </is>
      </c>
      <c r="F8307" t="inlineStr">
        <is>
          <t>Kyrkan</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3724-2023</t>
        </is>
      </c>
      <c r="B8308" s="1" t="n">
        <v>44951</v>
      </c>
      <c r="C8308" s="1" t="n">
        <v>45932</v>
      </c>
      <c r="D8308" t="inlineStr">
        <is>
          <t>VÄRMLANDS LÄN</t>
        </is>
      </c>
      <c r="E8308" t="inlineStr">
        <is>
          <t>HAGFORS</t>
        </is>
      </c>
      <c r="F8308" t="inlineStr">
        <is>
          <t>Kyrkan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3736-2023</t>
        </is>
      </c>
      <c r="B8309" s="1" t="n">
        <v>44949</v>
      </c>
      <c r="C8309" s="1" t="n">
        <v>45932</v>
      </c>
      <c r="D8309" t="inlineStr">
        <is>
          <t>VÄRMLANDS LÄN</t>
        </is>
      </c>
      <c r="E8309" t="inlineStr">
        <is>
          <t>KARLSTAD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2186-2025</t>
        </is>
      </c>
      <c r="B8310" s="1" t="n">
        <v>45673.36144675926</v>
      </c>
      <c r="C8310" s="1" t="n">
        <v>45932</v>
      </c>
      <c r="D8310" t="inlineStr">
        <is>
          <t>VÄRMLANDS LÄN</t>
        </is>
      </c>
      <c r="E8310" t="inlineStr">
        <is>
          <t>ARVIKA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2189-2025</t>
        </is>
      </c>
      <c r="B8311" s="1" t="n">
        <v>45672</v>
      </c>
      <c r="C8311" s="1" t="n">
        <v>45932</v>
      </c>
      <c r="D8311" t="inlineStr">
        <is>
          <t>VÄRMLANDS LÄN</t>
        </is>
      </c>
      <c r="E8311" t="inlineStr">
        <is>
          <t>ARVIKA</t>
        </is>
      </c>
      <c r="G8311" t="n">
        <v>16.2</v>
      </c>
      <c r="H8311" t="n">
        <v>0</v>
      </c>
      <c r="I8311" t="n">
        <v>0</v>
      </c>
      <c r="J8311" t="n">
        <v>0</v>
      </c>
      <c r="K8311" t="n">
        <v>0</v>
      </c>
      <c r="L8311" t="n">
        <v>0</v>
      </c>
      <c r="M8311" t="n">
        <v>0</v>
      </c>
      <c r="N8311" t="n">
        <v>0</v>
      </c>
      <c r="O8311" t="n">
        <v>0</v>
      </c>
      <c r="P8311" t="n">
        <v>0</v>
      </c>
      <c r="Q8311" t="n">
        <v>0</v>
      </c>
      <c r="R8311" s="2" t="inlineStr"/>
    </row>
    <row r="8312" ht="15" customHeight="1">
      <c r="A8312" t="inlineStr">
        <is>
          <t>A 10895-2024</t>
        </is>
      </c>
      <c r="B8312" s="1" t="n">
        <v>45370.34901620371</v>
      </c>
      <c r="C8312" s="1" t="n">
        <v>45932</v>
      </c>
      <c r="D8312" t="inlineStr">
        <is>
          <t>VÄRMLANDS LÄN</t>
        </is>
      </c>
      <c r="E8312" t="inlineStr">
        <is>
          <t>TORSBY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35295-2025</t>
        </is>
      </c>
      <c r="B8313" s="1" t="n">
        <v>45854.40325231481</v>
      </c>
      <c r="C8313" s="1" t="n">
        <v>45932</v>
      </c>
      <c r="D8313" t="inlineStr">
        <is>
          <t>VÄRMLANDS LÄN</t>
        </is>
      </c>
      <c r="E8313" t="inlineStr">
        <is>
          <t>ÅRJÄNG</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40128-2025</t>
        </is>
      </c>
      <c r="B8314" s="1" t="n">
        <v>45894</v>
      </c>
      <c r="C8314" s="1" t="n">
        <v>45932</v>
      </c>
      <c r="D8314" t="inlineStr">
        <is>
          <t>VÄRMLANDS LÄN</t>
        </is>
      </c>
      <c r="E8314" t="inlineStr">
        <is>
          <t>TORSBY</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10918-2024</t>
        </is>
      </c>
      <c r="B8315" s="1" t="n">
        <v>45370.40393518518</v>
      </c>
      <c r="C8315" s="1" t="n">
        <v>45932</v>
      </c>
      <c r="D8315" t="inlineStr">
        <is>
          <t>VÄRMLANDS LÄN</t>
        </is>
      </c>
      <c r="E8315" t="inlineStr">
        <is>
          <t>EDA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44170-2022</t>
        </is>
      </c>
      <c r="B8316" s="1" t="n">
        <v>44838</v>
      </c>
      <c r="C8316" s="1" t="n">
        <v>45932</v>
      </c>
      <c r="D8316" t="inlineStr">
        <is>
          <t>VÄRMLANDS LÄN</t>
        </is>
      </c>
      <c r="E8316" t="inlineStr">
        <is>
          <t>TORSBY</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67196-2021</t>
        </is>
      </c>
      <c r="B8317" s="1" t="n">
        <v>44523.45806712963</v>
      </c>
      <c r="C8317" s="1" t="n">
        <v>45932</v>
      </c>
      <c r="D8317" t="inlineStr">
        <is>
          <t>VÄRMLANDS LÄN</t>
        </is>
      </c>
      <c r="E8317" t="inlineStr">
        <is>
          <t>ARVIKA</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40533-2025</t>
        </is>
      </c>
      <c r="B8318" s="1" t="n">
        <v>45896.39315972223</v>
      </c>
      <c r="C8318" s="1" t="n">
        <v>45932</v>
      </c>
      <c r="D8318" t="inlineStr">
        <is>
          <t>VÄRMLANDS LÄN</t>
        </is>
      </c>
      <c r="E8318" t="inlineStr">
        <is>
          <t>ARVIKA</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43256-2024</t>
        </is>
      </c>
      <c r="B8319" s="1" t="n">
        <v>45568</v>
      </c>
      <c r="C8319" s="1" t="n">
        <v>45932</v>
      </c>
      <c r="D8319" t="inlineStr">
        <is>
          <t>VÄRMLANDS LÄN</t>
        </is>
      </c>
      <c r="E8319" t="inlineStr">
        <is>
          <t>TORSBY</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24146-2023</t>
        </is>
      </c>
      <c r="B8320" s="1" t="n">
        <v>45079</v>
      </c>
      <c r="C8320" s="1" t="n">
        <v>45932</v>
      </c>
      <c r="D8320" t="inlineStr">
        <is>
          <t>VÄRMLANDS LÄN</t>
        </is>
      </c>
      <c r="E8320" t="inlineStr">
        <is>
          <t>KRISTINEHAMN</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3790-2025</t>
        </is>
      </c>
      <c r="B8321" s="1" t="n">
        <v>45681</v>
      </c>
      <c r="C8321" s="1" t="n">
        <v>45932</v>
      </c>
      <c r="D8321" t="inlineStr">
        <is>
          <t>VÄRMLANDS LÄN</t>
        </is>
      </c>
      <c r="E8321" t="inlineStr">
        <is>
          <t>KRISTINEHAMN</t>
        </is>
      </c>
      <c r="F8321" t="inlineStr">
        <is>
          <t>Kommuner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3885-2024</t>
        </is>
      </c>
      <c r="B8322" s="1" t="n">
        <v>45322</v>
      </c>
      <c r="C8322" s="1" t="n">
        <v>45932</v>
      </c>
      <c r="D8322" t="inlineStr">
        <is>
          <t>VÄRMLANDS LÄN</t>
        </is>
      </c>
      <c r="E8322" t="inlineStr">
        <is>
          <t>KARLSTAD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65357-2021</t>
        </is>
      </c>
      <c r="B8323" s="1" t="n">
        <v>44515.66583333333</v>
      </c>
      <c r="C8323" s="1" t="n">
        <v>45932</v>
      </c>
      <c r="D8323" t="inlineStr">
        <is>
          <t>VÄRMLANDS LÄN</t>
        </is>
      </c>
      <c r="E8323" t="inlineStr">
        <is>
          <t>ARVIKA</t>
        </is>
      </c>
      <c r="F8323" t="inlineStr">
        <is>
          <t>Bergvik skog väst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30249-2022</t>
        </is>
      </c>
      <c r="B8324" s="1" t="n">
        <v>44758.50113425926</v>
      </c>
      <c r="C8324" s="1" t="n">
        <v>45932</v>
      </c>
      <c r="D8324" t="inlineStr">
        <is>
          <t>VÄRMLANDS LÄN</t>
        </is>
      </c>
      <c r="E8324" t="inlineStr">
        <is>
          <t>SÄFFLE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6494-2023</t>
        </is>
      </c>
      <c r="B8325" s="1" t="n">
        <v>44966</v>
      </c>
      <c r="C8325" s="1" t="n">
        <v>45932</v>
      </c>
      <c r="D8325" t="inlineStr">
        <is>
          <t>VÄRMLANDS LÄN</t>
        </is>
      </c>
      <c r="E8325" t="inlineStr">
        <is>
          <t>EDA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40519-2025</t>
        </is>
      </c>
      <c r="B8326" s="1" t="n">
        <v>45896.3640162037</v>
      </c>
      <c r="C8326" s="1" t="n">
        <v>45932</v>
      </c>
      <c r="D8326" t="inlineStr">
        <is>
          <t>VÄRMLANDS LÄN</t>
        </is>
      </c>
      <c r="E8326" t="inlineStr">
        <is>
          <t>TORSBY</t>
        </is>
      </c>
      <c r="F8326" t="inlineStr">
        <is>
          <t>Bergvik skog väst AB</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40524-2025</t>
        </is>
      </c>
      <c r="B8327" s="1" t="n">
        <v>45896</v>
      </c>
      <c r="C8327" s="1" t="n">
        <v>45932</v>
      </c>
      <c r="D8327" t="inlineStr">
        <is>
          <t>VÄRMLANDS LÄN</t>
        </is>
      </c>
      <c r="E8327" t="inlineStr">
        <is>
          <t>GRUMS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15797-2025</t>
        </is>
      </c>
      <c r="B8328" s="1" t="n">
        <v>45748</v>
      </c>
      <c r="C8328" s="1" t="n">
        <v>45932</v>
      </c>
      <c r="D8328" t="inlineStr">
        <is>
          <t>VÄRMLANDS LÄN</t>
        </is>
      </c>
      <c r="E8328" t="inlineStr">
        <is>
          <t>EDA</t>
        </is>
      </c>
      <c r="F8328" t="inlineStr">
        <is>
          <t>Bergvik skog väst AB</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39735-2025</t>
        </is>
      </c>
      <c r="B8329" s="1" t="n">
        <v>45891</v>
      </c>
      <c r="C8329" s="1" t="n">
        <v>45932</v>
      </c>
      <c r="D8329" t="inlineStr">
        <is>
          <t>VÄRMLANDS LÄN</t>
        </is>
      </c>
      <c r="E8329" t="inlineStr">
        <is>
          <t>EDA</t>
        </is>
      </c>
      <c r="F8329" t="inlineStr">
        <is>
          <t>Övriga Aktiebolag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35426-2025</t>
        </is>
      </c>
      <c r="B8330" s="1" t="n">
        <v>45855</v>
      </c>
      <c r="C8330" s="1" t="n">
        <v>45932</v>
      </c>
      <c r="D8330" t="inlineStr">
        <is>
          <t>VÄRMLANDS LÄN</t>
        </is>
      </c>
      <c r="E8330" t="inlineStr">
        <is>
          <t>GRUMS</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35431-2025</t>
        </is>
      </c>
      <c r="B8331" s="1" t="n">
        <v>45855.44628472222</v>
      </c>
      <c r="C8331" s="1" t="n">
        <v>45932</v>
      </c>
      <c r="D8331" t="inlineStr">
        <is>
          <t>VÄRMLANDS LÄN</t>
        </is>
      </c>
      <c r="E8331" t="inlineStr">
        <is>
          <t>STORFORS</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54735-2023</t>
        </is>
      </c>
      <c r="B8332" s="1" t="n">
        <v>45236.38716435185</v>
      </c>
      <c r="C8332" s="1" t="n">
        <v>45932</v>
      </c>
      <c r="D8332" t="inlineStr">
        <is>
          <t>VÄRMLANDS LÄN</t>
        </is>
      </c>
      <c r="E8332" t="inlineStr">
        <is>
          <t>SUNNE</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54738-2023</t>
        </is>
      </c>
      <c r="B8333" s="1" t="n">
        <v>45236</v>
      </c>
      <c r="C8333" s="1" t="n">
        <v>45932</v>
      </c>
      <c r="D8333" t="inlineStr">
        <is>
          <t>VÄRMLANDS LÄN</t>
        </is>
      </c>
      <c r="E8333" t="inlineStr">
        <is>
          <t>STORFORS</t>
        </is>
      </c>
      <c r="F8333" t="inlineStr">
        <is>
          <t>Naturvårdsverket</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16764-2024</t>
        </is>
      </c>
      <c r="B8334" s="1" t="n">
        <v>45411</v>
      </c>
      <c r="C8334" s="1" t="n">
        <v>45932</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66226-2021</t>
        </is>
      </c>
      <c r="B8335" s="1" t="n">
        <v>44518</v>
      </c>
      <c r="C8335" s="1" t="n">
        <v>45932</v>
      </c>
      <c r="D8335" t="inlineStr">
        <is>
          <t>VÄRMLANDS LÄN</t>
        </is>
      </c>
      <c r="E8335" t="inlineStr">
        <is>
          <t>ARVIKA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34075-2025</t>
        </is>
      </c>
      <c r="B8336" s="1" t="n">
        <v>45845</v>
      </c>
      <c r="C8336" s="1" t="n">
        <v>45932</v>
      </c>
      <c r="D8336" t="inlineStr">
        <is>
          <t>VÄRMLANDS LÄN</t>
        </is>
      </c>
      <c r="E8336" t="inlineStr">
        <is>
          <t>ÅRJÄNG</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38084-2023</t>
        </is>
      </c>
      <c r="B8337" s="1" t="n">
        <v>45160</v>
      </c>
      <c r="C8337" s="1" t="n">
        <v>45932</v>
      </c>
      <c r="D8337" t="inlineStr">
        <is>
          <t>VÄRMLANDS LÄN</t>
        </is>
      </c>
      <c r="E8337" t="inlineStr">
        <is>
          <t>TORSBY</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40398-2025</t>
        </is>
      </c>
      <c r="B8338" s="1" t="n">
        <v>45895</v>
      </c>
      <c r="C8338" s="1" t="n">
        <v>45932</v>
      </c>
      <c r="D8338" t="inlineStr">
        <is>
          <t>VÄRMLANDS LÄN</t>
        </is>
      </c>
      <c r="E8338" t="inlineStr">
        <is>
          <t>FILIPSTAD</t>
        </is>
      </c>
      <c r="F8338" t="inlineStr">
        <is>
          <t>Bergvik skog väst AB</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3302-2025</t>
        </is>
      </c>
      <c r="B8339" s="1" t="n">
        <v>45679.6528587963</v>
      </c>
      <c r="C8339" s="1" t="n">
        <v>45932</v>
      </c>
      <c r="D8339" t="inlineStr">
        <is>
          <t>VÄRMLANDS LÄN</t>
        </is>
      </c>
      <c r="E8339" t="inlineStr">
        <is>
          <t>SUNNE</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18056-2023</t>
        </is>
      </c>
      <c r="B8340" s="1" t="n">
        <v>45040.62565972222</v>
      </c>
      <c r="C8340" s="1" t="n">
        <v>45932</v>
      </c>
      <c r="D8340" t="inlineStr">
        <is>
          <t>VÄRMLANDS LÄN</t>
        </is>
      </c>
      <c r="E8340" t="inlineStr">
        <is>
          <t>EDA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40764-2025</t>
        </is>
      </c>
      <c r="B8341" s="1" t="n">
        <v>45897</v>
      </c>
      <c r="C8341" s="1" t="n">
        <v>45932</v>
      </c>
      <c r="D8341" t="inlineStr">
        <is>
          <t>VÄRMLANDS LÄN</t>
        </is>
      </c>
      <c r="E8341" t="inlineStr">
        <is>
          <t>FILIPSTAD</t>
        </is>
      </c>
      <c r="F8341" t="inlineStr">
        <is>
          <t>Bergvik skog väst AB</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53368-2024</t>
        </is>
      </c>
      <c r="B8342" s="1" t="n">
        <v>45614</v>
      </c>
      <c r="C8342" s="1" t="n">
        <v>45932</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27138-2024</t>
        </is>
      </c>
      <c r="B8343" s="1" t="n">
        <v>45471</v>
      </c>
      <c r="C8343" s="1" t="n">
        <v>45932</v>
      </c>
      <c r="D8343" t="inlineStr">
        <is>
          <t>VÄRMLANDS LÄN</t>
        </is>
      </c>
      <c r="E8343" t="inlineStr">
        <is>
          <t>ÅRJÄNG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45635-2024</t>
        </is>
      </c>
      <c r="B8344" s="1" t="n">
        <v>45579</v>
      </c>
      <c r="C8344" s="1" t="n">
        <v>45932</v>
      </c>
      <c r="D8344" t="inlineStr">
        <is>
          <t>VÄRMLANDS LÄN</t>
        </is>
      </c>
      <c r="E8344" t="inlineStr">
        <is>
          <t>ÅRJÄNG</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40881-2025</t>
        </is>
      </c>
      <c r="B8345" s="1" t="n">
        <v>45897.59447916667</v>
      </c>
      <c r="C8345" s="1" t="n">
        <v>45932</v>
      </c>
      <c r="D8345" t="inlineStr">
        <is>
          <t>VÄRMLANDS LÄN</t>
        </is>
      </c>
      <c r="E8345" t="inlineStr">
        <is>
          <t>HAGFORS</t>
        </is>
      </c>
      <c r="F8345" t="inlineStr">
        <is>
          <t>Bergvik skog väst AB</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1320-2023</t>
        </is>
      </c>
      <c r="B8346" s="1" t="n">
        <v>44936</v>
      </c>
      <c r="C8346" s="1" t="n">
        <v>45932</v>
      </c>
      <c r="D8346" t="inlineStr">
        <is>
          <t>VÄRMLANDS LÄN</t>
        </is>
      </c>
      <c r="E8346" t="inlineStr">
        <is>
          <t>KIL</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1329-2023</t>
        </is>
      </c>
      <c r="B8347" s="1" t="n">
        <v>44936.57364583333</v>
      </c>
      <c r="C8347" s="1" t="n">
        <v>45932</v>
      </c>
      <c r="D8347" t="inlineStr">
        <is>
          <t>VÄRMLANDS LÄN</t>
        </is>
      </c>
      <c r="E8347" t="inlineStr">
        <is>
          <t>SÄFFLE</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36716-2023</t>
        </is>
      </c>
      <c r="B8348" s="1" t="n">
        <v>45153.66541666666</v>
      </c>
      <c r="C8348" s="1" t="n">
        <v>45932</v>
      </c>
      <c r="D8348" t="inlineStr">
        <is>
          <t>VÄRMLANDS LÄN</t>
        </is>
      </c>
      <c r="E8348" t="inlineStr">
        <is>
          <t>EDA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33869-2024</t>
        </is>
      </c>
      <c r="B8349" s="1" t="n">
        <v>45520.73450231482</v>
      </c>
      <c r="C8349" s="1" t="n">
        <v>45932</v>
      </c>
      <c r="D8349" t="inlineStr">
        <is>
          <t>VÄRMLANDS LÄN</t>
        </is>
      </c>
      <c r="E8349" t="inlineStr">
        <is>
          <t>ARVIKA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40926-2025</t>
        </is>
      </c>
      <c r="B8350" s="1" t="n">
        <v>45897.64236111111</v>
      </c>
      <c r="C8350" s="1" t="n">
        <v>45932</v>
      </c>
      <c r="D8350" t="inlineStr">
        <is>
          <t>VÄRMLANDS LÄN</t>
        </is>
      </c>
      <c r="E8350" t="inlineStr">
        <is>
          <t>HAGFORS</t>
        </is>
      </c>
      <c r="F8350" t="inlineStr">
        <is>
          <t>Bergvik skog väst AB</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7907-2025</t>
        </is>
      </c>
      <c r="B8351" s="1" t="n">
        <v>45707</v>
      </c>
      <c r="C8351" s="1" t="n">
        <v>45932</v>
      </c>
      <c r="D8351" t="inlineStr">
        <is>
          <t>VÄRMLANDS LÄN</t>
        </is>
      </c>
      <c r="E8351" t="inlineStr">
        <is>
          <t>TORSBY</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7928-2025</t>
        </is>
      </c>
      <c r="B8352" s="1" t="n">
        <v>45707.36717592592</v>
      </c>
      <c r="C8352" s="1" t="n">
        <v>45932</v>
      </c>
      <c r="D8352" t="inlineStr">
        <is>
          <t>VÄRMLANDS LÄN</t>
        </is>
      </c>
      <c r="E8352" t="inlineStr">
        <is>
          <t>SUNNE</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33605-2024</t>
        </is>
      </c>
      <c r="B8353" s="1" t="n">
        <v>45520.37755787037</v>
      </c>
      <c r="C8353" s="1" t="n">
        <v>45932</v>
      </c>
      <c r="D8353" t="inlineStr">
        <is>
          <t>VÄRMLANDS LÄN</t>
        </is>
      </c>
      <c r="E8353" t="inlineStr">
        <is>
          <t>ARVIKA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40667-2025</t>
        </is>
      </c>
      <c r="B8354" s="1" t="n">
        <v>45896.65934027778</v>
      </c>
      <c r="C8354" s="1" t="n">
        <v>45932</v>
      </c>
      <c r="D8354" t="inlineStr">
        <is>
          <t>VÄRMLANDS LÄN</t>
        </is>
      </c>
      <c r="E8354" t="inlineStr">
        <is>
          <t>FILIPSTAD</t>
        </is>
      </c>
      <c r="F8354" t="inlineStr">
        <is>
          <t>Bergvik skog väst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35312-2025</t>
        </is>
      </c>
      <c r="B8355" s="1" t="n">
        <v>45854</v>
      </c>
      <c r="C8355" s="1" t="n">
        <v>45932</v>
      </c>
      <c r="D8355" t="inlineStr">
        <is>
          <t>VÄRMLANDS LÄN</t>
        </is>
      </c>
      <c r="E8355" t="inlineStr">
        <is>
          <t>HAGFORS</t>
        </is>
      </c>
      <c r="F8355" t="inlineStr">
        <is>
          <t>Kyrkan</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35367-2025</t>
        </is>
      </c>
      <c r="B8356" s="1" t="n">
        <v>45854</v>
      </c>
      <c r="C8356" s="1" t="n">
        <v>45932</v>
      </c>
      <c r="D8356" t="inlineStr">
        <is>
          <t>VÄRMLANDS LÄN</t>
        </is>
      </c>
      <c r="E8356" t="inlineStr">
        <is>
          <t>TORSBY</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35371-2025</t>
        </is>
      </c>
      <c r="B8357" s="1" t="n">
        <v>45854</v>
      </c>
      <c r="C8357" s="1" t="n">
        <v>45932</v>
      </c>
      <c r="D8357" t="inlineStr">
        <is>
          <t>VÄRMLANDS LÄN</t>
        </is>
      </c>
      <c r="E8357" t="inlineStr">
        <is>
          <t>ARVIKA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6529-2025</t>
        </is>
      </c>
      <c r="B8358" s="1" t="n">
        <v>45699</v>
      </c>
      <c r="C8358" s="1" t="n">
        <v>45932</v>
      </c>
      <c r="D8358" t="inlineStr">
        <is>
          <t>VÄRMLANDS LÄN</t>
        </is>
      </c>
      <c r="E8358" t="inlineStr">
        <is>
          <t>TORSBY</t>
        </is>
      </c>
      <c r="F8358" t="inlineStr">
        <is>
          <t>Kommuner</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18229-2025</t>
        </is>
      </c>
      <c r="B8359" s="1" t="n">
        <v>45761.85296296296</v>
      </c>
      <c r="C8359" s="1" t="n">
        <v>45932</v>
      </c>
      <c r="D8359" t="inlineStr">
        <is>
          <t>VÄRMLANDS LÄN</t>
        </is>
      </c>
      <c r="E8359" t="inlineStr">
        <is>
          <t>FORSHAGA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18356-2025</t>
        </is>
      </c>
      <c r="B8360" s="1" t="n">
        <v>45762</v>
      </c>
      <c r="C8360" s="1" t="n">
        <v>45932</v>
      </c>
      <c r="D8360" t="inlineStr">
        <is>
          <t>VÄRMLANDS LÄN</t>
        </is>
      </c>
      <c r="E8360" t="inlineStr">
        <is>
          <t>SUNNE</t>
        </is>
      </c>
      <c r="F8360" t="inlineStr">
        <is>
          <t>Bergvik skog väst AB</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40569-2025</t>
        </is>
      </c>
      <c r="B8361" s="1" t="n">
        <v>45896</v>
      </c>
      <c r="C8361" s="1" t="n">
        <v>45932</v>
      </c>
      <c r="D8361" t="inlineStr">
        <is>
          <t>VÄRMLANDS LÄN</t>
        </is>
      </c>
      <c r="E8361" t="inlineStr">
        <is>
          <t>SUNNE</t>
        </is>
      </c>
      <c r="F8361" t="inlineStr">
        <is>
          <t>Bergvik skog väst AB</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40601-2025</t>
        </is>
      </c>
      <c r="B8362" s="1" t="n">
        <v>45896</v>
      </c>
      <c r="C8362" s="1" t="n">
        <v>45932</v>
      </c>
      <c r="D8362" t="inlineStr">
        <is>
          <t>VÄRMLANDS LÄN</t>
        </is>
      </c>
      <c r="E8362" t="inlineStr">
        <is>
          <t>ÅRJÄNG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33469-2024</t>
        </is>
      </c>
      <c r="B8363" s="1" t="n">
        <v>45519.5996875</v>
      </c>
      <c r="C8363" s="1" t="n">
        <v>45932</v>
      </c>
      <c r="D8363" t="inlineStr">
        <is>
          <t>VÄRMLANDS LÄN</t>
        </is>
      </c>
      <c r="E8363" t="inlineStr">
        <is>
          <t>TORSBY</t>
        </is>
      </c>
      <c r="F8363" t="inlineStr">
        <is>
          <t>Bergvik skog väst AB</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50943-2020</t>
        </is>
      </c>
      <c r="B8364" s="1" t="n">
        <v>44111</v>
      </c>
      <c r="C8364" s="1" t="n">
        <v>45932</v>
      </c>
      <c r="D8364" t="inlineStr">
        <is>
          <t>VÄRMLANDS LÄN</t>
        </is>
      </c>
      <c r="E8364" t="inlineStr">
        <is>
          <t>TORSBY</t>
        </is>
      </c>
      <c r="F8364" t="inlineStr">
        <is>
          <t>Bergvik skog väst AB</t>
        </is>
      </c>
      <c r="G8364" t="n">
        <v>18.4</v>
      </c>
      <c r="H8364" t="n">
        <v>0</v>
      </c>
      <c r="I8364" t="n">
        <v>0</v>
      </c>
      <c r="J8364" t="n">
        <v>0</v>
      </c>
      <c r="K8364" t="n">
        <v>0</v>
      </c>
      <c r="L8364" t="n">
        <v>0</v>
      </c>
      <c r="M8364" t="n">
        <v>0</v>
      </c>
      <c r="N8364" t="n">
        <v>0</v>
      </c>
      <c r="O8364" t="n">
        <v>0</v>
      </c>
      <c r="P8364" t="n">
        <v>0</v>
      </c>
      <c r="Q8364" t="n">
        <v>0</v>
      </c>
      <c r="R8364" s="2" t="inlineStr"/>
    </row>
    <row r="8365" ht="15" customHeight="1">
      <c r="A8365" t="inlineStr">
        <is>
          <t>A 39823-2025</t>
        </is>
      </c>
      <c r="B8365" s="1" t="n">
        <v>45891</v>
      </c>
      <c r="C8365" s="1" t="n">
        <v>45932</v>
      </c>
      <c r="D8365" t="inlineStr">
        <is>
          <t>VÄRMLANDS LÄN</t>
        </is>
      </c>
      <c r="E8365" t="inlineStr">
        <is>
          <t>FILIPSTAD</t>
        </is>
      </c>
      <c r="F8365" t="inlineStr">
        <is>
          <t>Bergvik skog väst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40546-2025</t>
        </is>
      </c>
      <c r="B8366" s="1" t="n">
        <v>45896.43155092592</v>
      </c>
      <c r="C8366" s="1" t="n">
        <v>45932</v>
      </c>
      <c r="D8366" t="inlineStr">
        <is>
          <t>VÄRMLANDS LÄN</t>
        </is>
      </c>
      <c r="E8366" t="inlineStr">
        <is>
          <t>FILIPSTAD</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35306-2025</t>
        </is>
      </c>
      <c r="B8367" s="1" t="n">
        <v>45854</v>
      </c>
      <c r="C8367" s="1" t="n">
        <v>45932</v>
      </c>
      <c r="D8367" t="inlineStr">
        <is>
          <t>VÄRMLANDS LÄN</t>
        </is>
      </c>
      <c r="E8367" t="inlineStr">
        <is>
          <t>ARVIKA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48462-2023</t>
        </is>
      </c>
      <c r="B8368" s="1" t="n">
        <v>45206</v>
      </c>
      <c r="C8368" s="1" t="n">
        <v>45932</v>
      </c>
      <c r="D8368" t="inlineStr">
        <is>
          <t>VÄRMLANDS LÄN</t>
        </is>
      </c>
      <c r="E8368" t="inlineStr">
        <is>
          <t>ARVIKA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26495-2023</t>
        </is>
      </c>
      <c r="B8369" s="1" t="n">
        <v>45092.49870370371</v>
      </c>
      <c r="C8369" s="1" t="n">
        <v>45932</v>
      </c>
      <c r="D8369" t="inlineStr">
        <is>
          <t>VÄRMLANDS LÄN</t>
        </is>
      </c>
      <c r="E8369" t="inlineStr">
        <is>
          <t>EDA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40596-2025</t>
        </is>
      </c>
      <c r="B8370" s="1" t="n">
        <v>45896.54994212963</v>
      </c>
      <c r="C8370" s="1" t="n">
        <v>45932</v>
      </c>
      <c r="D8370" t="inlineStr">
        <is>
          <t>VÄRMLANDS LÄN</t>
        </is>
      </c>
      <c r="E8370" t="inlineStr">
        <is>
          <t>FILIPSTAD</t>
        </is>
      </c>
      <c r="F8370" t="inlineStr">
        <is>
          <t>Bergvik skog väst AB</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58131-2022</t>
        </is>
      </c>
      <c r="B8371" s="1" t="n">
        <v>44900.67949074074</v>
      </c>
      <c r="C8371" s="1" t="n">
        <v>45932</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13620-2023</t>
        </is>
      </c>
      <c r="B8372" s="1" t="n">
        <v>45006</v>
      </c>
      <c r="C8372" s="1" t="n">
        <v>45932</v>
      </c>
      <c r="D8372" t="inlineStr">
        <is>
          <t>VÄRMLANDS LÄN</t>
        </is>
      </c>
      <c r="E8372" t="inlineStr">
        <is>
          <t>ÅRJÄNG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69361-2020</t>
        </is>
      </c>
      <c r="B8373" s="1" t="n">
        <v>44193</v>
      </c>
      <c r="C8373" s="1" t="n">
        <v>45932</v>
      </c>
      <c r="D8373" t="inlineStr">
        <is>
          <t>VÄRMLANDS LÄN</t>
        </is>
      </c>
      <c r="E8373" t="inlineStr">
        <is>
          <t>ARVIKA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40562-2025</t>
        </is>
      </c>
      <c r="B8374" s="1" t="n">
        <v>45896.45993055555</v>
      </c>
      <c r="C8374" s="1" t="n">
        <v>45932</v>
      </c>
      <c r="D8374" t="inlineStr">
        <is>
          <t>VÄRMLANDS LÄN</t>
        </is>
      </c>
      <c r="E8374" t="inlineStr">
        <is>
          <t>HAGFORS</t>
        </is>
      </c>
      <c r="F8374" t="inlineStr">
        <is>
          <t>Bergvik skog väst AB</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47647-2021</t>
        </is>
      </c>
      <c r="B8375" s="1" t="n">
        <v>44448.40790509259</v>
      </c>
      <c r="C8375" s="1" t="n">
        <v>45932</v>
      </c>
      <c r="D8375" t="inlineStr">
        <is>
          <t>VÄRMLANDS LÄN</t>
        </is>
      </c>
      <c r="E8375" t="inlineStr">
        <is>
          <t>ÅRJÄNG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35307-2025</t>
        </is>
      </c>
      <c r="B8376" s="1" t="n">
        <v>45854</v>
      </c>
      <c r="C8376" s="1" t="n">
        <v>45932</v>
      </c>
      <c r="D8376" t="inlineStr">
        <is>
          <t>VÄRMLANDS LÄN</t>
        </is>
      </c>
      <c r="E8376" t="inlineStr">
        <is>
          <t>HAGFORS</t>
        </is>
      </c>
      <c r="F8376" t="inlineStr">
        <is>
          <t>Kyrkan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40729-2025</t>
        </is>
      </c>
      <c r="B8377" s="1" t="n">
        <v>45897.35421296296</v>
      </c>
      <c r="C8377" s="1" t="n">
        <v>45932</v>
      </c>
      <c r="D8377" t="inlineStr">
        <is>
          <t>VÄRMLANDS LÄN</t>
        </is>
      </c>
      <c r="E8377" t="inlineStr">
        <is>
          <t>TORSBY</t>
        </is>
      </c>
      <c r="F8377" t="inlineStr">
        <is>
          <t>Bergvik skog väst AB</t>
        </is>
      </c>
      <c r="G8377" t="n">
        <v>25.4</v>
      </c>
      <c r="H8377" t="n">
        <v>0</v>
      </c>
      <c r="I8377" t="n">
        <v>0</v>
      </c>
      <c r="J8377" t="n">
        <v>0</v>
      </c>
      <c r="K8377" t="n">
        <v>0</v>
      </c>
      <c r="L8377" t="n">
        <v>0</v>
      </c>
      <c r="M8377" t="n">
        <v>0</v>
      </c>
      <c r="N8377" t="n">
        <v>0</v>
      </c>
      <c r="O8377" t="n">
        <v>0</v>
      </c>
      <c r="P8377" t="n">
        <v>0</v>
      </c>
      <c r="Q8377" t="n">
        <v>0</v>
      </c>
      <c r="R8377" s="2" t="inlineStr"/>
    </row>
    <row r="8378" ht="15" customHeight="1">
      <c r="A8378" t="inlineStr">
        <is>
          <t>A 34381-2025</t>
        </is>
      </c>
      <c r="B8378" s="1" t="n">
        <v>45846</v>
      </c>
      <c r="C8378" s="1" t="n">
        <v>45932</v>
      </c>
      <c r="D8378" t="inlineStr">
        <is>
          <t>VÄRMLANDS LÄN</t>
        </is>
      </c>
      <c r="E8378" t="inlineStr">
        <is>
          <t>ARVIKA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39907-2025</t>
        </is>
      </c>
      <c r="B8379" s="1" t="n">
        <v>45891</v>
      </c>
      <c r="C8379" s="1" t="n">
        <v>45932</v>
      </c>
      <c r="D8379" t="inlineStr">
        <is>
          <t>VÄRMLANDS LÄN</t>
        </is>
      </c>
      <c r="E8379" t="inlineStr">
        <is>
          <t>KARLSTAD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34980-2025</t>
        </is>
      </c>
      <c r="B8380" s="1" t="n">
        <v>45849</v>
      </c>
      <c r="C8380" s="1" t="n">
        <v>45932</v>
      </c>
      <c r="D8380" t="inlineStr">
        <is>
          <t>VÄRMLANDS LÄN</t>
        </is>
      </c>
      <c r="E8380" t="inlineStr">
        <is>
          <t>ARVIKA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44270-2022</t>
        </is>
      </c>
      <c r="B8381" s="1" t="n">
        <v>44839.57755787037</v>
      </c>
      <c r="C8381" s="1" t="n">
        <v>45932</v>
      </c>
      <c r="D8381" t="inlineStr">
        <is>
          <t>VÄRMLANDS LÄN</t>
        </is>
      </c>
      <c r="E8381" t="inlineStr">
        <is>
          <t>ARVIKA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37474-2024</t>
        </is>
      </c>
      <c r="B8382" s="1" t="n">
        <v>45541.29113425926</v>
      </c>
      <c r="C8382" s="1" t="n">
        <v>45932</v>
      </c>
      <c r="D8382" t="inlineStr">
        <is>
          <t>VÄRMLANDS LÄN</t>
        </is>
      </c>
      <c r="E8382" t="inlineStr">
        <is>
          <t>SUNNE</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30527-2022</t>
        </is>
      </c>
      <c r="B8383" s="1" t="n">
        <v>44762.44436342592</v>
      </c>
      <c r="C8383" s="1" t="n">
        <v>45932</v>
      </c>
      <c r="D8383" t="inlineStr">
        <is>
          <t>VÄRMLANDS LÄN</t>
        </is>
      </c>
      <c r="E8383" t="inlineStr">
        <is>
          <t>GRUMS</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55900-2024</t>
        </is>
      </c>
      <c r="B8384" s="1" t="n">
        <v>45623</v>
      </c>
      <c r="C8384" s="1" t="n">
        <v>45932</v>
      </c>
      <c r="D8384" t="inlineStr">
        <is>
          <t>VÄRMLANDS LÄN</t>
        </is>
      </c>
      <c r="E8384" t="inlineStr">
        <is>
          <t>SUNNE</t>
        </is>
      </c>
      <c r="F8384" t="inlineStr">
        <is>
          <t>Övriga Aktiebolag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32556-2024</t>
        </is>
      </c>
      <c r="B8385" s="1" t="n">
        <v>45513.52241898148</v>
      </c>
      <c r="C8385" s="1" t="n">
        <v>45932</v>
      </c>
      <c r="D8385" t="inlineStr">
        <is>
          <t>VÄRMLANDS LÄN</t>
        </is>
      </c>
      <c r="E8385" t="inlineStr">
        <is>
          <t>ARVIKA</t>
        </is>
      </c>
      <c r="F8385" t="inlineStr">
        <is>
          <t>Bergvik skog väst AB</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40699-2025</t>
        </is>
      </c>
      <c r="B8386" s="1" t="n">
        <v>45897.31958333333</v>
      </c>
      <c r="C8386" s="1" t="n">
        <v>45932</v>
      </c>
      <c r="D8386" t="inlineStr">
        <is>
          <t>VÄRMLANDS LÄN</t>
        </is>
      </c>
      <c r="E8386" t="inlineStr">
        <is>
          <t>ÅRJÄNG</t>
        </is>
      </c>
      <c r="F8386" t="inlineStr">
        <is>
          <t>Bergvik skog väst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40731-2025</t>
        </is>
      </c>
      <c r="B8387" s="1" t="n">
        <v>45897</v>
      </c>
      <c r="C8387" s="1" t="n">
        <v>45932</v>
      </c>
      <c r="D8387" t="inlineStr">
        <is>
          <t>VÄRMLANDS LÄN</t>
        </is>
      </c>
      <c r="E8387" t="inlineStr">
        <is>
          <t>KIL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8613-2024</t>
        </is>
      </c>
      <c r="B8388" s="1" t="n">
        <v>45355</v>
      </c>
      <c r="C8388" s="1" t="n">
        <v>45932</v>
      </c>
      <c r="D8388" t="inlineStr">
        <is>
          <t>VÄRMLANDS LÄN</t>
        </is>
      </c>
      <c r="E8388" t="inlineStr">
        <is>
          <t>STORFORS</t>
        </is>
      </c>
      <c r="F8388" t="inlineStr">
        <is>
          <t>Kyrkan</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19543-2025</t>
        </is>
      </c>
      <c r="B8389" s="1" t="n">
        <v>45770.48678240741</v>
      </c>
      <c r="C8389" s="1" t="n">
        <v>45932</v>
      </c>
      <c r="D8389" t="inlineStr">
        <is>
          <t>VÄRMLANDS LÄN</t>
        </is>
      </c>
      <c r="E8389" t="inlineStr">
        <is>
          <t>SUNNE</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35425-2025</t>
        </is>
      </c>
      <c r="B8390" s="1" t="n">
        <v>45855</v>
      </c>
      <c r="C8390" s="1" t="n">
        <v>45932</v>
      </c>
      <c r="D8390" t="inlineStr">
        <is>
          <t>VÄRMLANDS LÄN</t>
        </is>
      </c>
      <c r="E8390" t="inlineStr">
        <is>
          <t>GRUMS</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9499-2024</t>
        </is>
      </c>
      <c r="B8391" s="1" t="n">
        <v>45359</v>
      </c>
      <c r="C8391" s="1" t="n">
        <v>45932</v>
      </c>
      <c r="D8391" t="inlineStr">
        <is>
          <t>VÄRMLANDS LÄN</t>
        </is>
      </c>
      <c r="E8391" t="inlineStr">
        <is>
          <t>KARLSTAD</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54678-2022</t>
        </is>
      </c>
      <c r="B8392" s="1" t="n">
        <v>44883</v>
      </c>
      <c r="C8392" s="1" t="n">
        <v>45932</v>
      </c>
      <c r="D8392" t="inlineStr">
        <is>
          <t>VÄRMLANDS LÄN</t>
        </is>
      </c>
      <c r="E8392" t="inlineStr">
        <is>
          <t>EDA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20020-2025</t>
        </is>
      </c>
      <c r="B8393" s="1" t="n">
        <v>45772</v>
      </c>
      <c r="C8393" s="1" t="n">
        <v>45932</v>
      </c>
      <c r="D8393" t="inlineStr">
        <is>
          <t>VÄRMLANDS LÄN</t>
        </is>
      </c>
      <c r="E8393" t="inlineStr">
        <is>
          <t>ARVIKA</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3071-2022</t>
        </is>
      </c>
      <c r="B8394" s="1" t="n">
        <v>44582.42109953704</v>
      </c>
      <c r="C8394" s="1" t="n">
        <v>45932</v>
      </c>
      <c r="D8394" t="inlineStr">
        <is>
          <t>VÄRMLANDS LÄN</t>
        </is>
      </c>
      <c r="E8394" t="inlineStr">
        <is>
          <t>TORSBY</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16840-2025</t>
        </is>
      </c>
      <c r="B8395" s="1" t="n">
        <v>45754</v>
      </c>
      <c r="C8395" s="1" t="n">
        <v>45932</v>
      </c>
      <c r="D8395" t="inlineStr">
        <is>
          <t>VÄRMLANDS LÄN</t>
        </is>
      </c>
      <c r="E8395" t="inlineStr">
        <is>
          <t>HAGFORS</t>
        </is>
      </c>
      <c r="F8395" t="inlineStr">
        <is>
          <t>Bergvik skog väst AB</t>
        </is>
      </c>
      <c r="G8395" t="n">
        <v>9.199999999999999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16803-2025</t>
        </is>
      </c>
      <c r="B8396" s="1" t="n">
        <v>45754</v>
      </c>
      <c r="C8396" s="1" t="n">
        <v>45932</v>
      </c>
      <c r="D8396" t="inlineStr">
        <is>
          <t>VÄRMLANDS LÄN</t>
        </is>
      </c>
      <c r="E8396" t="inlineStr">
        <is>
          <t>HAGFORS</t>
        </is>
      </c>
      <c r="F8396" t="inlineStr">
        <is>
          <t>Bergvik skog väst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39813-2025</t>
        </is>
      </c>
      <c r="B8397" s="1" t="n">
        <v>45891</v>
      </c>
      <c r="C8397" s="1" t="n">
        <v>45932</v>
      </c>
      <c r="D8397" t="inlineStr">
        <is>
          <t>VÄRMLANDS LÄN</t>
        </is>
      </c>
      <c r="E8397" t="inlineStr">
        <is>
          <t>SUNNE</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70214-2021</t>
        </is>
      </c>
      <c r="B8398" s="1" t="n">
        <v>44535</v>
      </c>
      <c r="C8398" s="1" t="n">
        <v>45932</v>
      </c>
      <c r="D8398" t="inlineStr">
        <is>
          <t>VÄRMLANDS LÄN</t>
        </is>
      </c>
      <c r="E8398" t="inlineStr">
        <is>
          <t>FORSHAGA</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40497-2025</t>
        </is>
      </c>
      <c r="B8399" s="1" t="n">
        <v>45896.32087962963</v>
      </c>
      <c r="C8399" s="1" t="n">
        <v>45932</v>
      </c>
      <c r="D8399" t="inlineStr">
        <is>
          <t>VÄRMLANDS LÄN</t>
        </is>
      </c>
      <c r="E8399" t="inlineStr">
        <is>
          <t>ÅRJÄNG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11634-2021</t>
        </is>
      </c>
      <c r="B8400" s="1" t="n">
        <v>44264.6606712963</v>
      </c>
      <c r="C8400" s="1" t="n">
        <v>45932</v>
      </c>
      <c r="D8400" t="inlineStr">
        <is>
          <t>VÄRMLANDS LÄN</t>
        </is>
      </c>
      <c r="E8400" t="inlineStr">
        <is>
          <t>SUNNE</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58427-2024</t>
        </is>
      </c>
      <c r="B8401" s="1" t="n">
        <v>45634.89083333333</v>
      </c>
      <c r="C8401" s="1" t="n">
        <v>45932</v>
      </c>
      <c r="D8401" t="inlineStr">
        <is>
          <t>VÄRMLANDS LÄN</t>
        </is>
      </c>
      <c r="E8401" t="inlineStr">
        <is>
          <t>ÅRJÄNG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58428-2024</t>
        </is>
      </c>
      <c r="B8402" s="1" t="n">
        <v>45634.90734953704</v>
      </c>
      <c r="C8402" s="1" t="n">
        <v>45932</v>
      </c>
      <c r="D8402" t="inlineStr">
        <is>
          <t>VÄRMLANDS LÄN</t>
        </is>
      </c>
      <c r="E8402" t="inlineStr">
        <is>
          <t>ÅRJÄNG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40522-2025</t>
        </is>
      </c>
      <c r="B8403" s="1" t="n">
        <v>45896</v>
      </c>
      <c r="C8403" s="1" t="n">
        <v>45932</v>
      </c>
      <c r="D8403" t="inlineStr">
        <is>
          <t>VÄRMLANDS LÄN</t>
        </is>
      </c>
      <c r="E8403" t="inlineStr">
        <is>
          <t>GRUMS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40527-2025</t>
        </is>
      </c>
      <c r="B8404" s="1" t="n">
        <v>45896.37392361111</v>
      </c>
      <c r="C8404" s="1" t="n">
        <v>45932</v>
      </c>
      <c r="D8404" t="inlineStr">
        <is>
          <t>VÄRMLANDS LÄN</t>
        </is>
      </c>
      <c r="E8404" t="inlineStr">
        <is>
          <t>FILIPSTAD</t>
        </is>
      </c>
      <c r="F8404" t="inlineStr">
        <is>
          <t>Bergvik skog väst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21140-2025</t>
        </is>
      </c>
      <c r="B8405" s="1" t="n">
        <v>45778</v>
      </c>
      <c r="C8405" s="1" t="n">
        <v>45932</v>
      </c>
      <c r="D8405" t="inlineStr">
        <is>
          <t>VÄRMLANDS LÄN</t>
        </is>
      </c>
      <c r="E8405" t="inlineStr">
        <is>
          <t>EDA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40759-2024</t>
        </is>
      </c>
      <c r="B8406" s="1" t="n">
        <v>45558</v>
      </c>
      <c r="C8406" s="1" t="n">
        <v>45932</v>
      </c>
      <c r="D8406" t="inlineStr">
        <is>
          <t>VÄRMLANDS LÄN</t>
        </is>
      </c>
      <c r="E8406" t="inlineStr">
        <is>
          <t>SÄFFLE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40767-2024</t>
        </is>
      </c>
      <c r="B8407" s="1" t="n">
        <v>45558</v>
      </c>
      <c r="C8407" s="1" t="n">
        <v>45932</v>
      </c>
      <c r="D8407" t="inlineStr">
        <is>
          <t>VÄRMLANDS LÄN</t>
        </is>
      </c>
      <c r="E8407" t="inlineStr">
        <is>
          <t>KRISTINEHAMN</t>
        </is>
      </c>
      <c r="F8407" t="inlineStr">
        <is>
          <t>Kommuner</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49794-2024</t>
        </is>
      </c>
      <c r="B8408" s="1" t="n">
        <v>45597</v>
      </c>
      <c r="C8408" s="1" t="n">
        <v>45932</v>
      </c>
      <c r="D8408" t="inlineStr">
        <is>
          <t>VÄRMLANDS LÄN</t>
        </is>
      </c>
      <c r="E8408" t="inlineStr">
        <is>
          <t>FILIPSTAD</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57809-2024</t>
        </is>
      </c>
      <c r="B8409" s="1" t="n">
        <v>45631</v>
      </c>
      <c r="C8409" s="1" t="n">
        <v>45932</v>
      </c>
      <c r="D8409" t="inlineStr">
        <is>
          <t>VÄRMLANDS LÄN</t>
        </is>
      </c>
      <c r="E8409" t="inlineStr">
        <is>
          <t>TORSBY</t>
        </is>
      </c>
      <c r="F8409" t="inlineStr">
        <is>
          <t>Bergvik skog väst AB</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40543-2025</t>
        </is>
      </c>
      <c r="B8410" s="1" t="n">
        <v>45896.42962962963</v>
      </c>
      <c r="C8410" s="1" t="n">
        <v>45932</v>
      </c>
      <c r="D8410" t="inlineStr">
        <is>
          <t>VÄRMLANDS LÄN</t>
        </is>
      </c>
      <c r="E8410" t="inlineStr">
        <is>
          <t>HAGFORS</t>
        </is>
      </c>
      <c r="F8410" t="inlineStr">
        <is>
          <t>Bergvik skog väst AB</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40853-2024</t>
        </is>
      </c>
      <c r="B8411" s="1" t="n">
        <v>45558</v>
      </c>
      <c r="C8411" s="1" t="n">
        <v>45932</v>
      </c>
      <c r="D8411" t="inlineStr">
        <is>
          <t>VÄRMLANDS LÄN</t>
        </is>
      </c>
      <c r="E8411" t="inlineStr">
        <is>
          <t>KIL</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40602-2025</t>
        </is>
      </c>
      <c r="B8412" s="1" t="n">
        <v>45896</v>
      </c>
      <c r="C8412" s="1" t="n">
        <v>45932</v>
      </c>
      <c r="D8412" t="inlineStr">
        <is>
          <t>VÄRMLANDS LÄN</t>
        </is>
      </c>
      <c r="E8412" t="inlineStr">
        <is>
          <t>ÅRJÄNG</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60567-2024</t>
        </is>
      </c>
      <c r="B8413" s="1" t="n">
        <v>45644</v>
      </c>
      <c r="C8413" s="1" t="n">
        <v>45932</v>
      </c>
      <c r="D8413" t="inlineStr">
        <is>
          <t>VÄRMLANDS LÄN</t>
        </is>
      </c>
      <c r="E8413" t="inlineStr">
        <is>
          <t>KRISTINEHAMN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40646-2025</t>
        </is>
      </c>
      <c r="B8414" s="1" t="n">
        <v>45896</v>
      </c>
      <c r="C8414" s="1" t="n">
        <v>45932</v>
      </c>
      <c r="D8414" t="inlineStr">
        <is>
          <t>VÄRMLANDS LÄN</t>
        </is>
      </c>
      <c r="E8414" t="inlineStr">
        <is>
          <t>FILIPSTAD</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15154-2025</t>
        </is>
      </c>
      <c r="B8415" s="1" t="n">
        <v>45744.46157407408</v>
      </c>
      <c r="C8415" s="1" t="n">
        <v>45932</v>
      </c>
      <c r="D8415" t="inlineStr">
        <is>
          <t>VÄRMLANDS LÄN</t>
        </is>
      </c>
      <c r="E8415" t="inlineStr">
        <is>
          <t>TORSBY</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35304-2025</t>
        </is>
      </c>
      <c r="B8416" s="1" t="n">
        <v>45854.43931712963</v>
      </c>
      <c r="C8416" s="1" t="n">
        <v>45932</v>
      </c>
      <c r="D8416" t="inlineStr">
        <is>
          <t>VÄRMLANDS LÄN</t>
        </is>
      </c>
      <c r="E8416" t="inlineStr">
        <is>
          <t>ÅRJÄNG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24506-2024</t>
        </is>
      </c>
      <c r="B8417" s="1" t="n">
        <v>45460</v>
      </c>
      <c r="C8417" s="1" t="n">
        <v>45932</v>
      </c>
      <c r="D8417" t="inlineStr">
        <is>
          <t>VÄRMLANDS LÄN</t>
        </is>
      </c>
      <c r="E8417" t="inlineStr">
        <is>
          <t>SUNNE</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39984-2025</t>
        </is>
      </c>
      <c r="B8418" s="1" t="n">
        <v>45893</v>
      </c>
      <c r="C8418" s="1" t="n">
        <v>45932</v>
      </c>
      <c r="D8418" t="inlineStr">
        <is>
          <t>VÄRMLANDS LÄN</t>
        </is>
      </c>
      <c r="E8418" t="inlineStr">
        <is>
          <t>SÄFFLE</t>
        </is>
      </c>
      <c r="G8418" t="n">
        <v>12.9</v>
      </c>
      <c r="H8418" t="n">
        <v>0</v>
      </c>
      <c r="I8418" t="n">
        <v>0</v>
      </c>
      <c r="J8418" t="n">
        <v>0</v>
      </c>
      <c r="K8418" t="n">
        <v>0</v>
      </c>
      <c r="L8418" t="n">
        <v>0</v>
      </c>
      <c r="M8418" t="n">
        <v>0</v>
      </c>
      <c r="N8418" t="n">
        <v>0</v>
      </c>
      <c r="O8418" t="n">
        <v>0</v>
      </c>
      <c r="P8418" t="n">
        <v>0</v>
      </c>
      <c r="Q8418" t="n">
        <v>0</v>
      </c>
      <c r="R8418" s="2" t="inlineStr"/>
    </row>
    <row r="8419" ht="15" customHeight="1">
      <c r="A8419" t="inlineStr">
        <is>
          <t>A 17882-2025</t>
        </is>
      </c>
      <c r="B8419" s="1" t="n">
        <v>45758.65695601852</v>
      </c>
      <c r="C8419" s="1" t="n">
        <v>45932</v>
      </c>
      <c r="D8419" t="inlineStr">
        <is>
          <t>VÄRMLANDS LÄN</t>
        </is>
      </c>
      <c r="E8419" t="inlineStr">
        <is>
          <t>HAGFORS</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39983-2025</t>
        </is>
      </c>
      <c r="B8420" s="1" t="n">
        <v>45893</v>
      </c>
      <c r="C8420" s="1" t="n">
        <v>45932</v>
      </c>
      <c r="D8420" t="inlineStr">
        <is>
          <t>VÄRMLANDS LÄN</t>
        </is>
      </c>
      <c r="E8420" t="inlineStr">
        <is>
          <t>SÄFFLE</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40892-2025</t>
        </is>
      </c>
      <c r="B8421" s="1" t="n">
        <v>45897.60939814815</v>
      </c>
      <c r="C8421" s="1" t="n">
        <v>45932</v>
      </c>
      <c r="D8421" t="inlineStr">
        <is>
          <t>VÄRMLANDS LÄN</t>
        </is>
      </c>
      <c r="E8421" t="inlineStr">
        <is>
          <t>FILIPSTAD</t>
        </is>
      </c>
      <c r="F8421" t="inlineStr">
        <is>
          <t>Bergvik skog väst AB</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40917-2025</t>
        </is>
      </c>
      <c r="B8422" s="1" t="n">
        <v>45897.61912037037</v>
      </c>
      <c r="C8422" s="1" t="n">
        <v>45932</v>
      </c>
      <c r="D8422" t="inlineStr">
        <is>
          <t>VÄRMLANDS LÄN</t>
        </is>
      </c>
      <c r="E8422" t="inlineStr">
        <is>
          <t>FILIPSTAD</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57738-2024</t>
        </is>
      </c>
      <c r="B8423" s="1" t="n">
        <v>45630.74324074074</v>
      </c>
      <c r="C8423" s="1" t="n">
        <v>45932</v>
      </c>
      <c r="D8423" t="inlineStr">
        <is>
          <t>VÄRMLANDS LÄN</t>
        </is>
      </c>
      <c r="E8423" t="inlineStr">
        <is>
          <t>SÄFFLE</t>
        </is>
      </c>
      <c r="F8423" t="inlineStr">
        <is>
          <t>Kyrkan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8631-2025</t>
        </is>
      </c>
      <c r="B8424" s="1" t="n">
        <v>45711.72951388889</v>
      </c>
      <c r="C8424" s="1" t="n">
        <v>45932</v>
      </c>
      <c r="D8424" t="inlineStr">
        <is>
          <t>VÄRMLANDS LÄN</t>
        </is>
      </c>
      <c r="E8424" t="inlineStr">
        <is>
          <t>ARVIKA</t>
        </is>
      </c>
      <c r="F8424" t="inlineStr">
        <is>
          <t>Bergvik skog väst AB</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8639-2025</t>
        </is>
      </c>
      <c r="B8425" s="1" t="n">
        <v>45711.87692129629</v>
      </c>
      <c r="C8425" s="1" t="n">
        <v>45932</v>
      </c>
      <c r="D8425" t="inlineStr">
        <is>
          <t>VÄRMLANDS LÄN</t>
        </is>
      </c>
      <c r="E8425" t="inlineStr">
        <is>
          <t>STORFORS</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35282-2025</t>
        </is>
      </c>
      <c r="B8426" s="1" t="n">
        <v>45854</v>
      </c>
      <c r="C8426" s="1" t="n">
        <v>45932</v>
      </c>
      <c r="D8426" t="inlineStr">
        <is>
          <t>VÄRMLANDS LÄN</t>
        </is>
      </c>
      <c r="E8426" t="inlineStr">
        <is>
          <t>HAGFORS</t>
        </is>
      </c>
      <c r="F8426" t="inlineStr">
        <is>
          <t>Kyrkan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1843-2025</t>
        </is>
      </c>
      <c r="B8427" s="1" t="n">
        <v>45671.57612268518</v>
      </c>
      <c r="C8427" s="1" t="n">
        <v>45932</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1893-2025</t>
        </is>
      </c>
      <c r="B8428" s="1" t="n">
        <v>45671.63766203704</v>
      </c>
      <c r="C8428" s="1" t="n">
        <v>45932</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19307-2022</t>
        </is>
      </c>
      <c r="B8429" s="1" t="n">
        <v>44692.55497685185</v>
      </c>
      <c r="C8429" s="1" t="n">
        <v>45932</v>
      </c>
      <c r="D8429" t="inlineStr">
        <is>
          <t>VÄRMLANDS LÄN</t>
        </is>
      </c>
      <c r="E8429" t="inlineStr">
        <is>
          <t>TORSBY</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35289-2025</t>
        </is>
      </c>
      <c r="B8430" s="1" t="n">
        <v>45854</v>
      </c>
      <c r="C8430" s="1" t="n">
        <v>45932</v>
      </c>
      <c r="D8430" t="inlineStr">
        <is>
          <t>VÄRMLANDS LÄN</t>
        </is>
      </c>
      <c r="E8430" t="inlineStr">
        <is>
          <t>HAGFORS</t>
        </is>
      </c>
      <c r="F8430" t="inlineStr">
        <is>
          <t>Kyrkan</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40880-2025</t>
        </is>
      </c>
      <c r="B8431" s="1" t="n">
        <v>45897.59415509259</v>
      </c>
      <c r="C8431" s="1" t="n">
        <v>45932</v>
      </c>
      <c r="D8431" t="inlineStr">
        <is>
          <t>VÄRMLANDS LÄN</t>
        </is>
      </c>
      <c r="E8431" t="inlineStr">
        <is>
          <t>EDA</t>
        </is>
      </c>
      <c r="F8431" t="inlineStr">
        <is>
          <t>Bergvik skog väst AB</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7332-2025</t>
        </is>
      </c>
      <c r="B8432" s="1" t="n">
        <v>45703</v>
      </c>
      <c r="C8432" s="1" t="n">
        <v>45932</v>
      </c>
      <c r="D8432" t="inlineStr">
        <is>
          <t>VÄRMLANDS LÄN</t>
        </is>
      </c>
      <c r="E8432" t="inlineStr">
        <is>
          <t>HAGFORS</t>
        </is>
      </c>
      <c r="F8432" t="inlineStr">
        <is>
          <t>Kyrkan</t>
        </is>
      </c>
      <c r="G8432" t="n">
        <v>15.9</v>
      </c>
      <c r="H8432" t="n">
        <v>0</v>
      </c>
      <c r="I8432" t="n">
        <v>0</v>
      </c>
      <c r="J8432" t="n">
        <v>0</v>
      </c>
      <c r="K8432" t="n">
        <v>0</v>
      </c>
      <c r="L8432" t="n">
        <v>0</v>
      </c>
      <c r="M8432" t="n">
        <v>0</v>
      </c>
      <c r="N8432" t="n">
        <v>0</v>
      </c>
      <c r="O8432" t="n">
        <v>0</v>
      </c>
      <c r="P8432" t="n">
        <v>0</v>
      </c>
      <c r="Q8432" t="n">
        <v>0</v>
      </c>
      <c r="R8432" s="2" t="inlineStr"/>
    </row>
    <row r="8433" ht="15" customHeight="1">
      <c r="A8433" t="inlineStr">
        <is>
          <t>A 35558-2025</t>
        </is>
      </c>
      <c r="B8433" s="1" t="n">
        <v>45856.52908564815</v>
      </c>
      <c r="C8433" s="1" t="n">
        <v>45932</v>
      </c>
      <c r="D8433" t="inlineStr">
        <is>
          <t>VÄRMLANDS LÄN</t>
        </is>
      </c>
      <c r="E8433" t="inlineStr">
        <is>
          <t>SUNNE</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7348-2025</t>
        </is>
      </c>
      <c r="B8434" s="1" t="n">
        <v>45703</v>
      </c>
      <c r="C8434" s="1" t="n">
        <v>45932</v>
      </c>
      <c r="D8434" t="inlineStr">
        <is>
          <t>VÄRMLANDS LÄN</t>
        </is>
      </c>
      <c r="E8434" t="inlineStr">
        <is>
          <t>ARVIKA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7360-2025</t>
        </is>
      </c>
      <c r="B8435" s="1" t="n">
        <v>45704.63635416667</v>
      </c>
      <c r="C8435" s="1" t="n">
        <v>45932</v>
      </c>
      <c r="D8435" t="inlineStr">
        <is>
          <t>VÄRMLANDS LÄN</t>
        </is>
      </c>
      <c r="E8435" t="inlineStr">
        <is>
          <t>SÄFFLE</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7361-2025</t>
        </is>
      </c>
      <c r="B8436" s="1" t="n">
        <v>45704</v>
      </c>
      <c r="C8436" s="1" t="n">
        <v>45932</v>
      </c>
      <c r="D8436" t="inlineStr">
        <is>
          <t>VÄRMLANDS LÄN</t>
        </is>
      </c>
      <c r="E8436" t="inlineStr">
        <is>
          <t>SÄFFLE</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40694-2025</t>
        </is>
      </c>
      <c r="B8437" s="1" t="n">
        <v>45897</v>
      </c>
      <c r="C8437" s="1" t="n">
        <v>45932</v>
      </c>
      <c r="D8437" t="inlineStr">
        <is>
          <t>VÄRMLANDS LÄN</t>
        </is>
      </c>
      <c r="E8437" t="inlineStr">
        <is>
          <t>ARVIKA</t>
        </is>
      </c>
      <c r="F8437" t="inlineStr">
        <is>
          <t>Bergvik skog väst AB</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3656-2022</t>
        </is>
      </c>
      <c r="B8438" s="1" t="n">
        <v>44586</v>
      </c>
      <c r="C8438" s="1" t="n">
        <v>45932</v>
      </c>
      <c r="D8438" t="inlineStr">
        <is>
          <t>VÄRMLANDS LÄN</t>
        </is>
      </c>
      <c r="E8438" t="inlineStr">
        <is>
          <t>ÅRJÄNG</t>
        </is>
      </c>
      <c r="G8438" t="n">
        <v>11.7</v>
      </c>
      <c r="H8438" t="n">
        <v>0</v>
      </c>
      <c r="I8438" t="n">
        <v>0</v>
      </c>
      <c r="J8438" t="n">
        <v>0</v>
      </c>
      <c r="K8438" t="n">
        <v>0</v>
      </c>
      <c r="L8438" t="n">
        <v>0</v>
      </c>
      <c r="M8438" t="n">
        <v>0</v>
      </c>
      <c r="N8438" t="n">
        <v>0</v>
      </c>
      <c r="O8438" t="n">
        <v>0</v>
      </c>
      <c r="P8438" t="n">
        <v>0</v>
      </c>
      <c r="Q8438" t="n">
        <v>0</v>
      </c>
      <c r="R8438" s="2" t="inlineStr"/>
    </row>
    <row r="8439" ht="15" customHeight="1">
      <c r="A8439" t="inlineStr">
        <is>
          <t>A 41168-2025</t>
        </is>
      </c>
      <c r="B8439" s="1" t="n">
        <v>45898</v>
      </c>
      <c r="C8439" s="1" t="n">
        <v>45932</v>
      </c>
      <c r="D8439" t="inlineStr">
        <is>
          <t>VÄRMLANDS LÄN</t>
        </is>
      </c>
      <c r="E8439" t="inlineStr">
        <is>
          <t>TORSBY</t>
        </is>
      </c>
      <c r="F8439" t="inlineStr">
        <is>
          <t>Övriga Aktiebolag</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11514-2025</t>
        </is>
      </c>
      <c r="B8440" s="1" t="n">
        <v>45726.87460648148</v>
      </c>
      <c r="C8440" s="1" t="n">
        <v>45932</v>
      </c>
      <c r="D8440" t="inlineStr">
        <is>
          <t>VÄRMLANDS LÄN</t>
        </is>
      </c>
      <c r="E8440" t="inlineStr">
        <is>
          <t>FILIPSTAD</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20195-2025</t>
        </is>
      </c>
      <c r="B8441" s="1" t="n">
        <v>45772.60922453704</v>
      </c>
      <c r="C8441" s="1" t="n">
        <v>45932</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7368-2025</t>
        </is>
      </c>
      <c r="B8442" s="1" t="n">
        <v>45704</v>
      </c>
      <c r="C8442" s="1" t="n">
        <v>45932</v>
      </c>
      <c r="D8442" t="inlineStr">
        <is>
          <t>VÄRMLANDS LÄN</t>
        </is>
      </c>
      <c r="E8442" t="inlineStr">
        <is>
          <t>KIL</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39845-2025</t>
        </is>
      </c>
      <c r="B8443" s="1" t="n">
        <v>45891</v>
      </c>
      <c r="C8443" s="1" t="n">
        <v>45932</v>
      </c>
      <c r="D8443" t="inlineStr">
        <is>
          <t>VÄRMLANDS LÄN</t>
        </is>
      </c>
      <c r="E8443" t="inlineStr">
        <is>
          <t>TORSBY</t>
        </is>
      </c>
      <c r="F8443" t="inlineStr">
        <is>
          <t>Bergvik skog väst AB</t>
        </is>
      </c>
      <c r="G8443" t="n">
        <v>14.1</v>
      </c>
      <c r="H8443" t="n">
        <v>0</v>
      </c>
      <c r="I8443" t="n">
        <v>0</v>
      </c>
      <c r="J8443" t="n">
        <v>0</v>
      </c>
      <c r="K8443" t="n">
        <v>0</v>
      </c>
      <c r="L8443" t="n">
        <v>0</v>
      </c>
      <c r="M8443" t="n">
        <v>0</v>
      </c>
      <c r="N8443" t="n">
        <v>0</v>
      </c>
      <c r="O8443" t="n">
        <v>0</v>
      </c>
      <c r="P8443" t="n">
        <v>0</v>
      </c>
      <c r="Q8443" t="n">
        <v>0</v>
      </c>
      <c r="R8443" s="2" t="inlineStr"/>
    </row>
    <row r="8444" ht="15" customHeight="1">
      <c r="A8444" t="inlineStr">
        <is>
          <t>A 41232-2025</t>
        </is>
      </c>
      <c r="B8444" s="1" t="n">
        <v>45898</v>
      </c>
      <c r="C8444" s="1" t="n">
        <v>45932</v>
      </c>
      <c r="D8444" t="inlineStr">
        <is>
          <t>VÄRMLANDS LÄN</t>
        </is>
      </c>
      <c r="E8444" t="inlineStr">
        <is>
          <t>TORSBY</t>
        </is>
      </c>
      <c r="F8444" t="inlineStr">
        <is>
          <t>Övriga Aktiebolag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21516-2022</t>
        </is>
      </c>
      <c r="B8445" s="1" t="n">
        <v>44706</v>
      </c>
      <c r="C8445" s="1" t="n">
        <v>45932</v>
      </c>
      <c r="D8445" t="inlineStr">
        <is>
          <t>VÄRMLANDS LÄN</t>
        </is>
      </c>
      <c r="E8445" t="inlineStr">
        <is>
          <t>TORSBY</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37144-2024</t>
        </is>
      </c>
      <c r="B8446" s="1" t="n">
        <v>45538</v>
      </c>
      <c r="C8446" s="1" t="n">
        <v>45932</v>
      </c>
      <c r="D8446" t="inlineStr">
        <is>
          <t>VÄRMLANDS LÄN</t>
        </is>
      </c>
      <c r="E8446" t="inlineStr">
        <is>
          <t>ARVIKA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41092-2025</t>
        </is>
      </c>
      <c r="B8447" s="1" t="n">
        <v>45898.44184027778</v>
      </c>
      <c r="C8447" s="1" t="n">
        <v>45932</v>
      </c>
      <c r="D8447" t="inlineStr">
        <is>
          <t>VÄRMLANDS LÄN</t>
        </is>
      </c>
      <c r="E8447" t="inlineStr">
        <is>
          <t>HAGFORS</t>
        </is>
      </c>
      <c r="F8447" t="inlineStr">
        <is>
          <t>Bergvik skog väst AB</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41189-2025</t>
        </is>
      </c>
      <c r="B8448" s="1" t="n">
        <v>45898</v>
      </c>
      <c r="C8448" s="1" t="n">
        <v>45932</v>
      </c>
      <c r="D8448" t="inlineStr">
        <is>
          <t>VÄRMLANDS LÄN</t>
        </is>
      </c>
      <c r="E8448" t="inlineStr">
        <is>
          <t>TORSBY</t>
        </is>
      </c>
      <c r="F8448" t="inlineStr">
        <is>
          <t>Övriga Aktiebolag</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13545-2025</t>
        </is>
      </c>
      <c r="B8449" s="1" t="n">
        <v>45736.53642361111</v>
      </c>
      <c r="C8449" s="1" t="n">
        <v>45932</v>
      </c>
      <c r="D8449" t="inlineStr">
        <is>
          <t>VÄRMLANDS LÄN</t>
        </is>
      </c>
      <c r="E8449" t="inlineStr">
        <is>
          <t>FORSHAGA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17054-2021</t>
        </is>
      </c>
      <c r="B8450" s="1" t="n">
        <v>44296</v>
      </c>
      <c r="C8450" s="1" t="n">
        <v>45932</v>
      </c>
      <c r="D8450" t="inlineStr">
        <is>
          <t>VÄRMLANDS LÄN</t>
        </is>
      </c>
      <c r="E8450" t="inlineStr">
        <is>
          <t>SÄFFLE</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17329-2024</t>
        </is>
      </c>
      <c r="B8451" s="1" t="n">
        <v>45414</v>
      </c>
      <c r="C8451" s="1" t="n">
        <v>45932</v>
      </c>
      <c r="D8451" t="inlineStr">
        <is>
          <t>VÄRMLANDS LÄN</t>
        </is>
      </c>
      <c r="E8451" t="inlineStr">
        <is>
          <t>HAGFORS</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52025-2024</t>
        </is>
      </c>
      <c r="B8452" s="1" t="n">
        <v>45607</v>
      </c>
      <c r="C8452" s="1" t="n">
        <v>45932</v>
      </c>
      <c r="D8452" t="inlineStr">
        <is>
          <t>VÄRMLANDS LÄN</t>
        </is>
      </c>
      <c r="E8452" t="inlineStr">
        <is>
          <t>SÄFFLE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54771-2022</t>
        </is>
      </c>
      <c r="B8453" s="1" t="n">
        <v>44883</v>
      </c>
      <c r="C8453" s="1" t="n">
        <v>45932</v>
      </c>
      <c r="D8453" t="inlineStr">
        <is>
          <t>VÄRMLANDS LÄN</t>
        </is>
      </c>
      <c r="E8453" t="inlineStr">
        <is>
          <t>KRISTINEHAMN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45873-2024</t>
        </is>
      </c>
      <c r="B8454" s="1" t="n">
        <v>45580.37305555555</v>
      </c>
      <c r="C8454" s="1" t="n">
        <v>45932</v>
      </c>
      <c r="D8454" t="inlineStr">
        <is>
          <t>VÄRMLANDS LÄN</t>
        </is>
      </c>
      <c r="E8454" t="inlineStr">
        <is>
          <t>EDA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19351-2025</t>
        </is>
      </c>
      <c r="B8455" s="1" t="n">
        <v>45769</v>
      </c>
      <c r="C8455" s="1" t="n">
        <v>45932</v>
      </c>
      <c r="D8455" t="inlineStr">
        <is>
          <t>VÄRMLANDS LÄN</t>
        </is>
      </c>
      <c r="E8455" t="inlineStr">
        <is>
          <t>FILIPSTAD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41626-2025</t>
        </is>
      </c>
      <c r="B8456" s="1" t="n">
        <v>45901.7227199074</v>
      </c>
      <c r="C8456" s="1" t="n">
        <v>45932</v>
      </c>
      <c r="D8456" t="inlineStr">
        <is>
          <t>VÄRMLANDS LÄN</t>
        </is>
      </c>
      <c r="E8456" t="inlineStr">
        <is>
          <t>SUNNE</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52034-2024</t>
        </is>
      </c>
      <c r="B8457" s="1" t="n">
        <v>45608.30012731482</v>
      </c>
      <c r="C8457" s="1" t="n">
        <v>45932</v>
      </c>
      <c r="D8457" t="inlineStr">
        <is>
          <t>VÄRMLANDS LÄN</t>
        </is>
      </c>
      <c r="E8457" t="inlineStr">
        <is>
          <t>EDA</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58664-2024</t>
        </is>
      </c>
      <c r="B8458" s="1" t="n">
        <v>45635</v>
      </c>
      <c r="C8458" s="1" t="n">
        <v>45932</v>
      </c>
      <c r="D8458" t="inlineStr">
        <is>
          <t>VÄRMLANDS LÄN</t>
        </is>
      </c>
      <c r="E8458" t="inlineStr">
        <is>
          <t>SUNNE</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41434-2025</t>
        </is>
      </c>
      <c r="B8459" s="1" t="n">
        <v>45901</v>
      </c>
      <c r="C8459" s="1" t="n">
        <v>45932</v>
      </c>
      <c r="D8459" t="inlineStr">
        <is>
          <t>VÄRMLANDS LÄN</t>
        </is>
      </c>
      <c r="E8459" t="inlineStr">
        <is>
          <t>ARVIKA</t>
        </is>
      </c>
      <c r="F8459" t="inlineStr">
        <is>
          <t>Bergvik skog väst AB</t>
        </is>
      </c>
      <c r="G8459" t="n">
        <v>10.3</v>
      </c>
      <c r="H8459" t="n">
        <v>0</v>
      </c>
      <c r="I8459" t="n">
        <v>0</v>
      </c>
      <c r="J8459" t="n">
        <v>0</v>
      </c>
      <c r="K8459" t="n">
        <v>0</v>
      </c>
      <c r="L8459" t="n">
        <v>0</v>
      </c>
      <c r="M8459" t="n">
        <v>0</v>
      </c>
      <c r="N8459" t="n">
        <v>0</v>
      </c>
      <c r="O8459" t="n">
        <v>0</v>
      </c>
      <c r="P8459" t="n">
        <v>0</v>
      </c>
      <c r="Q8459" t="n">
        <v>0</v>
      </c>
      <c r="R8459" s="2" t="inlineStr"/>
    </row>
    <row r="8460" ht="15" customHeight="1">
      <c r="A8460" t="inlineStr">
        <is>
          <t>A 58945-2024</t>
        </is>
      </c>
      <c r="B8460" s="1" t="n">
        <v>45636</v>
      </c>
      <c r="C8460" s="1" t="n">
        <v>45932</v>
      </c>
      <c r="D8460" t="inlineStr">
        <is>
          <t>VÄRMLANDS LÄN</t>
        </is>
      </c>
      <c r="E8460" t="inlineStr">
        <is>
          <t>TORSBY</t>
        </is>
      </c>
      <c r="F8460" t="inlineStr">
        <is>
          <t>Bergvik skog väst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20081-2025</t>
        </is>
      </c>
      <c r="B8461" s="1" t="n">
        <v>45772</v>
      </c>
      <c r="C8461" s="1" t="n">
        <v>45932</v>
      </c>
      <c r="D8461" t="inlineStr">
        <is>
          <t>VÄRMLANDS LÄN</t>
        </is>
      </c>
      <c r="E8461" t="inlineStr">
        <is>
          <t>HAGFORS</t>
        </is>
      </c>
      <c r="F8461" t="inlineStr">
        <is>
          <t>Bergvik skog väst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41440-2025</t>
        </is>
      </c>
      <c r="B8462" s="1" t="n">
        <v>45901</v>
      </c>
      <c r="C8462" s="1" t="n">
        <v>45932</v>
      </c>
      <c r="D8462" t="inlineStr">
        <is>
          <t>VÄRMLANDS LÄN</t>
        </is>
      </c>
      <c r="E8462" t="inlineStr">
        <is>
          <t>ARVIKA</t>
        </is>
      </c>
      <c r="F8462" t="inlineStr">
        <is>
          <t>Bergvik skog väst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10548-2024</t>
        </is>
      </c>
      <c r="B8463" s="1" t="n">
        <v>45366</v>
      </c>
      <c r="C8463" s="1" t="n">
        <v>45932</v>
      </c>
      <c r="D8463" t="inlineStr">
        <is>
          <t>VÄRMLANDS LÄN</t>
        </is>
      </c>
      <c r="E8463" t="inlineStr">
        <is>
          <t>KRISTINEHAMN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10924-2024</t>
        </is>
      </c>
      <c r="B8464" s="1" t="n">
        <v>45370.41842592593</v>
      </c>
      <c r="C8464" s="1" t="n">
        <v>45932</v>
      </c>
      <c r="D8464" t="inlineStr">
        <is>
          <t>VÄRMLANDS LÄN</t>
        </is>
      </c>
      <c r="E8464" t="inlineStr">
        <is>
          <t>EDA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58386-2023</t>
        </is>
      </c>
      <c r="B8465" s="1" t="n">
        <v>45250</v>
      </c>
      <c r="C8465" s="1" t="n">
        <v>45932</v>
      </c>
      <c r="D8465" t="inlineStr">
        <is>
          <t>VÄRMLANDS LÄN</t>
        </is>
      </c>
      <c r="E8465" t="inlineStr">
        <is>
          <t>TORSBY</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2171-2023</t>
        </is>
      </c>
      <c r="B8466" s="1" t="n">
        <v>44941.95304398148</v>
      </c>
      <c r="C8466" s="1" t="n">
        <v>45932</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47608-2023</t>
        </is>
      </c>
      <c r="B8467" s="1" t="n">
        <v>45203.46956018519</v>
      </c>
      <c r="C8467" s="1" t="n">
        <v>45932</v>
      </c>
      <c r="D8467" t="inlineStr">
        <is>
          <t>VÄRMLANDS LÄN</t>
        </is>
      </c>
      <c r="E8467" t="inlineStr">
        <is>
          <t>KARLSTAD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41521-2025</t>
        </is>
      </c>
      <c r="B8468" s="1" t="n">
        <v>45901.55134259259</v>
      </c>
      <c r="C8468" s="1" t="n">
        <v>45932</v>
      </c>
      <c r="D8468" t="inlineStr">
        <is>
          <t>VÄRMLANDS LÄN</t>
        </is>
      </c>
      <c r="E8468" t="inlineStr">
        <is>
          <t>FILIPSTAD</t>
        </is>
      </c>
      <c r="F8468" t="inlineStr">
        <is>
          <t>Bergvik skog väst AB</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2173-2023</t>
        </is>
      </c>
      <c r="B8469" s="1" t="n">
        <v>44941.95513888889</v>
      </c>
      <c r="C8469" s="1" t="n">
        <v>45932</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54170-2022</t>
        </is>
      </c>
      <c r="B8470" s="1" t="n">
        <v>44881</v>
      </c>
      <c r="C8470" s="1" t="n">
        <v>45932</v>
      </c>
      <c r="D8470" t="inlineStr">
        <is>
          <t>VÄRMLANDS LÄN</t>
        </is>
      </c>
      <c r="E8470" t="inlineStr">
        <is>
          <t>FORSHAGA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55121-2024</t>
        </is>
      </c>
      <c r="B8471" s="1" t="n">
        <v>45621.45894675926</v>
      </c>
      <c r="C8471" s="1" t="n">
        <v>45932</v>
      </c>
      <c r="D8471" t="inlineStr">
        <is>
          <t>VÄRMLANDS LÄN</t>
        </is>
      </c>
      <c r="E8471" t="inlineStr">
        <is>
          <t>SUNNE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62288-2023</t>
        </is>
      </c>
      <c r="B8472" s="1" t="n">
        <v>45267.65707175926</v>
      </c>
      <c r="C8472" s="1" t="n">
        <v>45932</v>
      </c>
      <c r="D8472" t="inlineStr">
        <is>
          <t>VÄRMLANDS LÄN</t>
        </is>
      </c>
      <c r="E8472" t="inlineStr">
        <is>
          <t>ÅRJÄNG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13616-2025</t>
        </is>
      </c>
      <c r="B8473" s="1" t="n">
        <v>45736.62791666666</v>
      </c>
      <c r="C8473" s="1" t="n">
        <v>45932</v>
      </c>
      <c r="D8473" t="inlineStr">
        <is>
          <t>VÄRMLANDS LÄN</t>
        </is>
      </c>
      <c r="E8473" t="inlineStr">
        <is>
          <t>ARVIKA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13620-2025</t>
        </is>
      </c>
      <c r="B8474" s="1" t="n">
        <v>45736.63359953704</v>
      </c>
      <c r="C8474" s="1" t="n">
        <v>45932</v>
      </c>
      <c r="D8474" t="inlineStr">
        <is>
          <t>VÄRMLANDS LÄN</t>
        </is>
      </c>
      <c r="E8474" t="inlineStr">
        <is>
          <t>ARVIKA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23794-2023</t>
        </is>
      </c>
      <c r="B8475" s="1" t="n">
        <v>45078</v>
      </c>
      <c r="C8475" s="1" t="n">
        <v>45932</v>
      </c>
      <c r="D8475" t="inlineStr">
        <is>
          <t>VÄRMLANDS LÄN</t>
        </is>
      </c>
      <c r="E8475" t="inlineStr">
        <is>
          <t>KIL</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35508-2025</t>
        </is>
      </c>
      <c r="B8476" s="1" t="n">
        <v>45856</v>
      </c>
      <c r="C8476" s="1" t="n">
        <v>45932</v>
      </c>
      <c r="D8476" t="inlineStr">
        <is>
          <t>VÄRMLANDS LÄN</t>
        </is>
      </c>
      <c r="E8476" t="inlineStr">
        <is>
          <t>HAGFORS</t>
        </is>
      </c>
      <c r="F8476" t="inlineStr">
        <is>
          <t>Kyrkan</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41467-2025</t>
        </is>
      </c>
      <c r="B8477" s="1" t="n">
        <v>45901.45755787037</v>
      </c>
      <c r="C8477" s="1" t="n">
        <v>45932</v>
      </c>
      <c r="D8477" t="inlineStr">
        <is>
          <t>VÄRMLANDS LÄN</t>
        </is>
      </c>
      <c r="E8477" t="inlineStr">
        <is>
          <t>ÅRJÄNG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40540-2025</t>
        </is>
      </c>
      <c r="B8478" s="1" t="n">
        <v>45896</v>
      </c>
      <c r="C8478" s="1" t="n">
        <v>45932</v>
      </c>
      <c r="D8478" t="inlineStr">
        <is>
          <t>VÄRMLANDS LÄN</t>
        </is>
      </c>
      <c r="E8478" t="inlineStr">
        <is>
          <t>SÄFFLE</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41117-2025</t>
        </is>
      </c>
      <c r="B8479" s="1" t="n">
        <v>45898.46390046296</v>
      </c>
      <c r="C8479" s="1" t="n">
        <v>45932</v>
      </c>
      <c r="D8479" t="inlineStr">
        <is>
          <t>VÄRMLANDS LÄN</t>
        </is>
      </c>
      <c r="E8479" t="inlineStr">
        <is>
          <t>HAGFORS</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41124-2025</t>
        </is>
      </c>
      <c r="B8480" s="1" t="n">
        <v>45898.47166666666</v>
      </c>
      <c r="C8480" s="1" t="n">
        <v>45932</v>
      </c>
      <c r="D8480" t="inlineStr">
        <is>
          <t>VÄRMLANDS LÄN</t>
        </is>
      </c>
      <c r="E8480" t="inlineStr">
        <is>
          <t>TORSBY</t>
        </is>
      </c>
      <c r="F8480" t="inlineStr">
        <is>
          <t>Bergvik skog väst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23813-2025</t>
        </is>
      </c>
      <c r="B8481" s="1" t="n">
        <v>45793</v>
      </c>
      <c r="C8481" s="1" t="n">
        <v>45932</v>
      </c>
      <c r="D8481" t="inlineStr">
        <is>
          <t>VÄRMLANDS LÄN</t>
        </is>
      </c>
      <c r="E8481" t="inlineStr">
        <is>
          <t>HAGFORS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35585-2025</t>
        </is>
      </c>
      <c r="B8482" s="1" t="n">
        <v>45856.81059027778</v>
      </c>
      <c r="C8482" s="1" t="n">
        <v>45932</v>
      </c>
      <c r="D8482" t="inlineStr">
        <is>
          <t>VÄRMLANDS LÄN</t>
        </is>
      </c>
      <c r="E8482" t="inlineStr">
        <is>
          <t>EDA</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5106-2023</t>
        </is>
      </c>
      <c r="B8483" s="1" t="n">
        <v>44953</v>
      </c>
      <c r="C8483" s="1" t="n">
        <v>45932</v>
      </c>
      <c r="D8483" t="inlineStr">
        <is>
          <t>VÄRMLANDS LÄN</t>
        </is>
      </c>
      <c r="E8483" t="inlineStr">
        <is>
          <t>ÅRJÄNG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14197-2025</t>
        </is>
      </c>
      <c r="B8484" s="1" t="n">
        <v>45740.56710648148</v>
      </c>
      <c r="C8484" s="1" t="n">
        <v>45932</v>
      </c>
      <c r="D8484" t="inlineStr">
        <is>
          <t>VÄRMLANDS LÄN</t>
        </is>
      </c>
      <c r="E8484" t="inlineStr">
        <is>
          <t>SÄFFLE</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56552-2024</t>
        </is>
      </c>
      <c r="B8485" s="1" t="n">
        <v>45625</v>
      </c>
      <c r="C8485" s="1" t="n">
        <v>45932</v>
      </c>
      <c r="D8485" t="inlineStr">
        <is>
          <t>VÄRMLANDS LÄN</t>
        </is>
      </c>
      <c r="E8485" t="inlineStr">
        <is>
          <t>SÄFFLE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41499-2025</t>
        </is>
      </c>
      <c r="B8486" s="1" t="n">
        <v>45901</v>
      </c>
      <c r="C8486" s="1" t="n">
        <v>45932</v>
      </c>
      <c r="D8486" t="inlineStr">
        <is>
          <t>VÄRMLANDS LÄN</t>
        </is>
      </c>
      <c r="E8486" t="inlineStr">
        <is>
          <t>ÅRJÄNG</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6111-2021</t>
        </is>
      </c>
      <c r="B8487" s="1" t="n">
        <v>44232</v>
      </c>
      <c r="C8487" s="1" t="n">
        <v>45932</v>
      </c>
      <c r="D8487" t="inlineStr">
        <is>
          <t>VÄRMLANDS LÄN</t>
        </is>
      </c>
      <c r="E8487" t="inlineStr">
        <is>
          <t>TORSBY</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25659-2023</t>
        </is>
      </c>
      <c r="B8488" s="1" t="n">
        <v>45089.91476851852</v>
      </c>
      <c r="C8488" s="1" t="n">
        <v>45932</v>
      </c>
      <c r="D8488" t="inlineStr">
        <is>
          <t>VÄRMLANDS LÄN</t>
        </is>
      </c>
      <c r="E8488" t="inlineStr">
        <is>
          <t>SÄFFLE</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13505-2022</t>
        </is>
      </c>
      <c r="B8489" s="1" t="n">
        <v>44648</v>
      </c>
      <c r="C8489" s="1" t="n">
        <v>45932</v>
      </c>
      <c r="D8489" t="inlineStr">
        <is>
          <t>VÄRMLANDS LÄN</t>
        </is>
      </c>
      <c r="E8489" t="inlineStr">
        <is>
          <t>KRISTINEHAMN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41376-2025</t>
        </is>
      </c>
      <c r="B8490" s="1" t="n">
        <v>45900.84105324074</v>
      </c>
      <c r="C8490" s="1" t="n">
        <v>45932</v>
      </c>
      <c r="D8490" t="inlineStr">
        <is>
          <t>VÄRMLANDS LÄN</t>
        </is>
      </c>
      <c r="E8490" t="inlineStr">
        <is>
          <t>TORSBY</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41385-2025</t>
        </is>
      </c>
      <c r="B8491" s="1" t="n">
        <v>45898</v>
      </c>
      <c r="C8491" s="1" t="n">
        <v>45932</v>
      </c>
      <c r="D8491" t="inlineStr">
        <is>
          <t>VÄRMLANDS LÄN</t>
        </is>
      </c>
      <c r="E8491" t="inlineStr">
        <is>
          <t>SUNNE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5052-2025</t>
        </is>
      </c>
      <c r="B8492" s="1" t="n">
        <v>45691</v>
      </c>
      <c r="C8492" s="1" t="n">
        <v>45932</v>
      </c>
      <c r="D8492" t="inlineStr">
        <is>
          <t>VÄRMLANDS LÄN</t>
        </is>
      </c>
      <c r="E8492" t="inlineStr">
        <is>
          <t>TORSBY</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29427-2024</t>
        </is>
      </c>
      <c r="B8493" s="1" t="n">
        <v>45483.72967592593</v>
      </c>
      <c r="C8493" s="1" t="n">
        <v>45932</v>
      </c>
      <c r="D8493" t="inlineStr">
        <is>
          <t>VÄRMLANDS LÄN</t>
        </is>
      </c>
      <c r="E8493" t="inlineStr">
        <is>
          <t>FORSHAGA</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9588-2025</t>
        </is>
      </c>
      <c r="B8494" s="1" t="n">
        <v>45714</v>
      </c>
      <c r="C8494" s="1" t="n">
        <v>45932</v>
      </c>
      <c r="D8494" t="inlineStr">
        <is>
          <t>VÄRMLANDS LÄN</t>
        </is>
      </c>
      <c r="E8494" t="inlineStr">
        <is>
          <t>SUNNE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35582-2025</t>
        </is>
      </c>
      <c r="B8495" s="1" t="n">
        <v>45856</v>
      </c>
      <c r="C8495" s="1" t="n">
        <v>45932</v>
      </c>
      <c r="D8495" t="inlineStr">
        <is>
          <t>VÄRMLANDS LÄN</t>
        </is>
      </c>
      <c r="E8495" t="inlineStr">
        <is>
          <t>EDA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35583-2025</t>
        </is>
      </c>
      <c r="B8496" s="1" t="n">
        <v>45856.80644675926</v>
      </c>
      <c r="C8496" s="1" t="n">
        <v>45932</v>
      </c>
      <c r="D8496" t="inlineStr">
        <is>
          <t>VÄRMLANDS LÄN</t>
        </is>
      </c>
      <c r="E8496" t="inlineStr">
        <is>
          <t>EDA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35675-2025</t>
        </is>
      </c>
      <c r="B8497" s="1" t="n">
        <v>45859</v>
      </c>
      <c r="C8497" s="1" t="n">
        <v>45932</v>
      </c>
      <c r="D8497" t="inlineStr">
        <is>
          <t>VÄRMLANDS LÄN</t>
        </is>
      </c>
      <c r="E8497" t="inlineStr">
        <is>
          <t>ARVIKA</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39637-2025</t>
        </is>
      </c>
      <c r="B8498" s="1" t="n">
        <v>45890</v>
      </c>
      <c r="C8498" s="1" t="n">
        <v>45932</v>
      </c>
      <c r="D8498" t="inlineStr">
        <is>
          <t>VÄRMLANDS LÄN</t>
        </is>
      </c>
      <c r="E8498" t="inlineStr">
        <is>
          <t>ARVIKA</t>
        </is>
      </c>
      <c r="F8498" t="inlineStr">
        <is>
          <t>Bergvik skog väst AB</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39731-2025</t>
        </is>
      </c>
      <c r="B8499" s="1" t="n">
        <v>45891</v>
      </c>
      <c r="C8499" s="1" t="n">
        <v>45932</v>
      </c>
      <c r="D8499" t="inlineStr">
        <is>
          <t>VÄRMLANDS LÄN</t>
        </is>
      </c>
      <c r="E8499" t="inlineStr">
        <is>
          <t>TORSBY</t>
        </is>
      </c>
      <c r="F8499" t="inlineStr">
        <is>
          <t>Bergvik skog väst AB</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39743-2025</t>
        </is>
      </c>
      <c r="B8500" s="1" t="n">
        <v>45891</v>
      </c>
      <c r="C8500" s="1" t="n">
        <v>45932</v>
      </c>
      <c r="D8500" t="inlineStr">
        <is>
          <t>VÄRMLANDS LÄN</t>
        </is>
      </c>
      <c r="E8500" t="inlineStr">
        <is>
          <t>TORSBY</t>
        </is>
      </c>
      <c r="F8500" t="inlineStr">
        <is>
          <t>Bergvik skog väst AB</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32138-2024</t>
        </is>
      </c>
      <c r="B8501" s="1" t="n">
        <v>45511</v>
      </c>
      <c r="C8501" s="1" t="n">
        <v>45932</v>
      </c>
      <c r="D8501" t="inlineStr">
        <is>
          <t>VÄRMLANDS LÄN</t>
        </is>
      </c>
      <c r="E8501" t="inlineStr">
        <is>
          <t>TORSBY</t>
        </is>
      </c>
      <c r="F8501" t="inlineStr">
        <is>
          <t>Bergvik skog väst AB</t>
        </is>
      </c>
      <c r="G8501" t="n">
        <v>26.3</v>
      </c>
      <c r="H8501" t="n">
        <v>0</v>
      </c>
      <c r="I8501" t="n">
        <v>0</v>
      </c>
      <c r="J8501" t="n">
        <v>0</v>
      </c>
      <c r="K8501" t="n">
        <v>0</v>
      </c>
      <c r="L8501" t="n">
        <v>0</v>
      </c>
      <c r="M8501" t="n">
        <v>0</v>
      </c>
      <c r="N8501" t="n">
        <v>0</v>
      </c>
      <c r="O8501" t="n">
        <v>0</v>
      </c>
      <c r="P8501" t="n">
        <v>0</v>
      </c>
      <c r="Q8501" t="n">
        <v>0</v>
      </c>
      <c r="R8501" s="2" t="inlineStr"/>
    </row>
    <row r="8502" ht="15" customHeight="1">
      <c r="A8502" t="inlineStr">
        <is>
          <t>A 41015-2025</t>
        </is>
      </c>
      <c r="B8502" s="1" t="n">
        <v>45898.36056712963</v>
      </c>
      <c r="C8502" s="1" t="n">
        <v>45932</v>
      </c>
      <c r="D8502" t="inlineStr">
        <is>
          <t>VÄRMLANDS LÄN</t>
        </is>
      </c>
      <c r="E8502" t="inlineStr">
        <is>
          <t>HAGFORS</t>
        </is>
      </c>
      <c r="F8502" t="inlineStr">
        <is>
          <t>Bergvik skog väst AB</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41209-2025</t>
        </is>
      </c>
      <c r="B8503" s="1" t="n">
        <v>45898</v>
      </c>
      <c r="C8503" s="1" t="n">
        <v>45932</v>
      </c>
      <c r="D8503" t="inlineStr">
        <is>
          <t>VÄRMLANDS LÄN</t>
        </is>
      </c>
      <c r="E8503" t="inlineStr">
        <is>
          <t>TORSBY</t>
        </is>
      </c>
      <c r="F8503" t="inlineStr">
        <is>
          <t>Övriga Aktiebolag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41065-2022</t>
        </is>
      </c>
      <c r="B8504" s="1" t="n">
        <v>44825.59258101852</v>
      </c>
      <c r="C8504" s="1" t="n">
        <v>45932</v>
      </c>
      <c r="D8504" t="inlineStr">
        <is>
          <t>VÄRMLANDS LÄN</t>
        </is>
      </c>
      <c r="E8504" t="inlineStr">
        <is>
          <t>TORSBY</t>
        </is>
      </c>
      <c r="F8504" t="inlineStr">
        <is>
          <t>Kommuner</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41488-2025</t>
        </is>
      </c>
      <c r="B8505" s="1" t="n">
        <v>45901.48288194444</v>
      </c>
      <c r="C8505" s="1" t="n">
        <v>45932</v>
      </c>
      <c r="D8505" t="inlineStr">
        <is>
          <t>VÄRMLANDS LÄN</t>
        </is>
      </c>
      <c r="E8505" t="inlineStr">
        <is>
          <t>ÅRJÄNG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20130-2023</t>
        </is>
      </c>
      <c r="B8506" s="1" t="n">
        <v>45055.38503472223</v>
      </c>
      <c r="C8506" s="1" t="n">
        <v>45932</v>
      </c>
      <c r="D8506" t="inlineStr">
        <is>
          <t>VÄRMLANDS LÄN</t>
        </is>
      </c>
      <c r="E8506" t="inlineStr">
        <is>
          <t>TORSBY</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36239-2023</t>
        </is>
      </c>
      <c r="B8507" s="1" t="n">
        <v>45150</v>
      </c>
      <c r="C8507" s="1" t="n">
        <v>45932</v>
      </c>
      <c r="D8507" t="inlineStr">
        <is>
          <t>VÄRMLANDS LÄN</t>
        </is>
      </c>
      <c r="E8507" t="inlineStr">
        <is>
          <t>TORSBY</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21384-2025</t>
        </is>
      </c>
      <c r="B8508" s="1" t="n">
        <v>45782.46689814814</v>
      </c>
      <c r="C8508" s="1" t="n">
        <v>45932</v>
      </c>
      <c r="D8508" t="inlineStr">
        <is>
          <t>VÄRMLANDS LÄN</t>
        </is>
      </c>
      <c r="E8508" t="inlineStr">
        <is>
          <t>KRISTINEHAMN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21875-2022</t>
        </is>
      </c>
      <c r="B8509" s="1" t="n">
        <v>44711</v>
      </c>
      <c r="C8509" s="1" t="n">
        <v>45932</v>
      </c>
      <c r="D8509" t="inlineStr">
        <is>
          <t>VÄRMLANDS LÄN</t>
        </is>
      </c>
      <c r="E8509" t="inlineStr">
        <is>
          <t>SUNNE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61138-2022</t>
        </is>
      </c>
      <c r="B8510" s="1" t="n">
        <v>44915</v>
      </c>
      <c r="C8510" s="1" t="n">
        <v>45932</v>
      </c>
      <c r="D8510" t="inlineStr">
        <is>
          <t>VÄRMLANDS LÄN</t>
        </is>
      </c>
      <c r="E8510" t="inlineStr">
        <is>
          <t>TORSBY</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3463-2025</t>
        </is>
      </c>
      <c r="B8511" s="1" t="n">
        <v>45680.49807870371</v>
      </c>
      <c r="C8511" s="1" t="n">
        <v>45932</v>
      </c>
      <c r="D8511" t="inlineStr">
        <is>
          <t>VÄRMLANDS LÄN</t>
        </is>
      </c>
      <c r="E8511" t="inlineStr">
        <is>
          <t>ÅRJÄNG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3479-2025</t>
        </is>
      </c>
      <c r="B8512" s="1" t="n">
        <v>45680.53805555555</v>
      </c>
      <c r="C8512" s="1" t="n">
        <v>45932</v>
      </c>
      <c r="D8512" t="inlineStr">
        <is>
          <t>VÄRMLANDS LÄN</t>
        </is>
      </c>
      <c r="E8512" t="inlineStr">
        <is>
          <t>ÅRJÄNG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23705-2022</t>
        </is>
      </c>
      <c r="B8513" s="1" t="n">
        <v>44722</v>
      </c>
      <c r="C8513" s="1" t="n">
        <v>45932</v>
      </c>
      <c r="D8513" t="inlineStr">
        <is>
          <t>VÄRMLANDS LÄN</t>
        </is>
      </c>
      <c r="E8513" t="inlineStr">
        <is>
          <t>KRISTINEHAMN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16666-2025</t>
        </is>
      </c>
      <c r="B8514" s="1" t="n">
        <v>45754</v>
      </c>
      <c r="C8514" s="1" t="n">
        <v>45932</v>
      </c>
      <c r="D8514" t="inlineStr">
        <is>
          <t>VÄRMLANDS LÄN</t>
        </is>
      </c>
      <c r="E8514" t="inlineStr">
        <is>
          <t>ÅRJÄNG</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3148-2025</t>
        </is>
      </c>
      <c r="B8515" s="1" t="n">
        <v>45678.89115740741</v>
      </c>
      <c r="C8515" s="1" t="n">
        <v>45932</v>
      </c>
      <c r="D8515" t="inlineStr">
        <is>
          <t>VÄRMLANDS LÄN</t>
        </is>
      </c>
      <c r="E8515" t="inlineStr">
        <is>
          <t>SUNNE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3904-2025</t>
        </is>
      </c>
      <c r="B8516" s="1" t="n">
        <v>45684</v>
      </c>
      <c r="C8516" s="1" t="n">
        <v>45932</v>
      </c>
      <c r="D8516" t="inlineStr">
        <is>
          <t>VÄRMLANDS LÄN</t>
        </is>
      </c>
      <c r="E8516" t="inlineStr">
        <is>
          <t>TORSBY</t>
        </is>
      </c>
      <c r="F8516" t="inlineStr">
        <is>
          <t>Övriga statliga verk och myndigheter</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19920-2024</t>
        </is>
      </c>
      <c r="B8517" s="1" t="n">
        <v>45433.58947916667</v>
      </c>
      <c r="C8517" s="1" t="n">
        <v>45932</v>
      </c>
      <c r="D8517" t="inlineStr">
        <is>
          <t>VÄRMLANDS LÄN</t>
        </is>
      </c>
      <c r="E8517" t="inlineStr">
        <is>
          <t>ÅRJÄNG</t>
        </is>
      </c>
      <c r="F8517" t="inlineStr">
        <is>
          <t>Bergvik skog väst AB</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15563-2022</t>
        </is>
      </c>
      <c r="B8518" s="1" t="n">
        <v>44662</v>
      </c>
      <c r="C8518" s="1" t="n">
        <v>45932</v>
      </c>
      <c r="D8518" t="inlineStr">
        <is>
          <t>VÄRMLANDS LÄN</t>
        </is>
      </c>
      <c r="E8518" t="inlineStr">
        <is>
          <t>FORSHAGA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41283-2023</t>
        </is>
      </c>
      <c r="B8519" s="1" t="n">
        <v>45174.57032407408</v>
      </c>
      <c r="C8519" s="1" t="n">
        <v>45932</v>
      </c>
      <c r="D8519" t="inlineStr">
        <is>
          <t>VÄRMLANDS LÄN</t>
        </is>
      </c>
      <c r="E8519" t="inlineStr">
        <is>
          <t>ÅRJÄNG</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17562-2024</t>
        </is>
      </c>
      <c r="B8520" s="1" t="n">
        <v>45415</v>
      </c>
      <c r="C8520" s="1" t="n">
        <v>45932</v>
      </c>
      <c r="D8520" t="inlineStr">
        <is>
          <t>VÄRMLANDS LÄN</t>
        </is>
      </c>
      <c r="E8520" t="inlineStr">
        <is>
          <t>TORSBY</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41417-2025</t>
        </is>
      </c>
      <c r="B8521" s="1" t="n">
        <v>45901.37231481481</v>
      </c>
      <c r="C8521" s="1" t="n">
        <v>45932</v>
      </c>
      <c r="D8521" t="inlineStr">
        <is>
          <t>VÄRMLANDS LÄN</t>
        </is>
      </c>
      <c r="E8521" t="inlineStr">
        <is>
          <t>FILIPSTAD</t>
        </is>
      </c>
      <c r="F8521" t="inlineStr">
        <is>
          <t>Bergvik skog väst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19932-2024</t>
        </is>
      </c>
      <c r="B8522" s="1" t="n">
        <v>45433</v>
      </c>
      <c r="C8522" s="1" t="n">
        <v>45932</v>
      </c>
      <c r="D8522" t="inlineStr">
        <is>
          <t>VÄRMLANDS LÄN</t>
        </is>
      </c>
      <c r="E8522" t="inlineStr">
        <is>
          <t>ARVIKA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3951-2025</t>
        </is>
      </c>
      <c r="B8523" s="1" t="n">
        <v>45684.49333333333</v>
      </c>
      <c r="C8523" s="1" t="n">
        <v>45932</v>
      </c>
      <c r="D8523" t="inlineStr">
        <is>
          <t>VÄRMLANDS LÄN</t>
        </is>
      </c>
      <c r="E8523" t="inlineStr">
        <is>
          <t>TORSBY</t>
        </is>
      </c>
      <c r="F8523" t="inlineStr">
        <is>
          <t>Bergvik skog väst AB</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3975-2025</t>
        </is>
      </c>
      <c r="B8524" s="1" t="n">
        <v>45684.53989583333</v>
      </c>
      <c r="C8524" s="1" t="n">
        <v>45932</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3980-2025</t>
        </is>
      </c>
      <c r="B8525" s="1" t="n">
        <v>45684.54350694444</v>
      </c>
      <c r="C8525" s="1" t="n">
        <v>45932</v>
      </c>
      <c r="D8525" t="inlineStr">
        <is>
          <t>VÄRMLANDS LÄN</t>
        </is>
      </c>
      <c r="E8525" t="inlineStr">
        <is>
          <t>HAGFORS</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17573-2025</t>
        </is>
      </c>
      <c r="B8526" s="1" t="n">
        <v>45757.65053240741</v>
      </c>
      <c r="C8526" s="1" t="n">
        <v>45932</v>
      </c>
      <c r="D8526" t="inlineStr">
        <is>
          <t>VÄRMLANDS LÄN</t>
        </is>
      </c>
      <c r="E8526" t="inlineStr">
        <is>
          <t>GRUMS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21513-2024</t>
        </is>
      </c>
      <c r="B8527" s="1" t="n">
        <v>45441</v>
      </c>
      <c r="C8527" s="1" t="n">
        <v>45932</v>
      </c>
      <c r="D8527" t="inlineStr">
        <is>
          <t>VÄRMLANDS LÄN</t>
        </is>
      </c>
      <c r="E8527" t="inlineStr">
        <is>
          <t>ÅRJÄNG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41627-2025</t>
        </is>
      </c>
      <c r="B8528" s="1" t="n">
        <v>45901.79328703704</v>
      </c>
      <c r="C8528" s="1" t="n">
        <v>45932</v>
      </c>
      <c r="D8528" t="inlineStr">
        <is>
          <t>VÄRMLANDS LÄN</t>
        </is>
      </c>
      <c r="E8528" t="inlineStr">
        <is>
          <t>TORSBY</t>
        </is>
      </c>
      <c r="F8528" t="inlineStr">
        <is>
          <t>Bergvik skog väst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41439-2025</t>
        </is>
      </c>
      <c r="B8529" s="1" t="n">
        <v>45901</v>
      </c>
      <c r="C8529" s="1" t="n">
        <v>45932</v>
      </c>
      <c r="D8529" t="inlineStr">
        <is>
          <t>VÄRMLANDS LÄN</t>
        </is>
      </c>
      <c r="E8529" t="inlineStr">
        <is>
          <t>ARVIKA</t>
        </is>
      </c>
      <c r="F8529" t="inlineStr">
        <is>
          <t>Bergvik skog väst AB</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43632-2025</t>
        </is>
      </c>
      <c r="B8530" s="1" t="n">
        <v>45911</v>
      </c>
      <c r="C8530" s="1" t="n">
        <v>45932</v>
      </c>
      <c r="D8530" t="inlineStr">
        <is>
          <t>VÄRMLANDS LÄN</t>
        </is>
      </c>
      <c r="E8530" t="inlineStr">
        <is>
          <t>KRISTINEHAMN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57588-2023</t>
        </is>
      </c>
      <c r="B8531" s="1" t="n">
        <v>45246.54696759259</v>
      </c>
      <c r="C8531" s="1" t="n">
        <v>45932</v>
      </c>
      <c r="D8531" t="inlineStr">
        <is>
          <t>VÄRMLANDS LÄN</t>
        </is>
      </c>
      <c r="E8531" t="inlineStr">
        <is>
          <t>FILIPSTAD</t>
        </is>
      </c>
      <c r="F8531" t="inlineStr">
        <is>
          <t>Bergvik skog väst AB</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4610-2023</t>
        </is>
      </c>
      <c r="B8532" s="1" t="n">
        <v>44951</v>
      </c>
      <c r="C8532" s="1" t="n">
        <v>45932</v>
      </c>
      <c r="D8532" t="inlineStr">
        <is>
          <t>VÄRMLANDS LÄN</t>
        </is>
      </c>
      <c r="E8532" t="inlineStr">
        <is>
          <t>MUNKFORS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13734-2024</t>
        </is>
      </c>
      <c r="B8533" s="1" t="n">
        <v>45387</v>
      </c>
      <c r="C8533" s="1" t="n">
        <v>45932</v>
      </c>
      <c r="D8533" t="inlineStr">
        <is>
          <t>VÄRMLANDS LÄN</t>
        </is>
      </c>
      <c r="E8533" t="inlineStr">
        <is>
          <t>ÅRJÄNG</t>
        </is>
      </c>
      <c r="F8533" t="inlineStr">
        <is>
          <t>Övriga Aktiebolag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13814-2024</t>
        </is>
      </c>
      <c r="B8534" s="1" t="n">
        <v>45391</v>
      </c>
      <c r="C8534" s="1" t="n">
        <v>45932</v>
      </c>
      <c r="D8534" t="inlineStr">
        <is>
          <t>VÄRMLANDS LÄN</t>
        </is>
      </c>
      <c r="E8534" t="inlineStr">
        <is>
          <t>ÅRJÄNG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8795-2023</t>
        </is>
      </c>
      <c r="B8535" s="1" t="n">
        <v>44978</v>
      </c>
      <c r="C8535" s="1" t="n">
        <v>45932</v>
      </c>
      <c r="D8535" t="inlineStr">
        <is>
          <t>VÄRMLANDS LÄN</t>
        </is>
      </c>
      <c r="E8535" t="inlineStr">
        <is>
          <t>ARVIKA</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13819-2024</t>
        </is>
      </c>
      <c r="B8536" s="1" t="n">
        <v>45391.42252314815</v>
      </c>
      <c r="C8536" s="1" t="n">
        <v>45932</v>
      </c>
      <c r="D8536" t="inlineStr">
        <is>
          <t>VÄRMLANDS LÄN</t>
        </is>
      </c>
      <c r="E8536" t="inlineStr">
        <is>
          <t>ÅRJÄNG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13820-2024</t>
        </is>
      </c>
      <c r="B8537" s="1" t="n">
        <v>45390</v>
      </c>
      <c r="C8537" s="1" t="n">
        <v>45932</v>
      </c>
      <c r="D8537" t="inlineStr">
        <is>
          <t>VÄRMLANDS LÄN</t>
        </is>
      </c>
      <c r="E8537" t="inlineStr">
        <is>
          <t>GRUMS</t>
        </is>
      </c>
      <c r="G8537" t="n">
        <v>7.2</v>
      </c>
      <c r="H8537" t="n">
        <v>0</v>
      </c>
      <c r="I8537" t="n">
        <v>0</v>
      </c>
      <c r="J8537" t="n">
        <v>0</v>
      </c>
      <c r="K8537" t="n">
        <v>0</v>
      </c>
      <c r="L8537" t="n">
        <v>0</v>
      </c>
      <c r="M8537" t="n">
        <v>0</v>
      </c>
      <c r="N8537" t="n">
        <v>0</v>
      </c>
      <c r="O8537" t="n">
        <v>0</v>
      </c>
      <c r="P8537" t="n">
        <v>0</v>
      </c>
      <c r="Q8537" t="n">
        <v>0</v>
      </c>
      <c r="R8537" s="2" t="inlineStr"/>
    </row>
    <row r="8538" ht="15" customHeight="1">
      <c r="A8538" t="inlineStr">
        <is>
          <t>A 13891-2024</t>
        </is>
      </c>
      <c r="B8538" s="1" t="n">
        <v>45391</v>
      </c>
      <c r="C8538" s="1" t="n">
        <v>45932</v>
      </c>
      <c r="D8538" t="inlineStr">
        <is>
          <t>VÄRMLANDS LÄN</t>
        </is>
      </c>
      <c r="E8538" t="inlineStr">
        <is>
          <t>SÄFFLE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49405-2022</t>
        </is>
      </c>
      <c r="B8539" s="1" t="n">
        <v>44861.63182870371</v>
      </c>
      <c r="C8539" s="1" t="n">
        <v>45932</v>
      </c>
      <c r="D8539" t="inlineStr">
        <is>
          <t>VÄRMLANDS LÄN</t>
        </is>
      </c>
      <c r="E8539" t="inlineStr">
        <is>
          <t>ÅRJÄNG</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41419-2025</t>
        </is>
      </c>
      <c r="B8540" s="1" t="n">
        <v>45901.37824074074</v>
      </c>
      <c r="C8540" s="1" t="n">
        <v>45932</v>
      </c>
      <c r="D8540" t="inlineStr">
        <is>
          <t>VÄRMLANDS LÄN</t>
        </is>
      </c>
      <c r="E8540" t="inlineStr">
        <is>
          <t>FILIPSTAD</t>
        </is>
      </c>
      <c r="F8540" t="inlineStr">
        <is>
          <t>Bergvik skog väst AB</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22563-2021</t>
        </is>
      </c>
      <c r="B8541" s="1" t="n">
        <v>44322</v>
      </c>
      <c r="C8541" s="1" t="n">
        <v>45932</v>
      </c>
      <c r="D8541" t="inlineStr">
        <is>
          <t>VÄRMLANDS LÄN</t>
        </is>
      </c>
      <c r="E8541" t="inlineStr">
        <is>
          <t>ARVIKA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35574-2025</t>
        </is>
      </c>
      <c r="B8542" s="1" t="n">
        <v>45856.61221064815</v>
      </c>
      <c r="C8542" s="1" t="n">
        <v>45932</v>
      </c>
      <c r="D8542" t="inlineStr">
        <is>
          <t>VÄRMLANDS LÄN</t>
        </is>
      </c>
      <c r="E8542" t="inlineStr">
        <is>
          <t>SUNNE</t>
        </is>
      </c>
      <c r="F8542" t="inlineStr">
        <is>
          <t>Kyrkan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14660-2022</t>
        </is>
      </c>
      <c r="B8543" s="1" t="n">
        <v>44655</v>
      </c>
      <c r="C8543" s="1" t="n">
        <v>45932</v>
      </c>
      <c r="D8543" t="inlineStr">
        <is>
          <t>VÄRMLANDS LÄN</t>
        </is>
      </c>
      <c r="E8543" t="inlineStr">
        <is>
          <t>SUNNE</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35584-2025</t>
        </is>
      </c>
      <c r="B8544" s="1" t="n">
        <v>45856.80967592593</v>
      </c>
      <c r="C8544" s="1" t="n">
        <v>45932</v>
      </c>
      <c r="D8544" t="inlineStr">
        <is>
          <t>VÄRMLANDS LÄN</t>
        </is>
      </c>
      <c r="E8544" t="inlineStr">
        <is>
          <t>EDA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35609-2025</t>
        </is>
      </c>
      <c r="B8545" s="1" t="n">
        <v>45859.34877314815</v>
      </c>
      <c r="C8545" s="1" t="n">
        <v>45932</v>
      </c>
      <c r="D8545" t="inlineStr">
        <is>
          <t>VÄRMLANDS LÄN</t>
        </is>
      </c>
      <c r="E8545" t="inlineStr">
        <is>
          <t>SUNNE</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41004-2025</t>
        </is>
      </c>
      <c r="B8546" s="1" t="n">
        <v>45898.34681712963</v>
      </c>
      <c r="C8546" s="1" t="n">
        <v>45932</v>
      </c>
      <c r="D8546" t="inlineStr">
        <is>
          <t>VÄRMLANDS LÄN</t>
        </is>
      </c>
      <c r="E8546" t="inlineStr">
        <is>
          <t>HAGFORS</t>
        </is>
      </c>
      <c r="F8546" t="inlineStr">
        <is>
          <t>Bergvik skog väst AB</t>
        </is>
      </c>
      <c r="G8546" t="n">
        <v>18.1</v>
      </c>
      <c r="H8546" t="n">
        <v>0</v>
      </c>
      <c r="I8546" t="n">
        <v>0</v>
      </c>
      <c r="J8546" t="n">
        <v>0</v>
      </c>
      <c r="K8546" t="n">
        <v>0</v>
      </c>
      <c r="L8546" t="n">
        <v>0</v>
      </c>
      <c r="M8546" t="n">
        <v>0</v>
      </c>
      <c r="N8546" t="n">
        <v>0</v>
      </c>
      <c r="O8546" t="n">
        <v>0</v>
      </c>
      <c r="P8546" t="n">
        <v>0</v>
      </c>
      <c r="Q8546" t="n">
        <v>0</v>
      </c>
      <c r="R8546" s="2" t="inlineStr"/>
    </row>
    <row r="8547" ht="15" customHeight="1">
      <c r="A8547" t="inlineStr">
        <is>
          <t>A 13094-2025</t>
        </is>
      </c>
      <c r="B8547" s="1" t="n">
        <v>45734</v>
      </c>
      <c r="C8547" s="1" t="n">
        <v>45932</v>
      </c>
      <c r="D8547" t="inlineStr">
        <is>
          <t>VÄRMLANDS LÄN</t>
        </is>
      </c>
      <c r="E8547" t="inlineStr">
        <is>
          <t>KIL</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27760-2023</t>
        </is>
      </c>
      <c r="B8548" s="1" t="n">
        <v>45098.40652777778</v>
      </c>
      <c r="C8548" s="1" t="n">
        <v>45932</v>
      </c>
      <c r="D8548" t="inlineStr">
        <is>
          <t>VÄRMLANDS LÄN</t>
        </is>
      </c>
      <c r="E8548" t="inlineStr">
        <is>
          <t>ARVIKA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10850-2022</t>
        </is>
      </c>
      <c r="B8549" s="1" t="n">
        <v>44627</v>
      </c>
      <c r="C8549" s="1" t="n">
        <v>45932</v>
      </c>
      <c r="D8549" t="inlineStr">
        <is>
          <t>VÄRMLANDS LÄN</t>
        </is>
      </c>
      <c r="E8549" t="inlineStr">
        <is>
          <t>ARVIKA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40907-2025</t>
        </is>
      </c>
      <c r="B8550" s="1" t="n">
        <v>45897</v>
      </c>
      <c r="C8550" s="1" t="n">
        <v>45932</v>
      </c>
      <c r="D8550" t="inlineStr">
        <is>
          <t>VÄRMLANDS LÄN</t>
        </is>
      </c>
      <c r="E8550" t="inlineStr">
        <is>
          <t>ARVIKA</t>
        </is>
      </c>
      <c r="F8550" t="inlineStr">
        <is>
          <t>Bergvik skog väst AB</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55399-2024</t>
        </is>
      </c>
      <c r="B8551" s="1" t="n">
        <v>45622.35171296296</v>
      </c>
      <c r="C8551" s="1" t="n">
        <v>45932</v>
      </c>
      <c r="D8551" t="inlineStr">
        <is>
          <t>VÄRMLANDS LÄN</t>
        </is>
      </c>
      <c r="E8551" t="inlineStr">
        <is>
          <t>SUNNE</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14252-2023</t>
        </is>
      </c>
      <c r="B8552" s="1" t="n">
        <v>45009</v>
      </c>
      <c r="C8552" s="1" t="n">
        <v>45932</v>
      </c>
      <c r="D8552" t="inlineStr">
        <is>
          <t>VÄRMLANDS LÄN</t>
        </is>
      </c>
      <c r="E8552" t="inlineStr">
        <is>
          <t>SUNNE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52924-2023</t>
        </is>
      </c>
      <c r="B8553" s="1" t="n">
        <v>45226</v>
      </c>
      <c r="C8553" s="1" t="n">
        <v>45932</v>
      </c>
      <c r="D8553" t="inlineStr">
        <is>
          <t>VÄRMLANDS LÄN</t>
        </is>
      </c>
      <c r="E8553" t="inlineStr">
        <is>
          <t>HAGFORS</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6063-2021</t>
        </is>
      </c>
      <c r="B8554" s="1" t="n">
        <v>44232</v>
      </c>
      <c r="C8554" s="1" t="n">
        <v>45932</v>
      </c>
      <c r="D8554" t="inlineStr">
        <is>
          <t>VÄRMLANDS LÄN</t>
        </is>
      </c>
      <c r="E8554" t="inlineStr">
        <is>
          <t>TORSBY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14292-2023</t>
        </is>
      </c>
      <c r="B8555" s="1" t="n">
        <v>45011</v>
      </c>
      <c r="C8555" s="1" t="n">
        <v>45932</v>
      </c>
      <c r="D8555" t="inlineStr">
        <is>
          <t>VÄRMLANDS LÄN</t>
        </is>
      </c>
      <c r="E8555" t="inlineStr">
        <is>
          <t>TORSBY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14293-2023</t>
        </is>
      </c>
      <c r="B8556" s="1" t="n">
        <v>45011</v>
      </c>
      <c r="C8556" s="1" t="n">
        <v>45932</v>
      </c>
      <c r="D8556" t="inlineStr">
        <is>
          <t>VÄRMLANDS LÄN</t>
        </is>
      </c>
      <c r="E8556" t="inlineStr">
        <is>
          <t>TORSBY</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17363-2023</t>
        </is>
      </c>
      <c r="B8557" s="1" t="n">
        <v>45035</v>
      </c>
      <c r="C8557" s="1" t="n">
        <v>45932</v>
      </c>
      <c r="D8557" t="inlineStr">
        <is>
          <t>VÄRMLANDS LÄN</t>
        </is>
      </c>
      <c r="E8557" t="inlineStr">
        <is>
          <t>ARVIKA</t>
        </is>
      </c>
      <c r="G8557" t="n">
        <v>19.4</v>
      </c>
      <c r="H8557" t="n">
        <v>0</v>
      </c>
      <c r="I8557" t="n">
        <v>0</v>
      </c>
      <c r="J8557" t="n">
        <v>0</v>
      </c>
      <c r="K8557" t="n">
        <v>0</v>
      </c>
      <c r="L8557" t="n">
        <v>0</v>
      </c>
      <c r="M8557" t="n">
        <v>0</v>
      </c>
      <c r="N8557" t="n">
        <v>0</v>
      </c>
      <c r="O8557" t="n">
        <v>0</v>
      </c>
      <c r="P8557" t="n">
        <v>0</v>
      </c>
      <c r="Q8557" t="n">
        <v>0</v>
      </c>
      <c r="R8557" s="2" t="inlineStr"/>
    </row>
    <row r="8558" ht="15" customHeight="1">
      <c r="A8558" t="inlineStr">
        <is>
          <t>A 34970-2025</t>
        </is>
      </c>
      <c r="B8558" s="1" t="n">
        <v>45849</v>
      </c>
      <c r="C8558" s="1" t="n">
        <v>45932</v>
      </c>
      <c r="D8558" t="inlineStr">
        <is>
          <t>VÄRMLANDS LÄN</t>
        </is>
      </c>
      <c r="E8558" t="inlineStr">
        <is>
          <t>ARVIKA</t>
        </is>
      </c>
      <c r="G8558" t="n">
        <v>14.6</v>
      </c>
      <c r="H8558" t="n">
        <v>0</v>
      </c>
      <c r="I8558" t="n">
        <v>0</v>
      </c>
      <c r="J8558" t="n">
        <v>0</v>
      </c>
      <c r="K8558" t="n">
        <v>0</v>
      </c>
      <c r="L8558" t="n">
        <v>0</v>
      </c>
      <c r="M8558" t="n">
        <v>0</v>
      </c>
      <c r="N8558" t="n">
        <v>0</v>
      </c>
      <c r="O8558" t="n">
        <v>0</v>
      </c>
      <c r="P8558" t="n">
        <v>0</v>
      </c>
      <c r="Q8558" t="n">
        <v>0</v>
      </c>
      <c r="R8558" s="2" t="inlineStr"/>
    </row>
    <row r="8559" ht="15" customHeight="1">
      <c r="A8559" t="inlineStr">
        <is>
          <t>A 35552-2025</t>
        </is>
      </c>
      <c r="B8559" s="1" t="n">
        <v>45856.49702546297</v>
      </c>
      <c r="C8559" s="1" t="n">
        <v>45932</v>
      </c>
      <c r="D8559" t="inlineStr">
        <is>
          <t>VÄRMLANDS LÄN</t>
        </is>
      </c>
      <c r="E8559" t="inlineStr">
        <is>
          <t>TORSBY</t>
        </is>
      </c>
      <c r="F8559" t="inlineStr">
        <is>
          <t>Bergvik skog väst AB</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35564-2025</t>
        </is>
      </c>
      <c r="B8560" s="1" t="n">
        <v>45856.55047453703</v>
      </c>
      <c r="C8560" s="1" t="n">
        <v>45932</v>
      </c>
      <c r="D8560" t="inlineStr">
        <is>
          <t>VÄRMLANDS LÄN</t>
        </is>
      </c>
      <c r="E8560" t="inlineStr">
        <is>
          <t>SUNNE</t>
        </is>
      </c>
      <c r="F8560" t="inlineStr">
        <is>
          <t>Bergvik skog väst AB</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35571-2025</t>
        </is>
      </c>
      <c r="B8561" s="1" t="n">
        <v>45856</v>
      </c>
      <c r="C8561" s="1" t="n">
        <v>45932</v>
      </c>
      <c r="D8561" t="inlineStr">
        <is>
          <t>VÄRMLANDS LÄN</t>
        </is>
      </c>
      <c r="E8561" t="inlineStr">
        <is>
          <t>ARVIKA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4030-2024</t>
        </is>
      </c>
      <c r="B8562" s="1" t="n">
        <v>45323</v>
      </c>
      <c r="C8562" s="1" t="n">
        <v>45932</v>
      </c>
      <c r="D8562" t="inlineStr">
        <is>
          <t>VÄRMLANDS LÄN</t>
        </is>
      </c>
      <c r="E8562" t="inlineStr">
        <is>
          <t>TORSBY</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41194-2025</t>
        </is>
      </c>
      <c r="B8563" s="1" t="n">
        <v>45898.57028935185</v>
      </c>
      <c r="C8563" s="1" t="n">
        <v>45932</v>
      </c>
      <c r="D8563" t="inlineStr">
        <is>
          <t>VÄRMLANDS LÄN</t>
        </is>
      </c>
      <c r="E8563" t="inlineStr">
        <is>
          <t>TORSBY</t>
        </is>
      </c>
      <c r="F8563" t="inlineStr">
        <is>
          <t>Bergvik skog väst AB</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41154-2025</t>
        </is>
      </c>
      <c r="B8564" s="1" t="n">
        <v>45898.51934027778</v>
      </c>
      <c r="C8564" s="1" t="n">
        <v>45932</v>
      </c>
      <c r="D8564" t="inlineStr">
        <is>
          <t>VÄRMLANDS LÄN</t>
        </is>
      </c>
      <c r="E8564" t="inlineStr">
        <is>
          <t>HAGFORS</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41155-2025</t>
        </is>
      </c>
      <c r="B8565" s="1" t="n">
        <v>45898.52128472222</v>
      </c>
      <c r="C8565" s="1" t="n">
        <v>45932</v>
      </c>
      <c r="D8565" t="inlineStr">
        <is>
          <t>VÄRMLANDS LÄN</t>
        </is>
      </c>
      <c r="E8565" t="inlineStr">
        <is>
          <t>HAGFORS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13787-2024</t>
        </is>
      </c>
      <c r="B8566" s="1" t="n">
        <v>45391.34064814815</v>
      </c>
      <c r="C8566" s="1" t="n">
        <v>45932</v>
      </c>
      <c r="D8566" t="inlineStr">
        <is>
          <t>VÄRMLANDS LÄN</t>
        </is>
      </c>
      <c r="E8566" t="inlineStr">
        <is>
          <t>KARLSTAD</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11235-2024</t>
        </is>
      </c>
      <c r="B8567" s="1" t="n">
        <v>45371</v>
      </c>
      <c r="C8567" s="1" t="n">
        <v>45932</v>
      </c>
      <c r="D8567" t="inlineStr">
        <is>
          <t>VÄRMLANDS LÄN</t>
        </is>
      </c>
      <c r="E8567" t="inlineStr">
        <is>
          <t>TORSBY</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11242-2024</t>
        </is>
      </c>
      <c r="B8568" s="1" t="n">
        <v>45371</v>
      </c>
      <c r="C8568" s="1" t="n">
        <v>45932</v>
      </c>
      <c r="D8568" t="inlineStr">
        <is>
          <t>VÄRMLANDS LÄN</t>
        </is>
      </c>
      <c r="E8568" t="inlineStr">
        <is>
          <t>TORSBY</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11253-2024</t>
        </is>
      </c>
      <c r="B8569" s="1" t="n">
        <v>45371</v>
      </c>
      <c r="C8569" s="1" t="n">
        <v>45932</v>
      </c>
      <c r="D8569" t="inlineStr">
        <is>
          <t>VÄRMLANDS LÄN</t>
        </is>
      </c>
      <c r="E8569" t="inlineStr">
        <is>
          <t>TORSBY</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41307-2025</t>
        </is>
      </c>
      <c r="B8570" s="1" t="n">
        <v>45898.73355324074</v>
      </c>
      <c r="C8570" s="1" t="n">
        <v>45932</v>
      </c>
      <c r="D8570" t="inlineStr">
        <is>
          <t>VÄRMLANDS LÄN</t>
        </is>
      </c>
      <c r="E8570" t="inlineStr">
        <is>
          <t>ARVIKA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41153-2025</t>
        </is>
      </c>
      <c r="B8571" s="1" t="n">
        <v>45898.51598379629</v>
      </c>
      <c r="C8571" s="1" t="n">
        <v>45932</v>
      </c>
      <c r="D8571" t="inlineStr">
        <is>
          <t>VÄRMLANDS LÄN</t>
        </is>
      </c>
      <c r="E8571" t="inlineStr">
        <is>
          <t>HAGFORS</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57981-2022</t>
        </is>
      </c>
      <c r="B8572" s="1" t="n">
        <v>44900.47692129629</v>
      </c>
      <c r="C8572" s="1" t="n">
        <v>45932</v>
      </c>
      <c r="D8572" t="inlineStr">
        <is>
          <t>VÄRMLANDS LÄN</t>
        </is>
      </c>
      <c r="E8572" t="inlineStr">
        <is>
          <t>STORFORS</t>
        </is>
      </c>
      <c r="F8572" t="inlineStr">
        <is>
          <t>Naturvårdsverket</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2195-2025</t>
        </is>
      </c>
      <c r="B8573" s="1" t="n">
        <v>45673.38138888889</v>
      </c>
      <c r="C8573" s="1" t="n">
        <v>45932</v>
      </c>
      <c r="D8573" t="inlineStr">
        <is>
          <t>VÄRMLANDS LÄN</t>
        </is>
      </c>
      <c r="E8573" t="inlineStr">
        <is>
          <t>TORSBY</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41587-2025</t>
        </is>
      </c>
      <c r="B8574" s="1" t="n">
        <v>45901.62855324074</v>
      </c>
      <c r="C8574" s="1" t="n">
        <v>45932</v>
      </c>
      <c r="D8574" t="inlineStr">
        <is>
          <t>VÄRMLANDS LÄN</t>
        </is>
      </c>
      <c r="E8574" t="inlineStr">
        <is>
          <t>FILIPSTAD</t>
        </is>
      </c>
      <c r="F8574" t="inlineStr">
        <is>
          <t>Bergvik skog väst AB</t>
        </is>
      </c>
      <c r="G8574" t="n">
        <v>28.3</v>
      </c>
      <c r="H8574" t="n">
        <v>0</v>
      </c>
      <c r="I8574" t="n">
        <v>0</v>
      </c>
      <c r="J8574" t="n">
        <v>0</v>
      </c>
      <c r="K8574" t="n">
        <v>0</v>
      </c>
      <c r="L8574" t="n">
        <v>0</v>
      </c>
      <c r="M8574" t="n">
        <v>0</v>
      </c>
      <c r="N8574" t="n">
        <v>0</v>
      </c>
      <c r="O8574" t="n">
        <v>0</v>
      </c>
      <c r="P8574" t="n">
        <v>0</v>
      </c>
      <c r="Q8574" t="n">
        <v>0</v>
      </c>
      <c r="R8574" s="2" t="inlineStr"/>
    </row>
    <row r="8575" ht="15" customHeight="1">
      <c r="A8575" t="inlineStr">
        <is>
          <t>A 38991-2023</t>
        </is>
      </c>
      <c r="B8575" s="1" t="n">
        <v>45163.65929398148</v>
      </c>
      <c r="C8575" s="1" t="n">
        <v>45932</v>
      </c>
      <c r="D8575" t="inlineStr">
        <is>
          <t>VÄRMLANDS LÄN</t>
        </is>
      </c>
      <c r="E8575" t="inlineStr">
        <is>
          <t>TORSBY</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41113-2025</t>
        </is>
      </c>
      <c r="B8576" s="1" t="n">
        <v>45898.46057870371</v>
      </c>
      <c r="C8576" s="1" t="n">
        <v>45932</v>
      </c>
      <c r="D8576" t="inlineStr">
        <is>
          <t>VÄRMLANDS LÄN</t>
        </is>
      </c>
      <c r="E8576" t="inlineStr">
        <is>
          <t>GRUMS</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41137-2025</t>
        </is>
      </c>
      <c r="B8577" s="1" t="n">
        <v>45898</v>
      </c>
      <c r="C8577" s="1" t="n">
        <v>45932</v>
      </c>
      <c r="D8577" t="inlineStr">
        <is>
          <t>VÄRMLANDS LÄN</t>
        </is>
      </c>
      <c r="E8577" t="inlineStr">
        <is>
          <t>TORSBY</t>
        </is>
      </c>
      <c r="F8577" t="inlineStr">
        <is>
          <t>Övriga Aktiebolag</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1983-2024</t>
        </is>
      </c>
      <c r="B8578" s="1" t="n">
        <v>45308</v>
      </c>
      <c r="C8578" s="1" t="n">
        <v>45932</v>
      </c>
      <c r="D8578" t="inlineStr">
        <is>
          <t>VÄRMLANDS LÄN</t>
        </is>
      </c>
      <c r="E8578" t="inlineStr">
        <is>
          <t>KARLSTAD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11350-2024</t>
        </is>
      </c>
      <c r="B8579" s="1" t="n">
        <v>45372.34391203704</v>
      </c>
      <c r="C8579" s="1" t="n">
        <v>45932</v>
      </c>
      <c r="D8579" t="inlineStr">
        <is>
          <t>VÄRMLANDS LÄN</t>
        </is>
      </c>
      <c r="E8579" t="inlineStr">
        <is>
          <t>FORSHAGA</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2699-2022</t>
        </is>
      </c>
      <c r="B8580" s="1" t="n">
        <v>44580.62828703703</v>
      </c>
      <c r="C8580" s="1" t="n">
        <v>45932</v>
      </c>
      <c r="D8580" t="inlineStr">
        <is>
          <t>VÄRMLANDS LÄN</t>
        </is>
      </c>
      <c r="E8580" t="inlineStr">
        <is>
          <t>TORSBY</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6532-2025</t>
        </is>
      </c>
      <c r="B8581" s="1" t="n">
        <v>45699</v>
      </c>
      <c r="C8581" s="1" t="n">
        <v>45932</v>
      </c>
      <c r="D8581" t="inlineStr">
        <is>
          <t>VÄRMLANDS LÄN</t>
        </is>
      </c>
      <c r="E8581" t="inlineStr">
        <is>
          <t>TORSBY</t>
        </is>
      </c>
      <c r="F8581" t="inlineStr">
        <is>
          <t>Kommuner</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44346-2024</t>
        </is>
      </c>
      <c r="B8582" s="1" t="n">
        <v>45573.62628472222</v>
      </c>
      <c r="C8582" s="1" t="n">
        <v>45932</v>
      </c>
      <c r="D8582" t="inlineStr">
        <is>
          <t>VÄRMLANDS LÄN</t>
        </is>
      </c>
      <c r="E8582" t="inlineStr">
        <is>
          <t>SÄFFLE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41298-2025</t>
        </is>
      </c>
      <c r="B8583" s="1" t="n">
        <v>45898.66893518518</v>
      </c>
      <c r="C8583" s="1" t="n">
        <v>45932</v>
      </c>
      <c r="D8583" t="inlineStr">
        <is>
          <t>VÄRMLANDS LÄN</t>
        </is>
      </c>
      <c r="E8583" t="inlineStr">
        <is>
          <t>KARLSTAD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41041-2025</t>
        </is>
      </c>
      <c r="B8584" s="1" t="n">
        <v>45898.39212962963</v>
      </c>
      <c r="C8584" s="1" t="n">
        <v>45932</v>
      </c>
      <c r="D8584" t="inlineStr">
        <is>
          <t>VÄRMLANDS LÄN</t>
        </is>
      </c>
      <c r="E8584" t="inlineStr">
        <is>
          <t>HAGFORS</t>
        </is>
      </c>
      <c r="F8584" t="inlineStr">
        <is>
          <t>Bergvik skog väst AB</t>
        </is>
      </c>
      <c r="G8584" t="n">
        <v>11.3</v>
      </c>
      <c r="H8584" t="n">
        <v>0</v>
      </c>
      <c r="I8584" t="n">
        <v>0</v>
      </c>
      <c r="J8584" t="n">
        <v>0</v>
      </c>
      <c r="K8584" t="n">
        <v>0</v>
      </c>
      <c r="L8584" t="n">
        <v>0</v>
      </c>
      <c r="M8584" t="n">
        <v>0</v>
      </c>
      <c r="N8584" t="n">
        <v>0</v>
      </c>
      <c r="O8584" t="n">
        <v>0</v>
      </c>
      <c r="P8584" t="n">
        <v>0</v>
      </c>
      <c r="Q8584" t="n">
        <v>0</v>
      </c>
      <c r="R8584" s="2" t="inlineStr"/>
    </row>
    <row r="8585" ht="15" customHeight="1">
      <c r="A8585" t="inlineStr">
        <is>
          <t>A 18470-2022</t>
        </is>
      </c>
      <c r="B8585" s="1" t="n">
        <v>44686.55104166667</v>
      </c>
      <c r="C8585" s="1" t="n">
        <v>45932</v>
      </c>
      <c r="D8585" t="inlineStr">
        <is>
          <t>VÄRMLANDS LÄN</t>
        </is>
      </c>
      <c r="E8585" t="inlineStr">
        <is>
          <t>KARLSTAD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46831-2025</t>
        </is>
      </c>
      <c r="B8586" s="1" t="n">
        <v>45927.42596064815</v>
      </c>
      <c r="C8586" s="1" t="n">
        <v>45932</v>
      </c>
      <c r="D8586" t="inlineStr">
        <is>
          <t>VÄRMLANDS LÄN</t>
        </is>
      </c>
      <c r="E8586" t="inlineStr">
        <is>
          <t>HAGFORS</t>
        </is>
      </c>
      <c r="F8586" t="inlineStr">
        <is>
          <t>Bergvik skog väst AB</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8061-2025</t>
        </is>
      </c>
      <c r="B8587" s="1" t="n">
        <v>45707.63060185185</v>
      </c>
      <c r="C8587" s="1" t="n">
        <v>45932</v>
      </c>
      <c r="D8587" t="inlineStr">
        <is>
          <t>VÄRMLANDS LÄN</t>
        </is>
      </c>
      <c r="E8587" t="inlineStr">
        <is>
          <t>ARVIKA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64686-2023</t>
        </is>
      </c>
      <c r="B8588" s="1" t="n">
        <v>45281.63020833334</v>
      </c>
      <c r="C8588" s="1" t="n">
        <v>45932</v>
      </c>
      <c r="D8588" t="inlineStr">
        <is>
          <t>VÄRMLANDS LÄN</t>
        </is>
      </c>
      <c r="E8588" t="inlineStr">
        <is>
          <t>EDA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39002-2021</t>
        </is>
      </c>
      <c r="B8589" s="1" t="n">
        <v>44412</v>
      </c>
      <c r="C8589" s="1" t="n">
        <v>45932</v>
      </c>
      <c r="D8589" t="inlineStr">
        <is>
          <t>VÄRMLANDS LÄN</t>
        </is>
      </c>
      <c r="E8589" t="inlineStr">
        <is>
          <t>EDA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2843-2022</t>
        </is>
      </c>
      <c r="B8590" s="1" t="n">
        <v>44581</v>
      </c>
      <c r="C8590" s="1" t="n">
        <v>45932</v>
      </c>
      <c r="D8590" t="inlineStr">
        <is>
          <t>VÄRMLANDS LÄN</t>
        </is>
      </c>
      <c r="E8590" t="inlineStr">
        <is>
          <t>FORSHAGA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2862-2022</t>
        </is>
      </c>
      <c r="B8591" s="1" t="n">
        <v>44581.48815972222</v>
      </c>
      <c r="C8591" s="1" t="n">
        <v>45932</v>
      </c>
      <c r="D8591" t="inlineStr">
        <is>
          <t>VÄRMLANDS LÄN</t>
        </is>
      </c>
      <c r="E8591" t="inlineStr">
        <is>
          <t>SÄFFLE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16383-2022</t>
        </is>
      </c>
      <c r="B8592" s="1" t="n">
        <v>44671</v>
      </c>
      <c r="C8592" s="1" t="n">
        <v>45932</v>
      </c>
      <c r="D8592" t="inlineStr">
        <is>
          <t>VÄRMLANDS LÄN</t>
        </is>
      </c>
      <c r="E8592" t="inlineStr">
        <is>
          <t>ÅRJÄNG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38452-2024</t>
        </is>
      </c>
      <c r="B8593" s="1" t="n">
        <v>45546.44241898148</v>
      </c>
      <c r="C8593" s="1" t="n">
        <v>45932</v>
      </c>
      <c r="D8593" t="inlineStr">
        <is>
          <t>VÄRMLANDS LÄN</t>
        </is>
      </c>
      <c r="E8593" t="inlineStr">
        <is>
          <t>ARVIKA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16369-2025</t>
        </is>
      </c>
      <c r="B8594" s="1" t="n">
        <v>45751.40055555556</v>
      </c>
      <c r="C8594" s="1" t="n">
        <v>45932</v>
      </c>
      <c r="D8594" t="inlineStr">
        <is>
          <t>VÄRMLANDS LÄN</t>
        </is>
      </c>
      <c r="E8594" t="inlineStr">
        <is>
          <t>EDA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35502-2025</t>
        </is>
      </c>
      <c r="B8595" s="1" t="n">
        <v>45856</v>
      </c>
      <c r="C8595" s="1" t="n">
        <v>45932</v>
      </c>
      <c r="D8595" t="inlineStr">
        <is>
          <t>VÄRMLANDS LÄN</t>
        </is>
      </c>
      <c r="E8595" t="inlineStr">
        <is>
          <t>HAGFORS</t>
        </is>
      </c>
      <c r="F8595" t="inlineStr">
        <is>
          <t>Kyrkan</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87-2022</t>
        </is>
      </c>
      <c r="B8596" s="1" t="n">
        <v>44564</v>
      </c>
      <c r="C8596" s="1" t="n">
        <v>45932</v>
      </c>
      <c r="D8596" t="inlineStr">
        <is>
          <t>VÄRMLANDS LÄN</t>
        </is>
      </c>
      <c r="E8596" t="inlineStr">
        <is>
          <t>SÄFFLE</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60366-2023</t>
        </is>
      </c>
      <c r="B8597" s="1" t="n">
        <v>45259</v>
      </c>
      <c r="C8597" s="1" t="n">
        <v>45932</v>
      </c>
      <c r="D8597" t="inlineStr">
        <is>
          <t>VÄRMLANDS LÄN</t>
        </is>
      </c>
      <c r="E8597" t="inlineStr">
        <is>
          <t>ARVIKA</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60377-2023</t>
        </is>
      </c>
      <c r="B8598" s="1" t="n">
        <v>45259.40993055556</v>
      </c>
      <c r="C8598" s="1" t="n">
        <v>45932</v>
      </c>
      <c r="D8598" t="inlineStr">
        <is>
          <t>VÄRMLANDS LÄN</t>
        </is>
      </c>
      <c r="E8598" t="inlineStr">
        <is>
          <t>ÅRJÄNG</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17565-2025</t>
        </is>
      </c>
      <c r="B8599" s="1" t="n">
        <v>45757.64024305555</v>
      </c>
      <c r="C8599" s="1" t="n">
        <v>45932</v>
      </c>
      <c r="D8599" t="inlineStr">
        <is>
          <t>VÄRMLANDS LÄN</t>
        </is>
      </c>
      <c r="E8599" t="inlineStr">
        <is>
          <t>GRUMS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17662-2025</t>
        </is>
      </c>
      <c r="B8600" s="1" t="n">
        <v>45758</v>
      </c>
      <c r="C8600" s="1" t="n">
        <v>45932</v>
      </c>
      <c r="D8600" t="inlineStr">
        <is>
          <t>VÄRMLANDS LÄN</t>
        </is>
      </c>
      <c r="E8600" t="inlineStr">
        <is>
          <t>HAGFORS</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41481-2025</t>
        </is>
      </c>
      <c r="B8601" s="1" t="n">
        <v>45901</v>
      </c>
      <c r="C8601" s="1" t="n">
        <v>45932</v>
      </c>
      <c r="D8601" t="inlineStr">
        <is>
          <t>VÄRMLANDS LÄN</t>
        </is>
      </c>
      <c r="E8601" t="inlineStr">
        <is>
          <t>ARVIKA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41496-2025</t>
        </is>
      </c>
      <c r="B8602" s="1" t="n">
        <v>45901</v>
      </c>
      <c r="C8602" s="1" t="n">
        <v>45932</v>
      </c>
      <c r="D8602" t="inlineStr">
        <is>
          <t>VÄRMLANDS LÄN</t>
        </is>
      </c>
      <c r="E8602" t="inlineStr">
        <is>
          <t>ÅRJÄNG</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6522-2021</t>
        </is>
      </c>
      <c r="B8603" s="1" t="n">
        <v>44236</v>
      </c>
      <c r="C8603" s="1" t="n">
        <v>45932</v>
      </c>
      <c r="D8603" t="inlineStr">
        <is>
          <t>VÄRMLANDS LÄN</t>
        </is>
      </c>
      <c r="E8603" t="inlineStr">
        <is>
          <t>ÅRJÄNG</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57322-2024</t>
        </is>
      </c>
      <c r="B8604" s="1" t="n">
        <v>45629.61855324074</v>
      </c>
      <c r="C8604" s="1" t="n">
        <v>45932</v>
      </c>
      <c r="D8604" t="inlineStr">
        <is>
          <t>VÄRMLANDS LÄN</t>
        </is>
      </c>
      <c r="E8604" t="inlineStr">
        <is>
          <t>KARLSTAD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40449-2025</t>
        </is>
      </c>
      <c r="B8605" s="1" t="n">
        <v>45895</v>
      </c>
      <c r="C8605" s="1" t="n">
        <v>45932</v>
      </c>
      <c r="D8605" t="inlineStr">
        <is>
          <t>VÄRMLANDS LÄN</t>
        </is>
      </c>
      <c r="E8605" t="inlineStr">
        <is>
          <t>ÅRJÄNG</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6109-2025</t>
        </is>
      </c>
      <c r="B8606" s="1" t="n">
        <v>45698.31012731481</v>
      </c>
      <c r="C8606" s="1" t="n">
        <v>45932</v>
      </c>
      <c r="D8606" t="inlineStr">
        <is>
          <t>VÄRMLANDS LÄN</t>
        </is>
      </c>
      <c r="E8606" t="inlineStr">
        <is>
          <t>ÅRJÄNG</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6113-2025</t>
        </is>
      </c>
      <c r="B8607" s="1" t="n">
        <v>45698</v>
      </c>
      <c r="C8607" s="1" t="n">
        <v>45932</v>
      </c>
      <c r="D8607" t="inlineStr">
        <is>
          <t>VÄRMLANDS LÄN</t>
        </is>
      </c>
      <c r="E8607" t="inlineStr">
        <is>
          <t>KRISTINEHAMN</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69232-2020</t>
        </is>
      </c>
      <c r="B8608" s="1" t="n">
        <v>44192</v>
      </c>
      <c r="C8608" s="1" t="n">
        <v>45932</v>
      </c>
      <c r="D8608" t="inlineStr">
        <is>
          <t>VÄRMLANDS LÄN</t>
        </is>
      </c>
      <c r="E8608" t="inlineStr">
        <is>
          <t>SUNNE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69250-2020</t>
        </is>
      </c>
      <c r="B8609" s="1" t="n">
        <v>44192</v>
      </c>
      <c r="C8609" s="1" t="n">
        <v>45932</v>
      </c>
      <c r="D8609" t="inlineStr">
        <is>
          <t>VÄRMLANDS LÄN</t>
        </is>
      </c>
      <c r="E8609" t="inlineStr">
        <is>
          <t>TORSBY</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46750-2024</t>
        </is>
      </c>
      <c r="B8610" s="1" t="n">
        <v>45583.48366898148</v>
      </c>
      <c r="C8610" s="1" t="n">
        <v>45932</v>
      </c>
      <c r="D8610" t="inlineStr">
        <is>
          <t>VÄRMLANDS LÄN</t>
        </is>
      </c>
      <c r="E8610" t="inlineStr">
        <is>
          <t>ARVIKA</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41471-2025</t>
        </is>
      </c>
      <c r="B8611" s="1" t="n">
        <v>45901.46770833333</v>
      </c>
      <c r="C8611" s="1" t="n">
        <v>45932</v>
      </c>
      <c r="D8611" t="inlineStr">
        <is>
          <t>VÄRMLANDS LÄN</t>
        </is>
      </c>
      <c r="E8611" t="inlineStr">
        <is>
          <t>TORSBY</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36251-2024</t>
        </is>
      </c>
      <c r="B8612" s="1" t="n">
        <v>45534.53959490741</v>
      </c>
      <c r="C8612" s="1" t="n">
        <v>45932</v>
      </c>
      <c r="D8612" t="inlineStr">
        <is>
          <t>VÄRMLANDS LÄN</t>
        </is>
      </c>
      <c r="E8612" t="inlineStr">
        <is>
          <t>ARVIKA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28260-2024</t>
        </is>
      </c>
      <c r="B8613" s="1" t="n">
        <v>45477</v>
      </c>
      <c r="C8613" s="1" t="n">
        <v>45932</v>
      </c>
      <c r="D8613" t="inlineStr">
        <is>
          <t>VÄRMLANDS LÄN</t>
        </is>
      </c>
      <c r="E8613" t="inlineStr">
        <is>
          <t>ÅRJÄNG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1165-2021</t>
        </is>
      </c>
      <c r="B8614" s="1" t="n">
        <v>44207</v>
      </c>
      <c r="C8614" s="1" t="n">
        <v>45932</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50914-2024</t>
        </is>
      </c>
      <c r="B8615" s="1" t="n">
        <v>45602</v>
      </c>
      <c r="C8615" s="1" t="n">
        <v>45932</v>
      </c>
      <c r="D8615" t="inlineStr">
        <is>
          <t>VÄRMLANDS LÄN</t>
        </is>
      </c>
      <c r="E8615" t="inlineStr">
        <is>
          <t>ARVIKA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37169-2021</t>
        </is>
      </c>
      <c r="B8616" s="1" t="n">
        <v>44395</v>
      </c>
      <c r="C8616" s="1" t="n">
        <v>45932</v>
      </c>
      <c r="D8616" t="inlineStr">
        <is>
          <t>VÄRMLANDS LÄN</t>
        </is>
      </c>
      <c r="E8616" t="inlineStr">
        <is>
          <t>KIL</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51033-2024</t>
        </is>
      </c>
      <c r="B8617" s="1" t="n">
        <v>45603</v>
      </c>
      <c r="C8617" s="1" t="n">
        <v>45932</v>
      </c>
      <c r="D8617" t="inlineStr">
        <is>
          <t>VÄRMLANDS LÄN</t>
        </is>
      </c>
      <c r="E8617" t="inlineStr">
        <is>
          <t>EDA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16949-2025</t>
        </is>
      </c>
      <c r="B8618" s="1" t="n">
        <v>45755</v>
      </c>
      <c r="C8618" s="1" t="n">
        <v>45932</v>
      </c>
      <c r="D8618" t="inlineStr">
        <is>
          <t>VÄRMLANDS LÄN</t>
        </is>
      </c>
      <c r="E8618" t="inlineStr">
        <is>
          <t>TORSBY</t>
        </is>
      </c>
      <c r="F8618" t="inlineStr">
        <is>
          <t>Bergvik skog väst AB</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37783-2024</t>
        </is>
      </c>
      <c r="B8619" s="1" t="n">
        <v>45542</v>
      </c>
      <c r="C8619" s="1" t="n">
        <v>45932</v>
      </c>
      <c r="D8619" t="inlineStr">
        <is>
          <t>VÄRMLANDS LÄN</t>
        </is>
      </c>
      <c r="E8619" t="inlineStr">
        <is>
          <t>SÄFFLE</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28483-2024</t>
        </is>
      </c>
      <c r="B8620" s="1" t="n">
        <v>45477</v>
      </c>
      <c r="C8620" s="1" t="n">
        <v>45932</v>
      </c>
      <c r="D8620" t="inlineStr">
        <is>
          <t>VÄRMLANDS LÄN</t>
        </is>
      </c>
      <c r="E8620" t="inlineStr">
        <is>
          <t>EDA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55436-2022</t>
        </is>
      </c>
      <c r="B8621" s="1" t="n">
        <v>44887</v>
      </c>
      <c r="C8621" s="1" t="n">
        <v>45932</v>
      </c>
      <c r="D8621" t="inlineStr">
        <is>
          <t>VÄRMLANDS LÄN</t>
        </is>
      </c>
      <c r="E8621" t="inlineStr">
        <is>
          <t>TORSBY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1911-2022</t>
        </is>
      </c>
      <c r="B8622" s="1" t="n">
        <v>44575</v>
      </c>
      <c r="C8622" s="1" t="n">
        <v>45932</v>
      </c>
      <c r="D8622" t="inlineStr">
        <is>
          <t>VÄRMLANDS LÄN</t>
        </is>
      </c>
      <c r="E8622" t="inlineStr">
        <is>
          <t>TORSBY</t>
        </is>
      </c>
      <c r="F8622" t="inlineStr">
        <is>
          <t>Kommuner</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41229-2025</t>
        </is>
      </c>
      <c r="B8623" s="1" t="n">
        <v>45898.59108796297</v>
      </c>
      <c r="C8623" s="1" t="n">
        <v>45932</v>
      </c>
      <c r="D8623" t="inlineStr">
        <is>
          <t>VÄRMLANDS LÄN</t>
        </is>
      </c>
      <c r="E8623" t="inlineStr">
        <is>
          <t>ÅRJÄNG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13356-2022</t>
        </is>
      </c>
      <c r="B8624" s="1" t="n">
        <v>44645</v>
      </c>
      <c r="C8624" s="1" t="n">
        <v>45932</v>
      </c>
      <c r="D8624" t="inlineStr">
        <is>
          <t>VÄRMLANDS LÄN</t>
        </is>
      </c>
      <c r="E8624" t="inlineStr">
        <is>
          <t>HAMMARÖ</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14143-2024</t>
        </is>
      </c>
      <c r="B8625" s="1" t="n">
        <v>45392</v>
      </c>
      <c r="C8625" s="1" t="n">
        <v>45932</v>
      </c>
      <c r="D8625" t="inlineStr">
        <is>
          <t>VÄRMLANDS LÄN</t>
        </is>
      </c>
      <c r="E8625" t="inlineStr">
        <is>
          <t>KIL</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41287-2025</t>
        </is>
      </c>
      <c r="B8626" s="1" t="n">
        <v>45898.63945601852</v>
      </c>
      <c r="C8626" s="1" t="n">
        <v>45932</v>
      </c>
      <c r="D8626" t="inlineStr">
        <is>
          <t>VÄRMLANDS LÄN</t>
        </is>
      </c>
      <c r="E8626" t="inlineStr">
        <is>
          <t>HAGFORS</t>
        </is>
      </c>
      <c r="F8626" t="inlineStr">
        <is>
          <t>Bergvik skog väst AB</t>
        </is>
      </c>
      <c r="G8626" t="n">
        <v>19.6</v>
      </c>
      <c r="H8626" t="n">
        <v>0</v>
      </c>
      <c r="I8626" t="n">
        <v>0</v>
      </c>
      <c r="J8626" t="n">
        <v>0</v>
      </c>
      <c r="K8626" t="n">
        <v>0</v>
      </c>
      <c r="L8626" t="n">
        <v>0</v>
      </c>
      <c r="M8626" t="n">
        <v>0</v>
      </c>
      <c r="N8626" t="n">
        <v>0</v>
      </c>
      <c r="O8626" t="n">
        <v>0</v>
      </c>
      <c r="P8626" t="n">
        <v>0</v>
      </c>
      <c r="Q8626" t="n">
        <v>0</v>
      </c>
      <c r="R8626" s="2" t="inlineStr"/>
    </row>
    <row r="8627" ht="15" customHeight="1">
      <c r="A8627" t="inlineStr">
        <is>
          <t>A 35817-2025</t>
        </is>
      </c>
      <c r="B8627" s="1" t="n">
        <v>45861.44365740741</v>
      </c>
      <c r="C8627" s="1" t="n">
        <v>45932</v>
      </c>
      <c r="D8627" t="inlineStr">
        <is>
          <t>VÄRMLANDS LÄN</t>
        </is>
      </c>
      <c r="E8627" t="inlineStr">
        <is>
          <t>TORSBY</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5621-2024</t>
        </is>
      </c>
      <c r="B8628" s="1" t="n">
        <v>45334.58969907407</v>
      </c>
      <c r="C8628" s="1" t="n">
        <v>45932</v>
      </c>
      <c r="D8628" t="inlineStr">
        <is>
          <t>VÄRMLANDS LÄN</t>
        </is>
      </c>
      <c r="E8628" t="inlineStr">
        <is>
          <t>HAGFORS</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57449-2022</t>
        </is>
      </c>
      <c r="B8629" s="1" t="n">
        <v>44896</v>
      </c>
      <c r="C8629" s="1" t="n">
        <v>45932</v>
      </c>
      <c r="D8629" t="inlineStr">
        <is>
          <t>VÄRMLANDS LÄN</t>
        </is>
      </c>
      <c r="E8629" t="inlineStr">
        <is>
          <t>KARLSTAD</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5652-2024</t>
        </is>
      </c>
      <c r="B8630" s="1" t="n">
        <v>45334.63503472223</v>
      </c>
      <c r="C8630" s="1" t="n">
        <v>45932</v>
      </c>
      <c r="D8630" t="inlineStr">
        <is>
          <t>VÄRMLANDS LÄN</t>
        </is>
      </c>
      <c r="E8630" t="inlineStr">
        <is>
          <t>SUNNE</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5653-2024</t>
        </is>
      </c>
      <c r="B8631" s="1" t="n">
        <v>45334.63668981481</v>
      </c>
      <c r="C8631" s="1" t="n">
        <v>45932</v>
      </c>
      <c r="D8631" t="inlineStr">
        <is>
          <t>VÄRMLANDS LÄN</t>
        </is>
      </c>
      <c r="E8631" t="inlineStr">
        <is>
          <t>SUNNE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41772-2025</t>
        </is>
      </c>
      <c r="B8632" s="1" t="n">
        <v>45902.55828703703</v>
      </c>
      <c r="C8632" s="1" t="n">
        <v>45932</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14478-2025</t>
        </is>
      </c>
      <c r="B8633" s="1" t="n">
        <v>45741</v>
      </c>
      <c r="C8633" s="1" t="n">
        <v>45932</v>
      </c>
      <c r="D8633" t="inlineStr">
        <is>
          <t>VÄRMLANDS LÄN</t>
        </is>
      </c>
      <c r="E8633" t="inlineStr">
        <is>
          <t>ARVIKA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41763-2025</t>
        </is>
      </c>
      <c r="B8634" s="1" t="n">
        <v>45902.54175925926</v>
      </c>
      <c r="C8634" s="1" t="n">
        <v>45932</v>
      </c>
      <c r="D8634" t="inlineStr">
        <is>
          <t>VÄRMLANDS LÄN</t>
        </is>
      </c>
      <c r="E8634" t="inlineStr">
        <is>
          <t>ÅRJÄNG</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18277-2024</t>
        </is>
      </c>
      <c r="B8635" s="1" t="n">
        <v>45421</v>
      </c>
      <c r="C8635" s="1" t="n">
        <v>45932</v>
      </c>
      <c r="D8635" t="inlineStr">
        <is>
          <t>VÄRMLANDS LÄN</t>
        </is>
      </c>
      <c r="E8635" t="inlineStr">
        <is>
          <t>SÄFFLE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59055-2024</t>
        </is>
      </c>
      <c r="B8636" s="1" t="n">
        <v>45636</v>
      </c>
      <c r="C8636" s="1" t="n">
        <v>45932</v>
      </c>
      <c r="D8636" t="inlineStr">
        <is>
          <t>VÄRMLANDS LÄN</t>
        </is>
      </c>
      <c r="E8636" t="inlineStr">
        <is>
          <t>KARLSTAD</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41679-2025</t>
        </is>
      </c>
      <c r="B8637" s="1" t="n">
        <v>45902</v>
      </c>
      <c r="C8637" s="1" t="n">
        <v>45932</v>
      </c>
      <c r="D8637" t="inlineStr">
        <is>
          <t>VÄRMLANDS LÄN</t>
        </is>
      </c>
      <c r="E8637" t="inlineStr">
        <is>
          <t>ARVIKA</t>
        </is>
      </c>
      <c r="F8637" t="inlineStr">
        <is>
          <t>Bergvik skog väst AB</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15860-2025</t>
        </is>
      </c>
      <c r="B8638" s="1" t="n">
        <v>45749</v>
      </c>
      <c r="C8638" s="1" t="n">
        <v>45932</v>
      </c>
      <c r="D8638" t="inlineStr">
        <is>
          <t>VÄRMLANDS LÄN</t>
        </is>
      </c>
      <c r="E8638" t="inlineStr">
        <is>
          <t>EDA</t>
        </is>
      </c>
      <c r="F8638" t="inlineStr">
        <is>
          <t>Övriga Aktiebolag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23906-2025</t>
        </is>
      </c>
      <c r="B8639" s="1" t="n">
        <v>45794.73674768519</v>
      </c>
      <c r="C8639" s="1" t="n">
        <v>45932</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59888-2024</t>
        </is>
      </c>
      <c r="B8640" s="1" t="n">
        <v>45641</v>
      </c>
      <c r="C8640" s="1" t="n">
        <v>45932</v>
      </c>
      <c r="D8640" t="inlineStr">
        <is>
          <t>VÄRMLANDS LÄN</t>
        </is>
      </c>
      <c r="E8640" t="inlineStr">
        <is>
          <t>KARLSTAD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59892-2024</t>
        </is>
      </c>
      <c r="B8641" s="1" t="n">
        <v>45641</v>
      </c>
      <c r="C8641" s="1" t="n">
        <v>45932</v>
      </c>
      <c r="D8641" t="inlineStr">
        <is>
          <t>VÄRMLANDS LÄN</t>
        </is>
      </c>
      <c r="E8641" t="inlineStr">
        <is>
          <t>KARLSTAD</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46852-2025</t>
        </is>
      </c>
      <c r="B8642" s="1" t="n">
        <v>45928.8621875</v>
      </c>
      <c r="C8642" s="1" t="n">
        <v>45932</v>
      </c>
      <c r="D8642" t="inlineStr">
        <is>
          <t>VÄRMLANDS LÄN</t>
        </is>
      </c>
      <c r="E8642" t="inlineStr">
        <is>
          <t>SUNNE</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41681-2025</t>
        </is>
      </c>
      <c r="B8643" s="1" t="n">
        <v>45902.38271990741</v>
      </c>
      <c r="C8643" s="1" t="n">
        <v>45932</v>
      </c>
      <c r="D8643" t="inlineStr">
        <is>
          <t>VÄRMLANDS LÄN</t>
        </is>
      </c>
      <c r="E8643" t="inlineStr">
        <is>
          <t>SÄFFLE</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22225-2024</t>
        </is>
      </c>
      <c r="B8644" s="1" t="n">
        <v>45446.41994212963</v>
      </c>
      <c r="C8644" s="1" t="n">
        <v>45932</v>
      </c>
      <c r="D8644" t="inlineStr">
        <is>
          <t>VÄRMLANDS LÄN</t>
        </is>
      </c>
      <c r="E8644" t="inlineStr">
        <is>
          <t>MUNKFORS</t>
        </is>
      </c>
      <c r="F8644" t="inlineStr">
        <is>
          <t>Bergvik skog väst AB</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2085-2025</t>
        </is>
      </c>
      <c r="B8645" s="1" t="n">
        <v>45672.58905092593</v>
      </c>
      <c r="C8645" s="1" t="n">
        <v>45932</v>
      </c>
      <c r="D8645" t="inlineStr">
        <is>
          <t>VÄRMLANDS LÄN</t>
        </is>
      </c>
      <c r="E8645" t="inlineStr">
        <is>
          <t>HAGFORS</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31362-2024</t>
        </is>
      </c>
      <c r="B8646" s="1" t="n">
        <v>45505</v>
      </c>
      <c r="C8646" s="1" t="n">
        <v>45932</v>
      </c>
      <c r="D8646" t="inlineStr">
        <is>
          <t>VÄRMLANDS LÄN</t>
        </is>
      </c>
      <c r="E8646" t="inlineStr">
        <is>
          <t>GRUMS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35698-2025</t>
        </is>
      </c>
      <c r="B8647" s="1" t="n">
        <v>45860</v>
      </c>
      <c r="C8647" s="1" t="n">
        <v>45932</v>
      </c>
      <c r="D8647" t="inlineStr">
        <is>
          <t>VÄRMLANDS LÄN</t>
        </is>
      </c>
      <c r="E8647" t="inlineStr">
        <is>
          <t>HAGFORS</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53744-2024</t>
        </is>
      </c>
      <c r="B8648" s="1" t="n">
        <v>45615</v>
      </c>
      <c r="C8648" s="1" t="n">
        <v>45932</v>
      </c>
      <c r="D8648" t="inlineStr">
        <is>
          <t>VÄRMLANDS LÄN</t>
        </is>
      </c>
      <c r="E8648" t="inlineStr">
        <is>
          <t>TORSBY</t>
        </is>
      </c>
      <c r="G8648" t="n">
        <v>16.9</v>
      </c>
      <c r="H8648" t="n">
        <v>0</v>
      </c>
      <c r="I8648" t="n">
        <v>0</v>
      </c>
      <c r="J8648" t="n">
        <v>0</v>
      </c>
      <c r="K8648" t="n">
        <v>0</v>
      </c>
      <c r="L8648" t="n">
        <v>0</v>
      </c>
      <c r="M8648" t="n">
        <v>0</v>
      </c>
      <c r="N8648" t="n">
        <v>0</v>
      </c>
      <c r="O8648" t="n">
        <v>0</v>
      </c>
      <c r="P8648" t="n">
        <v>0</v>
      </c>
      <c r="Q8648" t="n">
        <v>0</v>
      </c>
      <c r="R8648" s="2" t="inlineStr"/>
    </row>
    <row r="8649" ht="15" customHeight="1">
      <c r="A8649" t="inlineStr">
        <is>
          <t>A 33848-2023</t>
        </is>
      </c>
      <c r="B8649" s="1" t="n">
        <v>45133.68835648148</v>
      </c>
      <c r="C8649" s="1" t="n">
        <v>45932</v>
      </c>
      <c r="D8649" t="inlineStr">
        <is>
          <t>VÄRMLANDS LÄN</t>
        </is>
      </c>
      <c r="E8649" t="inlineStr">
        <is>
          <t>TORSBY</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35676-2025</t>
        </is>
      </c>
      <c r="B8650" s="1" t="n">
        <v>45859</v>
      </c>
      <c r="C8650" s="1" t="n">
        <v>45932</v>
      </c>
      <c r="D8650" t="inlineStr">
        <is>
          <t>VÄRMLANDS LÄN</t>
        </is>
      </c>
      <c r="E8650" t="inlineStr">
        <is>
          <t>ARVIKA</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35677-2025</t>
        </is>
      </c>
      <c r="B8651" s="1" t="n">
        <v>45859</v>
      </c>
      <c r="C8651" s="1" t="n">
        <v>45932</v>
      </c>
      <c r="D8651" t="inlineStr">
        <is>
          <t>VÄRMLANDS LÄN</t>
        </is>
      </c>
      <c r="E8651" t="inlineStr">
        <is>
          <t>ARVIKA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41725-2025</t>
        </is>
      </c>
      <c r="B8652" s="1" t="n">
        <v>45902.45458333333</v>
      </c>
      <c r="C8652" s="1" t="n">
        <v>45932</v>
      </c>
      <c r="D8652" t="inlineStr">
        <is>
          <t>VÄRMLANDS LÄN</t>
        </is>
      </c>
      <c r="E8652" t="inlineStr">
        <is>
          <t>ÅRJÄNG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18783-2025</t>
        </is>
      </c>
      <c r="B8653" s="1" t="n">
        <v>45764.33594907408</v>
      </c>
      <c r="C8653" s="1" t="n">
        <v>45932</v>
      </c>
      <c r="D8653" t="inlineStr">
        <is>
          <t>VÄRMLANDS LÄN</t>
        </is>
      </c>
      <c r="E8653" t="inlineStr">
        <is>
          <t>SUNNE</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3793-2025</t>
        </is>
      </c>
      <c r="B8654" s="1" t="n">
        <v>45681.64340277778</v>
      </c>
      <c r="C8654" s="1" t="n">
        <v>45932</v>
      </c>
      <c r="D8654" t="inlineStr">
        <is>
          <t>VÄRMLANDS LÄN</t>
        </is>
      </c>
      <c r="E8654" t="inlineStr">
        <is>
          <t>KRISTINEHAMN</t>
        </is>
      </c>
      <c r="F8654" t="inlineStr">
        <is>
          <t>Kommuner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7933-2025</t>
        </is>
      </c>
      <c r="B8655" s="1" t="n">
        <v>45707.38164351852</v>
      </c>
      <c r="C8655" s="1" t="n">
        <v>45932</v>
      </c>
      <c r="D8655" t="inlineStr">
        <is>
          <t>VÄRMLANDS LÄN</t>
        </is>
      </c>
      <c r="E8655" t="inlineStr">
        <is>
          <t>SÄFFLE</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41325-2023</t>
        </is>
      </c>
      <c r="B8656" s="1" t="n">
        <v>45174.65024305556</v>
      </c>
      <c r="C8656" s="1" t="n">
        <v>45932</v>
      </c>
      <c r="D8656" t="inlineStr">
        <is>
          <t>VÄRMLANDS LÄN</t>
        </is>
      </c>
      <c r="E8656" t="inlineStr">
        <is>
          <t>STORFORS</t>
        </is>
      </c>
      <c r="F8656" t="inlineStr">
        <is>
          <t>Bergvik skog väst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41958-2025</t>
        </is>
      </c>
      <c r="B8657" s="1" t="n">
        <v>45903.46856481482</v>
      </c>
      <c r="C8657" s="1" t="n">
        <v>45932</v>
      </c>
      <c r="D8657" t="inlineStr">
        <is>
          <t>VÄRMLANDS LÄN</t>
        </is>
      </c>
      <c r="E8657" t="inlineStr">
        <is>
          <t>TORSBY</t>
        </is>
      </c>
      <c r="F8657" t="inlineStr">
        <is>
          <t>Bergvik skog väst AB</t>
        </is>
      </c>
      <c r="G8657" t="n">
        <v>15.8</v>
      </c>
      <c r="H8657" t="n">
        <v>0</v>
      </c>
      <c r="I8657" t="n">
        <v>0</v>
      </c>
      <c r="J8657" t="n">
        <v>0</v>
      </c>
      <c r="K8657" t="n">
        <v>0</v>
      </c>
      <c r="L8657" t="n">
        <v>0</v>
      </c>
      <c r="M8657" t="n">
        <v>0</v>
      </c>
      <c r="N8657" t="n">
        <v>0</v>
      </c>
      <c r="O8657" t="n">
        <v>0</v>
      </c>
      <c r="P8657" t="n">
        <v>0</v>
      </c>
      <c r="Q8657" t="n">
        <v>0</v>
      </c>
      <c r="R8657" s="2" t="inlineStr"/>
    </row>
    <row r="8658" ht="15" customHeight="1">
      <c r="A8658" t="inlineStr">
        <is>
          <t>A 40156-2025</t>
        </is>
      </c>
      <c r="B8658" s="1" t="n">
        <v>45894</v>
      </c>
      <c r="C8658" s="1" t="n">
        <v>45932</v>
      </c>
      <c r="D8658" t="inlineStr">
        <is>
          <t>VÄRMLANDS LÄN</t>
        </is>
      </c>
      <c r="E8658" t="inlineStr">
        <is>
          <t>HAGFORS</t>
        </is>
      </c>
      <c r="F8658" t="inlineStr">
        <is>
          <t>Bergvik skog väst AB</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41293-2025</t>
        </is>
      </c>
      <c r="B8659" s="1" t="n">
        <v>45898</v>
      </c>
      <c r="C8659" s="1" t="n">
        <v>45932</v>
      </c>
      <c r="D8659" t="inlineStr">
        <is>
          <t>VÄRMLANDS LÄN</t>
        </is>
      </c>
      <c r="E8659" t="inlineStr">
        <is>
          <t>TORSBY</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41306-2025</t>
        </is>
      </c>
      <c r="B8660" s="1" t="n">
        <v>45898</v>
      </c>
      <c r="C8660" s="1" t="n">
        <v>45932</v>
      </c>
      <c r="D8660" t="inlineStr">
        <is>
          <t>VÄRMLANDS LÄN</t>
        </is>
      </c>
      <c r="E8660" t="inlineStr">
        <is>
          <t>ARVIKA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35767-2025</t>
        </is>
      </c>
      <c r="B8661" s="1" t="n">
        <v>45860.63605324074</v>
      </c>
      <c r="C8661" s="1" t="n">
        <v>45932</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41739-2025</t>
        </is>
      </c>
      <c r="B8662" s="1" t="n">
        <v>45902.47445601852</v>
      </c>
      <c r="C8662" s="1" t="n">
        <v>45932</v>
      </c>
      <c r="D8662" t="inlineStr">
        <is>
          <t>VÄRMLANDS LÄN</t>
        </is>
      </c>
      <c r="E8662" t="inlineStr">
        <is>
          <t>HAGFORS</t>
        </is>
      </c>
      <c r="F8662" t="inlineStr">
        <is>
          <t>Bergvik skog väst AB</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58789-2024</t>
        </is>
      </c>
      <c r="B8663" s="1" t="n">
        <v>45635.98438657408</v>
      </c>
      <c r="C8663" s="1" t="n">
        <v>45932</v>
      </c>
      <c r="D8663" t="inlineStr">
        <is>
          <t>VÄRMLANDS LÄN</t>
        </is>
      </c>
      <c r="E8663" t="inlineStr">
        <is>
          <t>ÅRJÄNG</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35612-2025</t>
        </is>
      </c>
      <c r="B8664" s="1" t="n">
        <v>45859.36667824074</v>
      </c>
      <c r="C8664" s="1" t="n">
        <v>45932</v>
      </c>
      <c r="D8664" t="inlineStr">
        <is>
          <t>VÄRMLANDS LÄN</t>
        </is>
      </c>
      <c r="E8664" t="inlineStr">
        <is>
          <t>SUNNE</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41592-2025</t>
        </is>
      </c>
      <c r="B8665" s="1" t="n">
        <v>45901</v>
      </c>
      <c r="C8665" s="1" t="n">
        <v>45932</v>
      </c>
      <c r="D8665" t="inlineStr">
        <is>
          <t>VÄRMLANDS LÄN</t>
        </is>
      </c>
      <c r="E8665" t="inlineStr">
        <is>
          <t>SUNNE</t>
        </is>
      </c>
      <c r="F8665" t="inlineStr">
        <is>
          <t>Kyrkan</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63613-2023</t>
        </is>
      </c>
      <c r="B8666" s="1" t="n">
        <v>45275</v>
      </c>
      <c r="C8666" s="1" t="n">
        <v>45932</v>
      </c>
      <c r="D8666" t="inlineStr">
        <is>
          <t>VÄRMLANDS LÄN</t>
        </is>
      </c>
      <c r="E8666" t="inlineStr">
        <is>
          <t>EDA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41770-2025</t>
        </is>
      </c>
      <c r="B8667" s="1" t="n">
        <v>45902</v>
      </c>
      <c r="C8667" s="1" t="n">
        <v>45932</v>
      </c>
      <c r="D8667" t="inlineStr">
        <is>
          <t>VÄRMLANDS LÄN</t>
        </is>
      </c>
      <c r="E8667" t="inlineStr">
        <is>
          <t>KRISTINEHAMN</t>
        </is>
      </c>
      <c r="F8667" t="inlineStr">
        <is>
          <t>Sveaskog</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41784-2025</t>
        </is>
      </c>
      <c r="B8668" s="1" t="n">
        <v>45902.58962962963</v>
      </c>
      <c r="C8668" s="1" t="n">
        <v>45932</v>
      </c>
      <c r="D8668" t="inlineStr">
        <is>
          <t>VÄRMLANDS LÄN</t>
        </is>
      </c>
      <c r="E8668" t="inlineStr">
        <is>
          <t>HAGFORS</t>
        </is>
      </c>
      <c r="F8668" t="inlineStr">
        <is>
          <t>Bergvik skog väst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41652-2025</t>
        </is>
      </c>
      <c r="B8669" s="1" t="n">
        <v>45902</v>
      </c>
      <c r="C8669" s="1" t="n">
        <v>45932</v>
      </c>
      <c r="D8669" t="inlineStr">
        <is>
          <t>VÄRMLANDS LÄN</t>
        </is>
      </c>
      <c r="E8669" t="inlineStr">
        <is>
          <t>ARVIKA</t>
        </is>
      </c>
      <c r="F8669" t="inlineStr">
        <is>
          <t>Bergvik skog väst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5328-2021</t>
        </is>
      </c>
      <c r="B8670" s="1" t="n">
        <v>44229.54461805556</v>
      </c>
      <c r="C8670" s="1" t="n">
        <v>45932</v>
      </c>
      <c r="D8670" t="inlineStr">
        <is>
          <t>VÄRMLANDS LÄN</t>
        </is>
      </c>
      <c r="E8670" t="inlineStr">
        <is>
          <t>KIL</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11020-2025</t>
        </is>
      </c>
      <c r="B8671" s="1" t="n">
        <v>45723.466875</v>
      </c>
      <c r="C8671" s="1" t="n">
        <v>45932</v>
      </c>
      <c r="D8671" t="inlineStr">
        <is>
          <t>VÄRMLANDS LÄN</t>
        </is>
      </c>
      <c r="E8671" t="inlineStr">
        <is>
          <t>SÄFFLE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7877-2025</t>
        </is>
      </c>
      <c r="B8672" s="1" t="n">
        <v>45706.76609953704</v>
      </c>
      <c r="C8672" s="1" t="n">
        <v>45932</v>
      </c>
      <c r="D8672" t="inlineStr">
        <is>
          <t>VÄRMLANDS LÄN</t>
        </is>
      </c>
      <c r="E8672" t="inlineStr">
        <is>
          <t>ÅRJÄNG</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60903-2023</t>
        </is>
      </c>
      <c r="B8673" s="1" t="n">
        <v>45261</v>
      </c>
      <c r="C8673" s="1" t="n">
        <v>45932</v>
      </c>
      <c r="D8673" t="inlineStr">
        <is>
          <t>VÄRMLANDS LÄN</t>
        </is>
      </c>
      <c r="E8673" t="inlineStr">
        <is>
          <t>ÅRJÄNG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45920-2025</t>
        </is>
      </c>
      <c r="B8674" s="1" t="n">
        <v>45923</v>
      </c>
      <c r="C8674" s="1" t="n">
        <v>45932</v>
      </c>
      <c r="D8674" t="inlineStr">
        <is>
          <t>VÄRMLANDS LÄN</t>
        </is>
      </c>
      <c r="E8674" t="inlineStr">
        <is>
          <t>ARVIKA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35756-2025</t>
        </is>
      </c>
      <c r="B8675" s="1" t="n">
        <v>45860.59840277778</v>
      </c>
      <c r="C8675" s="1" t="n">
        <v>45932</v>
      </c>
      <c r="D8675" t="inlineStr">
        <is>
          <t>VÄRMLANDS LÄN</t>
        </is>
      </c>
      <c r="E8675" t="inlineStr">
        <is>
          <t>SUNNE</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32370-2024</t>
        </is>
      </c>
      <c r="B8676" s="1" t="n">
        <v>45512.58751157407</v>
      </c>
      <c r="C8676" s="1" t="n">
        <v>45932</v>
      </c>
      <c r="D8676" t="inlineStr">
        <is>
          <t>VÄRMLANDS LÄN</t>
        </is>
      </c>
      <c r="E8676" t="inlineStr">
        <is>
          <t>SUNNE</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9440-2023</t>
        </is>
      </c>
      <c r="B8677" s="1" t="n">
        <v>44981.52952546296</v>
      </c>
      <c r="C8677" s="1" t="n">
        <v>45932</v>
      </c>
      <c r="D8677" t="inlineStr">
        <is>
          <t>VÄRMLANDS LÄN</t>
        </is>
      </c>
      <c r="E8677" t="inlineStr">
        <is>
          <t>SUNNE</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41895-2025</t>
        </is>
      </c>
      <c r="B8678" s="1" t="n">
        <v>45903.38645833333</v>
      </c>
      <c r="C8678" s="1" t="n">
        <v>45932</v>
      </c>
      <c r="D8678" t="inlineStr">
        <is>
          <t>VÄRMLANDS LÄN</t>
        </is>
      </c>
      <c r="E8678" t="inlineStr">
        <is>
          <t>TORSBY</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20650-2023</t>
        </is>
      </c>
      <c r="B8679" s="1" t="n">
        <v>45058</v>
      </c>
      <c r="C8679" s="1" t="n">
        <v>45932</v>
      </c>
      <c r="D8679" t="inlineStr">
        <is>
          <t>VÄRMLANDS LÄN</t>
        </is>
      </c>
      <c r="E8679" t="inlineStr">
        <is>
          <t>SUNNE</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17122-2024</t>
        </is>
      </c>
      <c r="B8680" s="1" t="n">
        <v>45412</v>
      </c>
      <c r="C8680" s="1" t="n">
        <v>45932</v>
      </c>
      <c r="D8680" t="inlineStr">
        <is>
          <t>VÄRMLANDS LÄN</t>
        </is>
      </c>
      <c r="E8680" t="inlineStr">
        <is>
          <t>GRUMS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53921-2023</t>
        </is>
      </c>
      <c r="B8681" s="1" t="n">
        <v>45231</v>
      </c>
      <c r="C8681" s="1" t="n">
        <v>45932</v>
      </c>
      <c r="D8681" t="inlineStr">
        <is>
          <t>VÄRMLANDS LÄN</t>
        </is>
      </c>
      <c r="E8681" t="inlineStr">
        <is>
          <t>TORSBY</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48389-2021</t>
        </is>
      </c>
      <c r="B8682" s="1" t="n">
        <v>44452.26943287037</v>
      </c>
      <c r="C8682" s="1" t="n">
        <v>45932</v>
      </c>
      <c r="D8682" t="inlineStr">
        <is>
          <t>VÄRMLANDS LÄN</t>
        </is>
      </c>
      <c r="E8682" t="inlineStr">
        <is>
          <t>ÅRJÄNG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44104-2023</t>
        </is>
      </c>
      <c r="B8683" s="1" t="n">
        <v>45188.43435185185</v>
      </c>
      <c r="C8683" s="1" t="n">
        <v>45932</v>
      </c>
      <c r="D8683" t="inlineStr">
        <is>
          <t>VÄRMLANDS LÄN</t>
        </is>
      </c>
      <c r="E8683" t="inlineStr">
        <is>
          <t>MUNKFORS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42076-2025</t>
        </is>
      </c>
      <c r="B8684" s="1" t="n">
        <v>45903.67486111111</v>
      </c>
      <c r="C8684" s="1" t="n">
        <v>45932</v>
      </c>
      <c r="D8684" t="inlineStr">
        <is>
          <t>VÄRMLANDS LÄN</t>
        </is>
      </c>
      <c r="E8684" t="inlineStr">
        <is>
          <t>HAGFORS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38865-2025</t>
        </is>
      </c>
      <c r="B8685" s="1" t="n">
        <v>45887</v>
      </c>
      <c r="C8685" s="1" t="n">
        <v>45932</v>
      </c>
      <c r="D8685" t="inlineStr">
        <is>
          <t>VÄRMLANDS LÄN</t>
        </is>
      </c>
      <c r="E8685" t="inlineStr">
        <is>
          <t>KRISTINEHAMN</t>
        </is>
      </c>
      <c r="F8685" t="inlineStr">
        <is>
          <t>Naturvårdsverket</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38866-2025</t>
        </is>
      </c>
      <c r="B8686" s="1" t="n">
        <v>45887.56744212963</v>
      </c>
      <c r="C8686" s="1" t="n">
        <v>45932</v>
      </c>
      <c r="D8686" t="inlineStr">
        <is>
          <t>VÄRMLANDS LÄN</t>
        </is>
      </c>
      <c r="E8686" t="inlineStr">
        <is>
          <t>SUNNE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1834-2023</t>
        </is>
      </c>
      <c r="B8687" s="1" t="n">
        <v>44938.66984953704</v>
      </c>
      <c r="C8687" s="1" t="n">
        <v>45932</v>
      </c>
      <c r="D8687" t="inlineStr">
        <is>
          <t>VÄRMLANDS LÄN</t>
        </is>
      </c>
      <c r="E8687" t="inlineStr">
        <is>
          <t>SÄFFLE</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40741-2025</t>
        </is>
      </c>
      <c r="B8688" s="1" t="n">
        <v>45897</v>
      </c>
      <c r="C8688" s="1" t="n">
        <v>45932</v>
      </c>
      <c r="D8688" t="inlineStr">
        <is>
          <t>VÄRMLANDS LÄN</t>
        </is>
      </c>
      <c r="E8688" t="inlineStr">
        <is>
          <t>EDA</t>
        </is>
      </c>
      <c r="F8688" t="inlineStr">
        <is>
          <t>Bergvik skog väst AB</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66978-2021</t>
        </is>
      </c>
      <c r="B8689" s="1" t="n">
        <v>44522</v>
      </c>
      <c r="C8689" s="1" t="n">
        <v>45932</v>
      </c>
      <c r="D8689" t="inlineStr">
        <is>
          <t>VÄRMLANDS LÄN</t>
        </is>
      </c>
      <c r="E8689" t="inlineStr">
        <is>
          <t>TORSBY</t>
        </is>
      </c>
      <c r="F8689" t="inlineStr">
        <is>
          <t>Kommuner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3667-2023</t>
        </is>
      </c>
      <c r="B8690" s="1" t="n">
        <v>44950</v>
      </c>
      <c r="C8690" s="1" t="n">
        <v>45932</v>
      </c>
      <c r="D8690" t="inlineStr">
        <is>
          <t>VÄRMLANDS LÄN</t>
        </is>
      </c>
      <c r="E8690" t="inlineStr">
        <is>
          <t>TORSBY</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38905-2025</t>
        </is>
      </c>
      <c r="B8691" s="1" t="n">
        <v>45884</v>
      </c>
      <c r="C8691" s="1" t="n">
        <v>45932</v>
      </c>
      <c r="D8691" t="inlineStr">
        <is>
          <t>VÄRMLANDS LÄN</t>
        </is>
      </c>
      <c r="E8691" t="inlineStr">
        <is>
          <t>TORSBY</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92-2023</t>
        </is>
      </c>
      <c r="B8692" s="1" t="n">
        <v>44918</v>
      </c>
      <c r="C8692" s="1" t="n">
        <v>45932</v>
      </c>
      <c r="D8692" t="inlineStr">
        <is>
          <t>VÄRMLANDS LÄN</t>
        </is>
      </c>
      <c r="E8692" t="inlineStr">
        <is>
          <t>SUNNE</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6481-2025</t>
        </is>
      </c>
      <c r="B8693" s="1" t="n">
        <v>45699</v>
      </c>
      <c r="C8693" s="1" t="n">
        <v>45932</v>
      </c>
      <c r="D8693" t="inlineStr">
        <is>
          <t>VÄRMLANDS LÄN</t>
        </is>
      </c>
      <c r="E8693" t="inlineStr">
        <is>
          <t>SUNNE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34181-2024</t>
        </is>
      </c>
      <c r="B8694" s="1" t="n">
        <v>45524</v>
      </c>
      <c r="C8694" s="1" t="n">
        <v>45932</v>
      </c>
      <c r="D8694" t="inlineStr">
        <is>
          <t>VÄRMLANDS LÄN</t>
        </is>
      </c>
      <c r="E8694" t="inlineStr">
        <is>
          <t>ÅRJÄNG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34184-2024</t>
        </is>
      </c>
      <c r="B8695" s="1" t="n">
        <v>45524</v>
      </c>
      <c r="C8695" s="1" t="n">
        <v>45932</v>
      </c>
      <c r="D8695" t="inlineStr">
        <is>
          <t>VÄRMLANDS LÄN</t>
        </is>
      </c>
      <c r="E8695" t="inlineStr">
        <is>
          <t>ÅRJÄNG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14732-2022</t>
        </is>
      </c>
      <c r="B8696" s="1" t="n">
        <v>44655</v>
      </c>
      <c r="C8696" s="1" t="n">
        <v>45932</v>
      </c>
      <c r="D8696" t="inlineStr">
        <is>
          <t>VÄRMLANDS LÄN</t>
        </is>
      </c>
      <c r="E8696" t="inlineStr">
        <is>
          <t>KIL</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35613-2025</t>
        </is>
      </c>
      <c r="B8697" s="1" t="n">
        <v>45859.37608796296</v>
      </c>
      <c r="C8697" s="1" t="n">
        <v>45932</v>
      </c>
      <c r="D8697" t="inlineStr">
        <is>
          <t>VÄRMLANDS LÄN</t>
        </is>
      </c>
      <c r="E8697" t="inlineStr">
        <is>
          <t>SUNNE</t>
        </is>
      </c>
      <c r="F8697" t="inlineStr">
        <is>
          <t>Bergvik skog väst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1750-2025</t>
        </is>
      </c>
      <c r="B8698" s="1" t="n">
        <v>45671.40900462963</v>
      </c>
      <c r="C8698" s="1" t="n">
        <v>45932</v>
      </c>
      <c r="D8698" t="inlineStr">
        <is>
          <t>VÄRMLANDS LÄN</t>
        </is>
      </c>
      <c r="E8698" t="inlineStr">
        <is>
          <t>FILIPSTAD</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17957-2025</t>
        </is>
      </c>
      <c r="B8699" s="1" t="n">
        <v>45760.95818287037</v>
      </c>
      <c r="C8699" s="1" t="n">
        <v>45932</v>
      </c>
      <c r="D8699" t="inlineStr">
        <is>
          <t>VÄRMLANDS LÄN</t>
        </is>
      </c>
      <c r="E8699" t="inlineStr">
        <is>
          <t>ARVIKA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55045-2024</t>
        </is>
      </c>
      <c r="B8700" s="1" t="n">
        <v>45621.39435185185</v>
      </c>
      <c r="C8700" s="1" t="n">
        <v>45932</v>
      </c>
      <c r="D8700" t="inlineStr">
        <is>
          <t>VÄRMLANDS LÄN</t>
        </is>
      </c>
      <c r="E8700" t="inlineStr">
        <is>
          <t>SÄFFLE</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35806-2025</t>
        </is>
      </c>
      <c r="B8701" s="1" t="n">
        <v>45861</v>
      </c>
      <c r="C8701" s="1" t="n">
        <v>45932</v>
      </c>
      <c r="D8701" t="inlineStr">
        <is>
          <t>VÄRMLANDS LÄN</t>
        </is>
      </c>
      <c r="E8701" t="inlineStr">
        <is>
          <t>ARVIKA</t>
        </is>
      </c>
      <c r="F8701" t="inlineStr">
        <is>
          <t>Övriga Aktiebolag</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42009-2025</t>
        </is>
      </c>
      <c r="B8702" s="1" t="n">
        <v>45903.56298611111</v>
      </c>
      <c r="C8702" s="1" t="n">
        <v>45932</v>
      </c>
      <c r="D8702" t="inlineStr">
        <is>
          <t>VÄRMLANDS LÄN</t>
        </is>
      </c>
      <c r="E8702" t="inlineStr">
        <is>
          <t>EDA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42015-2025</t>
        </is>
      </c>
      <c r="B8703" s="1" t="n">
        <v>45903.57980324074</v>
      </c>
      <c r="C8703" s="1" t="n">
        <v>45932</v>
      </c>
      <c r="D8703" t="inlineStr">
        <is>
          <t>VÄRMLANDS LÄN</t>
        </is>
      </c>
      <c r="E8703" t="inlineStr">
        <is>
          <t>STORFORS</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49428-2024</t>
        </is>
      </c>
      <c r="B8704" s="1" t="n">
        <v>45595</v>
      </c>
      <c r="C8704" s="1" t="n">
        <v>45932</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55071-2024</t>
        </is>
      </c>
      <c r="B8705" s="1" t="n">
        <v>45621.41861111111</v>
      </c>
      <c r="C8705" s="1" t="n">
        <v>45932</v>
      </c>
      <c r="D8705" t="inlineStr">
        <is>
          <t>VÄRMLANDS LÄN</t>
        </is>
      </c>
      <c r="E8705" t="inlineStr">
        <is>
          <t>ÅRJÄNG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18477-2025</t>
        </is>
      </c>
      <c r="B8706" s="1" t="n">
        <v>45762.86576388889</v>
      </c>
      <c r="C8706" s="1" t="n">
        <v>45932</v>
      </c>
      <c r="D8706" t="inlineStr">
        <is>
          <t>VÄRMLANDS LÄN</t>
        </is>
      </c>
      <c r="E8706" t="inlineStr">
        <is>
          <t>ARVIKA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18480-2025</t>
        </is>
      </c>
      <c r="B8707" s="1" t="n">
        <v>45762.9171412037</v>
      </c>
      <c r="C8707" s="1" t="n">
        <v>45932</v>
      </c>
      <c r="D8707" t="inlineStr">
        <is>
          <t>VÄRMLANDS LÄN</t>
        </is>
      </c>
      <c r="E8707" t="inlineStr">
        <is>
          <t>TORSBY</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5861-2023</t>
        </is>
      </c>
      <c r="B8708" s="1" t="n">
        <v>44959</v>
      </c>
      <c r="C8708" s="1" t="n">
        <v>45932</v>
      </c>
      <c r="D8708" t="inlineStr">
        <is>
          <t>VÄRMLANDS LÄN</t>
        </is>
      </c>
      <c r="E8708" t="inlineStr">
        <is>
          <t>SUNNE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5863-2023</t>
        </is>
      </c>
      <c r="B8709" s="1" t="n">
        <v>44963</v>
      </c>
      <c r="C8709" s="1" t="n">
        <v>45932</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14800-2025</t>
        </is>
      </c>
      <c r="B8710" s="1" t="n">
        <v>45743</v>
      </c>
      <c r="C8710" s="1" t="n">
        <v>45932</v>
      </c>
      <c r="D8710" t="inlineStr">
        <is>
          <t>VÄRMLANDS LÄN</t>
        </is>
      </c>
      <c r="E8710" t="inlineStr">
        <is>
          <t>TORSBY</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1710-2025</t>
        </is>
      </c>
      <c r="B8711" s="1" t="n">
        <v>45671.31046296296</v>
      </c>
      <c r="C8711" s="1" t="n">
        <v>45932</v>
      </c>
      <c r="D8711" t="inlineStr">
        <is>
          <t>VÄRMLANDS LÄN</t>
        </is>
      </c>
      <c r="E8711" t="inlineStr">
        <is>
          <t>HAGFORS</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41809-2025</t>
        </is>
      </c>
      <c r="B8712" s="1" t="n">
        <v>45902.64282407407</v>
      </c>
      <c r="C8712" s="1" t="n">
        <v>45932</v>
      </c>
      <c r="D8712" t="inlineStr">
        <is>
          <t>VÄRMLANDS LÄN</t>
        </is>
      </c>
      <c r="E8712" t="inlineStr">
        <is>
          <t>HAGFORS</t>
        </is>
      </c>
      <c r="F8712" t="inlineStr">
        <is>
          <t>Bergvik skog väst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44383-2024</t>
        </is>
      </c>
      <c r="B8713" s="1" t="n">
        <v>45573</v>
      </c>
      <c r="C8713" s="1" t="n">
        <v>45932</v>
      </c>
      <c r="D8713" t="inlineStr">
        <is>
          <t>VÄRMLANDS LÄN</t>
        </is>
      </c>
      <c r="E8713" t="inlineStr">
        <is>
          <t>SUNNE</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49500-2023</t>
        </is>
      </c>
      <c r="B8714" s="1" t="n">
        <v>45211</v>
      </c>
      <c r="C8714" s="1" t="n">
        <v>45932</v>
      </c>
      <c r="D8714" t="inlineStr">
        <is>
          <t>VÄRMLANDS LÄN</t>
        </is>
      </c>
      <c r="E8714" t="inlineStr">
        <is>
          <t>MUNKFORS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23940-2023</t>
        </is>
      </c>
      <c r="B8715" s="1" t="n">
        <v>45075</v>
      </c>
      <c r="C8715" s="1" t="n">
        <v>45932</v>
      </c>
      <c r="D8715" t="inlineStr">
        <is>
          <t>VÄRMLANDS LÄN</t>
        </is>
      </c>
      <c r="E8715" t="inlineStr">
        <is>
          <t>ÅRJÄNG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41495-2025</t>
        </is>
      </c>
      <c r="B8716" s="1" t="n">
        <v>45901</v>
      </c>
      <c r="C8716" s="1" t="n">
        <v>45932</v>
      </c>
      <c r="D8716" t="inlineStr">
        <is>
          <t>VÄRMLANDS LÄN</t>
        </is>
      </c>
      <c r="E8716" t="inlineStr">
        <is>
          <t>HAGFORS</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38582-2024</t>
        </is>
      </c>
      <c r="B8717" s="1" t="n">
        <v>45546</v>
      </c>
      <c r="C8717" s="1" t="n">
        <v>45932</v>
      </c>
      <c r="D8717" t="inlineStr">
        <is>
          <t>VÄRMLANDS LÄN</t>
        </is>
      </c>
      <c r="E8717" t="inlineStr">
        <is>
          <t>GRUMS</t>
        </is>
      </c>
      <c r="F8717" t="inlineStr">
        <is>
          <t>Bergvik skog väst AB</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49780-2024</t>
        </is>
      </c>
      <c r="B8718" s="1" t="n">
        <v>45597</v>
      </c>
      <c r="C8718" s="1" t="n">
        <v>45932</v>
      </c>
      <c r="D8718" t="inlineStr">
        <is>
          <t>VÄRMLANDS LÄN</t>
        </is>
      </c>
      <c r="E8718" t="inlineStr">
        <is>
          <t>ÅRJÄNG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53414-2024</t>
        </is>
      </c>
      <c r="B8719" s="1" t="n">
        <v>45614.50744212963</v>
      </c>
      <c r="C8719" s="1" t="n">
        <v>45932</v>
      </c>
      <c r="D8719" t="inlineStr">
        <is>
          <t>VÄRMLANDS LÄN</t>
        </is>
      </c>
      <c r="E8719" t="inlineStr">
        <is>
          <t>EDA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41478-2025</t>
        </is>
      </c>
      <c r="B8720" s="1" t="n">
        <v>45901</v>
      </c>
      <c r="C8720" s="1" t="n">
        <v>45932</v>
      </c>
      <c r="D8720" t="inlineStr">
        <is>
          <t>VÄRMLANDS LÄN</t>
        </is>
      </c>
      <c r="E8720" t="inlineStr">
        <is>
          <t>TORSBY</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930-2024</t>
        </is>
      </c>
      <c r="B8721" s="1" t="n">
        <v>45301</v>
      </c>
      <c r="C8721" s="1" t="n">
        <v>45932</v>
      </c>
      <c r="D8721" t="inlineStr">
        <is>
          <t>VÄRMLANDS LÄN</t>
        </is>
      </c>
      <c r="E8721" t="inlineStr">
        <is>
          <t>SÄFFLE</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1929-2025</t>
        </is>
      </c>
      <c r="B8722" s="1" t="n">
        <v>45671.73023148148</v>
      </c>
      <c r="C8722" s="1" t="n">
        <v>45932</v>
      </c>
      <c r="D8722" t="inlineStr">
        <is>
          <t>VÄRMLANDS LÄN</t>
        </is>
      </c>
      <c r="E8722" t="inlineStr">
        <is>
          <t>ÅRJÄNG</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41915-2025</t>
        </is>
      </c>
      <c r="B8723" s="1" t="n">
        <v>45903.41730324074</v>
      </c>
      <c r="C8723" s="1" t="n">
        <v>45932</v>
      </c>
      <c r="D8723" t="inlineStr">
        <is>
          <t>VÄRMLANDS LÄN</t>
        </is>
      </c>
      <c r="E8723" t="inlineStr">
        <is>
          <t>ARVIKA</t>
        </is>
      </c>
      <c r="G8723" t="n">
        <v>8.1</v>
      </c>
      <c r="H8723" t="n">
        <v>0</v>
      </c>
      <c r="I8723" t="n">
        <v>0</v>
      </c>
      <c r="J8723" t="n">
        <v>0</v>
      </c>
      <c r="K8723" t="n">
        <v>0</v>
      </c>
      <c r="L8723" t="n">
        <v>0</v>
      </c>
      <c r="M8723" t="n">
        <v>0</v>
      </c>
      <c r="N8723" t="n">
        <v>0</v>
      </c>
      <c r="O8723" t="n">
        <v>0</v>
      </c>
      <c r="P8723" t="n">
        <v>0</v>
      </c>
      <c r="Q8723" t="n">
        <v>0</v>
      </c>
      <c r="R8723" s="2" t="inlineStr"/>
    </row>
    <row r="8724" ht="15" customHeight="1">
      <c r="A8724" t="inlineStr">
        <is>
          <t>A 4335-2025</t>
        </is>
      </c>
      <c r="B8724" s="1" t="n">
        <v>45685.82054398148</v>
      </c>
      <c r="C8724" s="1" t="n">
        <v>45932</v>
      </c>
      <c r="D8724" t="inlineStr">
        <is>
          <t>VÄRMLANDS LÄN</t>
        </is>
      </c>
      <c r="E8724" t="inlineStr">
        <is>
          <t>KRISTINEHAMN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4342-2025</t>
        </is>
      </c>
      <c r="B8725" s="1" t="n">
        <v>45685</v>
      </c>
      <c r="C8725" s="1" t="n">
        <v>45932</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15488-2023</t>
        </is>
      </c>
      <c r="B8726" s="1" t="n">
        <v>45020</v>
      </c>
      <c r="C8726" s="1" t="n">
        <v>45932</v>
      </c>
      <c r="D8726" t="inlineStr">
        <is>
          <t>VÄRMLANDS LÄN</t>
        </is>
      </c>
      <c r="E8726" t="inlineStr">
        <is>
          <t>TORSBY</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37382-2024</t>
        </is>
      </c>
      <c r="B8727" s="1" t="n">
        <v>45540</v>
      </c>
      <c r="C8727" s="1" t="n">
        <v>45932</v>
      </c>
      <c r="D8727" t="inlineStr">
        <is>
          <t>VÄRMLANDS LÄN</t>
        </is>
      </c>
      <c r="E8727" t="inlineStr">
        <is>
          <t>ÅRJÄNG</t>
        </is>
      </c>
      <c r="G8727" t="n">
        <v>12.3</v>
      </c>
      <c r="H8727" t="n">
        <v>0</v>
      </c>
      <c r="I8727" t="n">
        <v>0</v>
      </c>
      <c r="J8727" t="n">
        <v>0</v>
      </c>
      <c r="K8727" t="n">
        <v>0</v>
      </c>
      <c r="L8727" t="n">
        <v>0</v>
      </c>
      <c r="M8727" t="n">
        <v>0</v>
      </c>
      <c r="N8727" t="n">
        <v>0</v>
      </c>
      <c r="O8727" t="n">
        <v>0</v>
      </c>
      <c r="P8727" t="n">
        <v>0</v>
      </c>
      <c r="Q8727" t="n">
        <v>0</v>
      </c>
      <c r="R8727" s="2" t="inlineStr"/>
    </row>
    <row r="8728" ht="15" customHeight="1">
      <c r="A8728" t="inlineStr">
        <is>
          <t>A 46514-2025</t>
        </is>
      </c>
      <c r="B8728" s="1" t="n">
        <v>45926.28710648148</v>
      </c>
      <c r="C8728" s="1" t="n">
        <v>45932</v>
      </c>
      <c r="D8728" t="inlineStr">
        <is>
          <t>VÄRMLANDS LÄN</t>
        </is>
      </c>
      <c r="E8728" t="inlineStr">
        <is>
          <t>ARVIKA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45805-2024</t>
        </is>
      </c>
      <c r="B8729" s="1" t="n">
        <v>45579.69106481481</v>
      </c>
      <c r="C8729" s="1" t="n">
        <v>45932</v>
      </c>
      <c r="D8729" t="inlineStr">
        <is>
          <t>VÄRMLANDS LÄN</t>
        </is>
      </c>
      <c r="E8729" t="inlineStr">
        <is>
          <t>ARVIKA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45812-2024</t>
        </is>
      </c>
      <c r="B8730" s="1" t="n">
        <v>45579</v>
      </c>
      <c r="C8730" s="1" t="n">
        <v>45932</v>
      </c>
      <c r="D8730" t="inlineStr">
        <is>
          <t>VÄRMLANDS LÄN</t>
        </is>
      </c>
      <c r="E8730" t="inlineStr">
        <is>
          <t>TORSBY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48276-2024</t>
        </is>
      </c>
      <c r="B8731" s="1" t="n">
        <v>45590</v>
      </c>
      <c r="C8731" s="1" t="n">
        <v>45932</v>
      </c>
      <c r="D8731" t="inlineStr">
        <is>
          <t>VÄRMLANDS LÄN</t>
        </is>
      </c>
      <c r="E8731" t="inlineStr">
        <is>
          <t>HAGFORS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49057-2024</t>
        </is>
      </c>
      <c r="B8732" s="1" t="n">
        <v>45594</v>
      </c>
      <c r="C8732" s="1" t="n">
        <v>45932</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6709-2021</t>
        </is>
      </c>
      <c r="B8733" s="1" t="n">
        <v>44236</v>
      </c>
      <c r="C8733" s="1" t="n">
        <v>45932</v>
      </c>
      <c r="D8733" t="inlineStr">
        <is>
          <t>VÄRMLANDS LÄN</t>
        </is>
      </c>
      <c r="E8733" t="inlineStr">
        <is>
          <t>SUNNE</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56473-2022</t>
        </is>
      </c>
      <c r="B8734" s="1" t="n">
        <v>44893</v>
      </c>
      <c r="C8734" s="1" t="n">
        <v>45932</v>
      </c>
      <c r="D8734" t="inlineStr">
        <is>
          <t>VÄRMLANDS LÄN</t>
        </is>
      </c>
      <c r="E8734" t="inlineStr">
        <is>
          <t>TORSBY</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56783-2023</t>
        </is>
      </c>
      <c r="B8735" s="1" t="n">
        <v>45244</v>
      </c>
      <c r="C8735" s="1" t="n">
        <v>45932</v>
      </c>
      <c r="D8735" t="inlineStr">
        <is>
          <t>VÄRMLANDS LÄN</t>
        </is>
      </c>
      <c r="E8735" t="inlineStr">
        <is>
          <t>EDA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6034-2021</t>
        </is>
      </c>
      <c r="B8736" s="1" t="n">
        <v>44232.33623842592</v>
      </c>
      <c r="C8736" s="1" t="n">
        <v>45932</v>
      </c>
      <c r="D8736" t="inlineStr">
        <is>
          <t>VÄRMLANDS LÄN</t>
        </is>
      </c>
      <c r="E8736" t="inlineStr">
        <is>
          <t>ÅRJÄNG</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33421-2023</t>
        </is>
      </c>
      <c r="B8737" s="1" t="n">
        <v>45128</v>
      </c>
      <c r="C8737" s="1" t="n">
        <v>45932</v>
      </c>
      <c r="D8737" t="inlineStr">
        <is>
          <t>VÄRMLANDS LÄN</t>
        </is>
      </c>
      <c r="E8737" t="inlineStr">
        <is>
          <t>EDA</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61719-2023</t>
        </is>
      </c>
      <c r="B8738" s="1" t="n">
        <v>45265.67802083334</v>
      </c>
      <c r="C8738" s="1" t="n">
        <v>45932</v>
      </c>
      <c r="D8738" t="inlineStr">
        <is>
          <t>VÄRMLANDS LÄN</t>
        </is>
      </c>
      <c r="E8738" t="inlineStr">
        <is>
          <t>KRISTINEHAMN</t>
        </is>
      </c>
      <c r="F8738" t="inlineStr">
        <is>
          <t>Naturvårdsverket</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59352-2022</t>
        </is>
      </c>
      <c r="B8739" s="1" t="n">
        <v>44904.7077199074</v>
      </c>
      <c r="C8739" s="1" t="n">
        <v>45932</v>
      </c>
      <c r="D8739" t="inlineStr">
        <is>
          <t>VÄRMLANDS LÄN</t>
        </is>
      </c>
      <c r="E8739" t="inlineStr">
        <is>
          <t>ÅRJÄNG</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9837-2023</t>
        </is>
      </c>
      <c r="B8740" s="1" t="n">
        <v>44984.85623842593</v>
      </c>
      <c r="C8740" s="1" t="n">
        <v>45932</v>
      </c>
      <c r="D8740" t="inlineStr">
        <is>
          <t>VÄRMLANDS LÄN</t>
        </is>
      </c>
      <c r="E8740" t="inlineStr">
        <is>
          <t>GRUMS</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41878-2024</t>
        </is>
      </c>
      <c r="B8741" s="1" t="n">
        <v>45561</v>
      </c>
      <c r="C8741" s="1" t="n">
        <v>45932</v>
      </c>
      <c r="D8741" t="inlineStr">
        <is>
          <t>VÄRMLANDS LÄN</t>
        </is>
      </c>
      <c r="E8741" t="inlineStr">
        <is>
          <t>GRUMS</t>
        </is>
      </c>
      <c r="F8741" t="inlineStr">
        <is>
          <t>Bergvik skog väst AB</t>
        </is>
      </c>
      <c r="G8741" t="n">
        <v>15.9</v>
      </c>
      <c r="H8741" t="n">
        <v>0</v>
      </c>
      <c r="I8741" t="n">
        <v>0</v>
      </c>
      <c r="J8741" t="n">
        <v>0</v>
      </c>
      <c r="K8741" t="n">
        <v>0</v>
      </c>
      <c r="L8741" t="n">
        <v>0</v>
      </c>
      <c r="M8741" t="n">
        <v>0</v>
      </c>
      <c r="N8741" t="n">
        <v>0</v>
      </c>
      <c r="O8741" t="n">
        <v>0</v>
      </c>
      <c r="P8741" t="n">
        <v>0</v>
      </c>
      <c r="Q8741" t="n">
        <v>0</v>
      </c>
      <c r="R8741" s="2" t="inlineStr"/>
    </row>
    <row r="8742" ht="15" customHeight="1">
      <c r="A8742" t="inlineStr">
        <is>
          <t>A 15164-2023</t>
        </is>
      </c>
      <c r="B8742" s="1" t="n">
        <v>45016.59475694445</v>
      </c>
      <c r="C8742" s="1" t="n">
        <v>45932</v>
      </c>
      <c r="D8742" t="inlineStr">
        <is>
          <t>VÄRMLANDS LÄN</t>
        </is>
      </c>
      <c r="E8742" t="inlineStr">
        <is>
          <t>ÅRJÄNG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43045-2024</t>
        </is>
      </c>
      <c r="B8743" s="1" t="n">
        <v>45567</v>
      </c>
      <c r="C8743" s="1" t="n">
        <v>45932</v>
      </c>
      <c r="D8743" t="inlineStr">
        <is>
          <t>VÄRMLANDS LÄN</t>
        </is>
      </c>
      <c r="E8743" t="inlineStr">
        <is>
          <t>FILIPSTAD</t>
        </is>
      </c>
      <c r="F8743" t="inlineStr">
        <is>
          <t>Kyrkan</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43099-2024</t>
        </is>
      </c>
      <c r="B8744" s="1" t="n">
        <v>45567</v>
      </c>
      <c r="C8744" s="1" t="n">
        <v>45932</v>
      </c>
      <c r="D8744" t="inlineStr">
        <is>
          <t>VÄRMLANDS LÄN</t>
        </is>
      </c>
      <c r="E8744" t="inlineStr">
        <is>
          <t>SÄFFLE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61818-2023</t>
        </is>
      </c>
      <c r="B8745" s="1" t="n">
        <v>45266</v>
      </c>
      <c r="C8745" s="1" t="n">
        <v>45932</v>
      </c>
      <c r="D8745" t="inlineStr">
        <is>
          <t>VÄRMLANDS LÄN</t>
        </is>
      </c>
      <c r="E8745" t="inlineStr">
        <is>
          <t>HAGFORS</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39641-2021</t>
        </is>
      </c>
      <c r="B8746" s="1" t="n">
        <v>44417</v>
      </c>
      <c r="C8746" s="1" t="n">
        <v>45932</v>
      </c>
      <c r="D8746" t="inlineStr">
        <is>
          <t>VÄRMLANDS LÄN</t>
        </is>
      </c>
      <c r="E8746" t="inlineStr">
        <is>
          <t>SUNNE</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39660-2021</t>
        </is>
      </c>
      <c r="B8747" s="1" t="n">
        <v>44417</v>
      </c>
      <c r="C8747" s="1" t="n">
        <v>45932</v>
      </c>
      <c r="D8747" t="inlineStr">
        <is>
          <t>VÄRMLANDS LÄN</t>
        </is>
      </c>
      <c r="E8747" t="inlineStr">
        <is>
          <t>FORSHAGA</t>
        </is>
      </c>
      <c r="G8747" t="n">
        <v>14.8</v>
      </c>
      <c r="H8747" t="n">
        <v>0</v>
      </c>
      <c r="I8747" t="n">
        <v>0</v>
      </c>
      <c r="J8747" t="n">
        <v>0</v>
      </c>
      <c r="K8747" t="n">
        <v>0</v>
      </c>
      <c r="L8747" t="n">
        <v>0</v>
      </c>
      <c r="M8747" t="n">
        <v>0</v>
      </c>
      <c r="N8747" t="n">
        <v>0</v>
      </c>
      <c r="O8747" t="n">
        <v>0</v>
      </c>
      <c r="P8747" t="n">
        <v>0</v>
      </c>
      <c r="Q8747" t="n">
        <v>0</v>
      </c>
      <c r="R8747" s="2" t="inlineStr"/>
    </row>
    <row r="8748" ht="15" customHeight="1">
      <c r="A8748" t="inlineStr">
        <is>
          <t>A 54751-2022</t>
        </is>
      </c>
      <c r="B8748" s="1" t="n">
        <v>44883</v>
      </c>
      <c r="C8748" s="1" t="n">
        <v>45932</v>
      </c>
      <c r="D8748" t="inlineStr">
        <is>
          <t>VÄRMLANDS LÄN</t>
        </is>
      </c>
      <c r="E8748" t="inlineStr">
        <is>
          <t>HAGFORS</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46318-2024</t>
        </is>
      </c>
      <c r="B8749" s="1" t="n">
        <v>45581.75744212963</v>
      </c>
      <c r="C8749" s="1" t="n">
        <v>45932</v>
      </c>
      <c r="D8749" t="inlineStr">
        <is>
          <t>VÄRMLANDS LÄN</t>
        </is>
      </c>
      <c r="E8749" t="inlineStr">
        <is>
          <t>ÅRJÄNG</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35818-2025</t>
        </is>
      </c>
      <c r="B8750" s="1" t="n">
        <v>45861.44469907408</v>
      </c>
      <c r="C8750" s="1" t="n">
        <v>45932</v>
      </c>
      <c r="D8750" t="inlineStr">
        <is>
          <t>VÄRMLANDS LÄN</t>
        </is>
      </c>
      <c r="E8750" t="inlineStr">
        <is>
          <t>ARVIKA</t>
        </is>
      </c>
      <c r="F8750" t="inlineStr">
        <is>
          <t>Bergvik skog väst AB</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35855-2025</t>
        </is>
      </c>
      <c r="B8751" s="1" t="n">
        <v>45861.61864583333</v>
      </c>
      <c r="C8751" s="1" t="n">
        <v>45932</v>
      </c>
      <c r="D8751" t="inlineStr">
        <is>
          <t>VÄRMLANDS LÄN</t>
        </is>
      </c>
      <c r="E8751" t="inlineStr">
        <is>
          <t>TORSBY</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49814-2022</t>
        </is>
      </c>
      <c r="B8752" s="1" t="n">
        <v>44859</v>
      </c>
      <c r="C8752" s="1" t="n">
        <v>45932</v>
      </c>
      <c r="D8752" t="inlineStr">
        <is>
          <t>VÄRMLANDS LÄN</t>
        </is>
      </c>
      <c r="E8752" t="inlineStr">
        <is>
          <t>TORSBY</t>
        </is>
      </c>
      <c r="F8752" t="inlineStr">
        <is>
          <t>Kyrkan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40541-2024</t>
        </is>
      </c>
      <c r="B8753" s="1" t="n">
        <v>45555.62736111111</v>
      </c>
      <c r="C8753" s="1" t="n">
        <v>45932</v>
      </c>
      <c r="D8753" t="inlineStr">
        <is>
          <t>VÄRMLANDS LÄN</t>
        </is>
      </c>
      <c r="E8753" t="inlineStr">
        <is>
          <t>TORSBY</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7695-2025</t>
        </is>
      </c>
      <c r="B8754" s="1" t="n">
        <v>45705</v>
      </c>
      <c r="C8754" s="1" t="n">
        <v>45932</v>
      </c>
      <c r="D8754" t="inlineStr">
        <is>
          <t>VÄRMLANDS LÄN</t>
        </is>
      </c>
      <c r="E8754" t="inlineStr">
        <is>
          <t>KRISTINEHAMN</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47154-2025</t>
        </is>
      </c>
      <c r="B8755" s="1" t="n">
        <v>45929.72997685185</v>
      </c>
      <c r="C8755" s="1" t="n">
        <v>45932</v>
      </c>
      <c r="D8755" t="inlineStr">
        <is>
          <t>VÄRMLANDS LÄN</t>
        </is>
      </c>
      <c r="E8755" t="inlineStr">
        <is>
          <t>SÄFFLE</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44133-2025</t>
        </is>
      </c>
      <c r="B8756" s="1" t="n">
        <v>45915</v>
      </c>
      <c r="C8756" s="1" t="n">
        <v>45932</v>
      </c>
      <c r="D8756" t="inlineStr">
        <is>
          <t>VÄRMLANDS LÄN</t>
        </is>
      </c>
      <c r="E8756" t="inlineStr">
        <is>
          <t>TORSBY</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21295-2023</t>
        </is>
      </c>
      <c r="B8757" s="1" t="n">
        <v>45062.65708333333</v>
      </c>
      <c r="C8757" s="1" t="n">
        <v>45932</v>
      </c>
      <c r="D8757" t="inlineStr">
        <is>
          <t>VÄRMLANDS LÄN</t>
        </is>
      </c>
      <c r="E8757" t="inlineStr">
        <is>
          <t>FORSHAGA</t>
        </is>
      </c>
      <c r="F8757" t="inlineStr">
        <is>
          <t>Bergvik skog väst AB</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35678-2025</t>
        </is>
      </c>
      <c r="B8758" s="1" t="n">
        <v>45859</v>
      </c>
      <c r="C8758" s="1" t="n">
        <v>45932</v>
      </c>
      <c r="D8758" t="inlineStr">
        <is>
          <t>VÄRMLANDS LÄN</t>
        </is>
      </c>
      <c r="E8758" t="inlineStr">
        <is>
          <t>ARVIKA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41711-2025</t>
        </is>
      </c>
      <c r="B8759" s="1" t="n">
        <v>45902.43106481482</v>
      </c>
      <c r="C8759" s="1" t="n">
        <v>45932</v>
      </c>
      <c r="D8759" t="inlineStr">
        <is>
          <t>VÄRMLANDS LÄN</t>
        </is>
      </c>
      <c r="E8759" t="inlineStr">
        <is>
          <t>TORSBY</t>
        </is>
      </c>
      <c r="G8759" t="n">
        <v>11.1</v>
      </c>
      <c r="H8759" t="n">
        <v>0</v>
      </c>
      <c r="I8759" t="n">
        <v>0</v>
      </c>
      <c r="J8759" t="n">
        <v>0</v>
      </c>
      <c r="K8759" t="n">
        <v>0</v>
      </c>
      <c r="L8759" t="n">
        <v>0</v>
      </c>
      <c r="M8759" t="n">
        <v>0</v>
      </c>
      <c r="N8759" t="n">
        <v>0</v>
      </c>
      <c r="O8759" t="n">
        <v>0</v>
      </c>
      <c r="P8759" t="n">
        <v>0</v>
      </c>
      <c r="Q8759" t="n">
        <v>0</v>
      </c>
      <c r="R8759" s="2" t="inlineStr"/>
    </row>
    <row r="8760" ht="15" customHeight="1">
      <c r="A8760" t="inlineStr">
        <is>
          <t>A 41713-2025</t>
        </is>
      </c>
      <c r="B8760" s="1" t="n">
        <v>45902.43181712963</v>
      </c>
      <c r="C8760" s="1" t="n">
        <v>45932</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58062-2024</t>
        </is>
      </c>
      <c r="B8761" s="1" t="n">
        <v>45631</v>
      </c>
      <c r="C8761" s="1" t="n">
        <v>45932</v>
      </c>
      <c r="D8761" t="inlineStr">
        <is>
          <t>VÄRMLANDS LÄN</t>
        </is>
      </c>
      <c r="E8761" t="inlineStr">
        <is>
          <t>ARVIKA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32102-2023</t>
        </is>
      </c>
      <c r="B8762" s="1" t="n">
        <v>45107</v>
      </c>
      <c r="C8762" s="1" t="n">
        <v>45932</v>
      </c>
      <c r="D8762" t="inlineStr">
        <is>
          <t>VÄRMLANDS LÄN</t>
        </is>
      </c>
      <c r="E8762" t="inlineStr">
        <is>
          <t>SÄFFLE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32149-2023</t>
        </is>
      </c>
      <c r="B8763" s="1" t="n">
        <v>45107</v>
      </c>
      <c r="C8763" s="1" t="n">
        <v>45932</v>
      </c>
      <c r="D8763" t="inlineStr">
        <is>
          <t>VÄRMLANDS LÄN</t>
        </is>
      </c>
      <c r="E8763" t="inlineStr">
        <is>
          <t>HAGFORS</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32161-2023</t>
        </is>
      </c>
      <c r="B8764" s="1" t="n">
        <v>45119</v>
      </c>
      <c r="C8764" s="1" t="n">
        <v>45932</v>
      </c>
      <c r="D8764" t="inlineStr">
        <is>
          <t>VÄRMLANDS LÄN</t>
        </is>
      </c>
      <c r="E8764" t="inlineStr">
        <is>
          <t>KRISTINEHAMN</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32169-2023</t>
        </is>
      </c>
      <c r="B8765" s="1" t="n">
        <v>45107</v>
      </c>
      <c r="C8765" s="1" t="n">
        <v>45932</v>
      </c>
      <c r="D8765" t="inlineStr">
        <is>
          <t>VÄRMLANDS LÄN</t>
        </is>
      </c>
      <c r="E8765" t="inlineStr">
        <is>
          <t>KARLSTAD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62173-2023</t>
        </is>
      </c>
      <c r="B8766" s="1" t="n">
        <v>45267.42901620371</v>
      </c>
      <c r="C8766" s="1" t="n">
        <v>45932</v>
      </c>
      <c r="D8766" t="inlineStr">
        <is>
          <t>VÄRMLANDS LÄN</t>
        </is>
      </c>
      <c r="E8766" t="inlineStr">
        <is>
          <t>EDA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41712-2025</t>
        </is>
      </c>
      <c r="B8767" s="1" t="n">
        <v>45902.43150462963</v>
      </c>
      <c r="C8767" s="1" t="n">
        <v>45932</v>
      </c>
      <c r="D8767" t="inlineStr">
        <is>
          <t>VÄRMLANDS LÄN</t>
        </is>
      </c>
      <c r="E8767" t="inlineStr">
        <is>
          <t>ARVIKA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41714-2025</t>
        </is>
      </c>
      <c r="B8768" s="1" t="n">
        <v>45902.43211805556</v>
      </c>
      <c r="C8768" s="1" t="n">
        <v>45932</v>
      </c>
      <c r="D8768" t="inlineStr">
        <is>
          <t>VÄRMLANDS LÄN</t>
        </is>
      </c>
      <c r="E8768" t="inlineStr">
        <is>
          <t>ARVIKA</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3963-2025</t>
        </is>
      </c>
      <c r="B8769" s="1" t="n">
        <v>45684.50480324074</v>
      </c>
      <c r="C8769" s="1" t="n">
        <v>45932</v>
      </c>
      <c r="D8769" t="inlineStr">
        <is>
          <t>VÄRMLANDS LÄN</t>
        </is>
      </c>
      <c r="E8769" t="inlineStr">
        <is>
          <t>HAGFORS</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3968-2025</t>
        </is>
      </c>
      <c r="B8770" s="1" t="n">
        <v>45684.51925925926</v>
      </c>
      <c r="C8770" s="1" t="n">
        <v>45932</v>
      </c>
      <c r="D8770" t="inlineStr">
        <is>
          <t>VÄRMLANDS LÄN</t>
        </is>
      </c>
      <c r="E8770" t="inlineStr">
        <is>
          <t>ÅRJÄNG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41718-2025</t>
        </is>
      </c>
      <c r="B8771" s="1" t="n">
        <v>45902</v>
      </c>
      <c r="C8771" s="1" t="n">
        <v>45932</v>
      </c>
      <c r="D8771" t="inlineStr">
        <is>
          <t>VÄRMLANDS LÄN</t>
        </is>
      </c>
      <c r="E8771" t="inlineStr">
        <is>
          <t>FILIPSTAD</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41726-2025</t>
        </is>
      </c>
      <c r="B8772" s="1" t="n">
        <v>45902.45571759259</v>
      </c>
      <c r="C8772" s="1" t="n">
        <v>45932</v>
      </c>
      <c r="D8772" t="inlineStr">
        <is>
          <t>VÄRMLANDS LÄN</t>
        </is>
      </c>
      <c r="E8772" t="inlineStr">
        <is>
          <t>HAGFORS</t>
        </is>
      </c>
      <c r="F8772" t="inlineStr">
        <is>
          <t>Bergvik skog väst AB</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19994-2025</t>
        </is>
      </c>
      <c r="B8773" s="1" t="n">
        <v>45771</v>
      </c>
      <c r="C8773" s="1" t="n">
        <v>45932</v>
      </c>
      <c r="D8773" t="inlineStr">
        <is>
          <t>VÄRMLANDS LÄN</t>
        </is>
      </c>
      <c r="E8773" t="inlineStr">
        <is>
          <t>MUNKFORS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41768-2025</t>
        </is>
      </c>
      <c r="B8774" s="1" t="n">
        <v>45902.55111111111</v>
      </c>
      <c r="C8774" s="1" t="n">
        <v>45932</v>
      </c>
      <c r="D8774" t="inlineStr">
        <is>
          <t>VÄRMLANDS LÄN</t>
        </is>
      </c>
      <c r="E8774" t="inlineStr">
        <is>
          <t>KRISTINEHAMN</t>
        </is>
      </c>
      <c r="F8774" t="inlineStr">
        <is>
          <t>Sveaskog</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41771-2025</t>
        </is>
      </c>
      <c r="B8775" s="1" t="n">
        <v>45902.55228009259</v>
      </c>
      <c r="C8775" s="1" t="n">
        <v>45932</v>
      </c>
      <c r="D8775" t="inlineStr">
        <is>
          <t>VÄRMLANDS LÄN</t>
        </is>
      </c>
      <c r="E8775" t="inlineStr">
        <is>
          <t>ÅRJÄNG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46703-2024</t>
        </is>
      </c>
      <c r="B8776" s="1" t="n">
        <v>45583.43951388889</v>
      </c>
      <c r="C8776" s="1" t="n">
        <v>45932</v>
      </c>
      <c r="D8776" t="inlineStr">
        <is>
          <t>VÄRMLANDS LÄN</t>
        </is>
      </c>
      <c r="E8776" t="inlineStr">
        <is>
          <t>EDA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234-2024</t>
        </is>
      </c>
      <c r="B8777" s="1" t="n">
        <v>45294.8253587963</v>
      </c>
      <c r="C8777" s="1" t="n">
        <v>45932</v>
      </c>
      <c r="D8777" t="inlineStr">
        <is>
          <t>VÄRMLANDS LÄN</t>
        </is>
      </c>
      <c r="E8777" t="inlineStr">
        <is>
          <t>TORSBY</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236-2024</t>
        </is>
      </c>
      <c r="B8778" s="1" t="n">
        <v>45294.85927083333</v>
      </c>
      <c r="C8778" s="1" t="n">
        <v>45932</v>
      </c>
      <c r="D8778" t="inlineStr">
        <is>
          <t>VÄRMLANDS LÄN</t>
        </is>
      </c>
      <c r="E8778" t="inlineStr">
        <is>
          <t>TORSBY</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3233-2021</t>
        </is>
      </c>
      <c r="B8779" s="1" t="n">
        <v>44217</v>
      </c>
      <c r="C8779" s="1" t="n">
        <v>45932</v>
      </c>
      <c r="D8779" t="inlineStr">
        <is>
          <t>VÄRMLANDS LÄN</t>
        </is>
      </c>
      <c r="E8779" t="inlineStr">
        <is>
          <t>EDA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52357-2021</t>
        </is>
      </c>
      <c r="B8780" s="1" t="n">
        <v>44464</v>
      </c>
      <c r="C8780" s="1" t="n">
        <v>45932</v>
      </c>
      <c r="D8780" t="inlineStr">
        <is>
          <t>VÄRMLANDS LÄN</t>
        </is>
      </c>
      <c r="E8780" t="inlineStr">
        <is>
          <t>ARVIKA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7338-2025</t>
        </is>
      </c>
      <c r="B8781" s="1" t="n">
        <v>45703</v>
      </c>
      <c r="C8781" s="1" t="n">
        <v>45932</v>
      </c>
      <c r="D8781" t="inlineStr">
        <is>
          <t>VÄRMLANDS LÄN</t>
        </is>
      </c>
      <c r="E8781" t="inlineStr">
        <is>
          <t>SUNNE</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12458-2024</t>
        </is>
      </c>
      <c r="B8782" s="1" t="n">
        <v>45379</v>
      </c>
      <c r="C8782" s="1" t="n">
        <v>45932</v>
      </c>
      <c r="D8782" t="inlineStr">
        <is>
          <t>VÄRMLANDS LÄN</t>
        </is>
      </c>
      <c r="E8782" t="inlineStr">
        <is>
          <t>KRISTINEHAMN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61419-2023</t>
        </is>
      </c>
      <c r="B8783" s="1" t="n">
        <v>45264.67577546297</v>
      </c>
      <c r="C8783" s="1" t="n">
        <v>45932</v>
      </c>
      <c r="D8783" t="inlineStr">
        <is>
          <t>VÄRMLANDS LÄN</t>
        </is>
      </c>
      <c r="E8783" t="inlineStr">
        <is>
          <t>SUNNE</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26265-2024</t>
        </is>
      </c>
      <c r="B8784" s="1" t="n">
        <v>45468</v>
      </c>
      <c r="C8784" s="1" t="n">
        <v>45932</v>
      </c>
      <c r="D8784" t="inlineStr">
        <is>
          <t>VÄRMLANDS LÄN</t>
        </is>
      </c>
      <c r="E8784" t="inlineStr">
        <is>
          <t>ÅRJÄNG</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41975-2025</t>
        </is>
      </c>
      <c r="B8785" s="1" t="n">
        <v>45903.49732638889</v>
      </c>
      <c r="C8785" s="1" t="n">
        <v>45932</v>
      </c>
      <c r="D8785" t="inlineStr">
        <is>
          <t>VÄRMLANDS LÄN</t>
        </is>
      </c>
      <c r="E8785" t="inlineStr">
        <is>
          <t>TORSBY</t>
        </is>
      </c>
      <c r="F8785" t="inlineStr">
        <is>
          <t>Bergvik skog väst AB</t>
        </is>
      </c>
      <c r="G8785" t="n">
        <v>10.4</v>
      </c>
      <c r="H8785" t="n">
        <v>0</v>
      </c>
      <c r="I8785" t="n">
        <v>0</v>
      </c>
      <c r="J8785" t="n">
        <v>0</v>
      </c>
      <c r="K8785" t="n">
        <v>0</v>
      </c>
      <c r="L8785" t="n">
        <v>0</v>
      </c>
      <c r="M8785" t="n">
        <v>0</v>
      </c>
      <c r="N8785" t="n">
        <v>0</v>
      </c>
      <c r="O8785" t="n">
        <v>0</v>
      </c>
      <c r="P8785" t="n">
        <v>0</v>
      </c>
      <c r="Q8785" t="n">
        <v>0</v>
      </c>
      <c r="R8785" s="2" t="inlineStr"/>
    </row>
    <row r="8786" ht="15" customHeight="1">
      <c r="A8786" t="inlineStr">
        <is>
          <t>A 491-2024</t>
        </is>
      </c>
      <c r="B8786" s="1" t="n">
        <v>45299.33832175926</v>
      </c>
      <c r="C8786" s="1" t="n">
        <v>45932</v>
      </c>
      <c r="D8786" t="inlineStr">
        <is>
          <t>VÄRMLANDS LÄN</t>
        </is>
      </c>
      <c r="E8786" t="inlineStr">
        <is>
          <t>FILIPSTAD</t>
        </is>
      </c>
      <c r="F8786" t="inlineStr">
        <is>
          <t>Bergvik skog väst AB</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41812-2025</t>
        </is>
      </c>
      <c r="B8787" s="1" t="n">
        <v>45902.65138888889</v>
      </c>
      <c r="C8787" s="1" t="n">
        <v>45932</v>
      </c>
      <c r="D8787" t="inlineStr">
        <is>
          <t>VÄRMLANDS LÄN</t>
        </is>
      </c>
      <c r="E8787" t="inlineStr">
        <is>
          <t>HAGFORS</t>
        </is>
      </c>
      <c r="F8787" t="inlineStr">
        <is>
          <t>Bergvik skog väst AB</t>
        </is>
      </c>
      <c r="G8787" t="n">
        <v>15.6</v>
      </c>
      <c r="H8787" t="n">
        <v>0</v>
      </c>
      <c r="I8787" t="n">
        <v>0</v>
      </c>
      <c r="J8787" t="n">
        <v>0</v>
      </c>
      <c r="K8787" t="n">
        <v>0</v>
      </c>
      <c r="L8787" t="n">
        <v>0</v>
      </c>
      <c r="M8787" t="n">
        <v>0</v>
      </c>
      <c r="N8787" t="n">
        <v>0</v>
      </c>
      <c r="O8787" t="n">
        <v>0</v>
      </c>
      <c r="P8787" t="n">
        <v>0</v>
      </c>
      <c r="Q8787" t="n">
        <v>0</v>
      </c>
      <c r="R8787" s="2" t="inlineStr"/>
    </row>
    <row r="8788" ht="15" customHeight="1">
      <c r="A8788" t="inlineStr">
        <is>
          <t>A 41858-2025</t>
        </is>
      </c>
      <c r="B8788" s="1" t="n">
        <v>45902.94583333333</v>
      </c>
      <c r="C8788" s="1" t="n">
        <v>45932</v>
      </c>
      <c r="D8788" t="inlineStr">
        <is>
          <t>VÄRMLANDS LÄN</t>
        </is>
      </c>
      <c r="E8788" t="inlineStr">
        <is>
          <t>SÄFFLE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35607-2025</t>
        </is>
      </c>
      <c r="B8789" s="1" t="n">
        <v>45859</v>
      </c>
      <c r="C8789" s="1" t="n">
        <v>45932</v>
      </c>
      <c r="D8789" t="inlineStr">
        <is>
          <t>VÄRMLANDS LÄN</t>
        </is>
      </c>
      <c r="E8789" t="inlineStr">
        <is>
          <t>ARVIKA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41641-2025</t>
        </is>
      </c>
      <c r="B8790" s="1" t="n">
        <v>45902.3049537037</v>
      </c>
      <c r="C8790" s="1" t="n">
        <v>45932</v>
      </c>
      <c r="D8790" t="inlineStr">
        <is>
          <t>VÄRMLANDS LÄN</t>
        </is>
      </c>
      <c r="E8790" t="inlineStr">
        <is>
          <t>SÄFFLE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19753-2024</t>
        </is>
      </c>
      <c r="B8791" s="1" t="n">
        <v>45432</v>
      </c>
      <c r="C8791" s="1" t="n">
        <v>45932</v>
      </c>
      <c r="D8791" t="inlineStr">
        <is>
          <t>VÄRMLANDS LÄN</t>
        </is>
      </c>
      <c r="E8791" t="inlineStr">
        <is>
          <t>GRUMS</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6551-2025</t>
        </is>
      </c>
      <c r="B8792" s="1" t="n">
        <v>45699.71454861111</v>
      </c>
      <c r="C8792" s="1" t="n">
        <v>45932</v>
      </c>
      <c r="D8792" t="inlineStr">
        <is>
          <t>VÄRMLANDS LÄN</t>
        </is>
      </c>
      <c r="E8792" t="inlineStr">
        <is>
          <t>ÅRJÄNG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12161-2025</t>
        </is>
      </c>
      <c r="B8793" s="1" t="n">
        <v>45729.42730324074</v>
      </c>
      <c r="C8793" s="1" t="n">
        <v>45932</v>
      </c>
      <c r="D8793" t="inlineStr">
        <is>
          <t>VÄRMLANDS LÄN</t>
        </is>
      </c>
      <c r="E8793" t="inlineStr">
        <is>
          <t>ARVIKA</t>
        </is>
      </c>
      <c r="F8793" t="inlineStr">
        <is>
          <t>Bergvik skog väst AB</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12166-2025</t>
        </is>
      </c>
      <c r="B8794" s="1" t="n">
        <v>45729.43327546296</v>
      </c>
      <c r="C8794" s="1" t="n">
        <v>45932</v>
      </c>
      <c r="D8794" t="inlineStr">
        <is>
          <t>VÄRMLANDS LÄN</t>
        </is>
      </c>
      <c r="E8794" t="inlineStr">
        <is>
          <t>ARVIKA</t>
        </is>
      </c>
      <c r="F8794" t="inlineStr">
        <is>
          <t>Bergvik skog väst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70126-2021</t>
        </is>
      </c>
      <c r="B8795" s="1" t="n">
        <v>44533.62636574074</v>
      </c>
      <c r="C8795" s="1" t="n">
        <v>45932</v>
      </c>
      <c r="D8795" t="inlineStr">
        <is>
          <t>VÄRMLANDS LÄN</t>
        </is>
      </c>
      <c r="E8795" t="inlineStr">
        <is>
          <t>KRISTINEHAMN</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41416-2025</t>
        </is>
      </c>
      <c r="B8796" s="1" t="n">
        <v>45901</v>
      </c>
      <c r="C8796" s="1" t="n">
        <v>45932</v>
      </c>
      <c r="D8796" t="inlineStr">
        <is>
          <t>VÄRMLANDS LÄN</t>
        </is>
      </c>
      <c r="E8796" t="inlineStr">
        <is>
          <t>TORSBY</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12434-2022</t>
        </is>
      </c>
      <c r="B8797" s="1" t="n">
        <v>44638</v>
      </c>
      <c r="C8797" s="1" t="n">
        <v>45932</v>
      </c>
      <c r="D8797" t="inlineStr">
        <is>
          <t>VÄRMLANDS LÄN</t>
        </is>
      </c>
      <c r="E8797" t="inlineStr">
        <is>
          <t>HAGFORS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41746-2025</t>
        </is>
      </c>
      <c r="B8798" s="1" t="n">
        <v>45902.48660879629</v>
      </c>
      <c r="C8798" s="1" t="n">
        <v>45932</v>
      </c>
      <c r="D8798" t="inlineStr">
        <is>
          <t>VÄRMLANDS LÄN</t>
        </is>
      </c>
      <c r="E8798" t="inlineStr">
        <is>
          <t>TORSBY</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22964-2024</t>
        </is>
      </c>
      <c r="B8799" s="1" t="n">
        <v>45449.55700231482</v>
      </c>
      <c r="C8799" s="1" t="n">
        <v>45932</v>
      </c>
      <c r="D8799" t="inlineStr">
        <is>
          <t>VÄRMLANDS LÄN</t>
        </is>
      </c>
      <c r="E8799" t="inlineStr">
        <is>
          <t>SUNNE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52494-2024</t>
        </is>
      </c>
      <c r="B8800" s="1" t="n">
        <v>45609.56731481481</v>
      </c>
      <c r="C8800" s="1" t="n">
        <v>45932</v>
      </c>
      <c r="D8800" t="inlineStr">
        <is>
          <t>VÄRMLANDS LÄN</t>
        </is>
      </c>
      <c r="E8800" t="inlineStr">
        <is>
          <t>HAGFORS</t>
        </is>
      </c>
      <c r="F8800" t="inlineStr">
        <is>
          <t>Bergvik skog väst AB</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42448-2025</t>
        </is>
      </c>
      <c r="B8801" s="1" t="n">
        <v>45905</v>
      </c>
      <c r="C8801" s="1" t="n">
        <v>45932</v>
      </c>
      <c r="D8801" t="inlineStr">
        <is>
          <t>VÄRMLANDS LÄN</t>
        </is>
      </c>
      <c r="E8801" t="inlineStr">
        <is>
          <t>ARVIKA</t>
        </is>
      </c>
      <c r="F8801" t="inlineStr">
        <is>
          <t>Bergvik skog väst AB</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6683-2025</t>
        </is>
      </c>
      <c r="B8802" s="1" t="n">
        <v>45700</v>
      </c>
      <c r="C8802" s="1" t="n">
        <v>45932</v>
      </c>
      <c r="D8802" t="inlineStr">
        <is>
          <t>VÄRMLANDS LÄN</t>
        </is>
      </c>
      <c r="E8802" t="inlineStr">
        <is>
          <t>FILIPSTAD</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31083-2023</t>
        </is>
      </c>
      <c r="B8803" s="1" t="n">
        <v>45113.64513888889</v>
      </c>
      <c r="C8803" s="1" t="n">
        <v>45932</v>
      </c>
      <c r="D8803" t="inlineStr">
        <is>
          <t>VÄRMLANDS LÄN</t>
        </is>
      </c>
      <c r="E8803" t="inlineStr">
        <is>
          <t>ARVIKA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42267-2025</t>
        </is>
      </c>
      <c r="B8804" s="1" t="n">
        <v>45904.60241898148</v>
      </c>
      <c r="C8804" s="1" t="n">
        <v>45932</v>
      </c>
      <c r="D8804" t="inlineStr">
        <is>
          <t>VÄRMLANDS LÄN</t>
        </is>
      </c>
      <c r="E8804" t="inlineStr">
        <is>
          <t>HAGFORS</t>
        </is>
      </c>
      <c r="F8804" t="inlineStr">
        <is>
          <t>Bergvik skog väst AB</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35117-2024</t>
        </is>
      </c>
      <c r="B8805" s="1" t="n">
        <v>45527</v>
      </c>
      <c r="C8805" s="1" t="n">
        <v>45932</v>
      </c>
      <c r="D8805" t="inlineStr">
        <is>
          <t>VÄRMLANDS LÄN</t>
        </is>
      </c>
      <c r="E8805" t="inlineStr">
        <is>
          <t>SÄFFLE</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45480-2024</t>
        </is>
      </c>
      <c r="B8806" s="1" t="n">
        <v>45576</v>
      </c>
      <c r="C8806" s="1" t="n">
        <v>45932</v>
      </c>
      <c r="D8806" t="inlineStr">
        <is>
          <t>VÄRMLANDS LÄN</t>
        </is>
      </c>
      <c r="E8806" t="inlineStr">
        <is>
          <t>SÄFFLE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35950-2025</t>
        </is>
      </c>
      <c r="B8807" s="1" t="n">
        <v>45862</v>
      </c>
      <c r="C8807" s="1" t="n">
        <v>45932</v>
      </c>
      <c r="D8807" t="inlineStr">
        <is>
          <t>VÄRMLANDS LÄN</t>
        </is>
      </c>
      <c r="E8807" t="inlineStr">
        <is>
          <t>KARLSTAD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42294-2025</t>
        </is>
      </c>
      <c r="B8808" s="1" t="n">
        <v>45904.63038194444</v>
      </c>
      <c r="C8808" s="1" t="n">
        <v>45932</v>
      </c>
      <c r="D8808" t="inlineStr">
        <is>
          <t>VÄRMLANDS LÄN</t>
        </is>
      </c>
      <c r="E8808" t="inlineStr">
        <is>
          <t>ARVIKA</t>
        </is>
      </c>
      <c r="F8808" t="inlineStr">
        <is>
          <t>Bergvik skog väst AB</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7494-2022</t>
        </is>
      </c>
      <c r="B8809" s="1" t="n">
        <v>44607.44984953704</v>
      </c>
      <c r="C8809" s="1" t="n">
        <v>45932</v>
      </c>
      <c r="D8809" t="inlineStr">
        <is>
          <t>VÄRMLANDS LÄN</t>
        </is>
      </c>
      <c r="E8809" t="inlineStr">
        <is>
          <t>SUNNE</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42529-2025</t>
        </is>
      </c>
      <c r="B8810" s="1" t="n">
        <v>45905.55716435185</v>
      </c>
      <c r="C8810" s="1" t="n">
        <v>45932</v>
      </c>
      <c r="D8810" t="inlineStr">
        <is>
          <t>VÄRMLANDS LÄN</t>
        </is>
      </c>
      <c r="E8810" t="inlineStr">
        <is>
          <t>TORSBY</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46906-2025</t>
        </is>
      </c>
      <c r="B8811" s="1" t="n">
        <v>45929</v>
      </c>
      <c r="C8811" s="1" t="n">
        <v>45932</v>
      </c>
      <c r="D8811" t="inlineStr">
        <is>
          <t>VÄRMLANDS LÄN</t>
        </is>
      </c>
      <c r="E8811" t="inlineStr">
        <is>
          <t>FILIPSTAD</t>
        </is>
      </c>
      <c r="F8811" t="inlineStr">
        <is>
          <t>Bergvik skog väst AB</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26781-2025</t>
        </is>
      </c>
      <c r="B8812" s="1" t="n">
        <v>45810.58258101852</v>
      </c>
      <c r="C8812" s="1" t="n">
        <v>45932</v>
      </c>
      <c r="D8812" t="inlineStr">
        <is>
          <t>VÄRMLANDS LÄN</t>
        </is>
      </c>
      <c r="E8812" t="inlineStr">
        <is>
          <t>ÅRJÄNG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33905-2025</t>
        </is>
      </c>
      <c r="B8813" s="1" t="n">
        <v>45842</v>
      </c>
      <c r="C8813" s="1" t="n">
        <v>45932</v>
      </c>
      <c r="D8813" t="inlineStr">
        <is>
          <t>VÄRMLANDS LÄN</t>
        </is>
      </c>
      <c r="E8813" t="inlineStr">
        <is>
          <t>HAGFORS</t>
        </is>
      </c>
      <c r="F8813" t="inlineStr">
        <is>
          <t>Bergvik skog väst AB</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48878-2023</t>
        </is>
      </c>
      <c r="B8814" s="1" t="n">
        <v>45204</v>
      </c>
      <c r="C8814" s="1" t="n">
        <v>45932</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48883-2023</t>
        </is>
      </c>
      <c r="B8815" s="1" t="n">
        <v>45203</v>
      </c>
      <c r="C8815" s="1" t="n">
        <v>45932</v>
      </c>
      <c r="D8815" t="inlineStr">
        <is>
          <t>VÄRMLANDS LÄN</t>
        </is>
      </c>
      <c r="E8815" t="inlineStr">
        <is>
          <t>SÄFFLE</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16362-2025</t>
        </is>
      </c>
      <c r="B8816" s="1" t="n">
        <v>45751</v>
      </c>
      <c r="C8816" s="1" t="n">
        <v>45932</v>
      </c>
      <c r="D8816" t="inlineStr">
        <is>
          <t>VÄRMLANDS LÄN</t>
        </is>
      </c>
      <c r="E8816" t="inlineStr">
        <is>
          <t>TORSBY</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42342-2025</t>
        </is>
      </c>
      <c r="B8817" s="1" t="n">
        <v>45877</v>
      </c>
      <c r="C8817" s="1" t="n">
        <v>45932</v>
      </c>
      <c r="D8817" t="inlineStr">
        <is>
          <t>VÄRMLANDS LÄN</t>
        </is>
      </c>
      <c r="E8817" t="inlineStr">
        <is>
          <t>KARLSTAD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42381-2025</t>
        </is>
      </c>
      <c r="B8818" s="1" t="n">
        <v>45905.34576388889</v>
      </c>
      <c r="C8818" s="1" t="n">
        <v>45932</v>
      </c>
      <c r="D8818" t="inlineStr">
        <is>
          <t>VÄRMLANDS LÄN</t>
        </is>
      </c>
      <c r="E8818" t="inlineStr">
        <is>
          <t>HAGFORS</t>
        </is>
      </c>
      <c r="F8818" t="inlineStr">
        <is>
          <t>Bergvik skog väst AB</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42430-2025</t>
        </is>
      </c>
      <c r="B8819" s="1" t="n">
        <v>45905.42362268519</v>
      </c>
      <c r="C8819" s="1" t="n">
        <v>45932</v>
      </c>
      <c r="D8819" t="inlineStr">
        <is>
          <t>VÄRMLANDS LÄN</t>
        </is>
      </c>
      <c r="E8819" t="inlineStr">
        <is>
          <t>HAGFORS</t>
        </is>
      </c>
      <c r="F8819" t="inlineStr">
        <is>
          <t>Bergvik skog väst AB</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16371-2024</t>
        </is>
      </c>
      <c r="B8820" s="1" t="n">
        <v>45407.59866898148</v>
      </c>
      <c r="C8820" s="1" t="n">
        <v>45932</v>
      </c>
      <c r="D8820" t="inlineStr">
        <is>
          <t>VÄRMLANDS LÄN</t>
        </is>
      </c>
      <c r="E8820" t="inlineStr">
        <is>
          <t>FILIPSTAD</t>
        </is>
      </c>
      <c r="F8820" t="inlineStr">
        <is>
          <t>Bergvik skog väst AB</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42308-2025</t>
        </is>
      </c>
      <c r="B8821" s="1" t="n">
        <v>45904.65320601852</v>
      </c>
      <c r="C8821" s="1" t="n">
        <v>45932</v>
      </c>
      <c r="D8821" t="inlineStr">
        <is>
          <t>VÄRMLANDS LÄN</t>
        </is>
      </c>
      <c r="E8821" t="inlineStr">
        <is>
          <t>TORSBY</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42315-2025</t>
        </is>
      </c>
      <c r="B8822" s="1" t="n">
        <v>45904</v>
      </c>
      <c r="C8822" s="1" t="n">
        <v>45932</v>
      </c>
      <c r="D8822" t="inlineStr">
        <is>
          <t>VÄRMLANDS LÄN</t>
        </is>
      </c>
      <c r="E8822" t="inlineStr">
        <is>
          <t>ARVIKA</t>
        </is>
      </c>
      <c r="F8822" t="inlineStr">
        <is>
          <t>Bergvik skog väst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32872-2023</t>
        </is>
      </c>
      <c r="B8823" s="1" t="n">
        <v>45124</v>
      </c>
      <c r="C8823" s="1" t="n">
        <v>45932</v>
      </c>
      <c r="D8823" t="inlineStr">
        <is>
          <t>VÄRMLANDS LÄN</t>
        </is>
      </c>
      <c r="E8823" t="inlineStr">
        <is>
          <t>ARVIKA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42343-2025</t>
        </is>
      </c>
      <c r="B8824" s="1" t="n">
        <v>45877</v>
      </c>
      <c r="C8824" s="1" t="n">
        <v>45932</v>
      </c>
      <c r="D8824" t="inlineStr">
        <is>
          <t>VÄRMLANDS LÄN</t>
        </is>
      </c>
      <c r="E8824" t="inlineStr">
        <is>
          <t>KARLSTAD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42344-2025</t>
        </is>
      </c>
      <c r="B8825" s="1" t="n">
        <v>45877</v>
      </c>
      <c r="C8825" s="1" t="n">
        <v>45932</v>
      </c>
      <c r="D8825" t="inlineStr">
        <is>
          <t>VÄRMLANDS LÄN</t>
        </is>
      </c>
      <c r="E8825" t="inlineStr">
        <is>
          <t>KARLSTAD</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42385-2025</t>
        </is>
      </c>
      <c r="B8826" s="1" t="n">
        <v>45905.34984953704</v>
      </c>
      <c r="C8826" s="1" t="n">
        <v>45932</v>
      </c>
      <c r="D8826" t="inlineStr">
        <is>
          <t>VÄRMLANDS LÄN</t>
        </is>
      </c>
      <c r="E8826" t="inlineStr">
        <is>
          <t>HAGFORS</t>
        </is>
      </c>
      <c r="F8826" t="inlineStr">
        <is>
          <t>Bergvik skog väst AB</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42399-2025</t>
        </is>
      </c>
      <c r="B8827" s="1" t="n">
        <v>45905.36841435185</v>
      </c>
      <c r="C8827" s="1" t="n">
        <v>45932</v>
      </c>
      <c r="D8827" t="inlineStr">
        <is>
          <t>VÄRMLANDS LÄN</t>
        </is>
      </c>
      <c r="E8827" t="inlineStr">
        <is>
          <t>ARVIKA</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42304-2025</t>
        </is>
      </c>
      <c r="B8828" s="1" t="n">
        <v>45904.6447337963</v>
      </c>
      <c r="C8828" s="1" t="n">
        <v>45932</v>
      </c>
      <c r="D8828" t="inlineStr">
        <is>
          <t>VÄRMLANDS LÄN</t>
        </is>
      </c>
      <c r="E8828" t="inlineStr">
        <is>
          <t>TORSBY</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42305-2025</t>
        </is>
      </c>
      <c r="B8829" s="1" t="n">
        <v>45904.64886574074</v>
      </c>
      <c r="C8829" s="1" t="n">
        <v>45932</v>
      </c>
      <c r="D8829" t="inlineStr">
        <is>
          <t>VÄRMLANDS LÄN</t>
        </is>
      </c>
      <c r="E8829" t="inlineStr">
        <is>
          <t>TORSBY</t>
        </is>
      </c>
      <c r="F8829" t="inlineStr">
        <is>
          <t>Bergvik skog väst AB</t>
        </is>
      </c>
      <c r="G8829" t="n">
        <v>8.699999999999999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42316-2025</t>
        </is>
      </c>
      <c r="B8830" s="1" t="n">
        <v>45902</v>
      </c>
      <c r="C8830" s="1" t="n">
        <v>45932</v>
      </c>
      <c r="D8830" t="inlineStr">
        <is>
          <t>VÄRMLANDS LÄN</t>
        </is>
      </c>
      <c r="E8830" t="inlineStr">
        <is>
          <t>SÄFFLE</t>
        </is>
      </c>
      <c r="G8830" t="n">
        <v>11.8</v>
      </c>
      <c r="H8830" t="n">
        <v>0</v>
      </c>
      <c r="I8830" t="n">
        <v>0</v>
      </c>
      <c r="J8830" t="n">
        <v>0</v>
      </c>
      <c r="K8830" t="n">
        <v>0</v>
      </c>
      <c r="L8830" t="n">
        <v>0</v>
      </c>
      <c r="M8830" t="n">
        <v>0</v>
      </c>
      <c r="N8830" t="n">
        <v>0</v>
      </c>
      <c r="O8830" t="n">
        <v>0</v>
      </c>
      <c r="P8830" t="n">
        <v>0</v>
      </c>
      <c r="Q8830" t="n">
        <v>0</v>
      </c>
      <c r="R8830" s="2" t="inlineStr"/>
    </row>
    <row r="8831" ht="15" customHeight="1">
      <c r="A8831" t="inlineStr">
        <is>
          <t>A 19907-2025</t>
        </is>
      </c>
      <c r="B8831" s="1" t="n">
        <v>45771</v>
      </c>
      <c r="C8831" s="1" t="n">
        <v>45932</v>
      </c>
      <c r="D8831" t="inlineStr">
        <is>
          <t>VÄRMLANDS LÄN</t>
        </is>
      </c>
      <c r="E8831" t="inlineStr">
        <is>
          <t>FILIPSTAD</t>
        </is>
      </c>
      <c r="F8831" t="inlineStr">
        <is>
          <t>Bergvik skog väst AB</t>
        </is>
      </c>
      <c r="G8831" t="n">
        <v>21.4</v>
      </c>
      <c r="H8831" t="n">
        <v>0</v>
      </c>
      <c r="I8831" t="n">
        <v>0</v>
      </c>
      <c r="J8831" t="n">
        <v>0</v>
      </c>
      <c r="K8831" t="n">
        <v>0</v>
      </c>
      <c r="L8831" t="n">
        <v>0</v>
      </c>
      <c r="M8831" t="n">
        <v>0</v>
      </c>
      <c r="N8831" t="n">
        <v>0</v>
      </c>
      <c r="O8831" t="n">
        <v>0</v>
      </c>
      <c r="P8831" t="n">
        <v>0</v>
      </c>
      <c r="Q8831" t="n">
        <v>0</v>
      </c>
      <c r="R8831" s="2" t="inlineStr"/>
    </row>
    <row r="8832" ht="15" customHeight="1">
      <c r="A8832" t="inlineStr">
        <is>
          <t>A 19908-2025</t>
        </is>
      </c>
      <c r="B8832" s="1" t="n">
        <v>45771.6046875</v>
      </c>
      <c r="C8832" s="1" t="n">
        <v>45932</v>
      </c>
      <c r="D8832" t="inlineStr">
        <is>
          <t>VÄRMLANDS LÄN</t>
        </is>
      </c>
      <c r="E8832" t="inlineStr">
        <is>
          <t>SUNNE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19974-2025</t>
        </is>
      </c>
      <c r="B8833" s="1" t="n">
        <v>45771</v>
      </c>
      <c r="C8833" s="1" t="n">
        <v>45932</v>
      </c>
      <c r="D8833" t="inlineStr">
        <is>
          <t>VÄRMLANDS LÄN</t>
        </is>
      </c>
      <c r="E8833" t="inlineStr">
        <is>
          <t>KRISTINEHAMN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42563-2025</t>
        </is>
      </c>
      <c r="B8834" s="1" t="n">
        <v>45905.60097222222</v>
      </c>
      <c r="C8834" s="1" t="n">
        <v>45932</v>
      </c>
      <c r="D8834" t="inlineStr">
        <is>
          <t>VÄRMLANDS LÄN</t>
        </is>
      </c>
      <c r="E8834" t="inlineStr">
        <is>
          <t>TORSBY</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42577-2025</t>
        </is>
      </c>
      <c r="B8835" s="1" t="n">
        <v>45905.61800925926</v>
      </c>
      <c r="C8835" s="1" t="n">
        <v>45932</v>
      </c>
      <c r="D8835" t="inlineStr">
        <is>
          <t>VÄRMLANDS LÄN</t>
        </is>
      </c>
      <c r="E8835" t="inlineStr">
        <is>
          <t>KRISTINEHAMN</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42174-2025</t>
        </is>
      </c>
      <c r="B8836" s="1" t="n">
        <v>45904.43988425926</v>
      </c>
      <c r="C8836" s="1" t="n">
        <v>45932</v>
      </c>
      <c r="D8836" t="inlineStr">
        <is>
          <t>VÄRMLANDS LÄN</t>
        </is>
      </c>
      <c r="E8836" t="inlineStr">
        <is>
          <t>KARLSTAD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42181-2025</t>
        </is>
      </c>
      <c r="B8837" s="1" t="n">
        <v>45904.45096064815</v>
      </c>
      <c r="C8837" s="1" t="n">
        <v>45932</v>
      </c>
      <c r="D8837" t="inlineStr">
        <is>
          <t>VÄRMLANDS LÄN</t>
        </is>
      </c>
      <c r="E8837" t="inlineStr">
        <is>
          <t>KRISTINEHAMN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50829-2021</t>
        </is>
      </c>
      <c r="B8838" s="1" t="n">
        <v>44460.50233796296</v>
      </c>
      <c r="C8838" s="1" t="n">
        <v>45932</v>
      </c>
      <c r="D8838" t="inlineStr">
        <is>
          <t>VÄRMLANDS LÄN</t>
        </is>
      </c>
      <c r="E8838" t="inlineStr">
        <is>
          <t>SUNNE</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6770-2021</t>
        </is>
      </c>
      <c r="B8839" s="1" t="n">
        <v>44236</v>
      </c>
      <c r="C8839" s="1" t="n">
        <v>45932</v>
      </c>
      <c r="D8839" t="inlineStr">
        <is>
          <t>VÄRMLANDS LÄN</t>
        </is>
      </c>
      <c r="E8839" t="inlineStr">
        <is>
          <t>FILIPSTAD</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40188-2025</t>
        </is>
      </c>
      <c r="B8840" s="1" t="n">
        <v>45894</v>
      </c>
      <c r="C8840" s="1" t="n">
        <v>45932</v>
      </c>
      <c r="D8840" t="inlineStr">
        <is>
          <t>VÄRMLANDS LÄN</t>
        </is>
      </c>
      <c r="E8840" t="inlineStr">
        <is>
          <t>ARVIKA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12539-2025</t>
        </is>
      </c>
      <c r="B8841" s="1" t="n">
        <v>45730.75067129629</v>
      </c>
      <c r="C8841" s="1" t="n">
        <v>45932</v>
      </c>
      <c r="D8841" t="inlineStr">
        <is>
          <t>VÄRMLANDS LÄN</t>
        </is>
      </c>
      <c r="E8841" t="inlineStr">
        <is>
          <t>ARVIKA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35867-2025</t>
        </is>
      </c>
      <c r="B8842" s="1" t="n">
        <v>45861.84675925926</v>
      </c>
      <c r="C8842" s="1" t="n">
        <v>45932</v>
      </c>
      <c r="D8842" t="inlineStr">
        <is>
          <t>VÄRMLANDS LÄN</t>
        </is>
      </c>
      <c r="E8842" t="inlineStr">
        <is>
          <t>KARLSTAD</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42499-2025</t>
        </is>
      </c>
      <c r="B8843" s="1" t="n">
        <v>45905.5194675926</v>
      </c>
      <c r="C8843" s="1" t="n">
        <v>45932</v>
      </c>
      <c r="D8843" t="inlineStr">
        <is>
          <t>VÄRMLANDS LÄN</t>
        </is>
      </c>
      <c r="E8843" t="inlineStr">
        <is>
          <t>TORSBY</t>
        </is>
      </c>
      <c r="F8843" t="inlineStr">
        <is>
          <t>Bergvik skog väst AB</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42149-2025</t>
        </is>
      </c>
      <c r="B8844" s="1" t="n">
        <v>45904.38109953704</v>
      </c>
      <c r="C8844" s="1" t="n">
        <v>45932</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42177-2025</t>
        </is>
      </c>
      <c r="B8845" s="1" t="n">
        <v>45904.44528935185</v>
      </c>
      <c r="C8845" s="1" t="n">
        <v>45932</v>
      </c>
      <c r="D8845" t="inlineStr">
        <is>
          <t>VÄRMLANDS LÄN</t>
        </is>
      </c>
      <c r="E8845" t="inlineStr">
        <is>
          <t>KRISTINEHAMN</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42178-2025</t>
        </is>
      </c>
      <c r="B8846" s="1" t="n">
        <v>45904.44737268519</v>
      </c>
      <c r="C8846" s="1" t="n">
        <v>45932</v>
      </c>
      <c r="D8846" t="inlineStr">
        <is>
          <t>VÄRMLANDS LÄN</t>
        </is>
      </c>
      <c r="E8846" t="inlineStr">
        <is>
          <t>KRISTINEHAMN</t>
        </is>
      </c>
      <c r="G8846" t="n">
        <v>0.1</v>
      </c>
      <c r="H8846" t="n">
        <v>0</v>
      </c>
      <c r="I8846" t="n">
        <v>0</v>
      </c>
      <c r="J8846" t="n">
        <v>0</v>
      </c>
      <c r="K8846" t="n">
        <v>0</v>
      </c>
      <c r="L8846" t="n">
        <v>0</v>
      </c>
      <c r="M8846" t="n">
        <v>0</v>
      </c>
      <c r="N8846" t="n">
        <v>0</v>
      </c>
      <c r="O8846" t="n">
        <v>0</v>
      </c>
      <c r="P8846" t="n">
        <v>0</v>
      </c>
      <c r="Q8846" t="n">
        <v>0</v>
      </c>
      <c r="R8846" s="2" t="inlineStr"/>
    </row>
    <row r="8847" ht="15" customHeight="1">
      <c r="A8847" t="inlineStr">
        <is>
          <t>A 30104-2023</t>
        </is>
      </c>
      <c r="B8847" s="1" t="n">
        <v>45110</v>
      </c>
      <c r="C8847" s="1" t="n">
        <v>45932</v>
      </c>
      <c r="D8847" t="inlineStr">
        <is>
          <t>VÄRMLANDS LÄN</t>
        </is>
      </c>
      <c r="E8847" t="inlineStr">
        <is>
          <t>TORSBY</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43935-2024</t>
        </is>
      </c>
      <c r="B8848" s="1" t="n">
        <v>45572</v>
      </c>
      <c r="C8848" s="1" t="n">
        <v>45932</v>
      </c>
      <c r="D8848" t="inlineStr">
        <is>
          <t>VÄRMLANDS LÄN</t>
        </is>
      </c>
      <c r="E8848" t="inlineStr">
        <is>
          <t>ARVIKA</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42236-2025</t>
        </is>
      </c>
      <c r="B8849" s="1" t="n">
        <v>45904.56208333333</v>
      </c>
      <c r="C8849" s="1" t="n">
        <v>45932</v>
      </c>
      <c r="D8849" t="inlineStr">
        <is>
          <t>VÄRMLANDS LÄN</t>
        </is>
      </c>
      <c r="E8849" t="inlineStr">
        <is>
          <t>ARVIKA</t>
        </is>
      </c>
      <c r="G8849" t="n">
        <v>14.4</v>
      </c>
      <c r="H8849" t="n">
        <v>0</v>
      </c>
      <c r="I8849" t="n">
        <v>0</v>
      </c>
      <c r="J8849" t="n">
        <v>0</v>
      </c>
      <c r="K8849" t="n">
        <v>0</v>
      </c>
      <c r="L8849" t="n">
        <v>0</v>
      </c>
      <c r="M8849" t="n">
        <v>0</v>
      </c>
      <c r="N8849" t="n">
        <v>0</v>
      </c>
      <c r="O8849" t="n">
        <v>0</v>
      </c>
      <c r="P8849" t="n">
        <v>0</v>
      </c>
      <c r="Q8849" t="n">
        <v>0</v>
      </c>
      <c r="R8849" s="2" t="inlineStr"/>
    </row>
    <row r="8850" ht="15" customHeight="1">
      <c r="A8850" t="inlineStr">
        <is>
          <t>A 5338-2025</t>
        </is>
      </c>
      <c r="B8850" s="1" t="n">
        <v>45692.5511574074</v>
      </c>
      <c r="C8850" s="1" t="n">
        <v>45932</v>
      </c>
      <c r="D8850" t="inlineStr">
        <is>
          <t>VÄRMLANDS LÄN</t>
        </is>
      </c>
      <c r="E8850" t="inlineStr">
        <is>
          <t>HAGFORS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55721-2022</t>
        </is>
      </c>
      <c r="B8851" s="1" t="n">
        <v>44885</v>
      </c>
      <c r="C8851" s="1" t="n">
        <v>45932</v>
      </c>
      <c r="D8851" t="inlineStr">
        <is>
          <t>VÄRMLANDS LÄN</t>
        </is>
      </c>
      <c r="E8851" t="inlineStr">
        <is>
          <t>SÄFFLE</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22063-2021</t>
        </is>
      </c>
      <c r="B8852" s="1" t="n">
        <v>44323</v>
      </c>
      <c r="C8852" s="1" t="n">
        <v>45932</v>
      </c>
      <c r="D8852" t="inlineStr">
        <is>
          <t>VÄRMLANDS LÄN</t>
        </is>
      </c>
      <c r="E8852" t="inlineStr">
        <is>
          <t>STORFORS</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17246-2025</t>
        </is>
      </c>
      <c r="B8853" s="1" t="n">
        <v>45756</v>
      </c>
      <c r="C8853" s="1" t="n">
        <v>45932</v>
      </c>
      <c r="D8853" t="inlineStr">
        <is>
          <t>VÄRMLANDS LÄN</t>
        </is>
      </c>
      <c r="E8853" t="inlineStr">
        <is>
          <t>EDA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42422-2025</t>
        </is>
      </c>
      <c r="B8854" s="1" t="n">
        <v>45905</v>
      </c>
      <c r="C8854" s="1" t="n">
        <v>45932</v>
      </c>
      <c r="D8854" t="inlineStr">
        <is>
          <t>VÄRMLANDS LÄN</t>
        </is>
      </c>
      <c r="E8854" t="inlineStr">
        <is>
          <t>ARVIKA</t>
        </is>
      </c>
      <c r="F8854" t="inlineStr">
        <is>
          <t>Bergvik skog väst AB</t>
        </is>
      </c>
      <c r="G8854" t="n">
        <v>15.4</v>
      </c>
      <c r="H8854" t="n">
        <v>0</v>
      </c>
      <c r="I8854" t="n">
        <v>0</v>
      </c>
      <c r="J8854" t="n">
        <v>0</v>
      </c>
      <c r="K8854" t="n">
        <v>0</v>
      </c>
      <c r="L8854" t="n">
        <v>0</v>
      </c>
      <c r="M8854" t="n">
        <v>0</v>
      </c>
      <c r="N8854" t="n">
        <v>0</v>
      </c>
      <c r="O8854" t="n">
        <v>0</v>
      </c>
      <c r="P8854" t="n">
        <v>0</v>
      </c>
      <c r="Q8854" t="n">
        <v>0</v>
      </c>
      <c r="R8854" s="2" t="inlineStr"/>
    </row>
    <row r="8855" ht="15" customHeight="1">
      <c r="A8855" t="inlineStr">
        <is>
          <t>A 58125-2022</t>
        </is>
      </c>
      <c r="B8855" s="1" t="n">
        <v>44900.67206018518</v>
      </c>
      <c r="C8855" s="1" t="n">
        <v>45932</v>
      </c>
      <c r="D8855" t="inlineStr">
        <is>
          <t>VÄRMLANDS LÄN</t>
        </is>
      </c>
      <c r="E8855" t="inlineStr">
        <is>
          <t>STORFORS</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8758-2023</t>
        </is>
      </c>
      <c r="B8856" s="1" t="n">
        <v>44978.49046296296</v>
      </c>
      <c r="C8856" s="1" t="n">
        <v>45932</v>
      </c>
      <c r="D8856" t="inlineStr">
        <is>
          <t>VÄRMLANDS LÄN</t>
        </is>
      </c>
      <c r="E8856" t="inlineStr">
        <is>
          <t>KRISTINEHAMN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42431-2025</t>
        </is>
      </c>
      <c r="B8857" s="1" t="n">
        <v>45905.42591435185</v>
      </c>
      <c r="C8857" s="1" t="n">
        <v>45932</v>
      </c>
      <c r="D8857" t="inlineStr">
        <is>
          <t>VÄRMLANDS LÄN</t>
        </is>
      </c>
      <c r="E8857" t="inlineStr">
        <is>
          <t>SUNNE</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46578-2025</t>
        </is>
      </c>
      <c r="B8858" s="1" t="n">
        <v>45926.37353009259</v>
      </c>
      <c r="C8858" s="1" t="n">
        <v>45932</v>
      </c>
      <c r="D8858" t="inlineStr">
        <is>
          <t>VÄRMLANDS LÄN</t>
        </is>
      </c>
      <c r="E8858" t="inlineStr">
        <is>
          <t>TORSBY</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42453-2025</t>
        </is>
      </c>
      <c r="B8859" s="1" t="n">
        <v>45905.44949074074</v>
      </c>
      <c r="C8859" s="1" t="n">
        <v>45932</v>
      </c>
      <c r="D8859" t="inlineStr">
        <is>
          <t>VÄRMLANDS LÄN</t>
        </is>
      </c>
      <c r="E8859" t="inlineStr">
        <is>
          <t>HAGFORS</t>
        </is>
      </c>
      <c r="F8859" t="inlineStr">
        <is>
          <t>Bergvik skog väst AB</t>
        </is>
      </c>
      <c r="G8859" t="n">
        <v>19.2</v>
      </c>
      <c r="H8859" t="n">
        <v>0</v>
      </c>
      <c r="I8859" t="n">
        <v>0</v>
      </c>
      <c r="J8859" t="n">
        <v>0</v>
      </c>
      <c r="K8859" t="n">
        <v>0</v>
      </c>
      <c r="L8859" t="n">
        <v>0</v>
      </c>
      <c r="M8859" t="n">
        <v>0</v>
      </c>
      <c r="N8859" t="n">
        <v>0</v>
      </c>
      <c r="O8859" t="n">
        <v>0</v>
      </c>
      <c r="P8859" t="n">
        <v>0</v>
      </c>
      <c r="Q8859" t="n">
        <v>0</v>
      </c>
      <c r="R8859" s="2" t="inlineStr"/>
    </row>
    <row r="8860" ht="15" customHeight="1">
      <c r="A8860" t="inlineStr">
        <is>
          <t>A 42333-2025</t>
        </is>
      </c>
      <c r="B8860" s="1" t="n">
        <v>45904</v>
      </c>
      <c r="C8860" s="1" t="n">
        <v>45932</v>
      </c>
      <c r="D8860" t="inlineStr">
        <is>
          <t>VÄRMLANDS LÄN</t>
        </is>
      </c>
      <c r="E8860" t="inlineStr">
        <is>
          <t>ÅRJÄNG</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42311-2025</t>
        </is>
      </c>
      <c r="B8861" s="1" t="n">
        <v>45902</v>
      </c>
      <c r="C8861" s="1" t="n">
        <v>45932</v>
      </c>
      <c r="D8861" t="inlineStr">
        <is>
          <t>VÄRMLANDS LÄN</t>
        </is>
      </c>
      <c r="E8861" t="inlineStr">
        <is>
          <t>SÄFFLE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48805-2022</t>
        </is>
      </c>
      <c r="B8862" s="1" t="n">
        <v>44854</v>
      </c>
      <c r="C8862" s="1" t="n">
        <v>45932</v>
      </c>
      <c r="D8862" t="inlineStr">
        <is>
          <t>VÄRMLANDS LÄN</t>
        </is>
      </c>
      <c r="E8862" t="inlineStr">
        <is>
          <t>ÅRJÄNG</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51778-2022</t>
        </is>
      </c>
      <c r="B8863" s="1" t="n">
        <v>44872.53398148148</v>
      </c>
      <c r="C8863" s="1" t="n">
        <v>45932</v>
      </c>
      <c r="D8863" t="inlineStr">
        <is>
          <t>VÄRMLANDS LÄN</t>
        </is>
      </c>
      <c r="E8863" t="inlineStr">
        <is>
          <t>EDA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6474-2021</t>
        </is>
      </c>
      <c r="B8864" s="1" t="n">
        <v>44235</v>
      </c>
      <c r="C8864" s="1" t="n">
        <v>45932</v>
      </c>
      <c r="D8864" t="inlineStr">
        <is>
          <t>VÄRMLANDS LÄN</t>
        </is>
      </c>
      <c r="E8864" t="inlineStr">
        <is>
          <t>ARVIKA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1839-2022</t>
        </is>
      </c>
      <c r="B8865" s="1" t="n">
        <v>44574</v>
      </c>
      <c r="C8865" s="1" t="n">
        <v>45932</v>
      </c>
      <c r="D8865" t="inlineStr">
        <is>
          <t>VÄRMLANDS LÄN</t>
        </is>
      </c>
      <c r="E8865" t="inlineStr">
        <is>
          <t>TORSBY</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42496-2025</t>
        </is>
      </c>
      <c r="B8866" s="1" t="n">
        <v>45905.50864583333</v>
      </c>
      <c r="C8866" s="1" t="n">
        <v>45932</v>
      </c>
      <c r="D8866" t="inlineStr">
        <is>
          <t>VÄRMLANDS LÄN</t>
        </is>
      </c>
      <c r="E8866" t="inlineStr">
        <is>
          <t>TORSBY</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20321-2023</t>
        </is>
      </c>
      <c r="B8867" s="1" t="n">
        <v>45056.45232638889</v>
      </c>
      <c r="C8867" s="1" t="n">
        <v>45932</v>
      </c>
      <c r="D8867" t="inlineStr">
        <is>
          <t>VÄRMLANDS LÄN</t>
        </is>
      </c>
      <c r="E8867" t="inlineStr">
        <is>
          <t>TORSBY</t>
        </is>
      </c>
      <c r="F8867" t="inlineStr">
        <is>
          <t>Kyrkan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20354-2023</t>
        </is>
      </c>
      <c r="B8868" s="1" t="n">
        <v>45056</v>
      </c>
      <c r="C8868" s="1" t="n">
        <v>45932</v>
      </c>
      <c r="D8868" t="inlineStr">
        <is>
          <t>VÄRMLANDS LÄN</t>
        </is>
      </c>
      <c r="E8868" t="inlineStr">
        <is>
          <t>ÅRJÄNG</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27443-2024</t>
        </is>
      </c>
      <c r="B8869" s="1" t="n">
        <v>45474</v>
      </c>
      <c r="C8869" s="1" t="n">
        <v>45932</v>
      </c>
      <c r="D8869" t="inlineStr">
        <is>
          <t>VÄRMLANDS LÄN</t>
        </is>
      </c>
      <c r="E8869" t="inlineStr">
        <is>
          <t>GRUMS</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43302-2022</t>
        </is>
      </c>
      <c r="B8870" s="1" t="n">
        <v>44834.54349537037</v>
      </c>
      <c r="C8870" s="1" t="n">
        <v>45932</v>
      </c>
      <c r="D8870" t="inlineStr">
        <is>
          <t>VÄRMLANDS LÄN</t>
        </is>
      </c>
      <c r="E8870" t="inlineStr">
        <is>
          <t>SUNNE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62456-2020</t>
        </is>
      </c>
      <c r="B8871" s="1" t="n">
        <v>44160</v>
      </c>
      <c r="C8871" s="1" t="n">
        <v>45932</v>
      </c>
      <c r="D8871" t="inlineStr">
        <is>
          <t>VÄRMLANDS LÄN</t>
        </is>
      </c>
      <c r="E8871" t="inlineStr">
        <is>
          <t>HAMMARÖ</t>
        </is>
      </c>
      <c r="F8871" t="inlineStr">
        <is>
          <t>Kommuner</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12316-2025</t>
        </is>
      </c>
      <c r="B8872" s="1" t="n">
        <v>45729.83532407408</v>
      </c>
      <c r="C8872" s="1" t="n">
        <v>45932</v>
      </c>
      <c r="D8872" t="inlineStr">
        <is>
          <t>VÄRMLANDS LÄN</t>
        </is>
      </c>
      <c r="E8872" t="inlineStr">
        <is>
          <t>KARLSTAD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13982-2024</t>
        </is>
      </c>
      <c r="B8873" s="1" t="n">
        <v>45392.40756944445</v>
      </c>
      <c r="C8873" s="1" t="n">
        <v>45932</v>
      </c>
      <c r="D8873" t="inlineStr">
        <is>
          <t>VÄRMLANDS LÄN</t>
        </is>
      </c>
      <c r="E8873" t="inlineStr">
        <is>
          <t>ARVIKA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47112-2025</t>
        </is>
      </c>
      <c r="B8874" s="1" t="n">
        <v>45929.66966435185</v>
      </c>
      <c r="C8874" s="1" t="n">
        <v>45932</v>
      </c>
      <c r="D8874" t="inlineStr">
        <is>
          <t>VÄRMLANDS LÄN</t>
        </is>
      </c>
      <c r="E8874" t="inlineStr">
        <is>
          <t>ÅRJÄNG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47162-2025</t>
        </is>
      </c>
      <c r="B8875" s="1" t="n">
        <v>45929.74762731481</v>
      </c>
      <c r="C8875" s="1" t="n">
        <v>45932</v>
      </c>
      <c r="D8875" t="inlineStr">
        <is>
          <t>VÄRMLANDS LÄN</t>
        </is>
      </c>
      <c r="E8875" t="inlineStr">
        <is>
          <t>SÄFFLE</t>
        </is>
      </c>
      <c r="G8875" t="n">
        <v>8.9</v>
      </c>
      <c r="H8875" t="n">
        <v>0</v>
      </c>
      <c r="I8875" t="n">
        <v>0</v>
      </c>
      <c r="J8875" t="n">
        <v>0</v>
      </c>
      <c r="K8875" t="n">
        <v>0</v>
      </c>
      <c r="L8875" t="n">
        <v>0</v>
      </c>
      <c r="M8875" t="n">
        <v>0</v>
      </c>
      <c r="N8875" t="n">
        <v>0</v>
      </c>
      <c r="O8875" t="n">
        <v>0</v>
      </c>
      <c r="P8875" t="n">
        <v>0</v>
      </c>
      <c r="Q8875" t="n">
        <v>0</v>
      </c>
      <c r="R8875" s="2" t="inlineStr"/>
    </row>
    <row r="8876" ht="15" customHeight="1">
      <c r="A8876" t="inlineStr">
        <is>
          <t>A 46014-2025</t>
        </is>
      </c>
      <c r="B8876" s="1" t="n">
        <v>45924</v>
      </c>
      <c r="C8876" s="1" t="n">
        <v>45932</v>
      </c>
      <c r="D8876" t="inlineStr">
        <is>
          <t>VÄRMLANDS LÄN</t>
        </is>
      </c>
      <c r="E8876" t="inlineStr">
        <is>
          <t>ARVIKA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61005-2023</t>
        </is>
      </c>
      <c r="B8877" s="1" t="n">
        <v>45261.52292824074</v>
      </c>
      <c r="C8877" s="1" t="n">
        <v>45932</v>
      </c>
      <c r="D8877" t="inlineStr">
        <is>
          <t>VÄRMLANDS LÄN</t>
        </is>
      </c>
      <c r="E8877" t="inlineStr">
        <is>
          <t>KARLSTAD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21465-2022</t>
        </is>
      </c>
      <c r="B8878" s="1" t="n">
        <v>44706.38893518518</v>
      </c>
      <c r="C8878" s="1" t="n">
        <v>45932</v>
      </c>
      <c r="D8878" t="inlineStr">
        <is>
          <t>VÄRMLANDS LÄN</t>
        </is>
      </c>
      <c r="E8878" t="inlineStr">
        <is>
          <t>TORSBY</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46015-2025</t>
        </is>
      </c>
      <c r="B8879" s="1" t="n">
        <v>45924</v>
      </c>
      <c r="C8879" s="1" t="n">
        <v>45932</v>
      </c>
      <c r="D8879" t="inlineStr">
        <is>
          <t>VÄRMLANDS LÄN</t>
        </is>
      </c>
      <c r="E8879" t="inlineStr">
        <is>
          <t>FORSHAGA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46102-2025</t>
        </is>
      </c>
      <c r="B8880" s="1" t="n">
        <v>45924</v>
      </c>
      <c r="C8880" s="1" t="n">
        <v>45932</v>
      </c>
      <c r="D8880" t="inlineStr">
        <is>
          <t>VÄRMLANDS LÄN</t>
        </is>
      </c>
      <c r="E8880" t="inlineStr">
        <is>
          <t>TORSBY</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42480-2025</t>
        </is>
      </c>
      <c r="B8881" s="1" t="n">
        <v>45905.47957175926</v>
      </c>
      <c r="C8881" s="1" t="n">
        <v>45932</v>
      </c>
      <c r="D8881" t="inlineStr">
        <is>
          <t>VÄRMLANDS LÄN</t>
        </is>
      </c>
      <c r="E8881" t="inlineStr">
        <is>
          <t>HAGFORS</t>
        </is>
      </c>
      <c r="F8881" t="inlineStr">
        <is>
          <t>Bergvik skog väst AB</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42481-2025</t>
        </is>
      </c>
      <c r="B8882" s="1" t="n">
        <v>45904</v>
      </c>
      <c r="C8882" s="1" t="n">
        <v>45932</v>
      </c>
      <c r="D8882" t="inlineStr">
        <is>
          <t>VÄRMLANDS LÄN</t>
        </is>
      </c>
      <c r="E8882" t="inlineStr">
        <is>
          <t>TORSBY</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25400-2023</t>
        </is>
      </c>
      <c r="B8883" s="1" t="n">
        <v>45089.36403935185</v>
      </c>
      <c r="C8883" s="1" t="n">
        <v>45932</v>
      </c>
      <c r="D8883" t="inlineStr">
        <is>
          <t>VÄRMLANDS LÄN</t>
        </is>
      </c>
      <c r="E8883" t="inlineStr">
        <is>
          <t>ARVIKA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25405-2023</t>
        </is>
      </c>
      <c r="B8884" s="1" t="n">
        <v>45089</v>
      </c>
      <c r="C8884" s="1" t="n">
        <v>45932</v>
      </c>
      <c r="D8884" t="inlineStr">
        <is>
          <t>VÄRMLANDS LÄN</t>
        </is>
      </c>
      <c r="E8884" t="inlineStr">
        <is>
          <t>ARVIKA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42531-2025</t>
        </is>
      </c>
      <c r="B8885" s="1" t="n">
        <v>45905</v>
      </c>
      <c r="C8885" s="1" t="n">
        <v>45932</v>
      </c>
      <c r="D8885" t="inlineStr">
        <is>
          <t>VÄRMLANDS LÄN</t>
        </is>
      </c>
      <c r="E8885" t="inlineStr">
        <is>
          <t>ARVIKA</t>
        </is>
      </c>
      <c r="F8885" t="inlineStr">
        <is>
          <t>Bergvik skog väst AB</t>
        </is>
      </c>
      <c r="G8885" t="n">
        <v>8.699999999999999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10562-2024</t>
        </is>
      </c>
      <c r="B8886" s="1" t="n">
        <v>45366.59958333334</v>
      </c>
      <c r="C8886" s="1" t="n">
        <v>45932</v>
      </c>
      <c r="D8886" t="inlineStr">
        <is>
          <t>VÄRMLANDS LÄN</t>
        </is>
      </c>
      <c r="E8886" t="inlineStr">
        <is>
          <t>HAGFORS</t>
        </is>
      </c>
      <c r="F8886" t="inlineStr">
        <is>
          <t>Bergvik skog väst AB</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5612-2024</t>
        </is>
      </c>
      <c r="B8887" s="1" t="n">
        <v>45334</v>
      </c>
      <c r="C8887" s="1" t="n">
        <v>45932</v>
      </c>
      <c r="D8887" t="inlineStr">
        <is>
          <t>VÄRMLANDS LÄN</t>
        </is>
      </c>
      <c r="E8887" t="inlineStr">
        <is>
          <t>HAGFORS</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1736-2025</t>
        </is>
      </c>
      <c r="B8888" s="1" t="n">
        <v>45671.38667824074</v>
      </c>
      <c r="C8888" s="1" t="n">
        <v>45932</v>
      </c>
      <c r="D8888" t="inlineStr">
        <is>
          <t>VÄRMLANDS LÄN</t>
        </is>
      </c>
      <c r="E8888" t="inlineStr">
        <is>
          <t>SUNNE</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1737-2025</t>
        </is>
      </c>
      <c r="B8889" s="1" t="n">
        <v>45671.39046296296</v>
      </c>
      <c r="C8889" s="1" t="n">
        <v>45932</v>
      </c>
      <c r="D8889" t="inlineStr">
        <is>
          <t>VÄRMLANDS LÄN</t>
        </is>
      </c>
      <c r="E8889" t="inlineStr">
        <is>
          <t>SUNNE</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10635-2024</t>
        </is>
      </c>
      <c r="B8890" s="1" t="n">
        <v>45367.44355324074</v>
      </c>
      <c r="C8890" s="1" t="n">
        <v>45932</v>
      </c>
      <c r="D8890" t="inlineStr">
        <is>
          <t>VÄRMLANDS LÄN</t>
        </is>
      </c>
      <c r="E8890" t="inlineStr">
        <is>
          <t>KIL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26833-2024</t>
        </is>
      </c>
      <c r="B8891" s="1" t="n">
        <v>45470</v>
      </c>
      <c r="C8891" s="1" t="n">
        <v>45932</v>
      </c>
      <c r="D8891" t="inlineStr">
        <is>
          <t>VÄRMLANDS LÄN</t>
        </is>
      </c>
      <c r="E8891" t="inlineStr">
        <is>
          <t>ÅRJÄNG</t>
        </is>
      </c>
      <c r="F8891" t="inlineStr">
        <is>
          <t>Kyrkan</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42273-2025</t>
        </is>
      </c>
      <c r="B8892" s="1" t="n">
        <v>45904.60708333334</v>
      </c>
      <c r="C8892" s="1" t="n">
        <v>45932</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38855-2025</t>
        </is>
      </c>
      <c r="B8893" s="1" t="n">
        <v>45887.55829861111</v>
      </c>
      <c r="C8893" s="1" t="n">
        <v>45932</v>
      </c>
      <c r="D8893" t="inlineStr">
        <is>
          <t>VÄRMLANDS LÄN</t>
        </is>
      </c>
      <c r="E8893" t="inlineStr">
        <is>
          <t>SUNNE</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35892-2025</t>
        </is>
      </c>
      <c r="B8894" s="1" t="n">
        <v>45862</v>
      </c>
      <c r="C8894" s="1" t="n">
        <v>45932</v>
      </c>
      <c r="D8894" t="inlineStr">
        <is>
          <t>VÄRMLANDS LÄN</t>
        </is>
      </c>
      <c r="E8894" t="inlineStr">
        <is>
          <t>ARVIKA</t>
        </is>
      </c>
      <c r="F8894" t="inlineStr">
        <is>
          <t>Bergvik skog väst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14273-2021</t>
        </is>
      </c>
      <c r="B8895" s="1" t="n">
        <v>44278</v>
      </c>
      <c r="C8895" s="1" t="n">
        <v>45932</v>
      </c>
      <c r="D8895" t="inlineStr">
        <is>
          <t>VÄRMLANDS LÄN</t>
        </is>
      </c>
      <c r="E8895" t="inlineStr">
        <is>
          <t>ARVIKA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21078-2023</t>
        </is>
      </c>
      <c r="B8896" s="1" t="n">
        <v>45061</v>
      </c>
      <c r="C8896" s="1" t="n">
        <v>45932</v>
      </c>
      <c r="D8896" t="inlineStr">
        <is>
          <t>VÄRMLANDS LÄN</t>
        </is>
      </c>
      <c r="E8896" t="inlineStr">
        <is>
          <t>TORSBY</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35980-2025</t>
        </is>
      </c>
      <c r="B8897" s="1" t="n">
        <v>45863</v>
      </c>
      <c r="C8897" s="1" t="n">
        <v>45932</v>
      </c>
      <c r="D8897" t="inlineStr">
        <is>
          <t>VÄRMLANDS LÄN</t>
        </is>
      </c>
      <c r="E8897" t="inlineStr">
        <is>
          <t>TORSBY</t>
        </is>
      </c>
      <c r="F8897" t="inlineStr">
        <is>
          <t>Bergvik skog väst AB</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52062-2024</t>
        </is>
      </c>
      <c r="B8898" s="1" t="n">
        <v>45608</v>
      </c>
      <c r="C8898" s="1" t="n">
        <v>45932</v>
      </c>
      <c r="D8898" t="inlineStr">
        <is>
          <t>VÄRMLANDS LÄN</t>
        </is>
      </c>
      <c r="E8898" t="inlineStr">
        <is>
          <t>TORSBY</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67203-2021</t>
        </is>
      </c>
      <c r="B8899" s="1" t="n">
        <v>44523.46517361111</v>
      </c>
      <c r="C8899" s="1" t="n">
        <v>45932</v>
      </c>
      <c r="D8899" t="inlineStr">
        <is>
          <t>VÄRMLANDS LÄN</t>
        </is>
      </c>
      <c r="E8899" t="inlineStr">
        <is>
          <t>SÄFFLE</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42572-2025</t>
        </is>
      </c>
      <c r="B8900" s="1" t="n">
        <v>45905</v>
      </c>
      <c r="C8900" s="1" t="n">
        <v>45932</v>
      </c>
      <c r="D8900" t="inlineStr">
        <is>
          <t>VÄRMLANDS LÄN</t>
        </is>
      </c>
      <c r="E8900" t="inlineStr">
        <is>
          <t>FORSHAGA</t>
        </is>
      </c>
      <c r="G8900" t="n">
        <v>12.5</v>
      </c>
      <c r="H8900" t="n">
        <v>0</v>
      </c>
      <c r="I8900" t="n">
        <v>0</v>
      </c>
      <c r="J8900" t="n">
        <v>0</v>
      </c>
      <c r="K8900" t="n">
        <v>0</v>
      </c>
      <c r="L8900" t="n">
        <v>0</v>
      </c>
      <c r="M8900" t="n">
        <v>0</v>
      </c>
      <c r="N8900" t="n">
        <v>0</v>
      </c>
      <c r="O8900" t="n">
        <v>0</v>
      </c>
      <c r="P8900" t="n">
        <v>0</v>
      </c>
      <c r="Q8900" t="n">
        <v>0</v>
      </c>
      <c r="R8900" s="2" t="inlineStr"/>
    </row>
    <row r="8901" ht="15" customHeight="1">
      <c r="A8901" t="inlineStr">
        <is>
          <t>A 1630-2025</t>
        </is>
      </c>
      <c r="B8901" s="1" t="n">
        <v>45670.62909722222</v>
      </c>
      <c r="C8901" s="1" t="n">
        <v>45932</v>
      </c>
      <c r="D8901" t="inlineStr">
        <is>
          <t>VÄRMLANDS LÄN</t>
        </is>
      </c>
      <c r="E8901" t="inlineStr">
        <is>
          <t>ARVIKA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35965-2025</t>
        </is>
      </c>
      <c r="B8902" s="1" t="n">
        <v>45863.39790509259</v>
      </c>
      <c r="C8902" s="1" t="n">
        <v>45932</v>
      </c>
      <c r="D8902" t="inlineStr">
        <is>
          <t>VÄRMLANDS LÄN</t>
        </is>
      </c>
      <c r="E8902" t="inlineStr">
        <is>
          <t>TORSBY</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35987-2025</t>
        </is>
      </c>
      <c r="B8903" s="1" t="n">
        <v>45863.46144675926</v>
      </c>
      <c r="C8903" s="1" t="n">
        <v>45932</v>
      </c>
      <c r="D8903" t="inlineStr">
        <is>
          <t>VÄRMLANDS LÄN</t>
        </is>
      </c>
      <c r="E8903" t="inlineStr">
        <is>
          <t>TORSBY</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36718-2024</t>
        </is>
      </c>
      <c r="B8904" s="1" t="n">
        <v>45537</v>
      </c>
      <c r="C8904" s="1" t="n">
        <v>45932</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5482-2022</t>
        </is>
      </c>
      <c r="B8905" s="1" t="n">
        <v>44595.48184027777</v>
      </c>
      <c r="C8905" s="1" t="n">
        <v>45932</v>
      </c>
      <c r="D8905" t="inlineStr">
        <is>
          <t>VÄRMLANDS LÄN</t>
        </is>
      </c>
      <c r="E8905" t="inlineStr">
        <is>
          <t>HAGFORS</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46748-2025</t>
        </is>
      </c>
      <c r="B8906" s="1" t="n">
        <v>45926</v>
      </c>
      <c r="C8906" s="1" t="n">
        <v>45932</v>
      </c>
      <c r="D8906" t="inlineStr">
        <is>
          <t>VÄRMLANDS LÄN</t>
        </is>
      </c>
      <c r="E8906" t="inlineStr">
        <is>
          <t>ARVIKA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40349-2024</t>
        </is>
      </c>
      <c r="B8907" s="1" t="n">
        <v>45555.35849537037</v>
      </c>
      <c r="C8907" s="1" t="n">
        <v>45932</v>
      </c>
      <c r="D8907" t="inlineStr">
        <is>
          <t>VÄRMLANDS LÄN</t>
        </is>
      </c>
      <c r="E8907" t="inlineStr">
        <is>
          <t>ÅRJÄNG</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40436-2024</t>
        </is>
      </c>
      <c r="B8908" s="1" t="n">
        <v>45555</v>
      </c>
      <c r="C8908" s="1" t="n">
        <v>45932</v>
      </c>
      <c r="D8908" t="inlineStr">
        <is>
          <t>VÄRMLANDS LÄN</t>
        </is>
      </c>
      <c r="E8908" t="inlineStr">
        <is>
          <t>ARVIKA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40441-2024</t>
        </is>
      </c>
      <c r="B8909" s="1" t="n">
        <v>45555</v>
      </c>
      <c r="C8909" s="1" t="n">
        <v>45932</v>
      </c>
      <c r="D8909" t="inlineStr">
        <is>
          <t>VÄRMLANDS LÄN</t>
        </is>
      </c>
      <c r="E8909" t="inlineStr">
        <is>
          <t>ARVIKA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46526-2022</t>
        </is>
      </c>
      <c r="B8910" s="1" t="n">
        <v>44847</v>
      </c>
      <c r="C8910" s="1" t="n">
        <v>45932</v>
      </c>
      <c r="D8910" t="inlineStr">
        <is>
          <t>VÄRMLANDS LÄN</t>
        </is>
      </c>
      <c r="E8910" t="inlineStr">
        <is>
          <t>KRISTINEHAMN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46530-2022</t>
        </is>
      </c>
      <c r="B8911" s="1" t="n">
        <v>44848</v>
      </c>
      <c r="C8911" s="1" t="n">
        <v>45932</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15743-2025</t>
        </is>
      </c>
      <c r="B8912" s="1" t="n">
        <v>45748.54895833333</v>
      </c>
      <c r="C8912" s="1" t="n">
        <v>45932</v>
      </c>
      <c r="D8912" t="inlineStr">
        <is>
          <t>VÄRMLANDS LÄN</t>
        </is>
      </c>
      <c r="E8912" t="inlineStr">
        <is>
          <t>SUNNE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42296-2025</t>
        </is>
      </c>
      <c r="B8913" s="1" t="n">
        <v>45904.63361111111</v>
      </c>
      <c r="C8913" s="1" t="n">
        <v>45932</v>
      </c>
      <c r="D8913" t="inlineStr">
        <is>
          <t>VÄRMLANDS LÄN</t>
        </is>
      </c>
      <c r="E8913" t="inlineStr">
        <is>
          <t>TORSBY</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7746-2022</t>
        </is>
      </c>
      <c r="B8914" s="1" t="n">
        <v>44608.39331018519</v>
      </c>
      <c r="C8914" s="1" t="n">
        <v>45932</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42206-2025</t>
        </is>
      </c>
      <c r="B8915" s="1" t="n">
        <v>45904.49318287037</v>
      </c>
      <c r="C8915" s="1" t="n">
        <v>45932</v>
      </c>
      <c r="D8915" t="inlineStr">
        <is>
          <t>VÄRMLANDS LÄN</t>
        </is>
      </c>
      <c r="E8915" t="inlineStr">
        <is>
          <t>SÄFFLE</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42208-2025</t>
        </is>
      </c>
      <c r="B8916" s="1" t="n">
        <v>45904.49505787037</v>
      </c>
      <c r="C8916" s="1" t="n">
        <v>45932</v>
      </c>
      <c r="D8916" t="inlineStr">
        <is>
          <t>VÄRMLANDS LÄN</t>
        </is>
      </c>
      <c r="E8916" t="inlineStr">
        <is>
          <t>SÄFFLE</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40692-2022</t>
        </is>
      </c>
      <c r="B8917" s="1" t="n">
        <v>44824</v>
      </c>
      <c r="C8917" s="1" t="n">
        <v>45932</v>
      </c>
      <c r="D8917" t="inlineStr">
        <is>
          <t>VÄRMLANDS LÄN</t>
        </is>
      </c>
      <c r="E8917" t="inlineStr">
        <is>
          <t>HAGFORS</t>
        </is>
      </c>
      <c r="F8917" t="inlineStr">
        <is>
          <t>Bergvik skog väst AB</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42246-2025</t>
        </is>
      </c>
      <c r="B8918" s="1" t="n">
        <v>45904.57653935185</v>
      </c>
      <c r="C8918" s="1" t="n">
        <v>45932</v>
      </c>
      <c r="D8918" t="inlineStr">
        <is>
          <t>VÄRMLANDS LÄN</t>
        </is>
      </c>
      <c r="E8918" t="inlineStr">
        <is>
          <t>HAGFORS</t>
        </is>
      </c>
      <c r="F8918" t="inlineStr">
        <is>
          <t>Bergvik skog väst AB</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15019-2025</t>
        </is>
      </c>
      <c r="B8919" s="1" t="n">
        <v>45743.63811342593</v>
      </c>
      <c r="C8919" s="1" t="n">
        <v>45932</v>
      </c>
      <c r="D8919" t="inlineStr">
        <is>
          <t>VÄRMLANDS LÄN</t>
        </is>
      </c>
      <c r="E8919" t="inlineStr">
        <is>
          <t>TORSBY</t>
        </is>
      </c>
      <c r="F8919" t="inlineStr">
        <is>
          <t>Övriga statliga verk och myndigheter</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46695-2025</t>
        </is>
      </c>
      <c r="B8920" s="1" t="n">
        <v>45926.559375</v>
      </c>
      <c r="C8920" s="1" t="n">
        <v>45932</v>
      </c>
      <c r="D8920" t="inlineStr">
        <is>
          <t>VÄRMLANDS LÄN</t>
        </is>
      </c>
      <c r="E8920" t="inlineStr">
        <is>
          <t>TORSBY</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49245-2023</t>
        </is>
      </c>
      <c r="B8921" s="1" t="n">
        <v>45210.65605324074</v>
      </c>
      <c r="C8921" s="1" t="n">
        <v>45932</v>
      </c>
      <c r="D8921" t="inlineStr">
        <is>
          <t>VÄRMLANDS LÄN</t>
        </is>
      </c>
      <c r="E8921" t="inlineStr">
        <is>
          <t>ARVIKA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62225-2021</t>
        </is>
      </c>
      <c r="B8922" s="1" t="n">
        <v>44503</v>
      </c>
      <c r="C8922" s="1" t="n">
        <v>45932</v>
      </c>
      <c r="D8922" t="inlineStr">
        <is>
          <t>VÄRMLANDS LÄN</t>
        </is>
      </c>
      <c r="E8922" t="inlineStr">
        <is>
          <t>KARLSTAD</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42532-2025</t>
        </is>
      </c>
      <c r="B8923" s="1" t="n">
        <v>45905.56454861111</v>
      </c>
      <c r="C8923" s="1" t="n">
        <v>45932</v>
      </c>
      <c r="D8923" t="inlineStr">
        <is>
          <t>VÄRMLANDS LÄN</t>
        </is>
      </c>
      <c r="E8923" t="inlineStr">
        <is>
          <t>HAGFORS</t>
        </is>
      </c>
      <c r="F8923" t="inlineStr">
        <is>
          <t>Bergvik skog väst AB</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10742-2022</t>
        </is>
      </c>
      <c r="B8924" s="1" t="n">
        <v>44627.36464120371</v>
      </c>
      <c r="C8924" s="1" t="n">
        <v>45932</v>
      </c>
      <c r="D8924" t="inlineStr">
        <is>
          <t>VÄRMLANDS LÄN</t>
        </is>
      </c>
      <c r="E8924" t="inlineStr">
        <is>
          <t>ARVIKA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25097-2025</t>
        </is>
      </c>
      <c r="B8925" s="1" t="n">
        <v>45798</v>
      </c>
      <c r="C8925" s="1" t="n">
        <v>45932</v>
      </c>
      <c r="D8925" t="inlineStr">
        <is>
          <t>VÄRMLANDS LÄN</t>
        </is>
      </c>
      <c r="E8925" t="inlineStr">
        <is>
          <t>KARLSTAD</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744-2024</t>
        </is>
      </c>
      <c r="B8926" s="1" t="n">
        <v>45300.47158564815</v>
      </c>
      <c r="C8926" s="1" t="n">
        <v>45932</v>
      </c>
      <c r="D8926" t="inlineStr">
        <is>
          <t>VÄRMLANDS LÄN</t>
        </is>
      </c>
      <c r="E8926" t="inlineStr">
        <is>
          <t>KARLSTAD</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8951-2021</t>
        </is>
      </c>
      <c r="B8927" s="1" t="n">
        <v>44246</v>
      </c>
      <c r="C8927" s="1" t="n">
        <v>45932</v>
      </c>
      <c r="D8927" t="inlineStr">
        <is>
          <t>VÄRMLANDS LÄN</t>
        </is>
      </c>
      <c r="E8927" t="inlineStr">
        <is>
          <t>ÅRJÄNG</t>
        </is>
      </c>
      <c r="F8927" t="inlineStr">
        <is>
          <t>Övriga Aktiebolag</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37493-2025</t>
        </is>
      </c>
      <c r="B8928" s="1" t="n">
        <v>45877</v>
      </c>
      <c r="C8928" s="1" t="n">
        <v>45932</v>
      </c>
      <c r="D8928" t="inlineStr">
        <is>
          <t>VÄRMLANDS LÄN</t>
        </is>
      </c>
      <c r="E8928" t="inlineStr">
        <is>
          <t>KARLSTAD</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40692-2025</t>
        </is>
      </c>
      <c r="B8929" s="1" t="n">
        <v>45897</v>
      </c>
      <c r="C8929" s="1" t="n">
        <v>45932</v>
      </c>
      <c r="D8929" t="inlineStr">
        <is>
          <t>VÄRMLANDS LÄN</t>
        </is>
      </c>
      <c r="E8929" t="inlineStr">
        <is>
          <t>EDA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41996-2025</t>
        </is>
      </c>
      <c r="B8930" s="1" t="n">
        <v>45903</v>
      </c>
      <c r="C8930" s="1" t="n">
        <v>45932</v>
      </c>
      <c r="D8930" t="inlineStr">
        <is>
          <t>VÄRMLANDS LÄN</t>
        </is>
      </c>
      <c r="E8930" t="inlineStr">
        <is>
          <t>EDA</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15412-2022</t>
        </is>
      </c>
      <c r="B8931" s="1" t="n">
        <v>44659</v>
      </c>
      <c r="C8931" s="1" t="n">
        <v>45932</v>
      </c>
      <c r="D8931" t="inlineStr">
        <is>
          <t>VÄRMLANDS LÄN</t>
        </is>
      </c>
      <c r="E8931" t="inlineStr">
        <is>
          <t>SÄFFLE</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42586-2025</t>
        </is>
      </c>
      <c r="B8932" s="1" t="n">
        <v>45905</v>
      </c>
      <c r="C8932" s="1" t="n">
        <v>45932</v>
      </c>
      <c r="D8932" t="inlineStr">
        <is>
          <t>VÄRMLANDS LÄN</t>
        </is>
      </c>
      <c r="E8932" t="inlineStr">
        <is>
          <t>SÄFFLE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16559-2025</t>
        </is>
      </c>
      <c r="B8933" s="1" t="n">
        <v>45751</v>
      </c>
      <c r="C8933" s="1" t="n">
        <v>45932</v>
      </c>
      <c r="D8933" t="inlineStr">
        <is>
          <t>VÄRMLANDS LÄN</t>
        </is>
      </c>
      <c r="E8933" t="inlineStr">
        <is>
          <t>ARVIKA</t>
        </is>
      </c>
      <c r="F8933" t="inlineStr">
        <is>
          <t>Kommuner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23642-2025</t>
        </is>
      </c>
      <c r="B8934" s="1" t="n">
        <v>45792.6830787037</v>
      </c>
      <c r="C8934" s="1" t="n">
        <v>45932</v>
      </c>
      <c r="D8934" t="inlineStr">
        <is>
          <t>VÄRMLANDS LÄN</t>
        </is>
      </c>
      <c r="E8934" t="inlineStr">
        <is>
          <t>KARLSTAD</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64701-2023</t>
        </is>
      </c>
      <c r="B8935" s="1" t="n">
        <v>45281</v>
      </c>
      <c r="C8935" s="1" t="n">
        <v>45932</v>
      </c>
      <c r="D8935" t="inlineStr">
        <is>
          <t>VÄRMLANDS LÄN</t>
        </is>
      </c>
      <c r="E8935" t="inlineStr">
        <is>
          <t>EDA</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42562-2025</t>
        </is>
      </c>
      <c r="B8936" s="1" t="n">
        <v>45905.59986111111</v>
      </c>
      <c r="C8936" s="1" t="n">
        <v>45932</v>
      </c>
      <c r="D8936" t="inlineStr">
        <is>
          <t>VÄRMLANDS LÄN</t>
        </is>
      </c>
      <c r="E8936" t="inlineStr">
        <is>
          <t>ÅRJÄNG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40742-2025</t>
        </is>
      </c>
      <c r="B8937" s="1" t="n">
        <v>45897</v>
      </c>
      <c r="C8937" s="1" t="n">
        <v>45932</v>
      </c>
      <c r="D8937" t="inlineStr">
        <is>
          <t>VÄRMLANDS LÄN</t>
        </is>
      </c>
      <c r="E8937" t="inlineStr">
        <is>
          <t>KIL</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4083-2021</t>
        </is>
      </c>
      <c r="B8938" s="1" t="n">
        <v>44222.6997337963</v>
      </c>
      <c r="C8938" s="1" t="n">
        <v>45932</v>
      </c>
      <c r="D8938" t="inlineStr">
        <is>
          <t>VÄRMLANDS LÄN</t>
        </is>
      </c>
      <c r="E8938" t="inlineStr">
        <is>
          <t>KRISTINEHAMN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42143-2025</t>
        </is>
      </c>
      <c r="B8939" s="1" t="n">
        <v>45904.36905092592</v>
      </c>
      <c r="C8939" s="1" t="n">
        <v>45932</v>
      </c>
      <c r="D8939" t="inlineStr">
        <is>
          <t>VÄRMLANDS LÄN</t>
        </is>
      </c>
      <c r="E8939" t="inlineStr">
        <is>
          <t>GRUMS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42152-2025</t>
        </is>
      </c>
      <c r="B8940" s="1" t="n">
        <v>45904.3884375</v>
      </c>
      <c r="C8940" s="1" t="n">
        <v>45932</v>
      </c>
      <c r="D8940" t="inlineStr">
        <is>
          <t>VÄRMLANDS LÄN</t>
        </is>
      </c>
      <c r="E8940" t="inlineStr">
        <is>
          <t>TORSBY</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1615-2025</t>
        </is>
      </c>
      <c r="B8941" s="1" t="n">
        <v>45670.60484953703</v>
      </c>
      <c r="C8941" s="1" t="n">
        <v>45932</v>
      </c>
      <c r="D8941" t="inlineStr">
        <is>
          <t>VÄRMLANDS LÄN</t>
        </is>
      </c>
      <c r="E8941" t="inlineStr">
        <is>
          <t>ÅRJÄNG</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45827-2024</t>
        </is>
      </c>
      <c r="B8942" s="1" t="n">
        <v>45579</v>
      </c>
      <c r="C8942" s="1" t="n">
        <v>45932</v>
      </c>
      <c r="D8942" t="inlineStr">
        <is>
          <t>VÄRMLANDS LÄN</t>
        </is>
      </c>
      <c r="E8942" t="inlineStr">
        <is>
          <t>ÅRJÄNG</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53048-2022</t>
        </is>
      </c>
      <c r="B8943" s="1" t="n">
        <v>44876.35252314815</v>
      </c>
      <c r="C8943" s="1" t="n">
        <v>45932</v>
      </c>
      <c r="D8943" t="inlineStr">
        <is>
          <t>VÄRMLANDS LÄN</t>
        </is>
      </c>
      <c r="E8943" t="inlineStr">
        <is>
          <t>KARLSTAD</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34295-2022</t>
        </is>
      </c>
      <c r="B8944" s="1" t="n">
        <v>44792</v>
      </c>
      <c r="C8944" s="1" t="n">
        <v>45932</v>
      </c>
      <c r="D8944" t="inlineStr">
        <is>
          <t>VÄRMLANDS LÄN</t>
        </is>
      </c>
      <c r="E8944" t="inlineStr">
        <is>
          <t>SUNNE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42108-2025</t>
        </is>
      </c>
      <c r="B8945" s="1" t="n">
        <v>45903.96076388889</v>
      </c>
      <c r="C8945" s="1" t="n">
        <v>45932</v>
      </c>
      <c r="D8945" t="inlineStr">
        <is>
          <t>VÄRMLANDS LÄN</t>
        </is>
      </c>
      <c r="E8945" t="inlineStr">
        <is>
          <t>TORSBY</t>
        </is>
      </c>
      <c r="F8945" t="inlineStr">
        <is>
          <t>Bergvik skog väst AB</t>
        </is>
      </c>
      <c r="G8945" t="n">
        <v>13.5</v>
      </c>
      <c r="H8945" t="n">
        <v>0</v>
      </c>
      <c r="I8945" t="n">
        <v>0</v>
      </c>
      <c r="J8945" t="n">
        <v>0</v>
      </c>
      <c r="K8945" t="n">
        <v>0</v>
      </c>
      <c r="L8945" t="n">
        <v>0</v>
      </c>
      <c r="M8945" t="n">
        <v>0</v>
      </c>
      <c r="N8945" t="n">
        <v>0</v>
      </c>
      <c r="O8945" t="n">
        <v>0</v>
      </c>
      <c r="P8945" t="n">
        <v>0</v>
      </c>
      <c r="Q8945" t="n">
        <v>0</v>
      </c>
      <c r="R8945" s="2" t="inlineStr"/>
    </row>
    <row r="8946" ht="15" customHeight="1">
      <c r="A8946" t="inlineStr">
        <is>
          <t>A 45328-2022</t>
        </is>
      </c>
      <c r="B8946" s="1" t="n">
        <v>44844</v>
      </c>
      <c r="C8946" s="1" t="n">
        <v>45932</v>
      </c>
      <c r="D8946" t="inlineStr">
        <is>
          <t>VÄRMLANDS LÄN</t>
        </is>
      </c>
      <c r="E8946" t="inlineStr">
        <is>
          <t>TORSBY</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36303-2024</t>
        </is>
      </c>
      <c r="B8947" s="1" t="n">
        <v>45534</v>
      </c>
      <c r="C8947" s="1" t="n">
        <v>45932</v>
      </c>
      <c r="D8947" t="inlineStr">
        <is>
          <t>VÄRMLANDS LÄN</t>
        </is>
      </c>
      <c r="E8947" t="inlineStr">
        <is>
          <t>ARVIKA</t>
        </is>
      </c>
      <c r="G8947" t="n">
        <v>0</v>
      </c>
      <c r="H8947" t="n">
        <v>0</v>
      </c>
      <c r="I8947" t="n">
        <v>0</v>
      </c>
      <c r="J8947" t="n">
        <v>0</v>
      </c>
      <c r="K8947" t="n">
        <v>0</v>
      </c>
      <c r="L8947" t="n">
        <v>0</v>
      </c>
      <c r="M8947" t="n">
        <v>0</v>
      </c>
      <c r="N8947" t="n">
        <v>0</v>
      </c>
      <c r="O8947" t="n">
        <v>0</v>
      </c>
      <c r="P8947" t="n">
        <v>0</v>
      </c>
      <c r="Q8947" t="n">
        <v>0</v>
      </c>
      <c r="R8947" s="2" t="inlineStr"/>
    </row>
    <row r="8948" ht="15" customHeight="1">
      <c r="A8948" t="inlineStr">
        <is>
          <t>A 35869-2025</t>
        </is>
      </c>
      <c r="B8948" s="1" t="n">
        <v>45862</v>
      </c>
      <c r="C8948" s="1" t="n">
        <v>45932</v>
      </c>
      <c r="D8948" t="inlineStr">
        <is>
          <t>VÄRMLANDS LÄN</t>
        </is>
      </c>
      <c r="E8948" t="inlineStr">
        <is>
          <t>ÅRJÄNG</t>
        </is>
      </c>
      <c r="F8948" t="inlineStr">
        <is>
          <t>Bergvik skog väst AB</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39469-2025</t>
        </is>
      </c>
      <c r="B8949" s="1" t="n">
        <v>45889</v>
      </c>
      <c r="C8949" s="1" t="n">
        <v>45932</v>
      </c>
      <c r="D8949" t="inlineStr">
        <is>
          <t>VÄRMLANDS LÄN</t>
        </is>
      </c>
      <c r="E8949" t="inlineStr">
        <is>
          <t>SUNNE</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39499-2025</t>
        </is>
      </c>
      <c r="B8950" s="1" t="n">
        <v>45890</v>
      </c>
      <c r="C8950" s="1" t="n">
        <v>45932</v>
      </c>
      <c r="D8950" t="inlineStr">
        <is>
          <t>VÄRMLANDS LÄN</t>
        </is>
      </c>
      <c r="E8950" t="inlineStr">
        <is>
          <t>TORSBY</t>
        </is>
      </c>
      <c r="F8950" t="inlineStr">
        <is>
          <t>Kommuner</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10720-2021</t>
        </is>
      </c>
      <c r="B8951" s="1" t="n">
        <v>44258</v>
      </c>
      <c r="C8951" s="1" t="n">
        <v>45932</v>
      </c>
      <c r="D8951" t="inlineStr">
        <is>
          <t>VÄRMLANDS LÄN</t>
        </is>
      </c>
      <c r="E8951" t="inlineStr">
        <is>
          <t>MUNKFORS</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47211-2025</t>
        </is>
      </c>
      <c r="B8952" s="1" t="n">
        <v>45930.3815625</v>
      </c>
      <c r="C8952" s="1" t="n">
        <v>45932</v>
      </c>
      <c r="D8952" t="inlineStr">
        <is>
          <t>VÄRMLANDS LÄN</t>
        </is>
      </c>
      <c r="E8952" t="inlineStr">
        <is>
          <t>ÅRJÄNG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54606-2021</t>
        </is>
      </c>
      <c r="B8953" s="1" t="n">
        <v>44473</v>
      </c>
      <c r="C8953" s="1" t="n">
        <v>45932</v>
      </c>
      <c r="D8953" t="inlineStr">
        <is>
          <t>VÄRMLANDS LÄN</t>
        </is>
      </c>
      <c r="E8953" t="inlineStr">
        <is>
          <t>KRISTINEHAMN</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39219-2023</t>
        </is>
      </c>
      <c r="B8954" s="1" t="n">
        <v>45166</v>
      </c>
      <c r="C8954" s="1" t="n">
        <v>45932</v>
      </c>
      <c r="D8954" t="inlineStr">
        <is>
          <t>VÄRMLANDS LÄN</t>
        </is>
      </c>
      <c r="E8954" t="inlineStr">
        <is>
          <t>ARVIKA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18686-2024</t>
        </is>
      </c>
      <c r="B8955" s="1" t="n">
        <v>45426.38695601852</v>
      </c>
      <c r="C8955" s="1" t="n">
        <v>45932</v>
      </c>
      <c r="D8955" t="inlineStr">
        <is>
          <t>VÄRMLANDS LÄN</t>
        </is>
      </c>
      <c r="E8955" t="inlineStr">
        <is>
          <t>FORSHAGA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20811-2025</t>
        </is>
      </c>
      <c r="B8956" s="1" t="n">
        <v>45776</v>
      </c>
      <c r="C8956" s="1" t="n">
        <v>45932</v>
      </c>
      <c r="D8956" t="inlineStr">
        <is>
          <t>VÄRMLANDS LÄN</t>
        </is>
      </c>
      <c r="E8956" t="inlineStr">
        <is>
          <t>FILIPSTAD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20119-2025</t>
        </is>
      </c>
      <c r="B8957" s="1" t="n">
        <v>45772</v>
      </c>
      <c r="C8957" s="1" t="n">
        <v>45932</v>
      </c>
      <c r="D8957" t="inlineStr">
        <is>
          <t>VÄRMLANDS LÄN</t>
        </is>
      </c>
      <c r="E8957" t="inlineStr">
        <is>
          <t>HAGFORS</t>
        </is>
      </c>
      <c r="F8957" t="inlineStr">
        <is>
          <t>Bergvik skog väst AB</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39019-2025</t>
        </is>
      </c>
      <c r="B8958" s="1" t="n">
        <v>45888</v>
      </c>
      <c r="C8958" s="1" t="n">
        <v>45932</v>
      </c>
      <c r="D8958" t="inlineStr">
        <is>
          <t>VÄRMLANDS LÄN</t>
        </is>
      </c>
      <c r="E8958" t="inlineStr">
        <is>
          <t>ARVIKA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3721-2025</t>
        </is>
      </c>
      <c r="B8959" s="1" t="n">
        <v>45681</v>
      </c>
      <c r="C8959" s="1" t="n">
        <v>45932</v>
      </c>
      <c r="D8959" t="inlineStr">
        <is>
          <t>VÄRMLANDS LÄN</t>
        </is>
      </c>
      <c r="E8959" t="inlineStr">
        <is>
          <t>STORFORS</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24857-2025</t>
        </is>
      </c>
      <c r="B8960" s="1" t="n">
        <v>45799.47836805556</v>
      </c>
      <c r="C8960" s="1" t="n">
        <v>45932</v>
      </c>
      <c r="D8960" t="inlineStr">
        <is>
          <t>VÄRMLANDS LÄN</t>
        </is>
      </c>
      <c r="E8960" t="inlineStr">
        <is>
          <t>HAGFORS</t>
        </is>
      </c>
      <c r="F8960" t="inlineStr">
        <is>
          <t>Bergvik skog väst AB</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14643-2023</t>
        </is>
      </c>
      <c r="B8961" s="1" t="n">
        <v>45012</v>
      </c>
      <c r="C8961" s="1" t="n">
        <v>45932</v>
      </c>
      <c r="D8961" t="inlineStr">
        <is>
          <t>VÄRMLANDS LÄN</t>
        </is>
      </c>
      <c r="E8961" t="inlineStr">
        <is>
          <t>SÄFFLE</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47047-2025</t>
        </is>
      </c>
      <c r="B8962" s="1" t="n">
        <v>45929</v>
      </c>
      <c r="C8962" s="1" t="n">
        <v>45932</v>
      </c>
      <c r="D8962" t="inlineStr">
        <is>
          <t>VÄRMLANDS LÄN</t>
        </is>
      </c>
      <c r="E8962" t="inlineStr">
        <is>
          <t>TORSBY</t>
        </is>
      </c>
      <c r="F8962" t="inlineStr">
        <is>
          <t>Kyrkan</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3826-2025</t>
        </is>
      </c>
      <c r="B8963" s="1" t="n">
        <v>45681.75200231482</v>
      </c>
      <c r="C8963" s="1" t="n">
        <v>45932</v>
      </c>
      <c r="D8963" t="inlineStr">
        <is>
          <t>VÄRMLANDS LÄN</t>
        </is>
      </c>
      <c r="E8963" t="inlineStr">
        <is>
          <t>KIL</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42300-2025</t>
        </is>
      </c>
      <c r="B8964" s="1" t="n">
        <v>45904.64195601852</v>
      </c>
      <c r="C8964" s="1" t="n">
        <v>45932</v>
      </c>
      <c r="D8964" t="inlineStr">
        <is>
          <t>VÄRMLANDS LÄN</t>
        </is>
      </c>
      <c r="E8964" t="inlineStr">
        <is>
          <t>HAGFORS</t>
        </is>
      </c>
      <c r="F8964" t="inlineStr">
        <is>
          <t>Bergvik skog väst AB</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42533-2025</t>
        </is>
      </c>
      <c r="B8965" s="1" t="n">
        <v>45904</v>
      </c>
      <c r="C8965" s="1" t="n">
        <v>45932</v>
      </c>
      <c r="D8965" t="inlineStr">
        <is>
          <t>VÄRMLANDS LÄN</t>
        </is>
      </c>
      <c r="E8965" t="inlineStr">
        <is>
          <t>SÄFFLE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63807-2023</t>
        </is>
      </c>
      <c r="B8966" s="1" t="n">
        <v>45278.43013888889</v>
      </c>
      <c r="C8966" s="1" t="n">
        <v>45932</v>
      </c>
      <c r="D8966" t="inlineStr">
        <is>
          <t>VÄRMLANDS LÄN</t>
        </is>
      </c>
      <c r="E8966" t="inlineStr">
        <is>
          <t>SÄFFLE</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57966-2024</t>
        </is>
      </c>
      <c r="B8967" s="1" t="n">
        <v>45631.59569444445</v>
      </c>
      <c r="C8967" s="1" t="n">
        <v>45932</v>
      </c>
      <c r="D8967" t="inlineStr">
        <is>
          <t>VÄRMLANDS LÄN</t>
        </is>
      </c>
      <c r="E8967" t="inlineStr">
        <is>
          <t>EDA</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61597-2022</t>
        </is>
      </c>
      <c r="B8968" s="1" t="n">
        <v>44916.65094907407</v>
      </c>
      <c r="C8968" s="1" t="n">
        <v>45932</v>
      </c>
      <c r="D8968" t="inlineStr">
        <is>
          <t>VÄRMLANDS LÄN</t>
        </is>
      </c>
      <c r="E8968" t="inlineStr">
        <is>
          <t>SÄFFLE</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39159-2025</t>
        </is>
      </c>
      <c r="B8969" s="1" t="n">
        <v>45888.62746527778</v>
      </c>
      <c r="C8969" s="1" t="n">
        <v>45932</v>
      </c>
      <c r="D8969" t="inlineStr">
        <is>
          <t>VÄRMLANDS LÄN</t>
        </is>
      </c>
      <c r="E8969" t="inlineStr">
        <is>
          <t>KRISTINEHAMN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2484-2023</t>
        </is>
      </c>
      <c r="B8970" s="1" t="n">
        <v>44943.50019675926</v>
      </c>
      <c r="C8970" s="1" t="n">
        <v>45932</v>
      </c>
      <c r="D8970" t="inlineStr">
        <is>
          <t>VÄRMLANDS LÄN</t>
        </is>
      </c>
      <c r="E8970" t="inlineStr">
        <is>
          <t>SÄFFLE</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39184-2025</t>
        </is>
      </c>
      <c r="B8971" s="1" t="n">
        <v>45888.66510416667</v>
      </c>
      <c r="C8971" s="1" t="n">
        <v>45932</v>
      </c>
      <c r="D8971" t="inlineStr">
        <is>
          <t>VÄRMLANDS LÄN</t>
        </is>
      </c>
      <c r="E8971" t="inlineStr">
        <is>
          <t>SÄFFLE</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39208-2025</t>
        </is>
      </c>
      <c r="B8972" s="1" t="n">
        <v>45888</v>
      </c>
      <c r="C8972" s="1" t="n">
        <v>45932</v>
      </c>
      <c r="D8972" t="inlineStr">
        <is>
          <t>VÄRMLANDS LÄN</t>
        </is>
      </c>
      <c r="E8972" t="inlineStr">
        <is>
          <t>TORSBY</t>
        </is>
      </c>
      <c r="F8972" t="inlineStr">
        <is>
          <t>Bergvik skog väst AB</t>
        </is>
      </c>
      <c r="G8972" t="n">
        <v>39.1</v>
      </c>
      <c r="H8972" t="n">
        <v>0</v>
      </c>
      <c r="I8972" t="n">
        <v>0</v>
      </c>
      <c r="J8972" t="n">
        <v>0</v>
      </c>
      <c r="K8972" t="n">
        <v>0</v>
      </c>
      <c r="L8972" t="n">
        <v>0</v>
      </c>
      <c r="M8972" t="n">
        <v>0</v>
      </c>
      <c r="N8972" t="n">
        <v>0</v>
      </c>
      <c r="O8972" t="n">
        <v>0</v>
      </c>
      <c r="P8972" t="n">
        <v>0</v>
      </c>
      <c r="Q8972" t="n">
        <v>0</v>
      </c>
      <c r="R8972" s="2" t="inlineStr"/>
    </row>
    <row r="8973" ht="15" customHeight="1">
      <c r="A8973" t="inlineStr">
        <is>
          <t>A 47734-2025</t>
        </is>
      </c>
      <c r="B8973" s="1" t="n">
        <v>45931.63662037037</v>
      </c>
      <c r="C8973" s="1" t="n">
        <v>45932</v>
      </c>
      <c r="D8973" t="inlineStr">
        <is>
          <t>VÄRMLANDS LÄN</t>
        </is>
      </c>
      <c r="E8973" t="inlineStr">
        <is>
          <t>FORSHAGA</t>
        </is>
      </c>
      <c r="F8973" t="inlineStr">
        <is>
          <t>Kommuner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10608-2022</t>
        </is>
      </c>
      <c r="B8974" s="1" t="n">
        <v>44624</v>
      </c>
      <c r="C8974" s="1" t="n">
        <v>45932</v>
      </c>
      <c r="D8974" t="inlineStr">
        <is>
          <t>VÄRMLANDS LÄN</t>
        </is>
      </c>
      <c r="E8974" t="inlineStr">
        <is>
          <t>TORSBY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47764-2025</t>
        </is>
      </c>
      <c r="B8975" s="1" t="n">
        <v>45931.68141203704</v>
      </c>
      <c r="C8975" s="1" t="n">
        <v>45932</v>
      </c>
      <c r="D8975" t="inlineStr">
        <is>
          <t>VÄRMLANDS LÄN</t>
        </is>
      </c>
      <c r="E8975" t="inlineStr">
        <is>
          <t>SÄFFLE</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47779-2025</t>
        </is>
      </c>
      <c r="B8976" s="1" t="n">
        <v>45931.73188657407</v>
      </c>
      <c r="C8976" s="1" t="n">
        <v>45932</v>
      </c>
      <c r="D8976" t="inlineStr">
        <is>
          <t>VÄRMLANDS LÄN</t>
        </is>
      </c>
      <c r="E8976" t="inlineStr">
        <is>
          <t>ARVIKA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26056-2024</t>
        </is>
      </c>
      <c r="B8977" s="1" t="n">
        <v>45468</v>
      </c>
      <c r="C8977" s="1" t="n">
        <v>45932</v>
      </c>
      <c r="D8977" t="inlineStr">
        <is>
          <t>VÄRMLANDS LÄN</t>
        </is>
      </c>
      <c r="E8977" t="inlineStr">
        <is>
          <t>ARVIKA</t>
        </is>
      </c>
      <c r="F8977" t="inlineStr">
        <is>
          <t>Bergvik skog väst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39157-2025</t>
        </is>
      </c>
      <c r="B8978" s="1" t="n">
        <v>45888</v>
      </c>
      <c r="C8978" s="1" t="n">
        <v>45932</v>
      </c>
      <c r="D8978" t="inlineStr">
        <is>
          <t>VÄRMLANDS LÄN</t>
        </is>
      </c>
      <c r="E8978" t="inlineStr">
        <is>
          <t>KRISTINEHAMN</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21585-2024</t>
        </is>
      </c>
      <c r="B8979" s="1" t="n">
        <v>45441</v>
      </c>
      <c r="C8979" s="1" t="n">
        <v>45932</v>
      </c>
      <c r="D8979" t="inlineStr">
        <is>
          <t>VÄRMLANDS LÄN</t>
        </is>
      </c>
      <c r="E8979" t="inlineStr">
        <is>
          <t>TORSBY</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47366-2025</t>
        </is>
      </c>
      <c r="B8980" s="1" t="n">
        <v>45930</v>
      </c>
      <c r="C8980" s="1" t="n">
        <v>45932</v>
      </c>
      <c r="D8980" t="inlineStr">
        <is>
          <t>VÄRMLANDS LÄN</t>
        </is>
      </c>
      <c r="E8980" t="inlineStr">
        <is>
          <t>TORSBY</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7378-2025</t>
        </is>
      </c>
      <c r="B8981" s="1" t="n">
        <v>45705</v>
      </c>
      <c r="C8981" s="1" t="n">
        <v>45932</v>
      </c>
      <c r="D8981" t="inlineStr">
        <is>
          <t>VÄRMLANDS LÄN</t>
        </is>
      </c>
      <c r="E8981" t="inlineStr">
        <is>
          <t>TORSBY</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42694-2025</t>
        </is>
      </c>
      <c r="B8982" s="1" t="n">
        <v>45908.36113425926</v>
      </c>
      <c r="C8982" s="1" t="n">
        <v>45932</v>
      </c>
      <c r="D8982" t="inlineStr">
        <is>
          <t>VÄRMLANDS LÄN</t>
        </is>
      </c>
      <c r="E8982" t="inlineStr">
        <is>
          <t>HAGFORS</t>
        </is>
      </c>
      <c r="F8982" t="inlineStr">
        <is>
          <t>Bergvik skog väst AB</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36196-2025</t>
        </is>
      </c>
      <c r="B8983" s="1" t="n">
        <v>45867</v>
      </c>
      <c r="C8983" s="1" t="n">
        <v>45932</v>
      </c>
      <c r="D8983" t="inlineStr">
        <is>
          <t>VÄRMLANDS LÄN</t>
        </is>
      </c>
      <c r="E8983" t="inlineStr">
        <is>
          <t>FILIPSTAD</t>
        </is>
      </c>
      <c r="F8983" t="inlineStr">
        <is>
          <t>Bergvik skog väst AB</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39443-2025</t>
        </is>
      </c>
      <c r="B8984" s="1" t="n">
        <v>45889</v>
      </c>
      <c r="C8984" s="1" t="n">
        <v>45932</v>
      </c>
      <c r="D8984" t="inlineStr">
        <is>
          <t>VÄRMLANDS LÄN</t>
        </is>
      </c>
      <c r="E8984" t="inlineStr">
        <is>
          <t>ARVIKA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39451-2025</t>
        </is>
      </c>
      <c r="B8985" s="1" t="n">
        <v>45889.72677083333</v>
      </c>
      <c r="C8985" s="1" t="n">
        <v>45932</v>
      </c>
      <c r="D8985" t="inlineStr">
        <is>
          <t>VÄRMLANDS LÄN</t>
        </is>
      </c>
      <c r="E8985" t="inlineStr">
        <is>
          <t>TORSBY</t>
        </is>
      </c>
      <c r="F8985" t="inlineStr">
        <is>
          <t>Bergvik skog väst AB</t>
        </is>
      </c>
      <c r="G8985" t="n">
        <v>7.5</v>
      </c>
      <c r="H8985" t="n">
        <v>0</v>
      </c>
      <c r="I8985" t="n">
        <v>0</v>
      </c>
      <c r="J8985" t="n">
        <v>0</v>
      </c>
      <c r="K8985" t="n">
        <v>0</v>
      </c>
      <c r="L8985" t="n">
        <v>0</v>
      </c>
      <c r="M8985" t="n">
        <v>0</v>
      </c>
      <c r="N8985" t="n">
        <v>0</v>
      </c>
      <c r="O8985" t="n">
        <v>0</v>
      </c>
      <c r="P8985" t="n">
        <v>0</v>
      </c>
      <c r="Q8985" t="n">
        <v>0</v>
      </c>
      <c r="R8985" s="2" t="inlineStr"/>
    </row>
    <row r="8986" ht="15" customHeight="1">
      <c r="A8986" t="inlineStr">
        <is>
          <t>A 40688-2025</t>
        </is>
      </c>
      <c r="B8986" s="1" t="n">
        <v>45896</v>
      </c>
      <c r="C8986" s="1" t="n">
        <v>45932</v>
      </c>
      <c r="D8986" t="inlineStr">
        <is>
          <t>VÄRMLANDS LÄN</t>
        </is>
      </c>
      <c r="E8986" t="inlineStr">
        <is>
          <t>ARVIKA</t>
        </is>
      </c>
      <c r="G8986" t="n">
        <v>9.5</v>
      </c>
      <c r="H8986" t="n">
        <v>0</v>
      </c>
      <c r="I8986" t="n">
        <v>0</v>
      </c>
      <c r="J8986" t="n">
        <v>0</v>
      </c>
      <c r="K8986" t="n">
        <v>0</v>
      </c>
      <c r="L8986" t="n">
        <v>0</v>
      </c>
      <c r="M8986" t="n">
        <v>0</v>
      </c>
      <c r="N8986" t="n">
        <v>0</v>
      </c>
      <c r="O8986" t="n">
        <v>0</v>
      </c>
      <c r="P8986" t="n">
        <v>0</v>
      </c>
      <c r="Q8986" t="n">
        <v>0</v>
      </c>
      <c r="R8986" s="2" t="inlineStr"/>
    </row>
    <row r="8987" ht="15" customHeight="1">
      <c r="A8987" t="inlineStr">
        <is>
          <t>A 18096-2025</t>
        </is>
      </c>
      <c r="B8987" s="1" t="n">
        <v>45761</v>
      </c>
      <c r="C8987" s="1" t="n">
        <v>45932</v>
      </c>
      <c r="D8987" t="inlineStr">
        <is>
          <t>VÄRMLANDS LÄN</t>
        </is>
      </c>
      <c r="E8987" t="inlineStr">
        <is>
          <t>TORSBY</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39612-2025</t>
        </is>
      </c>
      <c r="B8988" s="1" t="n">
        <v>45890.56244212963</v>
      </c>
      <c r="C8988" s="1" t="n">
        <v>45932</v>
      </c>
      <c r="D8988" t="inlineStr">
        <is>
          <t>VÄRMLANDS LÄN</t>
        </is>
      </c>
      <c r="E8988" t="inlineStr">
        <is>
          <t>ARVIKA</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10589-2024</t>
        </is>
      </c>
      <c r="B8989" s="1" t="n">
        <v>45366</v>
      </c>
      <c r="C8989" s="1" t="n">
        <v>45932</v>
      </c>
      <c r="D8989" t="inlineStr">
        <is>
          <t>VÄRMLANDS LÄN</t>
        </is>
      </c>
      <c r="E8989" t="inlineStr">
        <is>
          <t>TORSBY</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8854-2023</t>
        </is>
      </c>
      <c r="B8990" s="1" t="n">
        <v>44978.85517361111</v>
      </c>
      <c r="C8990" s="1" t="n">
        <v>45932</v>
      </c>
      <c r="D8990" t="inlineStr">
        <is>
          <t>VÄRMLANDS LÄN</t>
        </is>
      </c>
      <c r="E8990" t="inlineStr">
        <is>
          <t>ARVIKA</t>
        </is>
      </c>
      <c r="F8990" t="inlineStr">
        <is>
          <t>Kyrkan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46550-2025</t>
        </is>
      </c>
      <c r="B8991" s="1" t="n">
        <v>45926</v>
      </c>
      <c r="C8991" s="1" t="n">
        <v>45932</v>
      </c>
      <c r="D8991" t="inlineStr">
        <is>
          <t>VÄRMLANDS LÄN</t>
        </is>
      </c>
      <c r="E8991" t="inlineStr">
        <is>
          <t>TORSBY</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39178-2025</t>
        </is>
      </c>
      <c r="B8992" s="1" t="n">
        <v>45888.65850694444</v>
      </c>
      <c r="C8992" s="1" t="n">
        <v>45932</v>
      </c>
      <c r="D8992" t="inlineStr">
        <is>
          <t>VÄRMLANDS LÄN</t>
        </is>
      </c>
      <c r="E8992" t="inlineStr">
        <is>
          <t>SÄFFLE</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33429-2024</t>
        </is>
      </c>
      <c r="B8993" s="1" t="n">
        <v>45519.52792824074</v>
      </c>
      <c r="C8993" s="1" t="n">
        <v>45932</v>
      </c>
      <c r="D8993" t="inlineStr">
        <is>
          <t>VÄRMLANDS LÄN</t>
        </is>
      </c>
      <c r="E8993" t="inlineStr">
        <is>
          <t>TORSBY</t>
        </is>
      </c>
      <c r="F8993" t="inlineStr">
        <is>
          <t>Bergvik skog väst AB</t>
        </is>
      </c>
      <c r="G8993" t="n">
        <v>7.9</v>
      </c>
      <c r="H8993" t="n">
        <v>0</v>
      </c>
      <c r="I8993" t="n">
        <v>0</v>
      </c>
      <c r="J8993" t="n">
        <v>0</v>
      </c>
      <c r="K8993" t="n">
        <v>0</v>
      </c>
      <c r="L8993" t="n">
        <v>0</v>
      </c>
      <c r="M8993" t="n">
        <v>0</v>
      </c>
      <c r="N8993" t="n">
        <v>0</v>
      </c>
      <c r="O8993" t="n">
        <v>0</v>
      </c>
      <c r="P8993" t="n">
        <v>0</v>
      </c>
      <c r="Q8993" t="n">
        <v>0</v>
      </c>
      <c r="R8993" s="2" t="inlineStr"/>
    </row>
    <row r="8994" ht="15" customHeight="1">
      <c r="A8994" t="inlineStr">
        <is>
          <t>A 15971-2025</t>
        </is>
      </c>
      <c r="B8994" s="1" t="n">
        <v>45749</v>
      </c>
      <c r="C8994" s="1" t="n">
        <v>45932</v>
      </c>
      <c r="D8994" t="inlineStr">
        <is>
          <t>VÄRMLANDS LÄN</t>
        </is>
      </c>
      <c r="E8994" t="inlineStr">
        <is>
          <t>SUNNE</t>
        </is>
      </c>
      <c r="F8994" t="inlineStr">
        <is>
          <t>Bergvik skog väst AB</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30958-2025</t>
        </is>
      </c>
      <c r="B8995" s="1" t="n">
        <v>45832.43880787037</v>
      </c>
      <c r="C8995" s="1" t="n">
        <v>45932</v>
      </c>
      <c r="D8995" t="inlineStr">
        <is>
          <t>VÄRMLANDS LÄN</t>
        </is>
      </c>
      <c r="E8995" t="inlineStr">
        <is>
          <t>TORSBY</t>
        </is>
      </c>
      <c r="G8995" t="n">
        <v>28.5</v>
      </c>
      <c r="H8995" t="n">
        <v>0</v>
      </c>
      <c r="I8995" t="n">
        <v>0</v>
      </c>
      <c r="J8995" t="n">
        <v>0</v>
      </c>
      <c r="K8995" t="n">
        <v>0</v>
      </c>
      <c r="L8995" t="n">
        <v>0</v>
      </c>
      <c r="M8995" t="n">
        <v>0</v>
      </c>
      <c r="N8995" t="n">
        <v>0</v>
      </c>
      <c r="O8995" t="n">
        <v>0</v>
      </c>
      <c r="P8995" t="n">
        <v>0</v>
      </c>
      <c r="Q8995" t="n">
        <v>0</v>
      </c>
      <c r="R8995" s="2" t="inlineStr"/>
    </row>
    <row r="8996" ht="15" customHeight="1">
      <c r="A8996" t="inlineStr">
        <is>
          <t>A 41090-2025</t>
        </is>
      </c>
      <c r="B8996" s="1" t="n">
        <v>45898</v>
      </c>
      <c r="C8996" s="1" t="n">
        <v>45932</v>
      </c>
      <c r="D8996" t="inlineStr">
        <is>
          <t>VÄRMLANDS LÄN</t>
        </is>
      </c>
      <c r="E8996" t="inlineStr">
        <is>
          <t>SUNNE</t>
        </is>
      </c>
      <c r="F8996" t="inlineStr">
        <is>
          <t>Bergvik skog väst AB</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41148-2025</t>
        </is>
      </c>
      <c r="B8997" s="1" t="n">
        <v>45898</v>
      </c>
      <c r="C8997" s="1" t="n">
        <v>45932</v>
      </c>
      <c r="D8997" t="inlineStr">
        <is>
          <t>VÄRMLANDS LÄN</t>
        </is>
      </c>
      <c r="E8997" t="inlineStr">
        <is>
          <t>TORSBY</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61073-2024</t>
        </is>
      </c>
      <c r="B8998" s="1" t="n">
        <v>45645.50665509259</v>
      </c>
      <c r="C8998" s="1" t="n">
        <v>45932</v>
      </c>
      <c r="D8998" t="inlineStr">
        <is>
          <t>VÄRMLANDS LÄN</t>
        </is>
      </c>
      <c r="E8998" t="inlineStr">
        <is>
          <t>TORSBY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47031-2025</t>
        </is>
      </c>
      <c r="B8999" s="1" t="n">
        <v>45929</v>
      </c>
      <c r="C8999" s="1" t="n">
        <v>45932</v>
      </c>
      <c r="D8999" t="inlineStr">
        <is>
          <t>VÄRMLANDS LÄN</t>
        </is>
      </c>
      <c r="E8999" t="inlineStr">
        <is>
          <t>HAGFORS</t>
        </is>
      </c>
      <c r="F8999" t="inlineStr">
        <is>
          <t>Bergvik skog väst AB</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36097-2025</t>
        </is>
      </c>
      <c r="B9000" s="1" t="n">
        <v>45866.49163194445</v>
      </c>
      <c r="C9000" s="1" t="n">
        <v>45932</v>
      </c>
      <c r="D9000" t="inlineStr">
        <is>
          <t>VÄRMLANDS LÄN</t>
        </is>
      </c>
      <c r="E9000" t="inlineStr">
        <is>
          <t>SUNNE</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1997-2025</t>
        </is>
      </c>
      <c r="B9001" s="1" t="n">
        <v>45672.44431712963</v>
      </c>
      <c r="C9001" s="1" t="n">
        <v>45932</v>
      </c>
      <c r="D9001" t="inlineStr">
        <is>
          <t>VÄRMLANDS LÄN</t>
        </is>
      </c>
      <c r="E9001" t="inlineStr">
        <is>
          <t>TORSBY</t>
        </is>
      </c>
      <c r="G9001" t="n">
        <v>20.1</v>
      </c>
      <c r="H9001" t="n">
        <v>0</v>
      </c>
      <c r="I9001" t="n">
        <v>0</v>
      </c>
      <c r="J9001" t="n">
        <v>0</v>
      </c>
      <c r="K9001" t="n">
        <v>0</v>
      </c>
      <c r="L9001" t="n">
        <v>0</v>
      </c>
      <c r="M9001" t="n">
        <v>0</v>
      </c>
      <c r="N9001" t="n">
        <v>0</v>
      </c>
      <c r="O9001" t="n">
        <v>0</v>
      </c>
      <c r="P9001" t="n">
        <v>0</v>
      </c>
      <c r="Q9001" t="n">
        <v>0</v>
      </c>
      <c r="R9001" s="2" t="inlineStr"/>
    </row>
    <row r="9002" ht="15" customHeight="1">
      <c r="A9002" t="inlineStr">
        <is>
          <t>A 25932-2024</t>
        </is>
      </c>
      <c r="B9002" s="1" t="n">
        <v>45467.62097222222</v>
      </c>
      <c r="C9002" s="1" t="n">
        <v>45932</v>
      </c>
      <c r="D9002" t="inlineStr">
        <is>
          <t>VÄRMLANDS LÄN</t>
        </is>
      </c>
      <c r="E9002" t="inlineStr">
        <is>
          <t>TORSBY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39245-2025</t>
        </is>
      </c>
      <c r="B9003" s="1" t="n">
        <v>45889</v>
      </c>
      <c r="C9003" s="1" t="n">
        <v>45932</v>
      </c>
      <c r="D9003" t="inlineStr">
        <is>
          <t>VÄRMLANDS LÄN</t>
        </is>
      </c>
      <c r="E9003" t="inlineStr">
        <is>
          <t>HAGFORS</t>
        </is>
      </c>
      <c r="F9003" t="inlineStr">
        <is>
          <t>Kyrkan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39249-2025</t>
        </is>
      </c>
      <c r="B9004" s="1" t="n">
        <v>45889</v>
      </c>
      <c r="C9004" s="1" t="n">
        <v>45932</v>
      </c>
      <c r="D9004" t="inlineStr">
        <is>
          <t>VÄRMLANDS LÄN</t>
        </is>
      </c>
      <c r="E9004" t="inlineStr">
        <is>
          <t>HAGFORS</t>
        </is>
      </c>
      <c r="F9004" t="inlineStr">
        <is>
          <t>Kyrkan</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39258-2025</t>
        </is>
      </c>
      <c r="B9005" s="1" t="n">
        <v>45889</v>
      </c>
      <c r="C9005" s="1" t="n">
        <v>45932</v>
      </c>
      <c r="D9005" t="inlineStr">
        <is>
          <t>VÄRMLANDS LÄN</t>
        </is>
      </c>
      <c r="E9005" t="inlineStr">
        <is>
          <t>TORSBY</t>
        </is>
      </c>
      <c r="F9005" t="inlineStr">
        <is>
          <t>Bergvik skog väst AB</t>
        </is>
      </c>
      <c r="G9005" t="n">
        <v>12.1</v>
      </c>
      <c r="H9005" t="n">
        <v>0</v>
      </c>
      <c r="I9005" t="n">
        <v>0</v>
      </c>
      <c r="J9005" t="n">
        <v>0</v>
      </c>
      <c r="K9005" t="n">
        <v>0</v>
      </c>
      <c r="L9005" t="n">
        <v>0</v>
      </c>
      <c r="M9005" t="n">
        <v>0</v>
      </c>
      <c r="N9005" t="n">
        <v>0</v>
      </c>
      <c r="O9005" t="n">
        <v>0</v>
      </c>
      <c r="P9005" t="n">
        <v>0</v>
      </c>
      <c r="Q9005" t="n">
        <v>0</v>
      </c>
      <c r="R9005" s="2" t="inlineStr"/>
    </row>
    <row r="9006" ht="15" customHeight="1">
      <c r="A9006" t="inlineStr">
        <is>
          <t>A 5122-2025</t>
        </is>
      </c>
      <c r="B9006" s="1" t="n">
        <v>45691.55863425926</v>
      </c>
      <c r="C9006" s="1" t="n">
        <v>45932</v>
      </c>
      <c r="D9006" t="inlineStr">
        <is>
          <t>VÄRMLANDS LÄN</t>
        </is>
      </c>
      <c r="E9006" t="inlineStr">
        <is>
          <t>ÅRJÄNG</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36152-2025</t>
        </is>
      </c>
      <c r="B9007" s="1" t="n">
        <v>45867.33517361111</v>
      </c>
      <c r="C9007" s="1" t="n">
        <v>45932</v>
      </c>
      <c r="D9007" t="inlineStr">
        <is>
          <t>VÄRMLANDS LÄN</t>
        </is>
      </c>
      <c r="E9007" t="inlineStr">
        <is>
          <t>HAGFORS</t>
        </is>
      </c>
      <c r="F9007" t="inlineStr">
        <is>
          <t>Bergvik skog väst AB</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23011-2025</t>
        </is>
      </c>
      <c r="B9008" s="1" t="n">
        <v>45790.62813657407</v>
      </c>
      <c r="C9008" s="1" t="n">
        <v>45932</v>
      </c>
      <c r="D9008" t="inlineStr">
        <is>
          <t>VÄRMLANDS LÄN</t>
        </is>
      </c>
      <c r="E9008" t="inlineStr">
        <is>
          <t>MUNKFORS</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43064-2025</t>
        </is>
      </c>
      <c r="B9009" s="1" t="n">
        <v>45909.58709490741</v>
      </c>
      <c r="C9009" s="1" t="n">
        <v>45932</v>
      </c>
      <c r="D9009" t="inlineStr">
        <is>
          <t>VÄRMLANDS LÄN</t>
        </is>
      </c>
      <c r="E9009" t="inlineStr">
        <is>
          <t>FILIPSTAD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46023-2025</t>
        </is>
      </c>
      <c r="B9010" s="1" t="n">
        <v>45924</v>
      </c>
      <c r="C9010" s="1" t="n">
        <v>45932</v>
      </c>
      <c r="D9010" t="inlineStr">
        <is>
          <t>VÄRMLANDS LÄN</t>
        </is>
      </c>
      <c r="E9010" t="inlineStr">
        <is>
          <t>ÅRJÄNG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12271-2025</t>
        </is>
      </c>
      <c r="B9011" s="1" t="n">
        <v>45729</v>
      </c>
      <c r="C9011" s="1" t="n">
        <v>45932</v>
      </c>
      <c r="D9011" t="inlineStr">
        <is>
          <t>VÄRMLANDS LÄN</t>
        </is>
      </c>
      <c r="E9011" t="inlineStr">
        <is>
          <t>SUNNE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48185-2024</t>
        </is>
      </c>
      <c r="B9012" s="1" t="n">
        <v>45589.90284722222</v>
      </c>
      <c r="C9012" s="1" t="n">
        <v>45932</v>
      </c>
      <c r="D9012" t="inlineStr">
        <is>
          <t>VÄRMLANDS LÄN</t>
        </is>
      </c>
      <c r="E9012" t="inlineStr">
        <is>
          <t>TORSBY</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48188-2024</t>
        </is>
      </c>
      <c r="B9013" s="1" t="n">
        <v>45590.10390046296</v>
      </c>
      <c r="C9013" s="1" t="n">
        <v>45932</v>
      </c>
      <c r="D9013" t="inlineStr">
        <is>
          <t>VÄRMLANDS LÄN</t>
        </is>
      </c>
      <c r="E9013" t="inlineStr">
        <is>
          <t>ARVIKA</t>
        </is>
      </c>
      <c r="F9013" t="inlineStr">
        <is>
          <t>Kommuner</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47794-2025</t>
        </is>
      </c>
      <c r="B9014" s="1" t="n">
        <v>45931.81756944444</v>
      </c>
      <c r="C9014" s="1" t="n">
        <v>45932</v>
      </c>
      <c r="D9014" t="inlineStr">
        <is>
          <t>VÄRMLANDS LÄN</t>
        </is>
      </c>
      <c r="E9014" t="inlineStr">
        <is>
          <t>HAGFORS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59399-2024</t>
        </is>
      </c>
      <c r="B9015" s="1" t="n">
        <v>45638.37673611111</v>
      </c>
      <c r="C9015" s="1" t="n">
        <v>45932</v>
      </c>
      <c r="D9015" t="inlineStr">
        <is>
          <t>VÄRMLANDS LÄN</t>
        </is>
      </c>
      <c r="E9015" t="inlineStr">
        <is>
          <t>ARVIKA</t>
        </is>
      </c>
      <c r="F9015" t="inlineStr">
        <is>
          <t>Bergvik skog väst AB</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36059-2025</t>
        </is>
      </c>
      <c r="B9016" s="1" t="n">
        <v>45866.39311342593</v>
      </c>
      <c r="C9016" s="1" t="n">
        <v>45932</v>
      </c>
      <c r="D9016" t="inlineStr">
        <is>
          <t>VÄRMLANDS LÄN</t>
        </is>
      </c>
      <c r="E9016" t="inlineStr">
        <is>
          <t>HAGFORS</t>
        </is>
      </c>
      <c r="F9016" t="inlineStr">
        <is>
          <t>Bergvik skog väst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49245-2024</t>
        </is>
      </c>
      <c r="B9017" s="1" t="n">
        <v>45595</v>
      </c>
      <c r="C9017" s="1" t="n">
        <v>45932</v>
      </c>
      <c r="D9017" t="inlineStr">
        <is>
          <t>VÄRMLANDS LÄN</t>
        </is>
      </c>
      <c r="E9017" t="inlineStr">
        <is>
          <t>KRISTINEHAMN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36272-2025</t>
        </is>
      </c>
      <c r="B9018" s="1" t="n">
        <v>45867</v>
      </c>
      <c r="C9018" s="1" t="n">
        <v>45932</v>
      </c>
      <c r="D9018" t="inlineStr">
        <is>
          <t>VÄRMLANDS LÄN</t>
        </is>
      </c>
      <c r="E9018" t="inlineStr">
        <is>
          <t>FILIPSTAD</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36287-2025</t>
        </is>
      </c>
      <c r="B9019" s="1" t="n">
        <v>45867.65814814815</v>
      </c>
      <c r="C9019" s="1" t="n">
        <v>45932</v>
      </c>
      <c r="D9019" t="inlineStr">
        <is>
          <t>VÄRMLANDS LÄN</t>
        </is>
      </c>
      <c r="E9019" t="inlineStr">
        <is>
          <t>TORSBY</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4795-2023</t>
        </is>
      </c>
      <c r="B9020" s="1" t="n">
        <v>44957.61341435185</v>
      </c>
      <c r="C9020" s="1" t="n">
        <v>45932</v>
      </c>
      <c r="D9020" t="inlineStr">
        <is>
          <t>VÄRMLANDS LÄN</t>
        </is>
      </c>
      <c r="E9020" t="inlineStr">
        <is>
          <t>MUNKFORS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11626-2023</t>
        </is>
      </c>
      <c r="B9021" s="1" t="n">
        <v>44994</v>
      </c>
      <c r="C9021" s="1" t="n">
        <v>45932</v>
      </c>
      <c r="D9021" t="inlineStr">
        <is>
          <t>VÄRMLANDS LÄN</t>
        </is>
      </c>
      <c r="E9021" t="inlineStr">
        <is>
          <t>SÄFFLE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6803-2022</t>
        </is>
      </c>
      <c r="B9022" s="1" t="n">
        <v>44602.57221064815</v>
      </c>
      <c r="C9022" s="1" t="n">
        <v>45932</v>
      </c>
      <c r="D9022" t="inlineStr">
        <is>
          <t>VÄRMLANDS LÄN</t>
        </is>
      </c>
      <c r="E9022" t="inlineStr">
        <is>
          <t>EDA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42687-2025</t>
        </is>
      </c>
      <c r="B9023" s="1" t="n">
        <v>45908.3558912037</v>
      </c>
      <c r="C9023" s="1" t="n">
        <v>45932</v>
      </c>
      <c r="D9023" t="inlineStr">
        <is>
          <t>VÄRMLANDS LÄN</t>
        </is>
      </c>
      <c r="E9023" t="inlineStr">
        <is>
          <t>KARLSTAD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42696-2025</t>
        </is>
      </c>
      <c r="B9024" s="1" t="n">
        <v>45908.3643287037</v>
      </c>
      <c r="C9024" s="1" t="n">
        <v>45932</v>
      </c>
      <c r="D9024" t="inlineStr">
        <is>
          <t>VÄRMLANDS LÄN</t>
        </is>
      </c>
      <c r="E9024" t="inlineStr">
        <is>
          <t>SÄFFLE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41533-2025</t>
        </is>
      </c>
      <c r="B9025" s="1" t="n">
        <v>45901</v>
      </c>
      <c r="C9025" s="1" t="n">
        <v>45932</v>
      </c>
      <c r="D9025" t="inlineStr">
        <is>
          <t>VÄRMLANDS LÄN</t>
        </is>
      </c>
      <c r="E9025" t="inlineStr">
        <is>
          <t>SÄFFLE</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42705-2025</t>
        </is>
      </c>
      <c r="B9026" s="1" t="n">
        <v>45908.37063657407</v>
      </c>
      <c r="C9026" s="1" t="n">
        <v>45932</v>
      </c>
      <c r="D9026" t="inlineStr">
        <is>
          <t>VÄRMLANDS LÄN</t>
        </is>
      </c>
      <c r="E9026" t="inlineStr">
        <is>
          <t>TORSBY</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42420-2025</t>
        </is>
      </c>
      <c r="B9027" s="1" t="n">
        <v>45905</v>
      </c>
      <c r="C9027" s="1" t="n">
        <v>45932</v>
      </c>
      <c r="D9027" t="inlineStr">
        <is>
          <t>VÄRMLANDS LÄN</t>
        </is>
      </c>
      <c r="E9027" t="inlineStr">
        <is>
          <t>ARVIKA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42484-2025</t>
        </is>
      </c>
      <c r="B9028" s="1" t="n">
        <v>45905</v>
      </c>
      <c r="C9028" s="1" t="n">
        <v>45932</v>
      </c>
      <c r="D9028" t="inlineStr">
        <is>
          <t>VÄRMLANDS LÄN</t>
        </is>
      </c>
      <c r="E9028" t="inlineStr">
        <is>
          <t>HAGFORS</t>
        </is>
      </c>
      <c r="F9028" t="inlineStr">
        <is>
          <t>Bergvik skog väst AB</t>
        </is>
      </c>
      <c r="G9028" t="n">
        <v>8.699999999999999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38125-2023</t>
        </is>
      </c>
      <c r="B9029" s="1" t="n">
        <v>45161.34262731481</v>
      </c>
      <c r="C9029" s="1" t="n">
        <v>45932</v>
      </c>
      <c r="D9029" t="inlineStr">
        <is>
          <t>VÄRMLANDS LÄN</t>
        </is>
      </c>
      <c r="E9029" t="inlineStr">
        <is>
          <t>EDA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869-2025</t>
        </is>
      </c>
      <c r="B9030" s="1" t="n">
        <v>45665</v>
      </c>
      <c r="C9030" s="1" t="n">
        <v>45932</v>
      </c>
      <c r="D9030" t="inlineStr">
        <is>
          <t>VÄRMLANDS LÄN</t>
        </is>
      </c>
      <c r="E9030" t="inlineStr">
        <is>
          <t>FILIPSTAD</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47502-2025</t>
        </is>
      </c>
      <c r="B9031" s="1" t="n">
        <v>45930.85274305556</v>
      </c>
      <c r="C9031" s="1" t="n">
        <v>45932</v>
      </c>
      <c r="D9031" t="inlineStr">
        <is>
          <t>VÄRMLANDS LÄN</t>
        </is>
      </c>
      <c r="E9031" t="inlineStr">
        <is>
          <t>ÅRJÄNG</t>
        </is>
      </c>
      <c r="G9031" t="n">
        <v>10.5</v>
      </c>
      <c r="H9031" t="n">
        <v>0</v>
      </c>
      <c r="I9031" t="n">
        <v>0</v>
      </c>
      <c r="J9031" t="n">
        <v>0</v>
      </c>
      <c r="K9031" t="n">
        <v>0</v>
      </c>
      <c r="L9031" t="n">
        <v>0</v>
      </c>
      <c r="M9031" t="n">
        <v>0</v>
      </c>
      <c r="N9031" t="n">
        <v>0</v>
      </c>
      <c r="O9031" t="n">
        <v>0</v>
      </c>
      <c r="P9031" t="n">
        <v>0</v>
      </c>
      <c r="Q9031" t="n">
        <v>0</v>
      </c>
      <c r="R9031" s="2" t="inlineStr"/>
    </row>
    <row r="9032" ht="15" customHeight="1">
      <c r="A9032" t="inlineStr">
        <is>
          <t>A 47505-2025</t>
        </is>
      </c>
      <c r="B9032" s="1" t="n">
        <v>45930.86071759259</v>
      </c>
      <c r="C9032" s="1" t="n">
        <v>45932</v>
      </c>
      <c r="D9032" t="inlineStr">
        <is>
          <t>VÄRMLANDS LÄN</t>
        </is>
      </c>
      <c r="E9032" t="inlineStr">
        <is>
          <t>SUNNE</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47507-2025</t>
        </is>
      </c>
      <c r="B9033" s="1" t="n">
        <v>45930.86842592592</v>
      </c>
      <c r="C9033" s="1" t="n">
        <v>45932</v>
      </c>
      <c r="D9033" t="inlineStr">
        <is>
          <t>VÄRMLANDS LÄN</t>
        </is>
      </c>
      <c r="E9033" t="inlineStr">
        <is>
          <t>GRUMS</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57967-2021</t>
        </is>
      </c>
      <c r="B9034" s="1" t="n">
        <v>44487</v>
      </c>
      <c r="C9034" s="1" t="n">
        <v>45932</v>
      </c>
      <c r="D9034" t="inlineStr">
        <is>
          <t>VÄRMLANDS LÄN</t>
        </is>
      </c>
      <c r="E9034" t="inlineStr">
        <is>
          <t>KIL</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21519-2024</t>
        </is>
      </c>
      <c r="B9035" s="1" t="n">
        <v>45441</v>
      </c>
      <c r="C9035" s="1" t="n">
        <v>45932</v>
      </c>
      <c r="D9035" t="inlineStr">
        <is>
          <t>VÄRMLANDS LÄN</t>
        </is>
      </c>
      <c r="E9035" t="inlineStr">
        <is>
          <t>ÅRJÄNG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32539-2024</t>
        </is>
      </c>
      <c r="B9036" s="1" t="n">
        <v>45513</v>
      </c>
      <c r="C9036" s="1" t="n">
        <v>45932</v>
      </c>
      <c r="D9036" t="inlineStr">
        <is>
          <t>VÄRMLANDS LÄN</t>
        </is>
      </c>
      <c r="E9036" t="inlineStr">
        <is>
          <t>KARLSTAD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54628-2023</t>
        </is>
      </c>
      <c r="B9037" s="1" t="n">
        <v>45234</v>
      </c>
      <c r="C9037" s="1" t="n">
        <v>45932</v>
      </c>
      <c r="D9037" t="inlineStr">
        <is>
          <t>VÄRMLANDS LÄN</t>
        </is>
      </c>
      <c r="E9037" t="inlineStr">
        <is>
          <t>MUNKFORS</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33966-2023</t>
        </is>
      </c>
      <c r="B9038" s="1" t="n">
        <v>45124</v>
      </c>
      <c r="C9038" s="1" t="n">
        <v>45932</v>
      </c>
      <c r="D9038" t="inlineStr">
        <is>
          <t>VÄRMLANDS LÄN</t>
        </is>
      </c>
      <c r="E9038" t="inlineStr">
        <is>
          <t>FILIPSTAD</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33967-2023</t>
        </is>
      </c>
      <c r="B9039" s="1" t="n">
        <v>45124</v>
      </c>
      <c r="C9039" s="1" t="n">
        <v>45932</v>
      </c>
      <c r="D9039" t="inlineStr">
        <is>
          <t>VÄRMLANDS LÄN</t>
        </is>
      </c>
      <c r="E9039" t="inlineStr">
        <is>
          <t>FILIPSTAD</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33968-2023</t>
        </is>
      </c>
      <c r="B9040" s="1" t="n">
        <v>45134.64652777778</v>
      </c>
      <c r="C9040" s="1" t="n">
        <v>45932</v>
      </c>
      <c r="D9040" t="inlineStr">
        <is>
          <t>VÄRMLANDS LÄN</t>
        </is>
      </c>
      <c r="E9040" t="inlineStr">
        <is>
          <t>EDA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5056-2022</t>
        </is>
      </c>
      <c r="B9041" s="1" t="n">
        <v>44593</v>
      </c>
      <c r="C9041" s="1" t="n">
        <v>45932</v>
      </c>
      <c r="D9041" t="inlineStr">
        <is>
          <t>VÄRMLANDS LÄN</t>
        </is>
      </c>
      <c r="E9041" t="inlineStr">
        <is>
          <t>KARLSTAD</t>
        </is>
      </c>
      <c r="F9041" t="inlineStr">
        <is>
          <t>Kommuner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5088-2022</t>
        </is>
      </c>
      <c r="B9042" s="1" t="n">
        <v>44593</v>
      </c>
      <c r="C9042" s="1" t="n">
        <v>45932</v>
      </c>
      <c r="D9042" t="inlineStr">
        <is>
          <t>VÄRMLANDS LÄN</t>
        </is>
      </c>
      <c r="E9042" t="inlineStr">
        <is>
          <t>SUNNE</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42937-2025</t>
        </is>
      </c>
      <c r="B9043" s="1" t="n">
        <v>45909</v>
      </c>
      <c r="C9043" s="1" t="n">
        <v>45932</v>
      </c>
      <c r="D9043" t="inlineStr">
        <is>
          <t>VÄRMLANDS LÄN</t>
        </is>
      </c>
      <c r="E9043" t="inlineStr">
        <is>
          <t>ARVIKA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25376-2023</t>
        </is>
      </c>
      <c r="B9044" s="1" t="n">
        <v>45088.95497685186</v>
      </c>
      <c r="C9044" s="1" t="n">
        <v>45932</v>
      </c>
      <c r="D9044" t="inlineStr">
        <is>
          <t>VÄRMLANDS LÄN</t>
        </is>
      </c>
      <c r="E9044" t="inlineStr">
        <is>
          <t>FILIPSTAD</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25491-2023</t>
        </is>
      </c>
      <c r="B9045" s="1" t="n">
        <v>45089</v>
      </c>
      <c r="C9045" s="1" t="n">
        <v>45932</v>
      </c>
      <c r="D9045" t="inlineStr">
        <is>
          <t>VÄRMLANDS LÄN</t>
        </is>
      </c>
      <c r="E9045" t="inlineStr">
        <is>
          <t>ARVIKA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25494-2023</t>
        </is>
      </c>
      <c r="B9046" s="1" t="n">
        <v>45081</v>
      </c>
      <c r="C9046" s="1" t="n">
        <v>45932</v>
      </c>
      <c r="D9046" t="inlineStr">
        <is>
          <t>VÄRMLANDS LÄN</t>
        </is>
      </c>
      <c r="E9046" t="inlineStr">
        <is>
          <t>KRISTINEHAMN</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43017-2025</t>
        </is>
      </c>
      <c r="B9047" s="1" t="n">
        <v>45909.50019675926</v>
      </c>
      <c r="C9047" s="1" t="n">
        <v>45932</v>
      </c>
      <c r="D9047" t="inlineStr">
        <is>
          <t>VÄRMLANDS LÄN</t>
        </is>
      </c>
      <c r="E9047" t="inlineStr">
        <is>
          <t>SUNNE</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32959-2022</t>
        </is>
      </c>
      <c r="B9048" s="1" t="n">
        <v>44784</v>
      </c>
      <c r="C9048" s="1" t="n">
        <v>45932</v>
      </c>
      <c r="D9048" t="inlineStr">
        <is>
          <t>VÄRMLANDS LÄN</t>
        </is>
      </c>
      <c r="E9048" t="inlineStr">
        <is>
          <t>GRUMS</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47545-2025</t>
        </is>
      </c>
      <c r="B9049" s="1" t="n">
        <v>45931</v>
      </c>
      <c r="C9049" s="1" t="n">
        <v>45932</v>
      </c>
      <c r="D9049" t="inlineStr">
        <is>
          <t>VÄRMLANDS LÄN</t>
        </is>
      </c>
      <c r="E9049" t="inlineStr">
        <is>
          <t>TORSBY</t>
        </is>
      </c>
      <c r="F9049" t="inlineStr">
        <is>
          <t>Bergvik skog väst AB</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15226-2025</t>
        </is>
      </c>
      <c r="B9050" s="1" t="n">
        <v>45744.59296296296</v>
      </c>
      <c r="C9050" s="1" t="n">
        <v>45932</v>
      </c>
      <c r="D9050" t="inlineStr">
        <is>
          <t>VÄRMLANDS LÄN</t>
        </is>
      </c>
      <c r="E9050" t="inlineStr">
        <is>
          <t>SUNNE</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15286-2025</t>
        </is>
      </c>
      <c r="B9051" s="1" t="n">
        <v>45745.33353009259</v>
      </c>
      <c r="C9051" s="1" t="n">
        <v>45932</v>
      </c>
      <c r="D9051" t="inlineStr">
        <is>
          <t>VÄRMLANDS LÄN</t>
        </is>
      </c>
      <c r="E9051" t="inlineStr">
        <is>
          <t>EDA</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33515-2023</t>
        </is>
      </c>
      <c r="B9052" s="1" t="n">
        <v>45131.49295138889</v>
      </c>
      <c r="C9052" s="1" t="n">
        <v>45932</v>
      </c>
      <c r="D9052" t="inlineStr">
        <is>
          <t>VÄRMLANDS LÄN</t>
        </is>
      </c>
      <c r="E9052" t="inlineStr">
        <is>
          <t>KARLSTAD</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33525-2023</t>
        </is>
      </c>
      <c r="B9053" s="1" t="n">
        <v>45131.51326388889</v>
      </c>
      <c r="C9053" s="1" t="n">
        <v>45932</v>
      </c>
      <c r="D9053" t="inlineStr">
        <is>
          <t>VÄRMLANDS LÄN</t>
        </is>
      </c>
      <c r="E9053" t="inlineStr">
        <is>
          <t>ÅRJÄNG</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15303-2025</t>
        </is>
      </c>
      <c r="B9054" s="1" t="n">
        <v>45746</v>
      </c>
      <c r="C9054" s="1" t="n">
        <v>45932</v>
      </c>
      <c r="D9054" t="inlineStr">
        <is>
          <t>VÄRMLANDS LÄN</t>
        </is>
      </c>
      <c r="E9054" t="inlineStr">
        <is>
          <t>ÅRJÄNG</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8585-2022</t>
        </is>
      </c>
      <c r="B9055" s="1" t="n">
        <v>44613</v>
      </c>
      <c r="C9055" s="1" t="n">
        <v>45932</v>
      </c>
      <c r="D9055" t="inlineStr">
        <is>
          <t>VÄRMLANDS LÄN</t>
        </is>
      </c>
      <c r="E9055" t="inlineStr">
        <is>
          <t>SUNNE</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43114-2025</t>
        </is>
      </c>
      <c r="B9056" s="1" t="n">
        <v>45909</v>
      </c>
      <c r="C9056" s="1" t="n">
        <v>45932</v>
      </c>
      <c r="D9056" t="inlineStr">
        <is>
          <t>VÄRMLANDS LÄN</t>
        </is>
      </c>
      <c r="E9056" t="inlineStr">
        <is>
          <t>HAGFORS</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42682-2025</t>
        </is>
      </c>
      <c r="B9057" s="1" t="n">
        <v>45908.35013888889</v>
      </c>
      <c r="C9057" s="1" t="n">
        <v>45932</v>
      </c>
      <c r="D9057" t="inlineStr">
        <is>
          <t>VÄRMLANDS LÄN</t>
        </is>
      </c>
      <c r="E9057" t="inlineStr">
        <is>
          <t>KARLSTAD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30836-2025</t>
        </is>
      </c>
      <c r="B9058" s="1" t="n">
        <v>45831.70571759259</v>
      </c>
      <c r="C9058" s="1" t="n">
        <v>45932</v>
      </c>
      <c r="D9058" t="inlineStr">
        <is>
          <t>VÄRMLANDS LÄN</t>
        </is>
      </c>
      <c r="E9058" t="inlineStr">
        <is>
          <t>TORSBY</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41634-2025</t>
        </is>
      </c>
      <c r="B9059" s="1" t="n">
        <v>45902</v>
      </c>
      <c r="C9059" s="1" t="n">
        <v>45932</v>
      </c>
      <c r="D9059" t="inlineStr">
        <is>
          <t>VÄRMLANDS LÄN</t>
        </is>
      </c>
      <c r="E9059" t="inlineStr">
        <is>
          <t>TORSBY</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5072-2025</t>
        </is>
      </c>
      <c r="B9060" s="1" t="n">
        <v>45691</v>
      </c>
      <c r="C9060" s="1" t="n">
        <v>45932</v>
      </c>
      <c r="D9060" t="inlineStr">
        <is>
          <t>VÄRMLANDS LÄN</t>
        </is>
      </c>
      <c r="E9060" t="inlineStr">
        <is>
          <t>ARVIKA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34707-2022</t>
        </is>
      </c>
      <c r="B9061" s="1" t="n">
        <v>44795.57873842592</v>
      </c>
      <c r="C9061" s="1" t="n">
        <v>45932</v>
      </c>
      <c r="D9061" t="inlineStr">
        <is>
          <t>VÄRMLANDS LÄN</t>
        </is>
      </c>
      <c r="E9061" t="inlineStr">
        <is>
          <t>SUNNE</t>
        </is>
      </c>
      <c r="F9061" t="inlineStr">
        <is>
          <t>Bergvik skog väst AB</t>
        </is>
      </c>
      <c r="G9061" t="n">
        <v>10.4</v>
      </c>
      <c r="H9061" t="n">
        <v>0</v>
      </c>
      <c r="I9061" t="n">
        <v>0</v>
      </c>
      <c r="J9061" t="n">
        <v>0</v>
      </c>
      <c r="K9061" t="n">
        <v>0</v>
      </c>
      <c r="L9061" t="n">
        <v>0</v>
      </c>
      <c r="M9061" t="n">
        <v>0</v>
      </c>
      <c r="N9061" t="n">
        <v>0</v>
      </c>
      <c r="O9061" t="n">
        <v>0</v>
      </c>
      <c r="P9061" t="n">
        <v>0</v>
      </c>
      <c r="Q9061" t="n">
        <v>0</v>
      </c>
      <c r="R9061" s="2" t="inlineStr"/>
    </row>
    <row r="9062" ht="15" customHeight="1">
      <c r="A9062" t="inlineStr">
        <is>
          <t>A 47814-2023</t>
        </is>
      </c>
      <c r="B9062" s="1" t="n">
        <v>45204</v>
      </c>
      <c r="C9062" s="1" t="n">
        <v>45932</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32795-2023</t>
        </is>
      </c>
      <c r="B9063" s="1" t="n">
        <v>45124</v>
      </c>
      <c r="C9063" s="1" t="n">
        <v>45932</v>
      </c>
      <c r="D9063" t="inlineStr">
        <is>
          <t>VÄRMLANDS LÄN</t>
        </is>
      </c>
      <c r="E9063" t="inlineStr">
        <is>
          <t>FORSHAGA</t>
        </is>
      </c>
      <c r="F9063" t="inlineStr">
        <is>
          <t>Kommuner</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20487-2025</t>
        </is>
      </c>
      <c r="B9064" s="1" t="n">
        <v>45775</v>
      </c>
      <c r="C9064" s="1" t="n">
        <v>45932</v>
      </c>
      <c r="D9064" t="inlineStr">
        <is>
          <t>VÄRMLANDS LÄN</t>
        </is>
      </c>
      <c r="E9064" t="inlineStr">
        <is>
          <t>HAGFORS</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38536-2023</t>
        </is>
      </c>
      <c r="B9065" s="1" t="n">
        <v>45162.57837962963</v>
      </c>
      <c r="C9065" s="1" t="n">
        <v>45932</v>
      </c>
      <c r="D9065" t="inlineStr">
        <is>
          <t>VÄRMLANDS LÄN</t>
        </is>
      </c>
      <c r="E9065" t="inlineStr">
        <is>
          <t>ARVIKA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38541-2023</t>
        </is>
      </c>
      <c r="B9066" s="1" t="n">
        <v>45162</v>
      </c>
      <c r="C9066" s="1" t="n">
        <v>45932</v>
      </c>
      <c r="D9066" t="inlineStr">
        <is>
          <t>VÄRMLANDS LÄN</t>
        </is>
      </c>
      <c r="E9066" t="inlineStr">
        <is>
          <t>TORSBY</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20606-2025</t>
        </is>
      </c>
      <c r="B9067" s="1" t="n">
        <v>45775</v>
      </c>
      <c r="C9067" s="1" t="n">
        <v>45932</v>
      </c>
      <c r="D9067" t="inlineStr">
        <is>
          <t>VÄRMLANDS LÄN</t>
        </is>
      </c>
      <c r="E9067" t="inlineStr">
        <is>
          <t>FILIPSTAD</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39235-2025</t>
        </is>
      </c>
      <c r="B9068" s="1" t="n">
        <v>45889.33225694444</v>
      </c>
      <c r="C9068" s="1" t="n">
        <v>45932</v>
      </c>
      <c r="D9068" t="inlineStr">
        <is>
          <t>VÄRMLANDS LÄN</t>
        </is>
      </c>
      <c r="E9068" t="inlineStr">
        <is>
          <t>EDA</t>
        </is>
      </c>
      <c r="F9068" t="inlineStr">
        <is>
          <t>Bergvik skog väst AB</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62802-2023</t>
        </is>
      </c>
      <c r="B9069" s="1" t="n">
        <v>45271.80996527777</v>
      </c>
      <c r="C9069" s="1" t="n">
        <v>45932</v>
      </c>
      <c r="D9069" t="inlineStr">
        <is>
          <t>VÄRMLANDS LÄN</t>
        </is>
      </c>
      <c r="E9069" t="inlineStr">
        <is>
          <t>FORSHAGA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42441-2025</t>
        </is>
      </c>
      <c r="B9070" s="1" t="n">
        <v>45905</v>
      </c>
      <c r="C9070" s="1" t="n">
        <v>45932</v>
      </c>
      <c r="D9070" t="inlineStr">
        <is>
          <t>VÄRMLANDS LÄN</t>
        </is>
      </c>
      <c r="E9070" t="inlineStr">
        <is>
          <t>FORSHAGA</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9425-2025</t>
        </is>
      </c>
      <c r="B9071" s="1" t="n">
        <v>45715.40350694444</v>
      </c>
      <c r="C9071" s="1" t="n">
        <v>45932</v>
      </c>
      <c r="D9071" t="inlineStr">
        <is>
          <t>VÄRMLANDS LÄN</t>
        </is>
      </c>
      <c r="E9071" t="inlineStr">
        <is>
          <t>ÅRJÄNG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42470-2025</t>
        </is>
      </c>
      <c r="B9072" s="1" t="n">
        <v>45905</v>
      </c>
      <c r="C9072" s="1" t="n">
        <v>45932</v>
      </c>
      <c r="D9072" t="inlineStr">
        <is>
          <t>VÄRMLANDS LÄN</t>
        </is>
      </c>
      <c r="E9072" t="inlineStr">
        <is>
          <t>HAGFORS</t>
        </is>
      </c>
      <c r="F9072" t="inlineStr">
        <is>
          <t>Bergvik skog väst AB</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42482-2025</t>
        </is>
      </c>
      <c r="B9073" s="1" t="n">
        <v>45905</v>
      </c>
      <c r="C9073" s="1" t="n">
        <v>45932</v>
      </c>
      <c r="D9073" t="inlineStr">
        <is>
          <t>VÄRMLANDS LÄN</t>
        </is>
      </c>
      <c r="E9073" t="inlineStr">
        <is>
          <t>HAGFORS</t>
        </is>
      </c>
      <c r="F9073" t="inlineStr">
        <is>
          <t>Bergvik skog väst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60167-2023</t>
        </is>
      </c>
      <c r="B9074" s="1" t="n">
        <v>45258</v>
      </c>
      <c r="C9074" s="1" t="n">
        <v>45932</v>
      </c>
      <c r="D9074" t="inlineStr">
        <is>
          <t>VÄRMLANDS LÄN</t>
        </is>
      </c>
      <c r="E9074" t="inlineStr">
        <is>
          <t>HAGFORS</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60178-2023</t>
        </is>
      </c>
      <c r="B9075" s="1" t="n">
        <v>45258</v>
      </c>
      <c r="C9075" s="1" t="n">
        <v>45932</v>
      </c>
      <c r="D9075" t="inlineStr">
        <is>
          <t>VÄRMLANDS LÄN</t>
        </is>
      </c>
      <c r="E9075" t="inlineStr">
        <is>
          <t>HAGFORS</t>
        </is>
      </c>
      <c r="F9075" t="inlineStr">
        <is>
          <t>Bergvik skog väst AB</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60278-2024</t>
        </is>
      </c>
      <c r="B9076" s="1" t="n">
        <v>45642</v>
      </c>
      <c r="C9076" s="1" t="n">
        <v>45932</v>
      </c>
      <c r="D9076" t="inlineStr">
        <is>
          <t>VÄRMLANDS LÄN</t>
        </is>
      </c>
      <c r="E9076" t="inlineStr">
        <is>
          <t>KARLSTAD</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22192-2022</t>
        </is>
      </c>
      <c r="B9077" s="1" t="n">
        <v>44712.48921296297</v>
      </c>
      <c r="C9077" s="1" t="n">
        <v>45932</v>
      </c>
      <c r="D9077" t="inlineStr">
        <is>
          <t>VÄRMLANDS LÄN</t>
        </is>
      </c>
      <c r="E9077" t="inlineStr">
        <is>
          <t>SUNNE</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60184-2023</t>
        </is>
      </c>
      <c r="B9078" s="1" t="n">
        <v>45258.57282407407</v>
      </c>
      <c r="C9078" s="1" t="n">
        <v>45932</v>
      </c>
      <c r="D9078" t="inlineStr">
        <is>
          <t>VÄRMLANDS LÄN</t>
        </is>
      </c>
      <c r="E9078" t="inlineStr">
        <is>
          <t>KARLSTAD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39055-2025</t>
        </is>
      </c>
      <c r="B9079" s="1" t="n">
        <v>45888.45291666667</v>
      </c>
      <c r="C9079" s="1" t="n">
        <v>45932</v>
      </c>
      <c r="D9079" t="inlineStr">
        <is>
          <t>VÄRMLANDS LÄN</t>
        </is>
      </c>
      <c r="E9079" t="inlineStr">
        <is>
          <t>SUNNE</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47256-2025</t>
        </is>
      </c>
      <c r="B9080" s="1" t="n">
        <v>45930.44425925926</v>
      </c>
      <c r="C9080" s="1" t="n">
        <v>45932</v>
      </c>
      <c r="D9080" t="inlineStr">
        <is>
          <t>VÄRMLANDS LÄN</t>
        </is>
      </c>
      <c r="E9080" t="inlineStr">
        <is>
          <t>SUNNE</t>
        </is>
      </c>
      <c r="F9080" t="inlineStr">
        <is>
          <t>Bergvik skog väst AB</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47261-2025</t>
        </is>
      </c>
      <c r="B9081" s="1" t="n">
        <v>45930.45089120371</v>
      </c>
      <c r="C9081" s="1" t="n">
        <v>45932</v>
      </c>
      <c r="D9081" t="inlineStr">
        <is>
          <t>VÄRMLANDS LÄN</t>
        </is>
      </c>
      <c r="E9081" t="inlineStr">
        <is>
          <t>SUNNE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36254-2025</t>
        </is>
      </c>
      <c r="B9082" s="1" t="n">
        <v>45867.5820949074</v>
      </c>
      <c r="C9082" s="1" t="n">
        <v>45932</v>
      </c>
      <c r="D9082" t="inlineStr">
        <is>
          <t>VÄRMLANDS LÄN</t>
        </is>
      </c>
      <c r="E9082" t="inlineStr">
        <is>
          <t>HAGFORS</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42349-2025</t>
        </is>
      </c>
      <c r="B9083" s="1" t="n">
        <v>45904</v>
      </c>
      <c r="C9083" s="1" t="n">
        <v>45932</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47277-2025</t>
        </is>
      </c>
      <c r="B9084" s="1" t="n">
        <v>45930.47084490741</v>
      </c>
      <c r="C9084" s="1" t="n">
        <v>45932</v>
      </c>
      <c r="D9084" t="inlineStr">
        <is>
          <t>VÄRMLANDS LÄN</t>
        </is>
      </c>
      <c r="E9084" t="inlineStr">
        <is>
          <t>ARVIKA</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55852-2023</t>
        </is>
      </c>
      <c r="B9085" s="1" t="n">
        <v>45239.65730324074</v>
      </c>
      <c r="C9085" s="1" t="n">
        <v>45932</v>
      </c>
      <c r="D9085" t="inlineStr">
        <is>
          <t>VÄRMLANDS LÄN</t>
        </is>
      </c>
      <c r="E9085" t="inlineStr">
        <is>
          <t>ARVIKA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31609-2021</t>
        </is>
      </c>
      <c r="B9086" s="1" t="n">
        <v>44369</v>
      </c>
      <c r="C9086" s="1" t="n">
        <v>45932</v>
      </c>
      <c r="D9086" t="inlineStr">
        <is>
          <t>VÄRMLANDS LÄN</t>
        </is>
      </c>
      <c r="E9086" t="inlineStr">
        <is>
          <t>SUNNE</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57115-2023</t>
        </is>
      </c>
      <c r="B9087" s="1" t="n">
        <v>45245.36474537037</v>
      </c>
      <c r="C9087" s="1" t="n">
        <v>45932</v>
      </c>
      <c r="D9087" t="inlineStr">
        <is>
          <t>VÄRMLANDS LÄN</t>
        </is>
      </c>
      <c r="E9087" t="inlineStr">
        <is>
          <t>EDA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57121-2023</t>
        </is>
      </c>
      <c r="B9088" s="1" t="n">
        <v>45245.36806712963</v>
      </c>
      <c r="C9088" s="1" t="n">
        <v>45932</v>
      </c>
      <c r="D9088" t="inlineStr">
        <is>
          <t>VÄRMLANDS LÄN</t>
        </is>
      </c>
      <c r="E9088" t="inlineStr">
        <is>
          <t>EDA</t>
        </is>
      </c>
      <c r="F9088" t="inlineStr">
        <is>
          <t>Övriga Aktiebolag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3974-2023</t>
        </is>
      </c>
      <c r="B9089" s="1" t="n">
        <v>44952.44694444445</v>
      </c>
      <c r="C9089" s="1" t="n">
        <v>45932</v>
      </c>
      <c r="D9089" t="inlineStr">
        <is>
          <t>VÄRMLANDS LÄN</t>
        </is>
      </c>
      <c r="E9089" t="inlineStr">
        <is>
          <t>ARVIKA</t>
        </is>
      </c>
      <c r="G9089" t="n">
        <v>8</v>
      </c>
      <c r="H9089" t="n">
        <v>0</v>
      </c>
      <c r="I9089" t="n">
        <v>0</v>
      </c>
      <c r="J9089" t="n">
        <v>0</v>
      </c>
      <c r="K9089" t="n">
        <v>0</v>
      </c>
      <c r="L9089" t="n">
        <v>0</v>
      </c>
      <c r="M9089" t="n">
        <v>0</v>
      </c>
      <c r="N9089" t="n">
        <v>0</v>
      </c>
      <c r="O9089" t="n">
        <v>0</v>
      </c>
      <c r="P9089" t="n">
        <v>0</v>
      </c>
      <c r="Q9089" t="n">
        <v>0</v>
      </c>
      <c r="R9089" s="2" t="inlineStr"/>
    </row>
    <row r="9090" ht="15" customHeight="1">
      <c r="A9090" t="inlineStr">
        <is>
          <t>A 1371-2025</t>
        </is>
      </c>
      <c r="B9090" s="1" t="n">
        <v>45667.6453587963</v>
      </c>
      <c r="C9090" s="1" t="n">
        <v>45932</v>
      </c>
      <c r="D9090" t="inlineStr">
        <is>
          <t>VÄRMLANDS LÄN</t>
        </is>
      </c>
      <c r="E9090" t="inlineStr">
        <is>
          <t>FILIPSTAD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36235-2025</t>
        </is>
      </c>
      <c r="B9091" s="1" t="n">
        <v>45867</v>
      </c>
      <c r="C9091" s="1" t="n">
        <v>45932</v>
      </c>
      <c r="D9091" t="inlineStr">
        <is>
          <t>VÄRMLANDS LÄN</t>
        </is>
      </c>
      <c r="E9091" t="inlineStr">
        <is>
          <t>HAGFORS</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16408-2025</t>
        </is>
      </c>
      <c r="B9092" s="1" t="n">
        <v>45751.45363425926</v>
      </c>
      <c r="C9092" s="1" t="n">
        <v>45932</v>
      </c>
      <c r="D9092" t="inlineStr">
        <is>
          <t>VÄRMLANDS LÄN</t>
        </is>
      </c>
      <c r="E9092" t="inlineStr">
        <is>
          <t>KARLSTAD</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18434-2025</t>
        </is>
      </c>
      <c r="B9093" s="1" t="n">
        <v>45762.63959490741</v>
      </c>
      <c r="C9093" s="1" t="n">
        <v>45932</v>
      </c>
      <c r="D9093" t="inlineStr">
        <is>
          <t>VÄRMLANDS LÄN</t>
        </is>
      </c>
      <c r="E9093" t="inlineStr">
        <is>
          <t>SUNNE</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36039-2025</t>
        </is>
      </c>
      <c r="B9094" s="1" t="n">
        <v>45865.98025462963</v>
      </c>
      <c r="C9094" s="1" t="n">
        <v>45932</v>
      </c>
      <c r="D9094" t="inlineStr">
        <is>
          <t>VÄRMLANDS LÄN</t>
        </is>
      </c>
      <c r="E9094" t="inlineStr">
        <is>
          <t>HAGFORS</t>
        </is>
      </c>
      <c r="F9094" t="inlineStr">
        <is>
          <t>Bergvik skog väst AB</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60931-2024</t>
        </is>
      </c>
      <c r="B9095" s="1" t="n">
        <v>45644</v>
      </c>
      <c r="C9095" s="1" t="n">
        <v>45932</v>
      </c>
      <c r="D9095" t="inlineStr">
        <is>
          <t>VÄRMLANDS LÄN</t>
        </is>
      </c>
      <c r="E9095" t="inlineStr">
        <is>
          <t>SÄFFLE</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60932-2024</t>
        </is>
      </c>
      <c r="B9096" s="1" t="n">
        <v>45645</v>
      </c>
      <c r="C9096" s="1" t="n">
        <v>45932</v>
      </c>
      <c r="D9096" t="inlineStr">
        <is>
          <t>VÄRMLANDS LÄN</t>
        </is>
      </c>
      <c r="E9096" t="inlineStr">
        <is>
          <t>KARLSTAD</t>
        </is>
      </c>
      <c r="F9096" t="inlineStr">
        <is>
          <t>Bergvik skog väst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28084-2021</t>
        </is>
      </c>
      <c r="B9097" s="1" t="n">
        <v>44355</v>
      </c>
      <c r="C9097" s="1" t="n">
        <v>45932</v>
      </c>
      <c r="D9097" t="inlineStr">
        <is>
          <t>VÄRMLANDS LÄN</t>
        </is>
      </c>
      <c r="E9097" t="inlineStr">
        <is>
          <t>KRISTINEHAMN</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969-2022</t>
        </is>
      </c>
      <c r="B9098" s="1" t="n">
        <v>44571.57540509259</v>
      </c>
      <c r="C9098" s="1" t="n">
        <v>45932</v>
      </c>
      <c r="D9098" t="inlineStr">
        <is>
          <t>VÄRMLANDS LÄN</t>
        </is>
      </c>
      <c r="E9098" t="inlineStr">
        <is>
          <t>KIL</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21587-2024</t>
        </is>
      </c>
      <c r="B9099" s="1" t="n">
        <v>45441</v>
      </c>
      <c r="C9099" s="1" t="n">
        <v>45932</v>
      </c>
      <c r="D9099" t="inlineStr">
        <is>
          <t>VÄRMLANDS LÄN</t>
        </is>
      </c>
      <c r="E9099" t="inlineStr">
        <is>
          <t>TORSBY</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17001-2024</t>
        </is>
      </c>
      <c r="B9100" s="1" t="n">
        <v>45412.35605324074</v>
      </c>
      <c r="C9100" s="1" t="n">
        <v>45932</v>
      </c>
      <c r="D9100" t="inlineStr">
        <is>
          <t>VÄRMLANDS LÄN</t>
        </is>
      </c>
      <c r="E9100" t="inlineStr">
        <is>
          <t>TORSBY</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28864-2023</t>
        </is>
      </c>
      <c r="B9101" s="1" t="n">
        <v>45104</v>
      </c>
      <c r="C9101" s="1" t="n">
        <v>45932</v>
      </c>
      <c r="D9101" t="inlineStr">
        <is>
          <t>VÄRMLANDS LÄN</t>
        </is>
      </c>
      <c r="E9101" t="inlineStr">
        <is>
          <t>ÅRJÄNG</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36042-2025</t>
        </is>
      </c>
      <c r="B9102" s="1" t="n">
        <v>45866</v>
      </c>
      <c r="C9102" s="1" t="n">
        <v>45932</v>
      </c>
      <c r="D9102" t="inlineStr">
        <is>
          <t>VÄRMLANDS LÄN</t>
        </is>
      </c>
      <c r="E9102" t="inlineStr">
        <is>
          <t>ARVIKA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47333-2025</t>
        </is>
      </c>
      <c r="B9103" s="1" t="n">
        <v>45930.56335648148</v>
      </c>
      <c r="C9103" s="1" t="n">
        <v>45932</v>
      </c>
      <c r="D9103" t="inlineStr">
        <is>
          <t>VÄRMLANDS LÄN</t>
        </is>
      </c>
      <c r="E9103" t="inlineStr">
        <is>
          <t>HAGFORS</t>
        </is>
      </c>
      <c r="F9103" t="inlineStr">
        <is>
          <t>Bergvik skog väst AB</t>
        </is>
      </c>
      <c r="G9103" t="n">
        <v>22.1</v>
      </c>
      <c r="H9103" t="n">
        <v>0</v>
      </c>
      <c r="I9103" t="n">
        <v>0</v>
      </c>
      <c r="J9103" t="n">
        <v>0</v>
      </c>
      <c r="K9103" t="n">
        <v>0</v>
      </c>
      <c r="L9103" t="n">
        <v>0</v>
      </c>
      <c r="M9103" t="n">
        <v>0</v>
      </c>
      <c r="N9103" t="n">
        <v>0</v>
      </c>
      <c r="O9103" t="n">
        <v>0</v>
      </c>
      <c r="P9103" t="n">
        <v>0</v>
      </c>
      <c r="Q9103" t="n">
        <v>0</v>
      </c>
      <c r="R9103" s="2" t="inlineStr"/>
    </row>
    <row r="9104" ht="15" customHeight="1">
      <c r="A9104" t="inlineStr">
        <is>
          <t>A 35654-2024</t>
        </is>
      </c>
      <c r="B9104" s="1" t="n">
        <v>45532.35637731481</v>
      </c>
      <c r="C9104" s="1" t="n">
        <v>45932</v>
      </c>
      <c r="D9104" t="inlineStr">
        <is>
          <t>VÄRMLANDS LÄN</t>
        </is>
      </c>
      <c r="E9104" t="inlineStr">
        <is>
          <t>FORSHAGA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36298-2023</t>
        </is>
      </c>
      <c r="B9105" s="1" t="n">
        <v>45152.36185185185</v>
      </c>
      <c r="C9105" s="1" t="n">
        <v>45932</v>
      </c>
      <c r="D9105" t="inlineStr">
        <is>
          <t>VÄRMLANDS LÄN</t>
        </is>
      </c>
      <c r="E9105" t="inlineStr">
        <is>
          <t>EDA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36143-2025</t>
        </is>
      </c>
      <c r="B9106" s="1" t="n">
        <v>45866.68708333333</v>
      </c>
      <c r="C9106" s="1" t="n">
        <v>45932</v>
      </c>
      <c r="D9106" t="inlineStr">
        <is>
          <t>VÄRMLANDS LÄN</t>
        </is>
      </c>
      <c r="E9106" t="inlineStr">
        <is>
          <t>ÅRJÄNG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47695-2025</t>
        </is>
      </c>
      <c r="B9107" s="1" t="n">
        <v>45931.59943287037</v>
      </c>
      <c r="C9107" s="1" t="n">
        <v>45932</v>
      </c>
      <c r="D9107" t="inlineStr">
        <is>
          <t>VÄRMLANDS LÄN</t>
        </is>
      </c>
      <c r="E9107" t="inlineStr">
        <is>
          <t>ÅRJÄNG</t>
        </is>
      </c>
      <c r="G9107" t="n">
        <v>8.300000000000001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4194-2025</t>
        </is>
      </c>
      <c r="B9108" s="1" t="n">
        <v>45685</v>
      </c>
      <c r="C9108" s="1" t="n">
        <v>45932</v>
      </c>
      <c r="D9108" t="inlineStr">
        <is>
          <t>VÄRMLANDS LÄN</t>
        </is>
      </c>
      <c r="E9108" t="inlineStr">
        <is>
          <t>SÄFFLE</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43047-2025</t>
        </is>
      </c>
      <c r="B9109" s="1" t="n">
        <v>45909.56127314815</v>
      </c>
      <c r="C9109" s="1" t="n">
        <v>45932</v>
      </c>
      <c r="D9109" t="inlineStr">
        <is>
          <t>VÄRMLANDS LÄN</t>
        </is>
      </c>
      <c r="E9109" t="inlineStr">
        <is>
          <t>ÅRJÄNG</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43050-2025</t>
        </is>
      </c>
      <c r="B9110" s="1" t="n">
        <v>45909.56809027777</v>
      </c>
      <c r="C9110" s="1" t="n">
        <v>45932</v>
      </c>
      <c r="D9110" t="inlineStr">
        <is>
          <t>VÄRMLANDS LÄN</t>
        </is>
      </c>
      <c r="E9110" t="inlineStr">
        <is>
          <t>ÅRJÄNG</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43117-2025</t>
        </is>
      </c>
      <c r="B9111" s="1" t="n">
        <v>45909</v>
      </c>
      <c r="C9111" s="1" t="n">
        <v>45932</v>
      </c>
      <c r="D9111" t="inlineStr">
        <is>
          <t>VÄRMLANDS LÄN</t>
        </is>
      </c>
      <c r="E9111" t="inlineStr">
        <is>
          <t>HAGFORS</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16494-2022</t>
        </is>
      </c>
      <c r="B9112" s="1" t="n">
        <v>44671</v>
      </c>
      <c r="C9112" s="1" t="n">
        <v>45932</v>
      </c>
      <c r="D9112" t="inlineStr">
        <is>
          <t>VÄRMLANDS LÄN</t>
        </is>
      </c>
      <c r="E9112" t="inlineStr">
        <is>
          <t>SÄFFLE</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15300-2025</t>
        </is>
      </c>
      <c r="B9113" s="1" t="n">
        <v>45746</v>
      </c>
      <c r="C9113" s="1" t="n">
        <v>45932</v>
      </c>
      <c r="D9113" t="inlineStr">
        <is>
          <t>VÄRMLANDS LÄN</t>
        </is>
      </c>
      <c r="E9113" t="inlineStr">
        <is>
          <t>ÅRJÄNG</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40740-2024</t>
        </is>
      </c>
      <c r="B9114" s="1" t="n">
        <v>45558</v>
      </c>
      <c r="C9114" s="1" t="n">
        <v>45932</v>
      </c>
      <c r="D9114" t="inlineStr">
        <is>
          <t>VÄRMLANDS LÄN</t>
        </is>
      </c>
      <c r="E9114" t="inlineStr">
        <is>
          <t>SUNNE</t>
        </is>
      </c>
      <c r="G9114" t="n">
        <v>21.9</v>
      </c>
      <c r="H9114" t="n">
        <v>0</v>
      </c>
      <c r="I9114" t="n">
        <v>0</v>
      </c>
      <c r="J9114" t="n">
        <v>0</v>
      </c>
      <c r="K9114" t="n">
        <v>0</v>
      </c>
      <c r="L9114" t="n">
        <v>0</v>
      </c>
      <c r="M9114" t="n">
        <v>0</v>
      </c>
      <c r="N9114" t="n">
        <v>0</v>
      </c>
      <c r="O9114" t="n">
        <v>0</v>
      </c>
      <c r="P9114" t="n">
        <v>0</v>
      </c>
      <c r="Q9114" t="n">
        <v>0</v>
      </c>
      <c r="R9114" s="2" t="inlineStr"/>
    </row>
    <row r="9115" ht="15" customHeight="1">
      <c r="A9115" t="inlineStr">
        <is>
          <t>A 42942-2025</t>
        </is>
      </c>
      <c r="B9115" s="1" t="n">
        <v>45909.34232638889</v>
      </c>
      <c r="C9115" s="1" t="n">
        <v>45932</v>
      </c>
      <c r="D9115" t="inlineStr">
        <is>
          <t>VÄRMLANDS LÄN</t>
        </is>
      </c>
      <c r="E9115" t="inlineStr">
        <is>
          <t>ARVIKA</t>
        </is>
      </c>
      <c r="F9115" t="inlineStr">
        <is>
          <t>Bergvik skog väst AB</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42966-2025</t>
        </is>
      </c>
      <c r="B9116" s="1" t="n">
        <v>45909.38825231481</v>
      </c>
      <c r="C9116" s="1" t="n">
        <v>45932</v>
      </c>
      <c r="D9116" t="inlineStr">
        <is>
          <t>VÄRMLANDS LÄN</t>
        </is>
      </c>
      <c r="E9116" t="inlineStr">
        <is>
          <t>TORSBY</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30914-2023</t>
        </is>
      </c>
      <c r="B9117" s="1" t="n">
        <v>45113</v>
      </c>
      <c r="C9117" s="1" t="n">
        <v>45932</v>
      </c>
      <c r="D9117" t="inlineStr">
        <is>
          <t>VÄRMLANDS LÄN</t>
        </is>
      </c>
      <c r="E9117" t="inlineStr">
        <is>
          <t>GRUMS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39392-2025</t>
        </is>
      </c>
      <c r="B9118" s="1" t="n">
        <v>45889.62774305556</v>
      </c>
      <c r="C9118" s="1" t="n">
        <v>45932</v>
      </c>
      <c r="D9118" t="inlineStr">
        <is>
          <t>VÄRMLANDS LÄN</t>
        </is>
      </c>
      <c r="E9118" t="inlineStr">
        <is>
          <t>ARVIKA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12291-2025</t>
        </is>
      </c>
      <c r="B9119" s="1" t="n">
        <v>45729.6797337963</v>
      </c>
      <c r="C9119" s="1" t="n">
        <v>45932</v>
      </c>
      <c r="D9119" t="inlineStr">
        <is>
          <t>VÄRMLANDS LÄN</t>
        </is>
      </c>
      <c r="E9119" t="inlineStr">
        <is>
          <t>HAGFORS</t>
        </is>
      </c>
      <c r="F9119" t="inlineStr">
        <is>
          <t>Bergvik skog väst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43003-2025</t>
        </is>
      </c>
      <c r="B9120" s="1" t="n">
        <v>45909.47049768519</v>
      </c>
      <c r="C9120" s="1" t="n">
        <v>45932</v>
      </c>
      <c r="D9120" t="inlineStr">
        <is>
          <t>VÄRMLANDS LÄN</t>
        </is>
      </c>
      <c r="E9120" t="inlineStr">
        <is>
          <t>HAGFORS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6095-2025</t>
        </is>
      </c>
      <c r="B9121" s="1" t="n">
        <v>45697</v>
      </c>
      <c r="C9121" s="1" t="n">
        <v>45932</v>
      </c>
      <c r="D9121" t="inlineStr">
        <is>
          <t>VÄRMLANDS LÄN</t>
        </is>
      </c>
      <c r="E9121" t="inlineStr">
        <is>
          <t>SUNNE</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47273-2025</t>
        </is>
      </c>
      <c r="B9122" s="1" t="n">
        <v>45930.4646875</v>
      </c>
      <c r="C9122" s="1" t="n">
        <v>45932</v>
      </c>
      <c r="D9122" t="inlineStr">
        <is>
          <t>VÄRMLANDS LÄN</t>
        </is>
      </c>
      <c r="E9122" t="inlineStr">
        <is>
          <t>SUNNE</t>
        </is>
      </c>
      <c r="F9122" t="inlineStr">
        <is>
          <t>Bergvik skog väst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17018-2025</t>
        </is>
      </c>
      <c r="B9123" s="1" t="n">
        <v>45755</v>
      </c>
      <c r="C9123" s="1" t="n">
        <v>45932</v>
      </c>
      <c r="D9123" t="inlineStr">
        <is>
          <t>VÄRMLANDS LÄN</t>
        </is>
      </c>
      <c r="E9123" t="inlineStr">
        <is>
          <t>TORSBY</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32624-2025</t>
        </is>
      </c>
      <c r="B9124" s="1" t="n">
        <v>45838.64796296296</v>
      </c>
      <c r="C9124" s="1" t="n">
        <v>45932</v>
      </c>
      <c r="D9124" t="inlineStr">
        <is>
          <t>VÄRMLANDS LÄN</t>
        </is>
      </c>
      <c r="E9124" t="inlineStr">
        <is>
          <t>TORSBY</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38482-2024</t>
        </is>
      </c>
      <c r="B9125" s="1" t="n">
        <v>45546</v>
      </c>
      <c r="C9125" s="1" t="n">
        <v>45932</v>
      </c>
      <c r="D9125" t="inlineStr">
        <is>
          <t>VÄRMLANDS LÄN</t>
        </is>
      </c>
      <c r="E9125" t="inlineStr">
        <is>
          <t>ÅRJÄNG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39124-2024</t>
        </is>
      </c>
      <c r="B9126" s="1" t="n">
        <v>45548</v>
      </c>
      <c r="C9126" s="1" t="n">
        <v>45932</v>
      </c>
      <c r="D9126" t="inlineStr">
        <is>
          <t>VÄRMLANDS LÄN</t>
        </is>
      </c>
      <c r="E9126" t="inlineStr">
        <is>
          <t>ARVIKA</t>
        </is>
      </c>
      <c r="F9126" t="inlineStr">
        <is>
          <t>Bergvik skog väst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33017-2022</t>
        </is>
      </c>
      <c r="B9127" s="1" t="n">
        <v>44785.32934027778</v>
      </c>
      <c r="C9127" s="1" t="n">
        <v>45932</v>
      </c>
      <c r="D9127" t="inlineStr">
        <is>
          <t>VÄRMLANDS LÄN</t>
        </is>
      </c>
      <c r="E9127" t="inlineStr">
        <is>
          <t>ÅRJÄNG</t>
        </is>
      </c>
      <c r="F9127" t="inlineStr">
        <is>
          <t>Kyrkan</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36119-2025</t>
        </is>
      </c>
      <c r="B9128" s="1" t="n">
        <v>45866</v>
      </c>
      <c r="C9128" s="1" t="n">
        <v>45932</v>
      </c>
      <c r="D9128" t="inlineStr">
        <is>
          <t>VÄRMLANDS LÄN</t>
        </is>
      </c>
      <c r="E9128" t="inlineStr">
        <is>
          <t>SUNNE</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2106-2024</t>
        </is>
      </c>
      <c r="B9129" s="1" t="n">
        <v>45309.46850694445</v>
      </c>
      <c r="C9129" s="1" t="n">
        <v>45932</v>
      </c>
      <c r="D9129" t="inlineStr">
        <is>
          <t>VÄRMLANDS LÄN</t>
        </is>
      </c>
      <c r="E9129" t="inlineStr">
        <is>
          <t>ARVIKA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46865-2025</t>
        </is>
      </c>
      <c r="B9130" s="1" t="n">
        <v>45929</v>
      </c>
      <c r="C9130" s="1" t="n">
        <v>45932</v>
      </c>
      <c r="D9130" t="inlineStr">
        <is>
          <t>VÄRMLANDS LÄN</t>
        </is>
      </c>
      <c r="E9130" t="inlineStr">
        <is>
          <t>TORSBY</t>
        </is>
      </c>
      <c r="F9130" t="inlineStr">
        <is>
          <t>Bergvik skog väst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7491-2022</t>
        </is>
      </c>
      <c r="B9131" s="1" t="n">
        <v>44607.44862268519</v>
      </c>
      <c r="C9131" s="1" t="n">
        <v>45932</v>
      </c>
      <c r="D9131" t="inlineStr">
        <is>
          <t>VÄRMLANDS LÄN</t>
        </is>
      </c>
      <c r="E9131" t="inlineStr">
        <is>
          <t>KARLSTAD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7504-2022</t>
        </is>
      </c>
      <c r="B9132" s="1" t="n">
        <v>44607</v>
      </c>
      <c r="C9132" s="1" t="n">
        <v>45932</v>
      </c>
      <c r="D9132" t="inlineStr">
        <is>
          <t>VÄRMLANDS LÄN</t>
        </is>
      </c>
      <c r="E9132" t="inlineStr">
        <is>
          <t>SÄFFLE</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39147-2025</t>
        </is>
      </c>
      <c r="B9133" s="1" t="n">
        <v>45888</v>
      </c>
      <c r="C9133" s="1" t="n">
        <v>45932</v>
      </c>
      <c r="D9133" t="inlineStr">
        <is>
          <t>VÄRMLANDS LÄN</t>
        </is>
      </c>
      <c r="E9133" t="inlineStr">
        <is>
          <t>SÄFFLE</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39175-2025</t>
        </is>
      </c>
      <c r="B9134" s="1" t="n">
        <v>45888.65628472222</v>
      </c>
      <c r="C9134" s="1" t="n">
        <v>45932</v>
      </c>
      <c r="D9134" t="inlineStr">
        <is>
          <t>VÄRMLANDS LÄN</t>
        </is>
      </c>
      <c r="E9134" t="inlineStr">
        <is>
          <t>ARVIKA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52462-2020</t>
        </is>
      </c>
      <c r="B9135" s="1" t="n">
        <v>44115</v>
      </c>
      <c r="C9135" s="1" t="n">
        <v>45932</v>
      </c>
      <c r="D9135" t="inlineStr">
        <is>
          <t>VÄRMLANDS LÄN</t>
        </is>
      </c>
      <c r="E9135" t="inlineStr">
        <is>
          <t>SUNNE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47741-2025</t>
        </is>
      </c>
      <c r="B9136" s="1" t="n">
        <v>45931.64393518519</v>
      </c>
      <c r="C9136" s="1" t="n">
        <v>45932</v>
      </c>
      <c r="D9136" t="inlineStr">
        <is>
          <t>VÄRMLANDS LÄN</t>
        </is>
      </c>
      <c r="E9136" t="inlineStr">
        <is>
          <t>ARVIKA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47746-2025</t>
        </is>
      </c>
      <c r="B9137" s="1" t="n">
        <v>45931.65180555556</v>
      </c>
      <c r="C9137" s="1" t="n">
        <v>45932</v>
      </c>
      <c r="D9137" t="inlineStr">
        <is>
          <t>VÄRMLANDS LÄN</t>
        </is>
      </c>
      <c r="E9137" t="inlineStr">
        <is>
          <t>ARVIKA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42955-2025</t>
        </is>
      </c>
      <c r="B9138" s="1" t="n">
        <v>45909.35813657408</v>
      </c>
      <c r="C9138" s="1" t="n">
        <v>45932</v>
      </c>
      <c r="D9138" t="inlineStr">
        <is>
          <t>VÄRMLANDS LÄN</t>
        </is>
      </c>
      <c r="E9138" t="inlineStr">
        <is>
          <t>ARVIKA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60289-2020</t>
        </is>
      </c>
      <c r="B9139" s="1" t="n">
        <v>44152</v>
      </c>
      <c r="C9139" s="1" t="n">
        <v>45932</v>
      </c>
      <c r="D9139" t="inlineStr">
        <is>
          <t>VÄRMLANDS LÄN</t>
        </is>
      </c>
      <c r="E9139" t="inlineStr">
        <is>
          <t>FILIPSTAD</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42965-2025</t>
        </is>
      </c>
      <c r="B9140" s="1" t="n">
        <v>45909.37575231482</v>
      </c>
      <c r="C9140" s="1" t="n">
        <v>45932</v>
      </c>
      <c r="D9140" t="inlineStr">
        <is>
          <t>VÄRMLANDS LÄN</t>
        </is>
      </c>
      <c r="E9140" t="inlineStr">
        <is>
          <t>TORSBY</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42971-2025</t>
        </is>
      </c>
      <c r="B9141" s="1" t="n">
        <v>45909.41502314815</v>
      </c>
      <c r="C9141" s="1" t="n">
        <v>45932</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47736-2025</t>
        </is>
      </c>
      <c r="B9142" s="1" t="n">
        <v>45931.63822916667</v>
      </c>
      <c r="C9142" s="1" t="n">
        <v>45932</v>
      </c>
      <c r="D9142" t="inlineStr">
        <is>
          <t>VÄRMLANDS LÄN</t>
        </is>
      </c>
      <c r="E9142" t="inlineStr">
        <is>
          <t>TORSBY</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41125-2025</t>
        </is>
      </c>
      <c r="B9143" s="1" t="n">
        <v>45898</v>
      </c>
      <c r="C9143" s="1" t="n">
        <v>45932</v>
      </c>
      <c r="D9143" t="inlineStr">
        <is>
          <t>VÄRMLANDS LÄN</t>
        </is>
      </c>
      <c r="E9143" t="inlineStr">
        <is>
          <t>SÄFFLE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38169-2023</t>
        </is>
      </c>
      <c r="B9144" s="1" t="n">
        <v>45161</v>
      </c>
      <c r="C9144" s="1" t="n">
        <v>45932</v>
      </c>
      <c r="D9144" t="inlineStr">
        <is>
          <t>VÄRMLANDS LÄN</t>
        </is>
      </c>
      <c r="E9144" t="inlineStr">
        <is>
          <t>SUNNE</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36256-2025</t>
        </is>
      </c>
      <c r="B9145" s="1" t="n">
        <v>45867.58938657407</v>
      </c>
      <c r="C9145" s="1" t="n">
        <v>45932</v>
      </c>
      <c r="D9145" t="inlineStr">
        <is>
          <t>VÄRMLANDS LÄN</t>
        </is>
      </c>
      <c r="E9145" t="inlineStr">
        <is>
          <t>TORSBY</t>
        </is>
      </c>
      <c r="F9145" t="inlineStr">
        <is>
          <t>Bergvik skog väst AB</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2708-2023</t>
        </is>
      </c>
      <c r="B9146" s="1" t="n">
        <v>44942</v>
      </c>
      <c r="C9146" s="1" t="n">
        <v>45932</v>
      </c>
      <c r="D9146" t="inlineStr">
        <is>
          <t>VÄRMLANDS LÄN</t>
        </is>
      </c>
      <c r="E9146" t="inlineStr">
        <is>
          <t>KIL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39187-2024</t>
        </is>
      </c>
      <c r="B9147" s="1" t="n">
        <v>45548.66915509259</v>
      </c>
      <c r="C9147" s="1" t="n">
        <v>45932</v>
      </c>
      <c r="D9147" t="inlineStr">
        <is>
          <t>VÄRMLANDS LÄN</t>
        </is>
      </c>
      <c r="E9147" t="inlineStr">
        <is>
          <t>ÅRJÄNG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31053-2023</t>
        </is>
      </c>
      <c r="B9148" s="1" t="n">
        <v>45113</v>
      </c>
      <c r="C9148" s="1" t="n">
        <v>45932</v>
      </c>
      <c r="D9148" t="inlineStr">
        <is>
          <t>VÄRMLANDS LÄN</t>
        </is>
      </c>
      <c r="E9148" t="inlineStr">
        <is>
          <t>ARVIKA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34901-2024</t>
        </is>
      </c>
      <c r="B9149" s="1" t="n">
        <v>45527.38928240741</v>
      </c>
      <c r="C9149" s="1" t="n">
        <v>45932</v>
      </c>
      <c r="D9149" t="inlineStr">
        <is>
          <t>VÄRMLANDS LÄN</t>
        </is>
      </c>
      <c r="E9149" t="inlineStr">
        <is>
          <t>HAGFORS</t>
        </is>
      </c>
      <c r="F9149" t="inlineStr">
        <is>
          <t>Bergvik skog väst AB</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47598-2025</t>
        </is>
      </c>
      <c r="B9150" s="1" t="n">
        <v>45931.45502314815</v>
      </c>
      <c r="C9150" s="1" t="n">
        <v>45932</v>
      </c>
      <c r="D9150" t="inlineStr">
        <is>
          <t>VÄRMLANDS LÄN</t>
        </is>
      </c>
      <c r="E9150" t="inlineStr">
        <is>
          <t>SUNNE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47566-2025</t>
        </is>
      </c>
      <c r="B9151" s="1" t="n">
        <v>45931.39087962963</v>
      </c>
      <c r="C9151" s="1" t="n">
        <v>45932</v>
      </c>
      <c r="D9151" t="inlineStr">
        <is>
          <t>VÄRMLANDS LÄN</t>
        </is>
      </c>
      <c r="E9151" t="inlineStr">
        <is>
          <t>FILIPSTAD</t>
        </is>
      </c>
      <c r="F9151" t="inlineStr">
        <is>
          <t>Bergvik skog väst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36120-2025</t>
        </is>
      </c>
      <c r="B9152" s="1" t="n">
        <v>45866</v>
      </c>
      <c r="C9152" s="1" t="n">
        <v>45932</v>
      </c>
      <c r="D9152" t="inlineStr">
        <is>
          <t>VÄRMLANDS LÄN</t>
        </is>
      </c>
      <c r="E9152" t="inlineStr">
        <is>
          <t>EDA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54373-2020</t>
        </is>
      </c>
      <c r="B9153" s="1" t="n">
        <v>44126.50736111111</v>
      </c>
      <c r="C9153" s="1" t="n">
        <v>45932</v>
      </c>
      <c r="D9153" t="inlineStr">
        <is>
          <t>VÄRMLANDS LÄN</t>
        </is>
      </c>
      <c r="E9153" t="inlineStr">
        <is>
          <t>KIL</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4748-2024</t>
        </is>
      </c>
      <c r="B9154" s="1" t="n">
        <v>45328.65340277777</v>
      </c>
      <c r="C9154" s="1" t="n">
        <v>45932</v>
      </c>
      <c r="D9154" t="inlineStr">
        <is>
          <t>VÄRMLANDS LÄN</t>
        </is>
      </c>
      <c r="E9154" t="inlineStr">
        <is>
          <t>HAGFORS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42720-2025</t>
        </is>
      </c>
      <c r="B9155" s="1" t="n">
        <v>45908.39427083333</v>
      </c>
      <c r="C9155" s="1" t="n">
        <v>45932</v>
      </c>
      <c r="D9155" t="inlineStr">
        <is>
          <t>VÄRMLANDS LÄN</t>
        </is>
      </c>
      <c r="E9155" t="inlineStr">
        <is>
          <t>TORSBY</t>
        </is>
      </c>
      <c r="F9155" t="inlineStr">
        <is>
          <t>Bergvik skog väst AB</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56738-2024</t>
        </is>
      </c>
      <c r="B9156" s="1" t="n">
        <v>45628</v>
      </c>
      <c r="C9156" s="1" t="n">
        <v>45932</v>
      </c>
      <c r="D9156" t="inlineStr">
        <is>
          <t>VÄRMLANDS LÄN</t>
        </is>
      </c>
      <c r="E9156" t="inlineStr">
        <is>
          <t>SUNNE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60521-2024</t>
        </is>
      </c>
      <c r="B9157" s="1" t="n">
        <v>45643</v>
      </c>
      <c r="C9157" s="1" t="n">
        <v>45932</v>
      </c>
      <c r="D9157" t="inlineStr">
        <is>
          <t>VÄRMLANDS LÄN</t>
        </is>
      </c>
      <c r="E9157" t="inlineStr">
        <is>
          <t>FILIPSTAD</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14023-2025</t>
        </is>
      </c>
      <c r="B9158" s="1" t="n">
        <v>45740</v>
      </c>
      <c r="C9158" s="1" t="n">
        <v>45932</v>
      </c>
      <c r="D9158" t="inlineStr">
        <is>
          <t>VÄRMLANDS LÄN</t>
        </is>
      </c>
      <c r="E9158" t="inlineStr">
        <is>
          <t>TORSBY</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9282-2024</t>
        </is>
      </c>
      <c r="B9159" s="1" t="n">
        <v>45358</v>
      </c>
      <c r="C9159" s="1" t="n">
        <v>45932</v>
      </c>
      <c r="D9159" t="inlineStr">
        <is>
          <t>VÄRMLANDS LÄN</t>
        </is>
      </c>
      <c r="E9159" t="inlineStr">
        <is>
          <t>SÄFFLE</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58707-2024</t>
        </is>
      </c>
      <c r="B9160" s="1" t="n">
        <v>45635</v>
      </c>
      <c r="C9160" s="1" t="n">
        <v>45932</v>
      </c>
      <c r="D9160" t="inlineStr">
        <is>
          <t>VÄRMLANDS LÄN</t>
        </is>
      </c>
      <c r="E9160" t="inlineStr">
        <is>
          <t>TORSBY</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17691-2025</t>
        </is>
      </c>
      <c r="B9161" s="1" t="n">
        <v>45758.4083912037</v>
      </c>
      <c r="C9161" s="1" t="n">
        <v>45932</v>
      </c>
      <c r="D9161" t="inlineStr">
        <is>
          <t>VÄRMLANDS LÄN</t>
        </is>
      </c>
      <c r="E9161" t="inlineStr">
        <is>
          <t>SUNNE</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11914-2025</t>
        </is>
      </c>
      <c r="B9162" s="1" t="n">
        <v>45728.48884259259</v>
      </c>
      <c r="C9162" s="1" t="n">
        <v>45932</v>
      </c>
      <c r="D9162" t="inlineStr">
        <is>
          <t>VÄRMLANDS LÄN</t>
        </is>
      </c>
      <c r="E9162" t="inlineStr">
        <is>
          <t>SÄFFLE</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42829-2025</t>
        </is>
      </c>
      <c r="B9163" s="1" t="n">
        <v>45908.57747685185</v>
      </c>
      <c r="C9163" s="1" t="n">
        <v>45932</v>
      </c>
      <c r="D9163" t="inlineStr">
        <is>
          <t>VÄRMLANDS LÄN</t>
        </is>
      </c>
      <c r="E9163" t="inlineStr">
        <is>
          <t>KARLSTAD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27359-2025</t>
        </is>
      </c>
      <c r="B9164" s="1" t="n">
        <v>45812.63760416667</v>
      </c>
      <c r="C9164" s="1" t="n">
        <v>45932</v>
      </c>
      <c r="D9164" t="inlineStr">
        <is>
          <t>VÄRMLANDS LÄN</t>
        </is>
      </c>
      <c r="E9164" t="inlineStr">
        <is>
          <t>KIL</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19438-2025</t>
        </is>
      </c>
      <c r="B9165" s="1" t="n">
        <v>45770</v>
      </c>
      <c r="C9165" s="1" t="n">
        <v>45932</v>
      </c>
      <c r="D9165" t="inlineStr">
        <is>
          <t>VÄRMLANDS LÄN</t>
        </is>
      </c>
      <c r="E9165" t="inlineStr">
        <is>
          <t>EDA</t>
        </is>
      </c>
      <c r="F9165" t="inlineStr">
        <is>
          <t>Bergvik skog väst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42938-2025</t>
        </is>
      </c>
      <c r="B9166" s="1" t="n">
        <v>45909.33035879629</v>
      </c>
      <c r="C9166" s="1" t="n">
        <v>45932</v>
      </c>
      <c r="D9166" t="inlineStr">
        <is>
          <t>VÄRMLANDS LÄN</t>
        </is>
      </c>
      <c r="E9166" t="inlineStr">
        <is>
          <t>ARVIKA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42961-2025</t>
        </is>
      </c>
      <c r="B9167" s="1" t="n">
        <v>45909.36737268518</v>
      </c>
      <c r="C9167" s="1" t="n">
        <v>45932</v>
      </c>
      <c r="D9167" t="inlineStr">
        <is>
          <t>VÄRMLANDS LÄN</t>
        </is>
      </c>
      <c r="E9167" t="inlineStr">
        <is>
          <t>TORSBY</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11700-2022</t>
        </is>
      </c>
      <c r="B9168" s="1" t="n">
        <v>44634.37664351852</v>
      </c>
      <c r="C9168" s="1" t="n">
        <v>45932</v>
      </c>
      <c r="D9168" t="inlineStr">
        <is>
          <t>VÄRMLANDS LÄN</t>
        </is>
      </c>
      <c r="E9168" t="inlineStr">
        <is>
          <t>KARLSTAD</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58788-2024</t>
        </is>
      </c>
      <c r="B9169" s="1" t="n">
        <v>45635.96372685185</v>
      </c>
      <c r="C9169" s="1" t="n">
        <v>45932</v>
      </c>
      <c r="D9169" t="inlineStr">
        <is>
          <t>VÄRMLANDS LÄN</t>
        </is>
      </c>
      <c r="E9169" t="inlineStr">
        <is>
          <t>ÅRJÄNG</t>
        </is>
      </c>
      <c r="G9169" t="n">
        <v>12.4</v>
      </c>
      <c r="H9169" t="n">
        <v>0</v>
      </c>
      <c r="I9169" t="n">
        <v>0</v>
      </c>
      <c r="J9169" t="n">
        <v>0</v>
      </c>
      <c r="K9169" t="n">
        <v>0</v>
      </c>
      <c r="L9169" t="n">
        <v>0</v>
      </c>
      <c r="M9169" t="n">
        <v>0</v>
      </c>
      <c r="N9169" t="n">
        <v>0</v>
      </c>
      <c r="O9169" t="n">
        <v>0</v>
      </c>
      <c r="P9169" t="n">
        <v>0</v>
      </c>
      <c r="Q9169" t="n">
        <v>0</v>
      </c>
      <c r="R9169" s="2" t="inlineStr"/>
    </row>
    <row r="9170" ht="15" customHeight="1">
      <c r="A9170" t="inlineStr">
        <is>
          <t>A 34534-2024</t>
        </is>
      </c>
      <c r="B9170" s="1" t="n">
        <v>45525</v>
      </c>
      <c r="C9170" s="1" t="n">
        <v>45932</v>
      </c>
      <c r="D9170" t="inlineStr">
        <is>
          <t>VÄRMLANDS LÄN</t>
        </is>
      </c>
      <c r="E9170" t="inlineStr">
        <is>
          <t>TORSBY</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39033-2025</t>
        </is>
      </c>
      <c r="B9171" s="1" t="n">
        <v>45888</v>
      </c>
      <c r="C9171" s="1" t="n">
        <v>45932</v>
      </c>
      <c r="D9171" t="inlineStr">
        <is>
          <t>VÄRMLANDS LÄN</t>
        </is>
      </c>
      <c r="E9171" t="inlineStr">
        <is>
          <t>TORSBY</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47187-2025</t>
        </is>
      </c>
      <c r="B9172" s="1" t="n">
        <v>45930</v>
      </c>
      <c r="C9172" s="1" t="n">
        <v>45932</v>
      </c>
      <c r="D9172" t="inlineStr">
        <is>
          <t>VÄRMLANDS LÄN</t>
        </is>
      </c>
      <c r="E9172" t="inlineStr">
        <is>
          <t>ARVIKA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54977-2022</t>
        </is>
      </c>
      <c r="B9173" s="1" t="n">
        <v>44886</v>
      </c>
      <c r="C9173" s="1" t="n">
        <v>45932</v>
      </c>
      <c r="D9173" t="inlineStr">
        <is>
          <t>VÄRMLANDS LÄN</t>
        </is>
      </c>
      <c r="E9173" t="inlineStr">
        <is>
          <t>SUNNE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43059-2025</t>
        </is>
      </c>
      <c r="B9174" s="1" t="n">
        <v>45909.57890046296</v>
      </c>
      <c r="C9174" s="1" t="n">
        <v>45932</v>
      </c>
      <c r="D9174" t="inlineStr">
        <is>
          <t>VÄRMLANDS LÄN</t>
        </is>
      </c>
      <c r="E9174" t="inlineStr">
        <is>
          <t>FILIPSTAD</t>
        </is>
      </c>
      <c r="F9174" t="inlineStr">
        <is>
          <t>Bergvik skog väst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42544-2025</t>
        </is>
      </c>
      <c r="B9175" s="1" t="n">
        <v>45905</v>
      </c>
      <c r="C9175" s="1" t="n">
        <v>45932</v>
      </c>
      <c r="D9175" t="inlineStr">
        <is>
          <t>VÄRMLANDS LÄN</t>
        </is>
      </c>
      <c r="E9175" t="inlineStr">
        <is>
          <t>HAGFORS</t>
        </is>
      </c>
      <c r="F9175" t="inlineStr">
        <is>
          <t>Bergvik skog väst AB</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42684-2025</t>
        </is>
      </c>
      <c r="B9176" s="1" t="n">
        <v>45908.35305555556</v>
      </c>
      <c r="C9176" s="1" t="n">
        <v>45932</v>
      </c>
      <c r="D9176" t="inlineStr">
        <is>
          <t>VÄRMLANDS LÄN</t>
        </is>
      </c>
      <c r="E9176" t="inlineStr">
        <is>
          <t>KARLSTAD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39887-2025</t>
        </is>
      </c>
      <c r="B9177" s="1" t="n">
        <v>45891</v>
      </c>
      <c r="C9177" s="1" t="n">
        <v>45932</v>
      </c>
      <c r="D9177" t="inlineStr">
        <is>
          <t>VÄRMLANDS LÄN</t>
        </is>
      </c>
      <c r="E9177" t="inlineStr">
        <is>
          <t>EDA</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20369-2024</t>
        </is>
      </c>
      <c r="B9178" s="1" t="n">
        <v>45435</v>
      </c>
      <c r="C9178" s="1" t="n">
        <v>45932</v>
      </c>
      <c r="D9178" t="inlineStr">
        <is>
          <t>VÄRMLANDS LÄN</t>
        </is>
      </c>
      <c r="E9178" t="inlineStr">
        <is>
          <t>GRUMS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47225-2025</t>
        </is>
      </c>
      <c r="B9179" s="1" t="n">
        <v>45930.39145833333</v>
      </c>
      <c r="C9179" s="1" t="n">
        <v>45932</v>
      </c>
      <c r="D9179" t="inlineStr">
        <is>
          <t>VÄRMLANDS LÄN</t>
        </is>
      </c>
      <c r="E9179" t="inlineStr">
        <is>
          <t>ÅRJÄNG</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68328-2021</t>
        </is>
      </c>
      <c r="B9180" s="1" t="n">
        <v>44527.35875</v>
      </c>
      <c r="C9180" s="1" t="n">
        <v>45932</v>
      </c>
      <c r="D9180" t="inlineStr">
        <is>
          <t>VÄRMLANDS LÄN</t>
        </is>
      </c>
      <c r="E9180" t="inlineStr">
        <is>
          <t>ÅRJÄNG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39069-2022</t>
        </is>
      </c>
      <c r="B9181" s="1" t="n">
        <v>44816</v>
      </c>
      <c r="C9181" s="1" t="n">
        <v>45932</v>
      </c>
      <c r="D9181" t="inlineStr">
        <is>
          <t>VÄRMLANDS LÄN</t>
        </is>
      </c>
      <c r="E9181" t="inlineStr">
        <is>
          <t>TORSBY</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39073-2022</t>
        </is>
      </c>
      <c r="B9182" s="1" t="n">
        <v>44817</v>
      </c>
      <c r="C9182" s="1" t="n">
        <v>45932</v>
      </c>
      <c r="D9182" t="inlineStr">
        <is>
          <t>VÄRMLANDS LÄN</t>
        </is>
      </c>
      <c r="E9182" t="inlineStr">
        <is>
          <t>ARVIKA</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50684-2024</t>
        </is>
      </c>
      <c r="B9183" s="1" t="n">
        <v>45602.31829861111</v>
      </c>
      <c r="C9183" s="1" t="n">
        <v>45932</v>
      </c>
      <c r="D9183" t="inlineStr">
        <is>
          <t>VÄRMLANDS LÄN</t>
        </is>
      </c>
      <c r="E9183" t="inlineStr">
        <is>
          <t>SUNNE</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43084-2025</t>
        </is>
      </c>
      <c r="B9184" s="1" t="n">
        <v>45909</v>
      </c>
      <c r="C9184" s="1" t="n">
        <v>45932</v>
      </c>
      <c r="D9184" t="inlineStr">
        <is>
          <t>VÄRMLANDS LÄN</t>
        </is>
      </c>
      <c r="E9184" t="inlineStr">
        <is>
          <t>HAGFORS</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13275-2025</t>
        </is>
      </c>
      <c r="B9185" s="1" t="n">
        <v>45735.5514699074</v>
      </c>
      <c r="C9185" s="1" t="n">
        <v>45932</v>
      </c>
      <c r="D9185" t="inlineStr">
        <is>
          <t>VÄRMLANDS LÄN</t>
        </is>
      </c>
      <c r="E9185" t="inlineStr">
        <is>
          <t>SUNNE</t>
        </is>
      </c>
      <c r="F9185" t="inlineStr">
        <is>
          <t>Bergvik skog väst AB</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40788-2022</t>
        </is>
      </c>
      <c r="B9186" s="1" t="n">
        <v>44824</v>
      </c>
      <c r="C9186" s="1" t="n">
        <v>45932</v>
      </c>
      <c r="D9186" t="inlineStr">
        <is>
          <t>VÄRMLANDS LÄN</t>
        </is>
      </c>
      <c r="E9186" t="inlineStr">
        <is>
          <t>TORSBY</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17117-2025</t>
        </is>
      </c>
      <c r="B9187" s="1" t="n">
        <v>45755.68284722222</v>
      </c>
      <c r="C9187" s="1" t="n">
        <v>45932</v>
      </c>
      <c r="D9187" t="inlineStr">
        <is>
          <t>VÄRMLANDS LÄN</t>
        </is>
      </c>
      <c r="E9187" t="inlineStr">
        <is>
          <t>FORSHAGA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36258-2025</t>
        </is>
      </c>
      <c r="B9188" s="1" t="n">
        <v>45867.59559027778</v>
      </c>
      <c r="C9188" s="1" t="n">
        <v>45932</v>
      </c>
      <c r="D9188" t="inlineStr">
        <is>
          <t>VÄRMLANDS LÄN</t>
        </is>
      </c>
      <c r="E9188" t="inlineStr">
        <is>
          <t>TORSBY</t>
        </is>
      </c>
      <c r="F9188" t="inlineStr">
        <is>
          <t>Bergvik skog väst AB</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19878-2025</t>
        </is>
      </c>
      <c r="B9189" s="1" t="n">
        <v>45771.55361111111</v>
      </c>
      <c r="C9189" s="1" t="n">
        <v>45932</v>
      </c>
      <c r="D9189" t="inlineStr">
        <is>
          <t>VÄRMLANDS LÄN</t>
        </is>
      </c>
      <c r="E9189" t="inlineStr">
        <is>
          <t>TORSBY</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24477-2022</t>
        </is>
      </c>
      <c r="B9190" s="1" t="n">
        <v>44726.65575231481</v>
      </c>
      <c r="C9190" s="1" t="n">
        <v>45932</v>
      </c>
      <c r="D9190" t="inlineStr">
        <is>
          <t>VÄRMLANDS LÄN</t>
        </is>
      </c>
      <c r="E9190" t="inlineStr">
        <is>
          <t>ÅRJÄNG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3147-2025</t>
        </is>
      </c>
      <c r="B9191" s="1" t="n">
        <v>45678.88856481481</v>
      </c>
      <c r="C9191" s="1" t="n">
        <v>45932</v>
      </c>
      <c r="D9191" t="inlineStr">
        <is>
          <t>VÄRMLANDS LÄN</t>
        </is>
      </c>
      <c r="E9191" t="inlineStr">
        <is>
          <t>SUNNE</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69015-2021</t>
        </is>
      </c>
      <c r="B9192" s="1" t="n">
        <v>44530.60211805555</v>
      </c>
      <c r="C9192" s="1" t="n">
        <v>45932</v>
      </c>
      <c r="D9192" t="inlineStr">
        <is>
          <t>VÄRMLANDS LÄN</t>
        </is>
      </c>
      <c r="E9192" t="inlineStr">
        <is>
          <t>FILIPSTAD</t>
        </is>
      </c>
      <c r="F9192" t="inlineStr">
        <is>
          <t>Bergvik skog väst AB</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40422-2025</t>
        </is>
      </c>
      <c r="B9193" s="1" t="n">
        <v>45895</v>
      </c>
      <c r="C9193" s="1" t="n">
        <v>45932</v>
      </c>
      <c r="D9193" t="inlineStr">
        <is>
          <t>VÄRMLANDS LÄN</t>
        </is>
      </c>
      <c r="E9193" t="inlineStr">
        <is>
          <t>ARVIKA</t>
        </is>
      </c>
      <c r="F9193" t="inlineStr">
        <is>
          <t>Bergvik skog väst AB</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42354-2025</t>
        </is>
      </c>
      <c r="B9194" s="1" t="n">
        <v>45904</v>
      </c>
      <c r="C9194" s="1" t="n">
        <v>45932</v>
      </c>
      <c r="D9194" t="inlineStr">
        <is>
          <t>VÄRMLANDS LÄN</t>
        </is>
      </c>
      <c r="E9194" t="inlineStr">
        <is>
          <t>TORSBY</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63957-2020</t>
        </is>
      </c>
      <c r="B9195" s="1" t="n">
        <v>44167</v>
      </c>
      <c r="C9195" s="1" t="n">
        <v>45932</v>
      </c>
      <c r="D9195" t="inlineStr">
        <is>
          <t>VÄRMLANDS LÄN</t>
        </is>
      </c>
      <c r="E9195" t="inlineStr">
        <is>
          <t>HAGFORS</t>
        </is>
      </c>
      <c r="F9195" t="inlineStr">
        <is>
          <t>Bergvik skog väst AB</t>
        </is>
      </c>
      <c r="G9195" t="n">
        <v>25.9</v>
      </c>
      <c r="H9195" t="n">
        <v>0</v>
      </c>
      <c r="I9195" t="n">
        <v>0</v>
      </c>
      <c r="J9195" t="n">
        <v>0</v>
      </c>
      <c r="K9195" t="n">
        <v>0</v>
      </c>
      <c r="L9195" t="n">
        <v>0</v>
      </c>
      <c r="M9195" t="n">
        <v>0</v>
      </c>
      <c r="N9195" t="n">
        <v>0</v>
      </c>
      <c r="O9195" t="n">
        <v>0</v>
      </c>
      <c r="P9195" t="n">
        <v>0</v>
      </c>
      <c r="Q9195" t="n">
        <v>0</v>
      </c>
      <c r="R9195" s="2" t="inlineStr"/>
    </row>
    <row r="9196" ht="15" customHeight="1">
      <c r="A9196" t="inlineStr">
        <is>
          <t>A 47604-2025</t>
        </is>
      </c>
      <c r="B9196" s="1" t="n">
        <v>45931.46254629629</v>
      </c>
      <c r="C9196" s="1" t="n">
        <v>45932</v>
      </c>
      <c r="D9196" t="inlineStr">
        <is>
          <t>VÄRMLANDS LÄN</t>
        </is>
      </c>
      <c r="E9196" t="inlineStr">
        <is>
          <t>ÅRJÄNG</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66642-2021</t>
        </is>
      </c>
      <c r="B9197" s="1" t="n">
        <v>44519</v>
      </c>
      <c r="C9197" s="1" t="n">
        <v>45932</v>
      </c>
      <c r="D9197" t="inlineStr">
        <is>
          <t>VÄRMLANDS LÄN</t>
        </is>
      </c>
      <c r="E9197" t="inlineStr">
        <is>
          <t>KARLSTAD</t>
        </is>
      </c>
      <c r="G9197" t="n">
        <v>18.2</v>
      </c>
      <c r="H9197" t="n">
        <v>0</v>
      </c>
      <c r="I9197" t="n">
        <v>0</v>
      </c>
      <c r="J9197" t="n">
        <v>0</v>
      </c>
      <c r="K9197" t="n">
        <v>0</v>
      </c>
      <c r="L9197" t="n">
        <v>0</v>
      </c>
      <c r="M9197" t="n">
        <v>0</v>
      </c>
      <c r="N9197" t="n">
        <v>0</v>
      </c>
      <c r="O9197" t="n">
        <v>0</v>
      </c>
      <c r="P9197" t="n">
        <v>0</v>
      </c>
      <c r="Q9197" t="n">
        <v>0</v>
      </c>
      <c r="R9197" s="2" t="inlineStr"/>
    </row>
    <row r="9198" ht="15" customHeight="1">
      <c r="A9198" t="inlineStr">
        <is>
          <t>A 47634-2025</t>
        </is>
      </c>
      <c r="B9198" s="1" t="n">
        <v>45931.49461805556</v>
      </c>
      <c r="C9198" s="1" t="n">
        <v>45932</v>
      </c>
      <c r="D9198" t="inlineStr">
        <is>
          <t>VÄRMLANDS LÄN</t>
        </is>
      </c>
      <c r="E9198" t="inlineStr">
        <is>
          <t>ÅRJÄNG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53960-2024</t>
        </is>
      </c>
      <c r="B9199" s="1" t="n">
        <v>45616.31168981481</v>
      </c>
      <c r="C9199" s="1" t="n">
        <v>45932</v>
      </c>
      <c r="D9199" t="inlineStr">
        <is>
          <t>VÄRMLANDS LÄN</t>
        </is>
      </c>
      <c r="E9199" t="inlineStr">
        <is>
          <t>ARVIKA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29508-2023</t>
        </is>
      </c>
      <c r="B9200" s="1" t="n">
        <v>45106.60681712963</v>
      </c>
      <c r="C9200" s="1" t="n">
        <v>45932</v>
      </c>
      <c r="D9200" t="inlineStr">
        <is>
          <t>VÄRMLANDS LÄN</t>
        </is>
      </c>
      <c r="E9200" t="inlineStr">
        <is>
          <t>SÄFFLE</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23334-2023</t>
        </is>
      </c>
      <c r="B9201" s="1" t="n">
        <v>45076</v>
      </c>
      <c r="C9201" s="1" t="n">
        <v>45932</v>
      </c>
      <c r="D9201" t="inlineStr">
        <is>
          <t>VÄRMLANDS LÄN</t>
        </is>
      </c>
      <c r="E9201" t="inlineStr">
        <is>
          <t>ÅRJÄNG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36288-2025</t>
        </is>
      </c>
      <c r="B9202" s="1" t="n">
        <v>45867.6619212963</v>
      </c>
      <c r="C9202" s="1" t="n">
        <v>45932</v>
      </c>
      <c r="D9202" t="inlineStr">
        <is>
          <t>VÄRMLANDS LÄN</t>
        </is>
      </c>
      <c r="E9202" t="inlineStr">
        <is>
          <t>TORSBY</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2616-2025</t>
        </is>
      </c>
      <c r="B9203" s="1" t="n">
        <v>45675</v>
      </c>
      <c r="C9203" s="1" t="n">
        <v>45932</v>
      </c>
      <c r="D9203" t="inlineStr">
        <is>
          <t>VÄRMLANDS LÄN</t>
        </is>
      </c>
      <c r="E9203" t="inlineStr">
        <is>
          <t>TORSBY</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39336-2025</t>
        </is>
      </c>
      <c r="B9204" s="1" t="n">
        <v>45889.49408564815</v>
      </c>
      <c r="C9204" s="1" t="n">
        <v>45932</v>
      </c>
      <c r="D9204" t="inlineStr">
        <is>
          <t>VÄRMLANDS LÄN</t>
        </is>
      </c>
      <c r="E9204" t="inlineStr">
        <is>
          <t>SUNNE</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36289-2025</t>
        </is>
      </c>
      <c r="B9205" s="1" t="n">
        <v>45867.66329861111</v>
      </c>
      <c r="C9205" s="1" t="n">
        <v>45932</v>
      </c>
      <c r="D9205" t="inlineStr">
        <is>
          <t>VÄRMLANDS LÄN</t>
        </is>
      </c>
      <c r="E9205" t="inlineStr">
        <is>
          <t>TORSBY</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7272-2022</t>
        </is>
      </c>
      <c r="B9206" s="1" t="n">
        <v>44606.4540625</v>
      </c>
      <c r="C9206" s="1" t="n">
        <v>45932</v>
      </c>
      <c r="D9206" t="inlineStr">
        <is>
          <t>VÄRMLANDS LÄN</t>
        </is>
      </c>
      <c r="E9206" t="inlineStr">
        <is>
          <t>GRUMS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36279-2025</t>
        </is>
      </c>
      <c r="B9207" s="1" t="n">
        <v>45867.638125</v>
      </c>
      <c r="C9207" s="1" t="n">
        <v>45932</v>
      </c>
      <c r="D9207" t="inlineStr">
        <is>
          <t>VÄRMLANDS LÄN</t>
        </is>
      </c>
      <c r="E9207" t="inlineStr">
        <is>
          <t>TORSBY</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47624-2025</t>
        </is>
      </c>
      <c r="B9208" s="1" t="n">
        <v>45931.48381944445</v>
      </c>
      <c r="C9208" s="1" t="n">
        <v>45932</v>
      </c>
      <c r="D9208" t="inlineStr">
        <is>
          <t>VÄRMLANDS LÄN</t>
        </is>
      </c>
      <c r="E9208" t="inlineStr">
        <is>
          <t>TORSBY</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20191-2025</t>
        </is>
      </c>
      <c r="B9209" s="1" t="n">
        <v>45772</v>
      </c>
      <c r="C9209" s="1" t="n">
        <v>45932</v>
      </c>
      <c r="D9209" t="inlineStr">
        <is>
          <t>VÄRMLANDS LÄN</t>
        </is>
      </c>
      <c r="E9209" t="inlineStr">
        <is>
          <t>TORSBY</t>
        </is>
      </c>
      <c r="F9209" t="inlineStr">
        <is>
          <t>Bergvik skog väst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17142-2025</t>
        </is>
      </c>
      <c r="B9210" s="1" t="n">
        <v>45755.88490740741</v>
      </c>
      <c r="C9210" s="1" t="n">
        <v>45932</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39640-2025</t>
        </is>
      </c>
      <c r="B9211" s="1" t="n">
        <v>45890.60430555556</v>
      </c>
      <c r="C9211" s="1" t="n">
        <v>45932</v>
      </c>
      <c r="D9211" t="inlineStr">
        <is>
          <t>VÄRMLANDS LÄN</t>
        </is>
      </c>
      <c r="E9211" t="inlineStr">
        <is>
          <t>ARVIKA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25961-2025</t>
        </is>
      </c>
      <c r="B9212" s="1" t="n">
        <v>45804</v>
      </c>
      <c r="C9212" s="1" t="n">
        <v>45932</v>
      </c>
      <c r="D9212" t="inlineStr">
        <is>
          <t>VÄRMLANDS LÄN</t>
        </is>
      </c>
      <c r="E9212" t="inlineStr">
        <is>
          <t>TORSBY</t>
        </is>
      </c>
      <c r="G9212" t="n">
        <v>17.8</v>
      </c>
      <c r="H9212" t="n">
        <v>0</v>
      </c>
      <c r="I9212" t="n">
        <v>0</v>
      </c>
      <c r="J9212" t="n">
        <v>0</v>
      </c>
      <c r="K9212" t="n">
        <v>0</v>
      </c>
      <c r="L9212" t="n">
        <v>0</v>
      </c>
      <c r="M9212" t="n">
        <v>0</v>
      </c>
      <c r="N9212" t="n">
        <v>0</v>
      </c>
      <c r="O9212" t="n">
        <v>0</v>
      </c>
      <c r="P9212" t="n">
        <v>0</v>
      </c>
      <c r="Q9212" t="n">
        <v>0</v>
      </c>
      <c r="R9212" s="2" t="inlineStr"/>
    </row>
    <row r="9213" ht="15" customHeight="1">
      <c r="A9213" t="inlineStr">
        <is>
          <t>A 6669-2023</t>
        </is>
      </c>
      <c r="B9213" s="1" t="n">
        <v>44963</v>
      </c>
      <c r="C9213" s="1" t="n">
        <v>45932</v>
      </c>
      <c r="D9213" t="inlineStr">
        <is>
          <t>VÄRMLANDS LÄN</t>
        </is>
      </c>
      <c r="E9213" t="inlineStr">
        <is>
          <t>SUNNE</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57711-2023</t>
        </is>
      </c>
      <c r="B9214" s="1" t="n">
        <v>45243</v>
      </c>
      <c r="C9214" s="1" t="n">
        <v>45932</v>
      </c>
      <c r="D9214" t="inlineStr">
        <is>
          <t>VÄRMLANDS LÄN</t>
        </is>
      </c>
      <c r="E9214" t="inlineStr">
        <is>
          <t>SUNNE</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52483-2022</t>
        </is>
      </c>
      <c r="B9215" s="1" t="n">
        <v>44874.48637731482</v>
      </c>
      <c r="C9215" s="1" t="n">
        <v>45932</v>
      </c>
      <c r="D9215" t="inlineStr">
        <is>
          <t>VÄRMLANDS LÄN</t>
        </is>
      </c>
      <c r="E9215" t="inlineStr">
        <is>
          <t>TORSBY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48762-2023</t>
        </is>
      </c>
      <c r="B9216" s="1" t="n">
        <v>45208</v>
      </c>
      <c r="C9216" s="1" t="n">
        <v>45932</v>
      </c>
      <c r="D9216" t="inlineStr">
        <is>
          <t>VÄRMLANDS LÄN</t>
        </is>
      </c>
      <c r="E9216" t="inlineStr">
        <is>
          <t>TORSBY</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5699-2022</t>
        </is>
      </c>
      <c r="B9217" s="1" t="n">
        <v>44596.37890046297</v>
      </c>
      <c r="C9217" s="1" t="n">
        <v>45932</v>
      </c>
      <c r="D9217" t="inlineStr">
        <is>
          <t>VÄRMLANDS LÄN</t>
        </is>
      </c>
      <c r="E9217" t="inlineStr">
        <is>
          <t>EDA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48444-2023</t>
        </is>
      </c>
      <c r="B9218" s="1" t="n">
        <v>45206.37090277778</v>
      </c>
      <c r="C9218" s="1" t="n">
        <v>45932</v>
      </c>
      <c r="D9218" t="inlineStr">
        <is>
          <t>VÄRMLANDS LÄN</t>
        </is>
      </c>
      <c r="E9218" t="inlineStr">
        <is>
          <t>ÅRJÄNG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20966-2024</t>
        </is>
      </c>
      <c r="B9219" s="1" t="n">
        <v>45439</v>
      </c>
      <c r="C9219" s="1" t="n">
        <v>45932</v>
      </c>
      <c r="D9219" t="inlineStr">
        <is>
          <t>VÄRMLANDS LÄN</t>
        </is>
      </c>
      <c r="E9219" t="inlineStr">
        <is>
          <t>FILIPSTAD</t>
        </is>
      </c>
      <c r="F9219" t="inlineStr">
        <is>
          <t>Bergvik skog väst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48457-2023</t>
        </is>
      </c>
      <c r="B9220" s="1" t="n">
        <v>45206</v>
      </c>
      <c r="C9220" s="1" t="n">
        <v>45932</v>
      </c>
      <c r="D9220" t="inlineStr">
        <is>
          <t>VÄRMLANDS LÄN</t>
        </is>
      </c>
      <c r="E9220" t="inlineStr">
        <is>
          <t>ARVIKA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51661-2024</t>
        </is>
      </c>
      <c r="B9221" s="1" t="n">
        <v>45606.74392361111</v>
      </c>
      <c r="C9221" s="1" t="n">
        <v>45932</v>
      </c>
      <c r="D9221" t="inlineStr">
        <is>
          <t>VÄRMLANDS LÄN</t>
        </is>
      </c>
      <c r="E9221" t="inlineStr">
        <is>
          <t>TORSBY</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51663-2024</t>
        </is>
      </c>
      <c r="B9222" s="1" t="n">
        <v>45606.76396990741</v>
      </c>
      <c r="C9222" s="1" t="n">
        <v>45932</v>
      </c>
      <c r="D9222" t="inlineStr">
        <is>
          <t>VÄRMLANDS LÄN</t>
        </is>
      </c>
      <c r="E9222" t="inlineStr">
        <is>
          <t>TORSBY</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41994-2025</t>
        </is>
      </c>
      <c r="B9223" s="1" t="n">
        <v>45903</v>
      </c>
      <c r="C9223" s="1" t="n">
        <v>45932</v>
      </c>
      <c r="D9223" t="inlineStr">
        <is>
          <t>VÄRMLANDS LÄN</t>
        </is>
      </c>
      <c r="E9223" t="inlineStr">
        <is>
          <t>EDA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14026-2025</t>
        </is>
      </c>
      <c r="B9224" s="1" t="n">
        <v>45740.35003472222</v>
      </c>
      <c r="C9224" s="1" t="n">
        <v>45932</v>
      </c>
      <c r="D9224" t="inlineStr">
        <is>
          <t>VÄRMLANDS LÄN</t>
        </is>
      </c>
      <c r="E9224" t="inlineStr">
        <is>
          <t>TORSBY</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44101-2024</t>
        </is>
      </c>
      <c r="B9225" s="1" t="n">
        <v>45572.62758101852</v>
      </c>
      <c r="C9225" s="1" t="n">
        <v>45932</v>
      </c>
      <c r="D9225" t="inlineStr">
        <is>
          <t>VÄRMLANDS LÄN</t>
        </is>
      </c>
      <c r="E9225" t="inlineStr">
        <is>
          <t>KARLSTAD</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23117-2023</t>
        </is>
      </c>
      <c r="B9226" s="1" t="n">
        <v>45075.45097222222</v>
      </c>
      <c r="C9226" s="1" t="n">
        <v>45932</v>
      </c>
      <c r="D9226" t="inlineStr">
        <is>
          <t>VÄRMLANDS LÄN</t>
        </is>
      </c>
      <c r="E9226" t="inlineStr">
        <is>
          <t>FORSHAGA</t>
        </is>
      </c>
      <c r="F9226" t="inlineStr">
        <is>
          <t>Kyrkan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33318-2022</t>
        </is>
      </c>
      <c r="B9227" s="1" t="n">
        <v>44788</v>
      </c>
      <c r="C9227" s="1" t="n">
        <v>45932</v>
      </c>
      <c r="D9227" t="inlineStr">
        <is>
          <t>VÄRMLANDS LÄN</t>
        </is>
      </c>
      <c r="E9227" t="inlineStr">
        <is>
          <t>SUNNE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25498-2023</t>
        </is>
      </c>
      <c r="B9228" s="1" t="n">
        <v>45089.48630787037</v>
      </c>
      <c r="C9228" s="1" t="n">
        <v>45932</v>
      </c>
      <c r="D9228" t="inlineStr">
        <is>
          <t>VÄRMLANDS LÄN</t>
        </is>
      </c>
      <c r="E9228" t="inlineStr">
        <is>
          <t>STORFORS</t>
        </is>
      </c>
      <c r="F9228" t="inlineStr">
        <is>
          <t>Bergvik skog väst AB</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4373-2022</t>
        </is>
      </c>
      <c r="B9229" s="1" t="n">
        <v>44589</v>
      </c>
      <c r="C9229" s="1" t="n">
        <v>45932</v>
      </c>
      <c r="D9229" t="inlineStr">
        <is>
          <t>VÄRMLANDS LÄN</t>
        </is>
      </c>
      <c r="E9229" t="inlineStr">
        <is>
          <t>KARLSTAD</t>
        </is>
      </c>
      <c r="F9229" t="inlineStr">
        <is>
          <t>Bergvik skog väst AB</t>
        </is>
      </c>
      <c r="G9229" t="n">
        <v>17.9</v>
      </c>
      <c r="H9229" t="n">
        <v>0</v>
      </c>
      <c r="I9229" t="n">
        <v>0</v>
      </c>
      <c r="J9229" t="n">
        <v>0</v>
      </c>
      <c r="K9229" t="n">
        <v>0</v>
      </c>
      <c r="L9229" t="n">
        <v>0</v>
      </c>
      <c r="M9229" t="n">
        <v>0</v>
      </c>
      <c r="N9229" t="n">
        <v>0</v>
      </c>
      <c r="O9229" t="n">
        <v>0</v>
      </c>
      <c r="P9229" t="n">
        <v>0</v>
      </c>
      <c r="Q9229" t="n">
        <v>0</v>
      </c>
      <c r="R9229" s="2" t="inlineStr"/>
    </row>
    <row r="9230" ht="15" customHeight="1">
      <c r="A9230" t="inlineStr">
        <is>
          <t>A 14951-2023</t>
        </is>
      </c>
      <c r="B9230" s="1" t="n">
        <v>45015.46771990741</v>
      </c>
      <c r="C9230" s="1" t="n">
        <v>45932</v>
      </c>
      <c r="D9230" t="inlineStr">
        <is>
          <t>VÄRMLANDS LÄN</t>
        </is>
      </c>
      <c r="E9230" t="inlineStr">
        <is>
          <t>EDA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26309-2023</t>
        </is>
      </c>
      <c r="B9231" s="1" t="n">
        <v>45091</v>
      </c>
      <c r="C9231" s="1" t="n">
        <v>45932</v>
      </c>
      <c r="D9231" t="inlineStr">
        <is>
          <t>VÄRMLANDS LÄN</t>
        </is>
      </c>
      <c r="E9231" t="inlineStr">
        <is>
          <t>SUNNE</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50825-2024</t>
        </is>
      </c>
      <c r="B9232" s="1" t="n">
        <v>45602</v>
      </c>
      <c r="C9232" s="1" t="n">
        <v>45932</v>
      </c>
      <c r="D9232" t="inlineStr">
        <is>
          <t>VÄRMLANDS LÄN</t>
        </is>
      </c>
      <c r="E9232" t="inlineStr">
        <is>
          <t>SUNNE</t>
        </is>
      </c>
      <c r="G9232" t="n">
        <v>7.3</v>
      </c>
      <c r="H9232" t="n">
        <v>0</v>
      </c>
      <c r="I9232" t="n">
        <v>0</v>
      </c>
      <c r="J9232" t="n">
        <v>0</v>
      </c>
      <c r="K9232" t="n">
        <v>0</v>
      </c>
      <c r="L9232" t="n">
        <v>0</v>
      </c>
      <c r="M9232" t="n">
        <v>0</v>
      </c>
      <c r="N9232" t="n">
        <v>0</v>
      </c>
      <c r="O9232" t="n">
        <v>0</v>
      </c>
      <c r="P9232" t="n">
        <v>0</v>
      </c>
      <c r="Q9232" t="n">
        <v>0</v>
      </c>
      <c r="R9232" s="2" t="inlineStr"/>
    </row>
    <row r="9233" ht="15" customHeight="1">
      <c r="A9233" t="inlineStr">
        <is>
          <t>A 61753-2020</t>
        </is>
      </c>
      <c r="B9233" s="1" t="n">
        <v>44158</v>
      </c>
      <c r="C9233" s="1" t="n">
        <v>45932</v>
      </c>
      <c r="D9233" t="inlineStr">
        <is>
          <t>VÄRMLANDS LÄN</t>
        </is>
      </c>
      <c r="E9233" t="inlineStr">
        <is>
          <t>TORSBY</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61777-2020</t>
        </is>
      </c>
      <c r="B9234" s="1" t="n">
        <v>44158</v>
      </c>
      <c r="C9234" s="1" t="n">
        <v>45932</v>
      </c>
      <c r="D9234" t="inlineStr">
        <is>
          <t>VÄRMLANDS LÄN</t>
        </is>
      </c>
      <c r="E9234" t="inlineStr">
        <is>
          <t>KRISTINEHAMN</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42350-2025</t>
        </is>
      </c>
      <c r="B9235" s="1" t="n">
        <v>45904</v>
      </c>
      <c r="C9235" s="1" t="n">
        <v>45932</v>
      </c>
      <c r="D9235" t="inlineStr">
        <is>
          <t>VÄRMLANDS LÄN</t>
        </is>
      </c>
      <c r="E9235" t="inlineStr">
        <is>
          <t>TORSBY</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42352-2025</t>
        </is>
      </c>
      <c r="B9236" s="1" t="n">
        <v>45904</v>
      </c>
      <c r="C9236" s="1" t="n">
        <v>45932</v>
      </c>
      <c r="D9236" t="inlineStr">
        <is>
          <t>VÄRMLANDS LÄN</t>
        </is>
      </c>
      <c r="E9236" t="inlineStr">
        <is>
          <t>TORSBY</t>
        </is>
      </c>
      <c r="G9236" t="n">
        <v>0.1</v>
      </c>
      <c r="H9236" t="n">
        <v>0</v>
      </c>
      <c r="I9236" t="n">
        <v>0</v>
      </c>
      <c r="J9236" t="n">
        <v>0</v>
      </c>
      <c r="K9236" t="n">
        <v>0</v>
      </c>
      <c r="L9236" t="n">
        <v>0</v>
      </c>
      <c r="M9236" t="n">
        <v>0</v>
      </c>
      <c r="N9236" t="n">
        <v>0</v>
      </c>
      <c r="O9236" t="n">
        <v>0</v>
      </c>
      <c r="P9236" t="n">
        <v>0</v>
      </c>
      <c r="Q9236" t="n">
        <v>0</v>
      </c>
      <c r="R9236" s="2" t="inlineStr"/>
    </row>
    <row r="9237" ht="15" customHeight="1">
      <c r="A9237" t="inlineStr">
        <is>
          <t>A 40413-2025</t>
        </is>
      </c>
      <c r="B9237" s="1" t="n">
        <v>45895</v>
      </c>
      <c r="C9237" s="1" t="n">
        <v>45932</v>
      </c>
      <c r="D9237" t="inlineStr">
        <is>
          <t>VÄRMLANDS LÄN</t>
        </is>
      </c>
      <c r="E9237" t="inlineStr">
        <is>
          <t>ARVIKA</t>
        </is>
      </c>
      <c r="F9237" t="inlineStr">
        <is>
          <t>Bergvik skog väst AB</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42886-2025</t>
        </is>
      </c>
      <c r="B9238" s="1" t="n">
        <v>45908.65288194444</v>
      </c>
      <c r="C9238" s="1" t="n">
        <v>45932</v>
      </c>
      <c r="D9238" t="inlineStr">
        <is>
          <t>VÄRMLANDS LÄN</t>
        </is>
      </c>
      <c r="E9238" t="inlineStr">
        <is>
          <t>TORSBY</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36122-2025</t>
        </is>
      </c>
      <c r="B9239" s="1" t="n">
        <v>45866</v>
      </c>
      <c r="C9239" s="1" t="n">
        <v>45932</v>
      </c>
      <c r="D9239" t="inlineStr">
        <is>
          <t>VÄRMLANDS LÄN</t>
        </is>
      </c>
      <c r="E9239" t="inlineStr">
        <is>
          <t>SÄFFLE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36153-2025</t>
        </is>
      </c>
      <c r="B9240" s="1" t="n">
        <v>45867</v>
      </c>
      <c r="C9240" s="1" t="n">
        <v>45932</v>
      </c>
      <c r="D9240" t="inlineStr">
        <is>
          <t>VÄRMLANDS LÄN</t>
        </is>
      </c>
      <c r="E9240" t="inlineStr">
        <is>
          <t>KARLSTAD</t>
        </is>
      </c>
      <c r="G9240" t="n">
        <v>10</v>
      </c>
      <c r="H9240" t="n">
        <v>0</v>
      </c>
      <c r="I9240" t="n">
        <v>0</v>
      </c>
      <c r="J9240" t="n">
        <v>0</v>
      </c>
      <c r="K9240" t="n">
        <v>0</v>
      </c>
      <c r="L9240" t="n">
        <v>0</v>
      </c>
      <c r="M9240" t="n">
        <v>0</v>
      </c>
      <c r="N9240" t="n">
        <v>0</v>
      </c>
      <c r="O9240" t="n">
        <v>0</v>
      </c>
      <c r="P9240" t="n">
        <v>0</v>
      </c>
      <c r="Q9240" t="n">
        <v>0</v>
      </c>
      <c r="R9240" s="2" t="inlineStr"/>
    </row>
    <row r="9241" ht="15" customHeight="1">
      <c r="A9241" t="inlineStr">
        <is>
          <t>A 42677-2025</t>
        </is>
      </c>
      <c r="B9241" s="1" t="n">
        <v>45908.32836805555</v>
      </c>
      <c r="C9241" s="1" t="n">
        <v>45932</v>
      </c>
      <c r="D9241" t="inlineStr">
        <is>
          <t>VÄRMLANDS LÄN</t>
        </is>
      </c>
      <c r="E9241" t="inlineStr">
        <is>
          <t>ÅRJÄNG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4465-2022</t>
        </is>
      </c>
      <c r="B9242" s="1" t="n">
        <v>44589.60690972222</v>
      </c>
      <c r="C9242" s="1" t="n">
        <v>45932</v>
      </c>
      <c r="D9242" t="inlineStr">
        <is>
          <t>VÄRMLANDS LÄN</t>
        </is>
      </c>
      <c r="E9242" t="inlineStr">
        <is>
          <t>ÅRJÄNG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39039-2025</t>
        </is>
      </c>
      <c r="B9243" s="1" t="n">
        <v>45888.42684027777</v>
      </c>
      <c r="C9243" s="1" t="n">
        <v>45932</v>
      </c>
      <c r="D9243" t="inlineStr">
        <is>
          <t>VÄRMLANDS LÄN</t>
        </is>
      </c>
      <c r="E9243" t="inlineStr">
        <is>
          <t>TORSBY</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1519-2025</t>
        </is>
      </c>
      <c r="B9244" s="1" t="n">
        <v>45670.46393518519</v>
      </c>
      <c r="C9244" s="1" t="n">
        <v>45932</v>
      </c>
      <c r="D9244" t="inlineStr">
        <is>
          <t>VÄRMLANDS LÄN</t>
        </is>
      </c>
      <c r="E9244" t="inlineStr">
        <is>
          <t>FILIPSTAD</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39277-2025</t>
        </is>
      </c>
      <c r="B9245" s="1" t="n">
        <v>45889.39391203703</v>
      </c>
      <c r="C9245" s="1" t="n">
        <v>45932</v>
      </c>
      <c r="D9245" t="inlineStr">
        <is>
          <t>VÄRMLANDS LÄN</t>
        </is>
      </c>
      <c r="E9245" t="inlineStr">
        <is>
          <t>SUNNE</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9285-2023</t>
        </is>
      </c>
      <c r="B9246" s="1" t="n">
        <v>44980</v>
      </c>
      <c r="C9246" s="1" t="n">
        <v>45932</v>
      </c>
      <c r="D9246" t="inlineStr">
        <is>
          <t>VÄRMLANDS LÄN</t>
        </is>
      </c>
      <c r="E9246" t="inlineStr">
        <is>
          <t>ARVIKA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39334-2025</t>
        </is>
      </c>
      <c r="B9247" s="1" t="n">
        <v>45889.49049768518</v>
      </c>
      <c r="C9247" s="1" t="n">
        <v>45932</v>
      </c>
      <c r="D9247" t="inlineStr">
        <is>
          <t>VÄRMLANDS LÄN</t>
        </is>
      </c>
      <c r="E9247" t="inlineStr">
        <is>
          <t>GRUMS</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47184-2025</t>
        </is>
      </c>
      <c r="B9248" s="1" t="n">
        <v>45930.32061342592</v>
      </c>
      <c r="C9248" s="1" t="n">
        <v>45932</v>
      </c>
      <c r="D9248" t="inlineStr">
        <is>
          <t>VÄRMLANDS LÄN</t>
        </is>
      </c>
      <c r="E9248" t="inlineStr">
        <is>
          <t>HAGFORS</t>
        </is>
      </c>
      <c r="F9248" t="inlineStr">
        <is>
          <t>Bergvik skog väst AB</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46503-2025</t>
        </is>
      </c>
      <c r="B9249" s="1" t="n">
        <v>45925</v>
      </c>
      <c r="C9249" s="1" t="n">
        <v>45932</v>
      </c>
      <c r="D9249" t="inlineStr">
        <is>
          <t>VÄRMLANDS LÄN</t>
        </is>
      </c>
      <c r="E9249" t="inlineStr">
        <is>
          <t>TORSBY</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18115-2025</t>
        </is>
      </c>
      <c r="B9250" s="1" t="n">
        <v>45761</v>
      </c>
      <c r="C9250" s="1" t="n">
        <v>45932</v>
      </c>
      <c r="D9250" t="inlineStr">
        <is>
          <t>VÄRMLANDS LÄN</t>
        </is>
      </c>
      <c r="E9250" t="inlineStr">
        <is>
          <t>TORSBY</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45342-2025</t>
        </is>
      </c>
      <c r="B9251" s="1" t="n">
        <v>45922</v>
      </c>
      <c r="C9251" s="1" t="n">
        <v>45932</v>
      </c>
      <c r="D9251" t="inlineStr">
        <is>
          <t>VÄRMLANDS LÄN</t>
        </is>
      </c>
      <c r="E9251" t="inlineStr">
        <is>
          <t>SÄFFLE</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39023-2025</t>
        </is>
      </c>
      <c r="B9252" s="1" t="n">
        <v>45888.3778587963</v>
      </c>
      <c r="C9252" s="1" t="n">
        <v>45932</v>
      </c>
      <c r="D9252" t="inlineStr">
        <is>
          <t>VÄRMLANDS LÄN</t>
        </is>
      </c>
      <c r="E9252" t="inlineStr">
        <is>
          <t>SÄFFLE</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47621-2025</t>
        </is>
      </c>
      <c r="B9253" s="1" t="n">
        <v>45931.48322916667</v>
      </c>
      <c r="C9253" s="1" t="n">
        <v>45932</v>
      </c>
      <c r="D9253" t="inlineStr">
        <is>
          <t>VÄRMLANDS LÄN</t>
        </is>
      </c>
      <c r="E9253" t="inlineStr">
        <is>
          <t>TORSBY</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47572-2025</t>
        </is>
      </c>
      <c r="B9254" s="1" t="n">
        <v>45931.39658564814</v>
      </c>
      <c r="C9254" s="1" t="n">
        <v>45932</v>
      </c>
      <c r="D9254" t="inlineStr">
        <is>
          <t>VÄRMLANDS LÄN</t>
        </is>
      </c>
      <c r="E9254" t="inlineStr">
        <is>
          <t>ÅRJÄNG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39636-2025</t>
        </is>
      </c>
      <c r="B9255" s="1" t="n">
        <v>45890.5974074074</v>
      </c>
      <c r="C9255" s="1" t="n">
        <v>45932</v>
      </c>
      <c r="D9255" t="inlineStr">
        <is>
          <t>VÄRMLANDS LÄN</t>
        </is>
      </c>
      <c r="E9255" t="inlineStr">
        <is>
          <t>ARVIKA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39702-2025</t>
        </is>
      </c>
      <c r="B9256" s="1" t="n">
        <v>45890</v>
      </c>
      <c r="C9256" s="1" t="n">
        <v>45932</v>
      </c>
      <c r="D9256" t="inlineStr">
        <is>
          <t>VÄRMLANDS LÄN</t>
        </is>
      </c>
      <c r="E9256" t="inlineStr">
        <is>
          <t>ARVIKA</t>
        </is>
      </c>
      <c r="F9256" t="inlineStr">
        <is>
          <t>Bergvik skog väst AB</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41300-2025</t>
        </is>
      </c>
      <c r="B9257" s="1" t="n">
        <v>45898</v>
      </c>
      <c r="C9257" s="1" t="n">
        <v>45932</v>
      </c>
      <c r="D9257" t="inlineStr">
        <is>
          <t>VÄRMLANDS LÄN</t>
        </is>
      </c>
      <c r="E9257" t="inlineStr">
        <is>
          <t>EDA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42642-2025</t>
        </is>
      </c>
      <c r="B9258" s="1" t="n">
        <v>45906</v>
      </c>
      <c r="C9258" s="1" t="n">
        <v>45932</v>
      </c>
      <c r="D9258" t="inlineStr">
        <is>
          <t>VÄRMLANDS LÄN</t>
        </is>
      </c>
      <c r="E9258" t="inlineStr">
        <is>
          <t>SUNNE</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43012-2025</t>
        </is>
      </c>
      <c r="B9259" s="1" t="n">
        <v>45909.48989583334</v>
      </c>
      <c r="C9259" s="1" t="n">
        <v>45932</v>
      </c>
      <c r="D9259" t="inlineStr">
        <is>
          <t>VÄRMLANDS LÄN</t>
        </is>
      </c>
      <c r="E9259" t="inlineStr">
        <is>
          <t>ÅRJÄNG</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43025-2025</t>
        </is>
      </c>
      <c r="B9260" s="1" t="n">
        <v>45909.53126157408</v>
      </c>
      <c r="C9260" s="1" t="n">
        <v>45932</v>
      </c>
      <c r="D9260" t="inlineStr">
        <is>
          <t>VÄRMLANDS LÄN</t>
        </is>
      </c>
      <c r="E9260" t="inlineStr">
        <is>
          <t>ÅRJÄNG</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42742-2025</t>
        </is>
      </c>
      <c r="B9261" s="1" t="n">
        <v>45908</v>
      </c>
      <c r="C9261" s="1" t="n">
        <v>45932</v>
      </c>
      <c r="D9261" t="inlineStr">
        <is>
          <t>VÄRMLANDS LÄN</t>
        </is>
      </c>
      <c r="E9261" t="inlineStr">
        <is>
          <t>TORSBY</t>
        </is>
      </c>
      <c r="F9261" t="inlineStr">
        <is>
          <t>Bergvik skog väst AB</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15170-2022</t>
        </is>
      </c>
      <c r="B9262" s="1" t="n">
        <v>44658.53688657407</v>
      </c>
      <c r="C9262" s="1" t="n">
        <v>45932</v>
      </c>
      <c r="D9262" t="inlineStr">
        <is>
          <t>VÄRMLANDS LÄN</t>
        </is>
      </c>
      <c r="E9262" t="inlineStr">
        <is>
          <t>SUNNE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36046-2025</t>
        </is>
      </c>
      <c r="B9263" s="1" t="n">
        <v>45866.36243055556</v>
      </c>
      <c r="C9263" s="1" t="n">
        <v>45932</v>
      </c>
      <c r="D9263" t="inlineStr">
        <is>
          <t>VÄRMLANDS LÄN</t>
        </is>
      </c>
      <c r="E9263" t="inlineStr">
        <is>
          <t>SÄFFLE</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16525-2023</t>
        </is>
      </c>
      <c r="B9264" s="1" t="n">
        <v>45029.66664351852</v>
      </c>
      <c r="C9264" s="1" t="n">
        <v>45932</v>
      </c>
      <c r="D9264" t="inlineStr">
        <is>
          <t>VÄRMLANDS LÄN</t>
        </is>
      </c>
      <c r="E9264" t="inlineStr">
        <is>
          <t>HAGFORS</t>
        </is>
      </c>
      <c r="F9264" t="inlineStr">
        <is>
          <t>Bergvik skog väst AB</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10579-2021</t>
        </is>
      </c>
      <c r="B9265" s="1" t="n">
        <v>44257</v>
      </c>
      <c r="C9265" s="1" t="n">
        <v>45932</v>
      </c>
      <c r="D9265" t="inlineStr">
        <is>
          <t>VÄRMLANDS LÄN</t>
        </is>
      </c>
      <c r="E9265" t="inlineStr">
        <is>
          <t>TORSBY</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22700-2021</t>
        </is>
      </c>
      <c r="B9266" s="1" t="n">
        <v>44327.59894675926</v>
      </c>
      <c r="C9266" s="1" t="n">
        <v>45932</v>
      </c>
      <c r="D9266" t="inlineStr">
        <is>
          <t>VÄRMLANDS LÄN</t>
        </is>
      </c>
      <c r="E9266" t="inlineStr">
        <is>
          <t>EDA</t>
        </is>
      </c>
      <c r="F9266" t="inlineStr">
        <is>
          <t>Kommuner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36477-2025</t>
        </is>
      </c>
      <c r="B9267" s="1" t="n">
        <v>45869</v>
      </c>
      <c r="C9267" s="1" t="n">
        <v>45932</v>
      </c>
      <c r="D9267" t="inlineStr">
        <is>
          <t>VÄRMLANDS LÄN</t>
        </is>
      </c>
      <c r="E9267" t="inlineStr">
        <is>
          <t>TORSBY</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24289-2025</t>
        </is>
      </c>
      <c r="B9268" s="1" t="n">
        <v>45797</v>
      </c>
      <c r="C9268" s="1" t="n">
        <v>45932</v>
      </c>
      <c r="D9268" t="inlineStr">
        <is>
          <t>VÄRMLANDS LÄN</t>
        </is>
      </c>
      <c r="E9268" t="inlineStr">
        <is>
          <t>SUNNE</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39107-2025</t>
        </is>
      </c>
      <c r="B9269" s="1" t="n">
        <v>45888.53887731482</v>
      </c>
      <c r="C9269" s="1" t="n">
        <v>45932</v>
      </c>
      <c r="D9269" t="inlineStr">
        <is>
          <t>VÄRMLANDS LÄN</t>
        </is>
      </c>
      <c r="E9269" t="inlineStr">
        <is>
          <t>SUNNE</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47426-2025</t>
        </is>
      </c>
      <c r="B9270" s="1" t="n">
        <v>45930.63482638889</v>
      </c>
      <c r="C9270" s="1" t="n">
        <v>45932</v>
      </c>
      <c r="D9270" t="inlineStr">
        <is>
          <t>VÄRMLANDS LÄN</t>
        </is>
      </c>
      <c r="E9270" t="inlineStr">
        <is>
          <t>ÅRJÄNG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47237-2025</t>
        </is>
      </c>
      <c r="B9271" s="1" t="n">
        <v>45930.40976851852</v>
      </c>
      <c r="C9271" s="1" t="n">
        <v>45932</v>
      </c>
      <c r="D9271" t="inlineStr">
        <is>
          <t>VÄRMLANDS LÄN</t>
        </is>
      </c>
      <c r="E9271" t="inlineStr">
        <is>
          <t>SUNNE</t>
        </is>
      </c>
      <c r="F9271" t="inlineStr">
        <is>
          <t>Bergvik skog väst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39021-2025</t>
        </is>
      </c>
      <c r="B9272" s="1" t="n">
        <v>45888.37590277778</v>
      </c>
      <c r="C9272" s="1" t="n">
        <v>45932</v>
      </c>
      <c r="D9272" t="inlineStr">
        <is>
          <t>VÄRMLANDS LÄN</t>
        </is>
      </c>
      <c r="E9272" t="inlineStr">
        <is>
          <t>SÄFFLE</t>
        </is>
      </c>
      <c r="G9272" t="n">
        <v>7.5</v>
      </c>
      <c r="H9272" t="n">
        <v>0</v>
      </c>
      <c r="I9272" t="n">
        <v>0</v>
      </c>
      <c r="J9272" t="n">
        <v>0</v>
      </c>
      <c r="K9272" t="n">
        <v>0</v>
      </c>
      <c r="L9272" t="n">
        <v>0</v>
      </c>
      <c r="M9272" t="n">
        <v>0</v>
      </c>
      <c r="N9272" t="n">
        <v>0</v>
      </c>
      <c r="O9272" t="n">
        <v>0</v>
      </c>
      <c r="P9272" t="n">
        <v>0</v>
      </c>
      <c r="Q9272" t="n">
        <v>0</v>
      </c>
      <c r="R9272" s="2" t="inlineStr"/>
    </row>
    <row r="9273" ht="15" customHeight="1">
      <c r="A9273" t="inlineStr">
        <is>
          <t>A 47423-2025</t>
        </is>
      </c>
      <c r="B9273" s="1" t="n">
        <v>45930.62782407407</v>
      </c>
      <c r="C9273" s="1" t="n">
        <v>45932</v>
      </c>
      <c r="D9273" t="inlineStr">
        <is>
          <t>VÄRMLANDS LÄN</t>
        </is>
      </c>
      <c r="E9273" t="inlineStr">
        <is>
          <t>ARVIKA</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47524-2025</t>
        </is>
      </c>
      <c r="B9274" s="1" t="n">
        <v>45931.34409722222</v>
      </c>
      <c r="C9274" s="1" t="n">
        <v>45932</v>
      </c>
      <c r="D9274" t="inlineStr">
        <is>
          <t>VÄRMLANDS LÄN</t>
        </is>
      </c>
      <c r="E9274" t="inlineStr">
        <is>
          <t>ARVIKA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41661-2025</t>
        </is>
      </c>
      <c r="B9275" s="1" t="n">
        <v>45902</v>
      </c>
      <c r="C9275" s="1" t="n">
        <v>45932</v>
      </c>
      <c r="D9275" t="inlineStr">
        <is>
          <t>VÄRMLANDS LÄN</t>
        </is>
      </c>
      <c r="E9275" t="inlineStr">
        <is>
          <t>HAMMARÖ</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45333-2025</t>
        </is>
      </c>
      <c r="B9276" s="1" t="n">
        <v>45922</v>
      </c>
      <c r="C9276" s="1" t="n">
        <v>45932</v>
      </c>
      <c r="D9276" t="inlineStr">
        <is>
          <t>VÄRMLANDS LÄN</t>
        </is>
      </c>
      <c r="E9276" t="inlineStr">
        <is>
          <t>SÄFFLE</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45994-2025</t>
        </is>
      </c>
      <c r="B9277" s="1" t="n">
        <v>45924</v>
      </c>
      <c r="C9277" s="1" t="n">
        <v>45932</v>
      </c>
      <c r="D9277" t="inlineStr">
        <is>
          <t>VÄRMLANDS LÄN</t>
        </is>
      </c>
      <c r="E9277" t="inlineStr">
        <is>
          <t>ÅRJÄNG</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60731-2024</t>
        </is>
      </c>
      <c r="B9278" s="1" t="n">
        <v>45644.54251157407</v>
      </c>
      <c r="C9278" s="1" t="n">
        <v>45932</v>
      </c>
      <c r="D9278" t="inlineStr">
        <is>
          <t>VÄRMLANDS LÄN</t>
        </is>
      </c>
      <c r="E9278" t="inlineStr">
        <is>
          <t>FILIPSTAD</t>
        </is>
      </c>
      <c r="F9278" t="inlineStr">
        <is>
          <t>Bergvik skog väst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43209-2025</t>
        </is>
      </c>
      <c r="B9279" s="1" t="n">
        <v>45910</v>
      </c>
      <c r="C9279" s="1" t="n">
        <v>45932</v>
      </c>
      <c r="D9279" t="inlineStr">
        <is>
          <t>VÄRMLANDS LÄN</t>
        </is>
      </c>
      <c r="E9279" t="inlineStr">
        <is>
          <t>SÄFFLE</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36548-2025</t>
        </is>
      </c>
      <c r="B9280" s="1" t="n">
        <v>45869.74849537037</v>
      </c>
      <c r="C9280" s="1" t="n">
        <v>45932</v>
      </c>
      <c r="D9280" t="inlineStr">
        <is>
          <t>VÄRMLANDS LÄN</t>
        </is>
      </c>
      <c r="E9280" t="inlineStr">
        <is>
          <t>TORSBY</t>
        </is>
      </c>
      <c r="G9280" t="n">
        <v>7.1</v>
      </c>
      <c r="H9280" t="n">
        <v>0</v>
      </c>
      <c r="I9280" t="n">
        <v>0</v>
      </c>
      <c r="J9280" t="n">
        <v>0</v>
      </c>
      <c r="K9280" t="n">
        <v>0</v>
      </c>
      <c r="L9280" t="n">
        <v>0</v>
      </c>
      <c r="M9280" t="n">
        <v>0</v>
      </c>
      <c r="N9280" t="n">
        <v>0</v>
      </c>
      <c r="O9280" t="n">
        <v>0</v>
      </c>
      <c r="P9280" t="n">
        <v>0</v>
      </c>
      <c r="Q9280" t="n">
        <v>0</v>
      </c>
      <c r="R9280" s="2" t="inlineStr"/>
    </row>
    <row r="9281" ht="15" customHeight="1">
      <c r="A9281" t="inlineStr">
        <is>
          <t>A 39059-2025</t>
        </is>
      </c>
      <c r="B9281" s="1" t="n">
        <v>45888</v>
      </c>
      <c r="C9281" s="1" t="n">
        <v>45932</v>
      </c>
      <c r="D9281" t="inlineStr">
        <is>
          <t>VÄRMLANDS LÄN</t>
        </is>
      </c>
      <c r="E9281" t="inlineStr">
        <is>
          <t>TORSBY</t>
        </is>
      </c>
      <c r="G9281" t="n">
        <v>8.6</v>
      </c>
      <c r="H9281" t="n">
        <v>0</v>
      </c>
      <c r="I9281" t="n">
        <v>0</v>
      </c>
      <c r="J9281" t="n">
        <v>0</v>
      </c>
      <c r="K9281" t="n">
        <v>0</v>
      </c>
      <c r="L9281" t="n">
        <v>0</v>
      </c>
      <c r="M9281" t="n">
        <v>0</v>
      </c>
      <c r="N9281" t="n">
        <v>0</v>
      </c>
      <c r="O9281" t="n">
        <v>0</v>
      </c>
      <c r="P9281" t="n">
        <v>0</v>
      </c>
      <c r="Q9281" t="n">
        <v>0</v>
      </c>
      <c r="R9281" s="2" t="inlineStr"/>
    </row>
    <row r="9282" ht="15" customHeight="1">
      <c r="A9282" t="inlineStr">
        <is>
          <t>A 39094-2025</t>
        </is>
      </c>
      <c r="B9282" s="1" t="n">
        <v>45888.4933912037</v>
      </c>
      <c r="C9282" s="1" t="n">
        <v>45932</v>
      </c>
      <c r="D9282" t="inlineStr">
        <is>
          <t>VÄRMLANDS LÄN</t>
        </is>
      </c>
      <c r="E9282" t="inlineStr">
        <is>
          <t>ÅRJÄNG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39096-2025</t>
        </is>
      </c>
      <c r="B9283" s="1" t="n">
        <v>45888.50145833333</v>
      </c>
      <c r="C9283" s="1" t="n">
        <v>45932</v>
      </c>
      <c r="D9283" t="inlineStr">
        <is>
          <t>VÄRMLANDS LÄN</t>
        </is>
      </c>
      <c r="E9283" t="inlineStr">
        <is>
          <t>ÅRJÄNG</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43505-2025</t>
        </is>
      </c>
      <c r="B9284" s="1" t="n">
        <v>45911.55355324074</v>
      </c>
      <c r="C9284" s="1" t="n">
        <v>45932</v>
      </c>
      <c r="D9284" t="inlineStr">
        <is>
          <t>VÄRMLANDS LÄN</t>
        </is>
      </c>
      <c r="E9284" t="inlineStr">
        <is>
          <t>FILIPSTAD</t>
        </is>
      </c>
      <c r="F9284" t="inlineStr">
        <is>
          <t>Bergvik skog väst AB</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47494-2025</t>
        </is>
      </c>
      <c r="B9285" s="1" t="n">
        <v>45930.78428240741</v>
      </c>
      <c r="C9285" s="1" t="n">
        <v>45932</v>
      </c>
      <c r="D9285" t="inlineStr">
        <is>
          <t>VÄRMLANDS LÄN</t>
        </is>
      </c>
      <c r="E9285" t="inlineStr">
        <is>
          <t>TORSBY</t>
        </is>
      </c>
      <c r="F9285" t="inlineStr">
        <is>
          <t>Bergvik skog väst AB</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47495-2025</t>
        </is>
      </c>
      <c r="B9286" s="1" t="n">
        <v>45930.79185185185</v>
      </c>
      <c r="C9286" s="1" t="n">
        <v>45932</v>
      </c>
      <c r="D9286" t="inlineStr">
        <is>
          <t>VÄRMLANDS LÄN</t>
        </is>
      </c>
      <c r="E9286" t="inlineStr">
        <is>
          <t>TORSBY</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47571-2025</t>
        </is>
      </c>
      <c r="B9287" s="1" t="n">
        <v>45931.39516203704</v>
      </c>
      <c r="C9287" s="1" t="n">
        <v>45932</v>
      </c>
      <c r="D9287" t="inlineStr">
        <is>
          <t>VÄRMLANDS LÄN</t>
        </is>
      </c>
      <c r="E9287" t="inlineStr">
        <is>
          <t>HAMMARÖ</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39369-2025</t>
        </is>
      </c>
      <c r="B9288" s="1" t="n">
        <v>45889.57848379629</v>
      </c>
      <c r="C9288" s="1" t="n">
        <v>45932</v>
      </c>
      <c r="D9288" t="inlineStr">
        <is>
          <t>VÄRMLANDS LÄN</t>
        </is>
      </c>
      <c r="E9288" t="inlineStr">
        <is>
          <t>ÅRJÄNG</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39391-2025</t>
        </is>
      </c>
      <c r="B9289" s="1" t="n">
        <v>45889.62641203704</v>
      </c>
      <c r="C9289" s="1" t="n">
        <v>45932</v>
      </c>
      <c r="D9289" t="inlineStr">
        <is>
          <t>VÄRMLANDS LÄN</t>
        </is>
      </c>
      <c r="E9289" t="inlineStr">
        <is>
          <t>ARVIKA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43400-2025</t>
        </is>
      </c>
      <c r="B9290" s="1" t="n">
        <v>45911</v>
      </c>
      <c r="C9290" s="1" t="n">
        <v>45932</v>
      </c>
      <c r="D9290" t="inlineStr">
        <is>
          <t>VÄRMLANDS LÄN</t>
        </is>
      </c>
      <c r="E9290" t="inlineStr">
        <is>
          <t>KARLSTAD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43434-2025</t>
        </is>
      </c>
      <c r="B9291" s="1" t="n">
        <v>45911.42743055556</v>
      </c>
      <c r="C9291" s="1" t="n">
        <v>45932</v>
      </c>
      <c r="D9291" t="inlineStr">
        <is>
          <t>VÄRMLANDS LÄN</t>
        </is>
      </c>
      <c r="E9291" t="inlineStr">
        <is>
          <t>ÅRJÄNG</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43341-2025</t>
        </is>
      </c>
      <c r="B9292" s="1" t="n">
        <v>45910.75832175926</v>
      </c>
      <c r="C9292" s="1" t="n">
        <v>45932</v>
      </c>
      <c r="D9292" t="inlineStr">
        <is>
          <t>VÄRMLANDS LÄN</t>
        </is>
      </c>
      <c r="E9292" t="inlineStr">
        <is>
          <t>SÄFFLE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43349-2025</t>
        </is>
      </c>
      <c r="B9293" s="1" t="n">
        <v>45910.99054398148</v>
      </c>
      <c r="C9293" s="1" t="n">
        <v>45932</v>
      </c>
      <c r="D9293" t="inlineStr">
        <is>
          <t>VÄRMLANDS LÄN</t>
        </is>
      </c>
      <c r="E9293" t="inlineStr">
        <is>
          <t>KRISTINEHAMN</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43535-2025</t>
        </is>
      </c>
      <c r="B9294" s="1" t="n">
        <v>45911</v>
      </c>
      <c r="C9294" s="1" t="n">
        <v>45932</v>
      </c>
      <c r="D9294" t="inlineStr">
        <is>
          <t>VÄRMLANDS LÄN</t>
        </is>
      </c>
      <c r="E9294" t="inlineStr">
        <is>
          <t>FILIPSTAD</t>
        </is>
      </c>
      <c r="F9294" t="inlineStr">
        <is>
          <t>Bergvik skog väst AB</t>
        </is>
      </c>
      <c r="G9294" t="n">
        <v>16.4</v>
      </c>
      <c r="H9294" t="n">
        <v>0</v>
      </c>
      <c r="I9294" t="n">
        <v>0</v>
      </c>
      <c r="J9294" t="n">
        <v>0</v>
      </c>
      <c r="K9294" t="n">
        <v>0</v>
      </c>
      <c r="L9294" t="n">
        <v>0</v>
      </c>
      <c r="M9294" t="n">
        <v>0</v>
      </c>
      <c r="N9294" t="n">
        <v>0</v>
      </c>
      <c r="O9294" t="n">
        <v>0</v>
      </c>
      <c r="P9294" t="n">
        <v>0</v>
      </c>
      <c r="Q9294" t="n">
        <v>0</v>
      </c>
      <c r="R9294" s="2" t="inlineStr"/>
    </row>
    <row r="9295" ht="15" customHeight="1">
      <c r="A9295" t="inlineStr">
        <is>
          <t>A 43571-2025</t>
        </is>
      </c>
      <c r="B9295" s="1" t="n">
        <v>45911</v>
      </c>
      <c r="C9295" s="1" t="n">
        <v>45932</v>
      </c>
      <c r="D9295" t="inlineStr">
        <is>
          <t>VÄRMLANDS LÄN</t>
        </is>
      </c>
      <c r="E9295" t="inlineStr">
        <is>
          <t>FILIPSTAD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39093-2025</t>
        </is>
      </c>
      <c r="B9296" s="1" t="n">
        <v>45888</v>
      </c>
      <c r="C9296" s="1" t="n">
        <v>45932</v>
      </c>
      <c r="D9296" t="inlineStr">
        <is>
          <t>VÄRMLANDS LÄN</t>
        </is>
      </c>
      <c r="E9296" t="inlineStr">
        <is>
          <t>ARVIKA</t>
        </is>
      </c>
      <c r="F9296" t="inlineStr">
        <is>
          <t>Bergvik skog väst AB</t>
        </is>
      </c>
      <c r="G9296" t="n">
        <v>18.1</v>
      </c>
      <c r="H9296" t="n">
        <v>0</v>
      </c>
      <c r="I9296" t="n">
        <v>0</v>
      </c>
      <c r="J9296" t="n">
        <v>0</v>
      </c>
      <c r="K9296" t="n">
        <v>0</v>
      </c>
      <c r="L9296" t="n">
        <v>0</v>
      </c>
      <c r="M9296" t="n">
        <v>0</v>
      </c>
      <c r="N9296" t="n">
        <v>0</v>
      </c>
      <c r="O9296" t="n">
        <v>0</v>
      </c>
      <c r="P9296" t="n">
        <v>0</v>
      </c>
      <c r="Q9296" t="n">
        <v>0</v>
      </c>
      <c r="R9296" s="2" t="inlineStr"/>
    </row>
    <row r="9297" ht="15" customHeight="1">
      <c r="A9297" t="inlineStr">
        <is>
          <t>A 42573-2025</t>
        </is>
      </c>
      <c r="B9297" s="1" t="n">
        <v>45905</v>
      </c>
      <c r="C9297" s="1" t="n">
        <v>45932</v>
      </c>
      <c r="D9297" t="inlineStr">
        <is>
          <t>VÄRMLANDS LÄN</t>
        </is>
      </c>
      <c r="E9297" t="inlineStr">
        <is>
          <t>FORSHAGA</t>
        </is>
      </c>
      <c r="F9297" t="inlineStr">
        <is>
          <t>Bergvik skog väst AB</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54221-2024</t>
        </is>
      </c>
      <c r="B9298" s="1" t="n">
        <v>45616</v>
      </c>
      <c r="C9298" s="1" t="n">
        <v>45932</v>
      </c>
      <c r="D9298" t="inlineStr">
        <is>
          <t>VÄRMLANDS LÄN</t>
        </is>
      </c>
      <c r="E9298" t="inlineStr">
        <is>
          <t>STORFORS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39904-2025</t>
        </is>
      </c>
      <c r="B9299" s="1" t="n">
        <v>45891</v>
      </c>
      <c r="C9299" s="1" t="n">
        <v>45932</v>
      </c>
      <c r="D9299" t="inlineStr">
        <is>
          <t>VÄRMLANDS LÄN</t>
        </is>
      </c>
      <c r="E9299" t="inlineStr">
        <is>
          <t>HAGFORS</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10873-2023</t>
        </is>
      </c>
      <c r="B9300" s="1" t="n">
        <v>44991.42243055555</v>
      </c>
      <c r="C9300" s="1" t="n">
        <v>45932</v>
      </c>
      <c r="D9300" t="inlineStr">
        <is>
          <t>VÄRMLANDS LÄN</t>
        </is>
      </c>
      <c r="E9300" t="inlineStr">
        <is>
          <t>ÅRJÄNG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18116-2023</t>
        </is>
      </c>
      <c r="B9301" s="1" t="n">
        <v>45040</v>
      </c>
      <c r="C9301" s="1" t="n">
        <v>45932</v>
      </c>
      <c r="D9301" t="inlineStr">
        <is>
          <t>VÄRMLANDS LÄN</t>
        </is>
      </c>
      <c r="E9301" t="inlineStr">
        <is>
          <t>SUNNE</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3098-2023</t>
        </is>
      </c>
      <c r="B9302" s="1" t="n">
        <v>44946.46096064815</v>
      </c>
      <c r="C9302" s="1" t="n">
        <v>45932</v>
      </c>
      <c r="D9302" t="inlineStr">
        <is>
          <t>VÄRMLANDS LÄN</t>
        </is>
      </c>
      <c r="E9302" t="inlineStr">
        <is>
          <t>TORSBY</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3103-2023</t>
        </is>
      </c>
      <c r="B9303" s="1" t="n">
        <v>44946</v>
      </c>
      <c r="C9303" s="1" t="n">
        <v>45932</v>
      </c>
      <c r="D9303" t="inlineStr">
        <is>
          <t>VÄRMLANDS LÄN</t>
        </is>
      </c>
      <c r="E9303" t="inlineStr">
        <is>
          <t>TORSBY</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28572-2022</t>
        </is>
      </c>
      <c r="B9304" s="1" t="n">
        <v>44748.46479166667</v>
      </c>
      <c r="C9304" s="1" t="n">
        <v>45932</v>
      </c>
      <c r="D9304" t="inlineStr">
        <is>
          <t>VÄRMLANDS LÄN</t>
        </is>
      </c>
      <c r="E9304" t="inlineStr">
        <is>
          <t>SUNNE</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56757-2023</t>
        </is>
      </c>
      <c r="B9305" s="1" t="n">
        <v>45244.37539351852</v>
      </c>
      <c r="C9305" s="1" t="n">
        <v>45932</v>
      </c>
      <c r="D9305" t="inlineStr">
        <is>
          <t>VÄRMLANDS LÄN</t>
        </is>
      </c>
      <c r="E9305" t="inlineStr">
        <is>
          <t>ÅRJÄNG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6260-2023</t>
        </is>
      </c>
      <c r="B9306" s="1" t="n">
        <v>44959</v>
      </c>
      <c r="C9306" s="1" t="n">
        <v>45932</v>
      </c>
      <c r="D9306" t="inlineStr">
        <is>
          <t>VÄRMLANDS LÄN</t>
        </is>
      </c>
      <c r="E9306" t="inlineStr">
        <is>
          <t>KARLSTAD</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39321-2025</t>
        </is>
      </c>
      <c r="B9307" s="1" t="n">
        <v>45889</v>
      </c>
      <c r="C9307" s="1" t="n">
        <v>45932</v>
      </c>
      <c r="D9307" t="inlineStr">
        <is>
          <t>VÄRMLANDS LÄN</t>
        </is>
      </c>
      <c r="E9307" t="inlineStr">
        <is>
          <t>TORSBY</t>
        </is>
      </c>
      <c r="F9307" t="inlineStr">
        <is>
          <t>Bergvik skog väst AB</t>
        </is>
      </c>
      <c r="G9307" t="n">
        <v>47.1</v>
      </c>
      <c r="H9307" t="n">
        <v>0</v>
      </c>
      <c r="I9307" t="n">
        <v>0</v>
      </c>
      <c r="J9307" t="n">
        <v>0</v>
      </c>
      <c r="K9307" t="n">
        <v>0</v>
      </c>
      <c r="L9307" t="n">
        <v>0</v>
      </c>
      <c r="M9307" t="n">
        <v>0</v>
      </c>
      <c r="N9307" t="n">
        <v>0</v>
      </c>
      <c r="O9307" t="n">
        <v>0</v>
      </c>
      <c r="P9307" t="n">
        <v>0</v>
      </c>
      <c r="Q9307" t="n">
        <v>0</v>
      </c>
      <c r="R9307" s="2" t="inlineStr"/>
    </row>
    <row r="9308" ht="15" customHeight="1">
      <c r="A9308" t="inlineStr">
        <is>
          <t>A 47689-2025</t>
        </is>
      </c>
      <c r="B9308" s="1" t="n">
        <v>45931.5925462963</v>
      </c>
      <c r="C9308" s="1" t="n">
        <v>45932</v>
      </c>
      <c r="D9308" t="inlineStr">
        <is>
          <t>VÄRMLANDS LÄN</t>
        </is>
      </c>
      <c r="E9308" t="inlineStr">
        <is>
          <t>SUNNE</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17654-2025</t>
        </is>
      </c>
      <c r="B9309" s="1" t="n">
        <v>45758.33905092593</v>
      </c>
      <c r="C9309" s="1" t="n">
        <v>45932</v>
      </c>
      <c r="D9309" t="inlineStr">
        <is>
          <t>VÄRMLANDS LÄN</t>
        </is>
      </c>
      <c r="E9309" t="inlineStr">
        <is>
          <t>SUNNE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47263-2025</t>
        </is>
      </c>
      <c r="B9310" s="1" t="n">
        <v>45930.45422453704</v>
      </c>
      <c r="C9310" s="1" t="n">
        <v>45932</v>
      </c>
      <c r="D9310" t="inlineStr">
        <is>
          <t>VÄRMLANDS LÄN</t>
        </is>
      </c>
      <c r="E9310" t="inlineStr">
        <is>
          <t>SUNNE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32302-2024</t>
        </is>
      </c>
      <c r="B9311" s="1" t="n">
        <v>45512</v>
      </c>
      <c r="C9311" s="1" t="n">
        <v>45932</v>
      </c>
      <c r="D9311" t="inlineStr">
        <is>
          <t>VÄRMLANDS LÄN</t>
        </is>
      </c>
      <c r="E9311" t="inlineStr">
        <is>
          <t>GRUMS</t>
        </is>
      </c>
      <c r="F9311" t="inlineStr">
        <is>
          <t>Bergvik skog väst AB</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47021-2023</t>
        </is>
      </c>
      <c r="B9312" s="1" t="n">
        <v>45201.51458333333</v>
      </c>
      <c r="C9312" s="1" t="n">
        <v>45932</v>
      </c>
      <c r="D9312" t="inlineStr">
        <is>
          <t>VÄRMLANDS LÄN</t>
        </is>
      </c>
      <c r="E9312" t="inlineStr">
        <is>
          <t>HAGFORS</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46096-2023</t>
        </is>
      </c>
      <c r="B9313" s="1" t="n">
        <v>45196</v>
      </c>
      <c r="C9313" s="1" t="n">
        <v>45932</v>
      </c>
      <c r="D9313" t="inlineStr">
        <is>
          <t>VÄRMLANDS LÄN</t>
        </is>
      </c>
      <c r="E9313" t="inlineStr">
        <is>
          <t>KARLSTAD</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46102-2023</t>
        </is>
      </c>
      <c r="B9314" s="1" t="n">
        <v>45196.5344212963</v>
      </c>
      <c r="C9314" s="1" t="n">
        <v>45932</v>
      </c>
      <c r="D9314" t="inlineStr">
        <is>
          <t>VÄRMLANDS LÄN</t>
        </is>
      </c>
      <c r="E9314" t="inlineStr">
        <is>
          <t>SUNNE</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54013-2023</t>
        </is>
      </c>
      <c r="B9315" s="1" t="n">
        <v>45231.81550925926</v>
      </c>
      <c r="C9315" s="1" t="n">
        <v>45932</v>
      </c>
      <c r="D9315" t="inlineStr">
        <is>
          <t>VÄRMLANDS LÄN</t>
        </is>
      </c>
      <c r="E9315" t="inlineStr">
        <is>
          <t>ÅRJÄNG</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46112-2023</t>
        </is>
      </c>
      <c r="B9316" s="1" t="n">
        <v>45196.54818287037</v>
      </c>
      <c r="C9316" s="1" t="n">
        <v>45932</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12369-2025</t>
        </is>
      </c>
      <c r="B9317" s="1" t="n">
        <v>45730.37660879629</v>
      </c>
      <c r="C9317" s="1" t="n">
        <v>45932</v>
      </c>
      <c r="D9317" t="inlineStr">
        <is>
          <t>VÄRMLANDS LÄN</t>
        </is>
      </c>
      <c r="E9317" t="inlineStr">
        <is>
          <t>EDA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41563-2023</t>
        </is>
      </c>
      <c r="B9318" s="1" t="n">
        <v>45175</v>
      </c>
      <c r="C9318" s="1" t="n">
        <v>45932</v>
      </c>
      <c r="D9318" t="inlineStr">
        <is>
          <t>VÄRMLANDS LÄN</t>
        </is>
      </c>
      <c r="E9318" t="inlineStr">
        <is>
          <t>KARLSTAD</t>
        </is>
      </c>
      <c r="F9318" t="inlineStr">
        <is>
          <t>Övriga Aktiebolag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41603-2023</t>
        </is>
      </c>
      <c r="B9319" s="1" t="n">
        <v>45175</v>
      </c>
      <c r="C9319" s="1" t="n">
        <v>45932</v>
      </c>
      <c r="D9319" t="inlineStr">
        <is>
          <t>VÄRMLANDS LÄN</t>
        </is>
      </c>
      <c r="E9319" t="inlineStr">
        <is>
          <t>HAGFORS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6520-2023</t>
        </is>
      </c>
      <c r="B9320" s="1" t="n">
        <v>44960</v>
      </c>
      <c r="C9320" s="1" t="n">
        <v>45932</v>
      </c>
      <c r="D9320" t="inlineStr">
        <is>
          <t>VÄRMLANDS LÄN</t>
        </is>
      </c>
      <c r="E9320" t="inlineStr">
        <is>
          <t>FILIPSTAD</t>
        </is>
      </c>
      <c r="F9320" t="inlineStr">
        <is>
          <t>Kommuner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53585-2024</t>
        </is>
      </c>
      <c r="B9321" s="1" t="n">
        <v>45614.66586805556</v>
      </c>
      <c r="C9321" s="1" t="n">
        <v>45932</v>
      </c>
      <c r="D9321" t="inlineStr">
        <is>
          <t>VÄRMLANDS LÄN</t>
        </is>
      </c>
      <c r="E9321" t="inlineStr">
        <is>
          <t>FORSHAGA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2148-2025</t>
        </is>
      </c>
      <c r="B9322" s="1" t="n">
        <v>45672.69739583333</v>
      </c>
      <c r="C9322" s="1" t="n">
        <v>45932</v>
      </c>
      <c r="D9322" t="inlineStr">
        <is>
          <t>VÄRMLANDS LÄN</t>
        </is>
      </c>
      <c r="E9322" t="inlineStr">
        <is>
          <t>KRISTINEHAMN</t>
        </is>
      </c>
      <c r="F9322" t="inlineStr">
        <is>
          <t>Bergvik skog väst AB</t>
        </is>
      </c>
      <c r="G9322" t="n">
        <v>10.4</v>
      </c>
      <c r="H9322" t="n">
        <v>0</v>
      </c>
      <c r="I9322" t="n">
        <v>0</v>
      </c>
      <c r="J9322" t="n">
        <v>0</v>
      </c>
      <c r="K9322" t="n">
        <v>0</v>
      </c>
      <c r="L9322" t="n">
        <v>0</v>
      </c>
      <c r="M9322" t="n">
        <v>0</v>
      </c>
      <c r="N9322" t="n">
        <v>0</v>
      </c>
      <c r="O9322" t="n">
        <v>0</v>
      </c>
      <c r="P9322" t="n">
        <v>0</v>
      </c>
      <c r="Q9322" t="n">
        <v>0</v>
      </c>
      <c r="R9322" s="2" t="inlineStr"/>
    </row>
    <row r="9323" ht="15" customHeight="1">
      <c r="A9323" t="inlineStr">
        <is>
          <t>A 70591-2021</t>
        </is>
      </c>
      <c r="B9323" s="1" t="n">
        <v>44537.41471064815</v>
      </c>
      <c r="C9323" s="1" t="n">
        <v>45932</v>
      </c>
      <c r="D9323" t="inlineStr">
        <is>
          <t>VÄRMLANDS LÄN</t>
        </is>
      </c>
      <c r="E9323" t="inlineStr">
        <is>
          <t>ÅRJÄNG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47894-2023</t>
        </is>
      </c>
      <c r="B9324" s="1" t="n">
        <v>45204</v>
      </c>
      <c r="C9324" s="1" t="n">
        <v>45932</v>
      </c>
      <c r="D9324" t="inlineStr">
        <is>
          <t>VÄRMLANDS LÄN</t>
        </is>
      </c>
      <c r="E9324" t="inlineStr">
        <is>
          <t>STORFORS</t>
        </is>
      </c>
      <c r="F9324" t="inlineStr">
        <is>
          <t>Bergvik skog väst AB</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36157-2023</t>
        </is>
      </c>
      <c r="B9325" s="1" t="n">
        <v>45149</v>
      </c>
      <c r="C9325" s="1" t="n">
        <v>45932</v>
      </c>
      <c r="D9325" t="inlineStr">
        <is>
          <t>VÄRMLANDS LÄN</t>
        </is>
      </c>
      <c r="E9325" t="inlineStr">
        <is>
          <t>EDA</t>
        </is>
      </c>
      <c r="F9325" t="inlineStr">
        <is>
          <t>Kommuner</t>
        </is>
      </c>
      <c r="G9325" t="n">
        <v>0.2</v>
      </c>
      <c r="H9325" t="n">
        <v>0</v>
      </c>
      <c r="I9325" t="n">
        <v>0</v>
      </c>
      <c r="J9325" t="n">
        <v>0</v>
      </c>
      <c r="K9325" t="n">
        <v>0</v>
      </c>
      <c r="L9325" t="n">
        <v>0</v>
      </c>
      <c r="M9325" t="n">
        <v>0</v>
      </c>
      <c r="N9325" t="n">
        <v>0</v>
      </c>
      <c r="O9325" t="n">
        <v>0</v>
      </c>
      <c r="P9325" t="n">
        <v>0</v>
      </c>
      <c r="Q9325" t="n">
        <v>0</v>
      </c>
      <c r="R9325" s="2" t="inlineStr"/>
    </row>
    <row r="9326" ht="15" customHeight="1">
      <c r="A9326" t="inlineStr">
        <is>
          <t>A 36563-2024</t>
        </is>
      </c>
      <c r="B9326" s="1" t="n">
        <v>45537</v>
      </c>
      <c r="C9326" s="1" t="n">
        <v>45932</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39065-2025</t>
        </is>
      </c>
      <c r="B9327" s="1" t="n">
        <v>45888</v>
      </c>
      <c r="C9327" s="1" t="n">
        <v>45932</v>
      </c>
      <c r="D9327" t="inlineStr">
        <is>
          <t>VÄRMLANDS LÄN</t>
        </is>
      </c>
      <c r="E9327" t="inlineStr">
        <is>
          <t>ARVIKA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39079-2025</t>
        </is>
      </c>
      <c r="B9328" s="1" t="n">
        <v>45888.48422453704</v>
      </c>
      <c r="C9328" s="1" t="n">
        <v>45932</v>
      </c>
      <c r="D9328" t="inlineStr">
        <is>
          <t>VÄRMLANDS LÄN</t>
        </is>
      </c>
      <c r="E9328" t="inlineStr">
        <is>
          <t>ÅRJÄNG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28485-2024</t>
        </is>
      </c>
      <c r="B9329" s="1" t="n">
        <v>45477.7536574074</v>
      </c>
      <c r="C9329" s="1" t="n">
        <v>45932</v>
      </c>
      <c r="D9329" t="inlineStr">
        <is>
          <t>VÄRMLANDS LÄN</t>
        </is>
      </c>
      <c r="E9329" t="inlineStr">
        <is>
          <t>KRISTINEHAMN</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36862-2025</t>
        </is>
      </c>
      <c r="B9330" s="1" t="n">
        <v>45874</v>
      </c>
      <c r="C9330" s="1" t="n">
        <v>45932</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31855-2025</t>
        </is>
      </c>
      <c r="B9331" s="1" t="n">
        <v>45834</v>
      </c>
      <c r="C9331" s="1" t="n">
        <v>45932</v>
      </c>
      <c r="D9331" t="inlineStr">
        <is>
          <t>VÄRMLANDS LÄN</t>
        </is>
      </c>
      <c r="E9331" t="inlineStr">
        <is>
          <t>SÄFFLE</t>
        </is>
      </c>
      <c r="F9331" t="inlineStr">
        <is>
          <t>Kyrkan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43153-2024</t>
        </is>
      </c>
      <c r="B9332" s="1" t="n">
        <v>45567</v>
      </c>
      <c r="C9332" s="1" t="n">
        <v>45932</v>
      </c>
      <c r="D9332" t="inlineStr">
        <is>
          <t>VÄRMLANDS LÄN</t>
        </is>
      </c>
      <c r="E9332" t="inlineStr">
        <is>
          <t>SUNNE</t>
        </is>
      </c>
      <c r="F9332" t="inlineStr">
        <is>
          <t>Bergvik skog väst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43157-2024</t>
        </is>
      </c>
      <c r="B9333" s="1" t="n">
        <v>45567</v>
      </c>
      <c r="C9333" s="1" t="n">
        <v>45932</v>
      </c>
      <c r="D9333" t="inlineStr">
        <is>
          <t>VÄRMLANDS LÄN</t>
        </is>
      </c>
      <c r="E9333" t="inlineStr">
        <is>
          <t>SUNNE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51493-2023</t>
        </is>
      </c>
      <c r="B9334" s="1" t="n">
        <v>45215</v>
      </c>
      <c r="C9334" s="1" t="n">
        <v>45932</v>
      </c>
      <c r="D9334" t="inlineStr">
        <is>
          <t>VÄRMLANDS LÄN</t>
        </is>
      </c>
      <c r="E9334" t="inlineStr">
        <is>
          <t>ÅRJÄNG</t>
        </is>
      </c>
      <c r="F9334" t="inlineStr">
        <is>
          <t>Övriga Aktiebolag</t>
        </is>
      </c>
      <c r="G9334" t="n">
        <v>9.1</v>
      </c>
      <c r="H9334" t="n">
        <v>0</v>
      </c>
      <c r="I9334" t="n">
        <v>0</v>
      </c>
      <c r="J9334" t="n">
        <v>0</v>
      </c>
      <c r="K9334" t="n">
        <v>0</v>
      </c>
      <c r="L9334" t="n">
        <v>0</v>
      </c>
      <c r="M9334" t="n">
        <v>0</v>
      </c>
      <c r="N9334" t="n">
        <v>0</v>
      </c>
      <c r="O9334" t="n">
        <v>0</v>
      </c>
      <c r="P9334" t="n">
        <v>0</v>
      </c>
      <c r="Q9334" t="n">
        <v>0</v>
      </c>
      <c r="R9334" s="2" t="inlineStr"/>
    </row>
    <row r="9335" ht="15" customHeight="1">
      <c r="A9335" t="inlineStr">
        <is>
          <t>A 46300-2022</t>
        </is>
      </c>
      <c r="B9335" s="1" t="n">
        <v>44847.77737268519</v>
      </c>
      <c r="C9335" s="1" t="n">
        <v>45932</v>
      </c>
      <c r="D9335" t="inlineStr">
        <is>
          <t>VÄRMLANDS LÄN</t>
        </is>
      </c>
      <c r="E9335" t="inlineStr">
        <is>
          <t>FORSHAGA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65023-2023</t>
        </is>
      </c>
      <c r="B9336" s="1" t="n">
        <v>45282</v>
      </c>
      <c r="C9336" s="1" t="n">
        <v>45932</v>
      </c>
      <c r="D9336" t="inlineStr">
        <is>
          <t>VÄRMLANDS LÄN</t>
        </is>
      </c>
      <c r="E9336" t="inlineStr">
        <is>
          <t>SÄFFLE</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65054-2023</t>
        </is>
      </c>
      <c r="B9337" s="1" t="n">
        <v>45282</v>
      </c>
      <c r="C9337" s="1" t="n">
        <v>45932</v>
      </c>
      <c r="D9337" t="inlineStr">
        <is>
          <t>VÄRMLANDS LÄN</t>
        </is>
      </c>
      <c r="E9337" t="inlineStr">
        <is>
          <t>KRISTINEHAMN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37559-2023</t>
        </is>
      </c>
      <c r="B9338" s="1" t="n">
        <v>45159</v>
      </c>
      <c r="C9338" s="1" t="n">
        <v>45932</v>
      </c>
      <c r="D9338" t="inlineStr">
        <is>
          <t>VÄRMLANDS LÄN</t>
        </is>
      </c>
      <c r="E9338" t="inlineStr">
        <is>
          <t>EDA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32747-2021</t>
        </is>
      </c>
      <c r="B9339" s="1" t="n">
        <v>44375</v>
      </c>
      <c r="C9339" s="1" t="n">
        <v>45932</v>
      </c>
      <c r="D9339" t="inlineStr">
        <is>
          <t>VÄRMLANDS LÄN</t>
        </is>
      </c>
      <c r="E9339" t="inlineStr">
        <is>
          <t>TORSBY</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23430-2024</t>
        </is>
      </c>
      <c r="B9340" s="1" t="n">
        <v>45453.61859953704</v>
      </c>
      <c r="C9340" s="1" t="n">
        <v>45932</v>
      </c>
      <c r="D9340" t="inlineStr">
        <is>
          <t>VÄRMLANDS LÄN</t>
        </is>
      </c>
      <c r="E9340" t="inlineStr">
        <is>
          <t>ARVIKA</t>
        </is>
      </c>
      <c r="F9340" t="inlineStr">
        <is>
          <t>Bergvik skog väst AB</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55487-2024</t>
        </is>
      </c>
      <c r="B9341" s="1" t="n">
        <v>45622</v>
      </c>
      <c r="C9341" s="1" t="n">
        <v>45932</v>
      </c>
      <c r="D9341" t="inlineStr">
        <is>
          <t>VÄRMLANDS LÄN</t>
        </is>
      </c>
      <c r="E9341" t="inlineStr">
        <is>
          <t>SUNNE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4195-2024</t>
        </is>
      </c>
      <c r="B9342" s="1" t="n">
        <v>45324.35050925926</v>
      </c>
      <c r="C9342" s="1" t="n">
        <v>45932</v>
      </c>
      <c r="D9342" t="inlineStr">
        <is>
          <t>VÄRMLANDS LÄN</t>
        </is>
      </c>
      <c r="E9342" t="inlineStr">
        <is>
          <t>ARVIKA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25444-2023</t>
        </is>
      </c>
      <c r="B9343" s="1" t="n">
        <v>45089.43049768519</v>
      </c>
      <c r="C9343" s="1" t="n">
        <v>45932</v>
      </c>
      <c r="D9343" t="inlineStr">
        <is>
          <t>VÄRMLANDS LÄN</t>
        </is>
      </c>
      <c r="E9343" t="inlineStr">
        <is>
          <t>EDA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9606-2024</t>
        </is>
      </c>
      <c r="B9344" s="1" t="n">
        <v>45361.54023148148</v>
      </c>
      <c r="C9344" s="1" t="n">
        <v>45932</v>
      </c>
      <c r="D9344" t="inlineStr">
        <is>
          <t>VÄRMLANDS LÄN</t>
        </is>
      </c>
      <c r="E9344" t="inlineStr">
        <is>
          <t>KRISTINEHAMN</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43455-2025</t>
        </is>
      </c>
      <c r="B9345" s="1" t="n">
        <v>45911.46101851852</v>
      </c>
      <c r="C9345" s="1" t="n">
        <v>45932</v>
      </c>
      <c r="D9345" t="inlineStr">
        <is>
          <t>VÄRMLANDS LÄN</t>
        </is>
      </c>
      <c r="E9345" t="inlineStr">
        <is>
          <t>HAGFORS</t>
        </is>
      </c>
      <c r="F9345" t="inlineStr">
        <is>
          <t>Bergvik skog väst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43459-2025</t>
        </is>
      </c>
      <c r="B9346" s="1" t="n">
        <v>45911.46776620371</v>
      </c>
      <c r="C9346" s="1" t="n">
        <v>45932</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43484-2025</t>
        </is>
      </c>
      <c r="B9347" s="1" t="n">
        <v>45911.5033912037</v>
      </c>
      <c r="C9347" s="1" t="n">
        <v>45932</v>
      </c>
      <c r="D9347" t="inlineStr">
        <is>
          <t>VÄRMLANDS LÄN</t>
        </is>
      </c>
      <c r="E9347" t="inlineStr">
        <is>
          <t>ÅRJÄNG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9662-2024</t>
        </is>
      </c>
      <c r="B9348" s="1" t="n">
        <v>45362.43423611111</v>
      </c>
      <c r="C9348" s="1" t="n">
        <v>45932</v>
      </c>
      <c r="D9348" t="inlineStr">
        <is>
          <t>VÄRMLANDS LÄN</t>
        </is>
      </c>
      <c r="E9348" t="inlineStr">
        <is>
          <t>ÅRJÄNG</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31661-2022</t>
        </is>
      </c>
      <c r="B9349" s="1" t="n">
        <v>44776.29803240741</v>
      </c>
      <c r="C9349" s="1" t="n">
        <v>45932</v>
      </c>
      <c r="D9349" t="inlineStr">
        <is>
          <t>VÄRMLANDS LÄN</t>
        </is>
      </c>
      <c r="E9349" t="inlineStr">
        <is>
          <t>HAGFORS</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9289-2021</t>
        </is>
      </c>
      <c r="B9350" s="1" t="n">
        <v>44249</v>
      </c>
      <c r="C9350" s="1" t="n">
        <v>45932</v>
      </c>
      <c r="D9350" t="inlineStr">
        <is>
          <t>VÄRMLANDS LÄN</t>
        </is>
      </c>
      <c r="E9350" t="inlineStr">
        <is>
          <t>EDA</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45236-2023</t>
        </is>
      </c>
      <c r="B9351" s="1" t="n">
        <v>45191</v>
      </c>
      <c r="C9351" s="1" t="n">
        <v>45932</v>
      </c>
      <c r="D9351" t="inlineStr">
        <is>
          <t>VÄRMLANDS LÄN</t>
        </is>
      </c>
      <c r="E9351" t="inlineStr">
        <is>
          <t>SÄFFLE</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38979-2025</t>
        </is>
      </c>
      <c r="B9352" s="1" t="n">
        <v>45887.99758101852</v>
      </c>
      <c r="C9352" s="1" t="n">
        <v>45932</v>
      </c>
      <c r="D9352" t="inlineStr">
        <is>
          <t>VÄRMLANDS LÄN</t>
        </is>
      </c>
      <c r="E9352" t="inlineStr">
        <is>
          <t>TORSBY</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38984-2025</t>
        </is>
      </c>
      <c r="B9353" s="1" t="n">
        <v>45888</v>
      </c>
      <c r="C9353" s="1" t="n">
        <v>45932</v>
      </c>
      <c r="D9353" t="inlineStr">
        <is>
          <t>VÄRMLANDS LÄN</t>
        </is>
      </c>
      <c r="E9353" t="inlineStr">
        <is>
          <t>ARVIKA</t>
        </is>
      </c>
      <c r="F9353" t="inlineStr">
        <is>
          <t>Bergvik skog väst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36360-2025</t>
        </is>
      </c>
      <c r="B9354" s="1" t="n">
        <v>45868</v>
      </c>
      <c r="C9354" s="1" t="n">
        <v>45932</v>
      </c>
      <c r="D9354" t="inlineStr">
        <is>
          <t>VÄRMLANDS LÄN</t>
        </is>
      </c>
      <c r="E9354" t="inlineStr">
        <is>
          <t>ARVIKA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36410-2025</t>
        </is>
      </c>
      <c r="B9355" s="1" t="n">
        <v>45868.68255787037</v>
      </c>
      <c r="C9355" s="1" t="n">
        <v>45932</v>
      </c>
      <c r="D9355" t="inlineStr">
        <is>
          <t>VÄRMLANDS LÄN</t>
        </is>
      </c>
      <c r="E9355" t="inlineStr">
        <is>
          <t>EDA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36483-2025</t>
        </is>
      </c>
      <c r="B9356" s="1" t="n">
        <v>45869</v>
      </c>
      <c r="C9356" s="1" t="n">
        <v>45932</v>
      </c>
      <c r="D9356" t="inlineStr">
        <is>
          <t>VÄRMLANDS LÄN</t>
        </is>
      </c>
      <c r="E9356" t="inlineStr">
        <is>
          <t>TORSBY</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42951-2023</t>
        </is>
      </c>
      <c r="B9357" s="1" t="n">
        <v>45182</v>
      </c>
      <c r="C9357" s="1" t="n">
        <v>45932</v>
      </c>
      <c r="D9357" t="inlineStr">
        <is>
          <t>VÄRMLANDS LÄN</t>
        </is>
      </c>
      <c r="E9357" t="inlineStr">
        <is>
          <t>HAMMARÖ</t>
        </is>
      </c>
      <c r="F9357" t="inlineStr">
        <is>
          <t>Övriga Aktiebolag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16977-2025</t>
        </is>
      </c>
      <c r="B9358" s="1" t="n">
        <v>45755.47517361111</v>
      </c>
      <c r="C9358" s="1" t="n">
        <v>45932</v>
      </c>
      <c r="D9358" t="inlineStr">
        <is>
          <t>VÄRMLANDS LÄN</t>
        </is>
      </c>
      <c r="E9358" t="inlineStr">
        <is>
          <t>ÅRJÄNG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35528-2023</t>
        </is>
      </c>
      <c r="B9359" s="1" t="n">
        <v>45147</v>
      </c>
      <c r="C9359" s="1" t="n">
        <v>45932</v>
      </c>
      <c r="D9359" t="inlineStr">
        <is>
          <t>VÄRMLANDS LÄN</t>
        </is>
      </c>
      <c r="E9359" t="inlineStr">
        <is>
          <t>ARVIKA</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9286-2025</t>
        </is>
      </c>
      <c r="B9360" s="1" t="n">
        <v>45714</v>
      </c>
      <c r="C9360" s="1" t="n">
        <v>45932</v>
      </c>
      <c r="D9360" t="inlineStr">
        <is>
          <t>VÄRMLANDS LÄN</t>
        </is>
      </c>
      <c r="E9360" t="inlineStr">
        <is>
          <t>TORSBY</t>
        </is>
      </c>
      <c r="F9360" t="inlineStr">
        <is>
          <t>Kommuner</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71447-2021</t>
        </is>
      </c>
      <c r="B9361" s="1" t="n">
        <v>44540.45888888889</v>
      </c>
      <c r="C9361" s="1" t="n">
        <v>45932</v>
      </c>
      <c r="D9361" t="inlineStr">
        <is>
          <t>VÄRMLANDS LÄN</t>
        </is>
      </c>
      <c r="E9361" t="inlineStr">
        <is>
          <t>HAGFORS</t>
        </is>
      </c>
      <c r="F9361" t="inlineStr">
        <is>
          <t>Bergvik skog väst AB</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67321-2021</t>
        </is>
      </c>
      <c r="B9362" s="1" t="n">
        <v>44523</v>
      </c>
      <c r="C9362" s="1" t="n">
        <v>45932</v>
      </c>
      <c r="D9362" t="inlineStr">
        <is>
          <t>VÄRMLANDS LÄN</t>
        </is>
      </c>
      <c r="E9362" t="inlineStr">
        <is>
          <t>FORSHAGA</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42783-2024</t>
        </is>
      </c>
      <c r="B9363" s="1" t="n">
        <v>45566</v>
      </c>
      <c r="C9363" s="1" t="n">
        <v>45932</v>
      </c>
      <c r="D9363" t="inlineStr">
        <is>
          <t>VÄRMLANDS LÄN</t>
        </is>
      </c>
      <c r="E9363" t="inlineStr">
        <is>
          <t>ÅRJÄNG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56280-2023</t>
        </is>
      </c>
      <c r="B9364" s="1" t="n">
        <v>45241</v>
      </c>
      <c r="C9364" s="1" t="n">
        <v>45932</v>
      </c>
      <c r="D9364" t="inlineStr">
        <is>
          <t>VÄRMLANDS LÄN</t>
        </is>
      </c>
      <c r="E9364" t="inlineStr">
        <is>
          <t>FORSHAGA</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56327-2023</t>
        </is>
      </c>
      <c r="B9365" s="1" t="n">
        <v>45243</v>
      </c>
      <c r="C9365" s="1" t="n">
        <v>45932</v>
      </c>
      <c r="D9365" t="inlineStr">
        <is>
          <t>VÄRMLANDS LÄN</t>
        </is>
      </c>
      <c r="E9365" t="inlineStr">
        <is>
          <t>KARLSTAD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51823-2024</t>
        </is>
      </c>
      <c r="B9366" s="1" t="n">
        <v>45607</v>
      </c>
      <c r="C9366" s="1" t="n">
        <v>45932</v>
      </c>
      <c r="D9366" t="inlineStr">
        <is>
          <t>VÄRMLANDS LÄN</t>
        </is>
      </c>
      <c r="E9366" t="inlineStr">
        <is>
          <t>TORSBY</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39454-2025</t>
        </is>
      </c>
      <c r="B9367" s="1" t="n">
        <v>45889.7462962963</v>
      </c>
      <c r="C9367" s="1" t="n">
        <v>45932</v>
      </c>
      <c r="D9367" t="inlineStr">
        <is>
          <t>VÄRMLANDS LÄN</t>
        </is>
      </c>
      <c r="E9367" t="inlineStr">
        <is>
          <t>TORSBY</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47808-2025</t>
        </is>
      </c>
      <c r="B9368" s="1" t="n">
        <v>45931.94607638889</v>
      </c>
      <c r="C9368" s="1" t="n">
        <v>45932</v>
      </c>
      <c r="D9368" t="inlineStr">
        <is>
          <t>VÄRMLANDS LÄN</t>
        </is>
      </c>
      <c r="E9368" t="inlineStr">
        <is>
          <t>SÄFFLE</t>
        </is>
      </c>
      <c r="F9368" t="inlineStr">
        <is>
          <t>Kyrkan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48588-2021</t>
        </is>
      </c>
      <c r="B9369" s="1" t="n">
        <v>44452.47792824074</v>
      </c>
      <c r="C9369" s="1" t="n">
        <v>45932</v>
      </c>
      <c r="D9369" t="inlineStr">
        <is>
          <t>VÄRMLANDS LÄN</t>
        </is>
      </c>
      <c r="E9369" t="inlineStr">
        <is>
          <t>KARLSTAD</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6745-2025</t>
        </is>
      </c>
      <c r="B9370" s="1" t="n">
        <v>45700.60505787037</v>
      </c>
      <c r="C9370" s="1" t="n">
        <v>45932</v>
      </c>
      <c r="D9370" t="inlineStr">
        <is>
          <t>VÄRMLANDS LÄN</t>
        </is>
      </c>
      <c r="E9370" t="inlineStr">
        <is>
          <t>FILIPSTAD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6768-2025</t>
        </is>
      </c>
      <c r="B9371" s="1" t="n">
        <v>45700</v>
      </c>
      <c r="C9371" s="1" t="n">
        <v>45932</v>
      </c>
      <c r="D9371" t="inlineStr">
        <is>
          <t>VÄRMLANDS LÄN</t>
        </is>
      </c>
      <c r="E9371" t="inlineStr">
        <is>
          <t>SÄFFLE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31075-2024</t>
        </is>
      </c>
      <c r="B9372" s="1" t="n">
        <v>45502</v>
      </c>
      <c r="C9372" s="1" t="n">
        <v>45932</v>
      </c>
      <c r="D9372" t="inlineStr">
        <is>
          <t>VÄRMLANDS LÄN</t>
        </is>
      </c>
      <c r="E9372" t="inlineStr">
        <is>
          <t>SUNNE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36304-2025</t>
        </is>
      </c>
      <c r="B9373" s="1" t="n">
        <v>45867.9059837963</v>
      </c>
      <c r="C9373" s="1" t="n">
        <v>45932</v>
      </c>
      <c r="D9373" t="inlineStr">
        <is>
          <t>VÄRMLANDS LÄN</t>
        </is>
      </c>
      <c r="E9373" t="inlineStr">
        <is>
          <t>EDA</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15836-2022</t>
        </is>
      </c>
      <c r="B9374" s="1" t="n">
        <v>44664</v>
      </c>
      <c r="C9374" s="1" t="n">
        <v>45932</v>
      </c>
      <c r="D9374" t="inlineStr">
        <is>
          <t>VÄRMLANDS LÄN</t>
        </is>
      </c>
      <c r="E9374" t="inlineStr">
        <is>
          <t>KARLSTAD</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60763-2024</t>
        </is>
      </c>
      <c r="B9375" s="1" t="n">
        <v>45644</v>
      </c>
      <c r="C9375" s="1" t="n">
        <v>45932</v>
      </c>
      <c r="D9375" t="inlineStr">
        <is>
          <t>VÄRMLANDS LÄN</t>
        </is>
      </c>
      <c r="E9375" t="inlineStr">
        <is>
          <t>SUNNE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25180-2021</t>
        </is>
      </c>
      <c r="B9376" s="1" t="n">
        <v>44342</v>
      </c>
      <c r="C9376" s="1" t="n">
        <v>45932</v>
      </c>
      <c r="D9376" t="inlineStr">
        <is>
          <t>VÄRMLANDS LÄN</t>
        </is>
      </c>
      <c r="E9376" t="inlineStr">
        <is>
          <t>EDA</t>
        </is>
      </c>
      <c r="G9376" t="n">
        <v>7.7</v>
      </c>
      <c r="H9376" t="n">
        <v>0</v>
      </c>
      <c r="I9376" t="n">
        <v>0</v>
      </c>
      <c r="J9376" t="n">
        <v>0</v>
      </c>
      <c r="K9376" t="n">
        <v>0</v>
      </c>
      <c r="L9376" t="n">
        <v>0</v>
      </c>
      <c r="M9376" t="n">
        <v>0</v>
      </c>
      <c r="N9376" t="n">
        <v>0</v>
      </c>
      <c r="O9376" t="n">
        <v>0</v>
      </c>
      <c r="P9376" t="n">
        <v>0</v>
      </c>
      <c r="Q9376" t="n">
        <v>0</v>
      </c>
      <c r="R9376" s="2" t="inlineStr"/>
    </row>
    <row r="9377" ht="15" customHeight="1">
      <c r="A9377" t="inlineStr">
        <is>
          <t>A 9916-2023</t>
        </is>
      </c>
      <c r="B9377" s="1" t="n">
        <v>44985</v>
      </c>
      <c r="C9377" s="1" t="n">
        <v>45932</v>
      </c>
      <c r="D9377" t="inlineStr">
        <is>
          <t>VÄRMLANDS LÄN</t>
        </is>
      </c>
      <c r="E9377" t="inlineStr">
        <is>
          <t>ARVIKA</t>
        </is>
      </c>
      <c r="G9377" t="n">
        <v>10.8</v>
      </c>
      <c r="H9377" t="n">
        <v>0</v>
      </c>
      <c r="I9377" t="n">
        <v>0</v>
      </c>
      <c r="J9377" t="n">
        <v>0</v>
      </c>
      <c r="K9377" t="n">
        <v>0</v>
      </c>
      <c r="L9377" t="n">
        <v>0</v>
      </c>
      <c r="M9377" t="n">
        <v>0</v>
      </c>
      <c r="N9377" t="n">
        <v>0</v>
      </c>
      <c r="O9377" t="n">
        <v>0</v>
      </c>
      <c r="P9377" t="n">
        <v>0</v>
      </c>
      <c r="Q9377" t="n">
        <v>0</v>
      </c>
      <c r="R9377" s="2" t="inlineStr"/>
    </row>
    <row r="9378" ht="15" customHeight="1">
      <c r="A9378" t="inlineStr">
        <is>
          <t>A 61084-2023</t>
        </is>
      </c>
      <c r="B9378" s="1" t="n">
        <v>45260</v>
      </c>
      <c r="C9378" s="1" t="n">
        <v>45932</v>
      </c>
      <c r="D9378" t="inlineStr">
        <is>
          <t>VÄRMLANDS LÄN</t>
        </is>
      </c>
      <c r="E9378" t="inlineStr">
        <is>
          <t>KARLSTAD</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61093-2023</t>
        </is>
      </c>
      <c r="B9379" s="1" t="n">
        <v>45261.6424537037</v>
      </c>
      <c r="C9379" s="1" t="n">
        <v>45932</v>
      </c>
      <c r="D9379" t="inlineStr">
        <is>
          <t>VÄRMLANDS LÄN</t>
        </is>
      </c>
      <c r="E9379" t="inlineStr">
        <is>
          <t>SUNNE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61095-2023</t>
        </is>
      </c>
      <c r="B9380" s="1" t="n">
        <v>45260</v>
      </c>
      <c r="C9380" s="1" t="n">
        <v>45932</v>
      </c>
      <c r="D9380" t="inlineStr">
        <is>
          <t>VÄRMLANDS LÄN</t>
        </is>
      </c>
      <c r="E9380" t="inlineStr">
        <is>
          <t>KARLSTAD</t>
        </is>
      </c>
      <c r="G9380" t="n">
        <v>10.4</v>
      </c>
      <c r="H9380" t="n">
        <v>0</v>
      </c>
      <c r="I9380" t="n">
        <v>0</v>
      </c>
      <c r="J9380" t="n">
        <v>0</v>
      </c>
      <c r="K9380" t="n">
        <v>0</v>
      </c>
      <c r="L9380" t="n">
        <v>0</v>
      </c>
      <c r="M9380" t="n">
        <v>0</v>
      </c>
      <c r="N9380" t="n">
        <v>0</v>
      </c>
      <c r="O9380" t="n">
        <v>0</v>
      </c>
      <c r="P9380" t="n">
        <v>0</v>
      </c>
      <c r="Q9380" t="n">
        <v>0</v>
      </c>
      <c r="R9380" s="2" t="inlineStr"/>
    </row>
    <row r="9381" ht="15" customHeight="1">
      <c r="A9381" t="inlineStr">
        <is>
          <t>A 40693-2025</t>
        </is>
      </c>
      <c r="B9381" s="1" t="n">
        <v>45897</v>
      </c>
      <c r="C9381" s="1" t="n">
        <v>45932</v>
      </c>
      <c r="D9381" t="inlineStr">
        <is>
          <t>VÄRMLANDS LÄN</t>
        </is>
      </c>
      <c r="E9381" t="inlineStr">
        <is>
          <t>EDA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17941-2021</t>
        </is>
      </c>
      <c r="B9382" s="1" t="n">
        <v>44301</v>
      </c>
      <c r="C9382" s="1" t="n">
        <v>45932</v>
      </c>
      <c r="D9382" t="inlineStr">
        <is>
          <t>VÄRMLANDS LÄN</t>
        </is>
      </c>
      <c r="E9382" t="inlineStr">
        <is>
          <t>TORSBY</t>
        </is>
      </c>
      <c r="F9382" t="inlineStr">
        <is>
          <t>Kommuner</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46967-2023</t>
        </is>
      </c>
      <c r="B9383" s="1" t="n">
        <v>45201</v>
      </c>
      <c r="C9383" s="1" t="n">
        <v>45932</v>
      </c>
      <c r="D9383" t="inlineStr">
        <is>
          <t>VÄRMLANDS LÄN</t>
        </is>
      </c>
      <c r="E9383" t="inlineStr">
        <is>
          <t>KARLSTAD</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52979-2020</t>
        </is>
      </c>
      <c r="B9384" s="1" t="n">
        <v>44120</v>
      </c>
      <c r="C9384" s="1" t="n">
        <v>45932</v>
      </c>
      <c r="D9384" t="inlineStr">
        <is>
          <t>VÄRMLANDS LÄN</t>
        </is>
      </c>
      <c r="E9384" t="inlineStr">
        <is>
          <t>TORSBY</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40029-2025</t>
        </is>
      </c>
      <c r="B9385" s="1" t="n">
        <v>45894</v>
      </c>
      <c r="C9385" s="1" t="n">
        <v>45932</v>
      </c>
      <c r="D9385" t="inlineStr">
        <is>
          <t>VÄRMLANDS LÄN</t>
        </is>
      </c>
      <c r="E9385" t="inlineStr">
        <is>
          <t>GRUMS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36530-2025</t>
        </is>
      </c>
      <c r="B9386" s="1" t="n">
        <v>45869.61282407407</v>
      </c>
      <c r="C9386" s="1" t="n">
        <v>45932</v>
      </c>
      <c r="D9386" t="inlineStr">
        <is>
          <t>VÄRMLANDS LÄN</t>
        </is>
      </c>
      <c r="E9386" t="inlineStr">
        <is>
          <t>TORSBY</t>
        </is>
      </c>
      <c r="F9386" t="inlineStr">
        <is>
          <t>Bergvik skog väst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32009-2022</t>
        </is>
      </c>
      <c r="B9387" s="1" t="n">
        <v>44778</v>
      </c>
      <c r="C9387" s="1" t="n">
        <v>45932</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21996-2021</t>
        </is>
      </c>
      <c r="B9388" s="1" t="n">
        <v>44323</v>
      </c>
      <c r="C9388" s="1" t="n">
        <v>45932</v>
      </c>
      <c r="D9388" t="inlineStr">
        <is>
          <t>VÄRMLANDS LÄN</t>
        </is>
      </c>
      <c r="E9388" t="inlineStr">
        <is>
          <t>ÅRJÄNG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22007-2021</t>
        </is>
      </c>
      <c r="B9389" s="1" t="n">
        <v>44323</v>
      </c>
      <c r="C9389" s="1" t="n">
        <v>45932</v>
      </c>
      <c r="D9389" t="inlineStr">
        <is>
          <t>VÄRMLANDS LÄN</t>
        </is>
      </c>
      <c r="E9389" t="inlineStr">
        <is>
          <t>HAGFORS</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2990-2022</t>
        </is>
      </c>
      <c r="B9390" s="1" t="n">
        <v>44581.85012731481</v>
      </c>
      <c r="C9390" s="1" t="n">
        <v>45932</v>
      </c>
      <c r="D9390" t="inlineStr">
        <is>
          <t>VÄRMLANDS LÄN</t>
        </is>
      </c>
      <c r="E9390" t="inlineStr">
        <is>
          <t>KIL</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2994-2022</t>
        </is>
      </c>
      <c r="B9391" s="1" t="n">
        <v>44581.86648148148</v>
      </c>
      <c r="C9391" s="1" t="n">
        <v>45932</v>
      </c>
      <c r="D9391" t="inlineStr">
        <is>
          <t>VÄRMLANDS LÄN</t>
        </is>
      </c>
      <c r="E9391" t="inlineStr">
        <is>
          <t>KIL</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43243-2025</t>
        </is>
      </c>
      <c r="B9392" s="1" t="n">
        <v>45910.5453587963</v>
      </c>
      <c r="C9392" s="1" t="n">
        <v>45932</v>
      </c>
      <c r="D9392" t="inlineStr">
        <is>
          <t>VÄRMLANDS LÄN</t>
        </is>
      </c>
      <c r="E9392" t="inlineStr">
        <is>
          <t>GRUMS</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56643-2022</t>
        </is>
      </c>
      <c r="B9393" s="1" t="n">
        <v>44893.62418981481</v>
      </c>
      <c r="C9393" s="1" t="n">
        <v>45932</v>
      </c>
      <c r="D9393" t="inlineStr">
        <is>
          <t>VÄRMLANDS LÄN</t>
        </is>
      </c>
      <c r="E9393" t="inlineStr">
        <is>
          <t>KARLSTAD</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34063-2021</t>
        </is>
      </c>
      <c r="B9394" s="1" t="n">
        <v>44379.39650462963</v>
      </c>
      <c r="C9394" s="1" t="n">
        <v>45932</v>
      </c>
      <c r="D9394" t="inlineStr">
        <is>
          <t>VÄRMLANDS LÄN</t>
        </is>
      </c>
      <c r="E9394" t="inlineStr">
        <is>
          <t>HAGFORS</t>
        </is>
      </c>
      <c r="F9394" t="inlineStr">
        <is>
          <t>Bergvik skog väst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51505-2021</t>
        </is>
      </c>
      <c r="B9395" s="1" t="n">
        <v>44460</v>
      </c>
      <c r="C9395" s="1" t="n">
        <v>45932</v>
      </c>
      <c r="D9395" t="inlineStr">
        <is>
          <t>VÄRMLANDS LÄN</t>
        </is>
      </c>
      <c r="E9395" t="inlineStr">
        <is>
          <t>TORSBY</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57998-2023</t>
        </is>
      </c>
      <c r="B9396" s="1" t="n">
        <v>45247</v>
      </c>
      <c r="C9396" s="1" t="n">
        <v>45932</v>
      </c>
      <c r="D9396" t="inlineStr">
        <is>
          <t>VÄRMLANDS LÄN</t>
        </is>
      </c>
      <c r="E9396" t="inlineStr">
        <is>
          <t>ARVIKA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17559-2021</t>
        </is>
      </c>
      <c r="B9397" s="1" t="n">
        <v>44299</v>
      </c>
      <c r="C9397" s="1" t="n">
        <v>45932</v>
      </c>
      <c r="D9397" t="inlineStr">
        <is>
          <t>VÄRMLANDS LÄN</t>
        </is>
      </c>
      <c r="E9397" t="inlineStr">
        <is>
          <t>KIL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12673-2024</t>
        </is>
      </c>
      <c r="B9398" s="1" t="n">
        <v>45384</v>
      </c>
      <c r="C9398" s="1" t="n">
        <v>45932</v>
      </c>
      <c r="D9398" t="inlineStr">
        <is>
          <t>VÄRMLANDS LÄN</t>
        </is>
      </c>
      <c r="E9398" t="inlineStr">
        <is>
          <t>HAGFORS</t>
        </is>
      </c>
      <c r="F9398" t="inlineStr">
        <is>
          <t>Bergvik skog väst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25429-2023</t>
        </is>
      </c>
      <c r="B9399" s="1" t="n">
        <v>45089.40971064815</v>
      </c>
      <c r="C9399" s="1" t="n">
        <v>45932</v>
      </c>
      <c r="D9399" t="inlineStr">
        <is>
          <t>VÄRMLANDS LÄN</t>
        </is>
      </c>
      <c r="E9399" t="inlineStr">
        <is>
          <t>SUNNE</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12118-2023</t>
        </is>
      </c>
      <c r="B9400" s="1" t="n">
        <v>44998.42094907408</v>
      </c>
      <c r="C9400" s="1" t="n">
        <v>45932</v>
      </c>
      <c r="D9400" t="inlineStr">
        <is>
          <t>VÄRMLANDS LÄN</t>
        </is>
      </c>
      <c r="E9400" t="inlineStr">
        <is>
          <t>EDA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12119-2023</t>
        </is>
      </c>
      <c r="B9401" s="1" t="n">
        <v>44998</v>
      </c>
      <c r="C9401" s="1" t="n">
        <v>45932</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1405-2022</t>
        </is>
      </c>
      <c r="B9402" s="1" t="n">
        <v>44573</v>
      </c>
      <c r="C9402" s="1" t="n">
        <v>45932</v>
      </c>
      <c r="D9402" t="inlineStr">
        <is>
          <t>VÄRMLANDS LÄN</t>
        </is>
      </c>
      <c r="E9402" t="inlineStr">
        <is>
          <t>EDA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596-2024</t>
        </is>
      </c>
      <c r="B9403" s="1" t="n">
        <v>45299.63355324074</v>
      </c>
      <c r="C9403" s="1" t="n">
        <v>45932</v>
      </c>
      <c r="D9403" t="inlineStr">
        <is>
          <t>VÄRMLANDS LÄN</t>
        </is>
      </c>
      <c r="E9403" t="inlineStr">
        <is>
          <t>KARLSTAD</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691-2024</t>
        </is>
      </c>
      <c r="B9404" s="1" t="n">
        <v>45300</v>
      </c>
      <c r="C9404" s="1" t="n">
        <v>45932</v>
      </c>
      <c r="D9404" t="inlineStr">
        <is>
          <t>VÄRMLANDS LÄN</t>
        </is>
      </c>
      <c r="E9404" t="inlineStr">
        <is>
          <t>ARVIKA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25482-2023</t>
        </is>
      </c>
      <c r="B9405" s="1" t="n">
        <v>45089</v>
      </c>
      <c r="C9405" s="1" t="n">
        <v>45932</v>
      </c>
      <c r="D9405" t="inlineStr">
        <is>
          <t>VÄRMLANDS LÄN</t>
        </is>
      </c>
      <c r="E9405" t="inlineStr">
        <is>
          <t>ARVIKA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59350-2023</t>
        </is>
      </c>
      <c r="B9406" s="1" t="n">
        <v>45252</v>
      </c>
      <c r="C9406" s="1" t="n">
        <v>45932</v>
      </c>
      <c r="D9406" t="inlineStr">
        <is>
          <t>VÄRMLANDS LÄN</t>
        </is>
      </c>
      <c r="E9406" t="inlineStr">
        <is>
          <t>EDA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6107-2024</t>
        </is>
      </c>
      <c r="B9407" s="1" t="n">
        <v>45337</v>
      </c>
      <c r="C9407" s="1" t="n">
        <v>45932</v>
      </c>
      <c r="D9407" t="inlineStr">
        <is>
          <t>VÄRMLANDS LÄN</t>
        </is>
      </c>
      <c r="E9407" t="inlineStr">
        <is>
          <t>ÅRJÄNG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43315-2022</t>
        </is>
      </c>
      <c r="B9408" s="1" t="n">
        <v>44834.56980324074</v>
      </c>
      <c r="C9408" s="1" t="n">
        <v>45932</v>
      </c>
      <c r="D9408" t="inlineStr">
        <is>
          <t>VÄRMLANDS LÄN</t>
        </is>
      </c>
      <c r="E9408" t="inlineStr">
        <is>
          <t>EDA</t>
        </is>
      </c>
      <c r="F9408" t="inlineStr">
        <is>
          <t>Kommuner</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24908-2024</t>
        </is>
      </c>
      <c r="B9409" s="1" t="n">
        <v>45461</v>
      </c>
      <c r="C9409" s="1" t="n">
        <v>45932</v>
      </c>
      <c r="D9409" t="inlineStr">
        <is>
          <t>VÄRMLANDS LÄN</t>
        </is>
      </c>
      <c r="E9409" t="inlineStr">
        <is>
          <t>HAGFORS</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15660-2025</t>
        </is>
      </c>
      <c r="B9410" s="1" t="n">
        <v>45748</v>
      </c>
      <c r="C9410" s="1" t="n">
        <v>45932</v>
      </c>
      <c r="D9410" t="inlineStr">
        <is>
          <t>VÄRMLANDS LÄN</t>
        </is>
      </c>
      <c r="E9410" t="inlineStr">
        <is>
          <t>TORSBY</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55066-2023</t>
        </is>
      </c>
      <c r="B9411" s="1" t="n">
        <v>45237</v>
      </c>
      <c r="C9411" s="1" t="n">
        <v>45932</v>
      </c>
      <c r="D9411" t="inlineStr">
        <is>
          <t>VÄRMLANDS LÄN</t>
        </is>
      </c>
      <c r="E9411" t="inlineStr">
        <is>
          <t>HAMMARÖ</t>
        </is>
      </c>
      <c r="F9411" t="inlineStr">
        <is>
          <t>Kommuner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32371-2024</t>
        </is>
      </c>
      <c r="B9412" s="1" t="n">
        <v>45512.59020833333</v>
      </c>
      <c r="C9412" s="1" t="n">
        <v>45932</v>
      </c>
      <c r="D9412" t="inlineStr">
        <is>
          <t>VÄRMLANDS LÄN</t>
        </is>
      </c>
      <c r="E9412" t="inlineStr">
        <is>
          <t>SUNNE</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27053-2023</t>
        </is>
      </c>
      <c r="B9413" s="1" t="n">
        <v>45095</v>
      </c>
      <c r="C9413" s="1" t="n">
        <v>45932</v>
      </c>
      <c r="D9413" t="inlineStr">
        <is>
          <t>VÄRMLANDS LÄN</t>
        </is>
      </c>
      <c r="E9413" t="inlineStr">
        <is>
          <t>SUNNE</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43614-2025</t>
        </is>
      </c>
      <c r="B9414" s="1" t="n">
        <v>45911.67766203704</v>
      </c>
      <c r="C9414" s="1" t="n">
        <v>45932</v>
      </c>
      <c r="D9414" t="inlineStr">
        <is>
          <t>VÄRMLANDS LÄN</t>
        </is>
      </c>
      <c r="E9414" t="inlineStr">
        <is>
          <t>TORSBY</t>
        </is>
      </c>
      <c r="F9414" t="inlineStr">
        <is>
          <t>Bergvik skog väst AB</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6825-2021</t>
        </is>
      </c>
      <c r="B9415" s="1" t="n">
        <v>44237</v>
      </c>
      <c r="C9415" s="1" t="n">
        <v>45932</v>
      </c>
      <c r="D9415" t="inlineStr">
        <is>
          <t>VÄRMLANDS LÄN</t>
        </is>
      </c>
      <c r="E9415" t="inlineStr">
        <is>
          <t>SUNNE</t>
        </is>
      </c>
      <c r="F9415" t="inlineStr">
        <is>
          <t>Bergvik skog väst AB</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20737-2023</t>
        </is>
      </c>
      <c r="B9416" s="1" t="n">
        <v>45058</v>
      </c>
      <c r="C9416" s="1" t="n">
        <v>45932</v>
      </c>
      <c r="D9416" t="inlineStr">
        <is>
          <t>VÄRMLANDS LÄN</t>
        </is>
      </c>
      <c r="E9416" t="inlineStr">
        <is>
          <t>TORSBY</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14829-2022</t>
        </is>
      </c>
      <c r="B9417" s="1" t="n">
        <v>44656</v>
      </c>
      <c r="C9417" s="1" t="n">
        <v>45932</v>
      </c>
      <c r="D9417" t="inlineStr">
        <is>
          <t>VÄRMLANDS LÄN</t>
        </is>
      </c>
      <c r="E9417" t="inlineStr">
        <is>
          <t>ARVIKA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62210-2023</t>
        </is>
      </c>
      <c r="B9418" s="1" t="n">
        <v>45267.49430555556</v>
      </c>
      <c r="C9418" s="1" t="n">
        <v>45932</v>
      </c>
      <c r="D9418" t="inlineStr">
        <is>
          <t>VÄRMLANDS LÄN</t>
        </is>
      </c>
      <c r="E9418" t="inlineStr">
        <is>
          <t>TORSBY</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62250-2023</t>
        </is>
      </c>
      <c r="B9419" s="1" t="n">
        <v>45266</v>
      </c>
      <c r="C9419" s="1" t="n">
        <v>45932</v>
      </c>
      <c r="D9419" t="inlineStr">
        <is>
          <t>VÄRMLANDS LÄN</t>
        </is>
      </c>
      <c r="E9419" t="inlineStr">
        <is>
          <t>TORSBY</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62977-2023</t>
        </is>
      </c>
      <c r="B9420" s="1" t="n">
        <v>45272.58515046296</v>
      </c>
      <c r="C9420" s="1" t="n">
        <v>45932</v>
      </c>
      <c r="D9420" t="inlineStr">
        <is>
          <t>VÄRMLANDS LÄN</t>
        </is>
      </c>
      <c r="E9420" t="inlineStr">
        <is>
          <t>MUNKFORS</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51574-2024</t>
        </is>
      </c>
      <c r="B9421" s="1" t="n">
        <v>45604</v>
      </c>
      <c r="C9421" s="1" t="n">
        <v>45932</v>
      </c>
      <c r="D9421" t="inlineStr">
        <is>
          <t>VÄRMLANDS LÄN</t>
        </is>
      </c>
      <c r="E9421" t="inlineStr">
        <is>
          <t>FILIPSTAD</t>
        </is>
      </c>
      <c r="F9421" t="inlineStr">
        <is>
          <t>Bergvik skog väst AB</t>
        </is>
      </c>
      <c r="G9421" t="n">
        <v>17.8</v>
      </c>
      <c r="H9421" t="n">
        <v>0</v>
      </c>
      <c r="I9421" t="n">
        <v>0</v>
      </c>
      <c r="J9421" t="n">
        <v>0</v>
      </c>
      <c r="K9421" t="n">
        <v>0</v>
      </c>
      <c r="L9421" t="n">
        <v>0</v>
      </c>
      <c r="M9421" t="n">
        <v>0</v>
      </c>
      <c r="N9421" t="n">
        <v>0</v>
      </c>
      <c r="O9421" t="n">
        <v>0</v>
      </c>
      <c r="P9421" t="n">
        <v>0</v>
      </c>
      <c r="Q9421" t="n">
        <v>0</v>
      </c>
      <c r="R9421" s="2" t="inlineStr"/>
    </row>
    <row r="9422" ht="15" customHeight="1">
      <c r="A9422" t="inlineStr">
        <is>
          <t>A 43943-2022</t>
        </is>
      </c>
      <c r="B9422" s="1" t="n">
        <v>44838</v>
      </c>
      <c r="C9422" s="1" t="n">
        <v>45932</v>
      </c>
      <c r="D9422" t="inlineStr">
        <is>
          <t>VÄRMLANDS LÄN</t>
        </is>
      </c>
      <c r="E9422" t="inlineStr">
        <is>
          <t>TORSBY</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3065-2024</t>
        </is>
      </c>
      <c r="B9423" s="1" t="n">
        <v>45316.40590277778</v>
      </c>
      <c r="C9423" s="1" t="n">
        <v>45932</v>
      </c>
      <c r="D9423" t="inlineStr">
        <is>
          <t>VÄRMLANDS LÄN</t>
        </is>
      </c>
      <c r="E9423" t="inlineStr">
        <is>
          <t>GRUMS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8428-2025</t>
        </is>
      </c>
      <c r="B9424" s="1" t="n">
        <v>45709.41995370371</v>
      </c>
      <c r="C9424" s="1" t="n">
        <v>45932</v>
      </c>
      <c r="D9424" t="inlineStr">
        <is>
          <t>VÄRMLANDS LÄN</t>
        </is>
      </c>
      <c r="E9424" t="inlineStr">
        <is>
          <t>TORSBY</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24721-2024</t>
        </is>
      </c>
      <c r="B9425" s="1" t="n">
        <v>45460.63473379629</v>
      </c>
      <c r="C9425" s="1" t="n">
        <v>45932</v>
      </c>
      <c r="D9425" t="inlineStr">
        <is>
          <t>VÄRMLANDS LÄN</t>
        </is>
      </c>
      <c r="E9425" t="inlineStr">
        <is>
          <t>HAGFORS</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43612-2025</t>
        </is>
      </c>
      <c r="B9426" s="1" t="n">
        <v>45911.67621527778</v>
      </c>
      <c r="C9426" s="1" t="n">
        <v>45932</v>
      </c>
      <c r="D9426" t="inlineStr">
        <is>
          <t>VÄRMLANDS LÄN</t>
        </is>
      </c>
      <c r="E9426" t="inlineStr">
        <is>
          <t>ARVIKA</t>
        </is>
      </c>
      <c r="F9426" t="inlineStr">
        <is>
          <t>Bergvik skog väst AB</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43304-2025</t>
        </is>
      </c>
      <c r="B9427" s="1" t="n">
        <v>45910.63630787037</v>
      </c>
      <c r="C9427" s="1" t="n">
        <v>45932</v>
      </c>
      <c r="D9427" t="inlineStr">
        <is>
          <t>VÄRMLANDS LÄN</t>
        </is>
      </c>
      <c r="E9427" t="inlineStr">
        <is>
          <t>TORSBY</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1126-2021</t>
        </is>
      </c>
      <c r="B9428" s="1" t="n">
        <v>44207</v>
      </c>
      <c r="C9428" s="1" t="n">
        <v>45932</v>
      </c>
      <c r="D9428" t="inlineStr">
        <is>
          <t>VÄRMLANDS LÄN</t>
        </is>
      </c>
      <c r="E9428" t="inlineStr">
        <is>
          <t>EDA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41967-2025</t>
        </is>
      </c>
      <c r="B9429" s="1" t="n">
        <v>45903</v>
      </c>
      <c r="C9429" s="1" t="n">
        <v>45932</v>
      </c>
      <c r="D9429" t="inlineStr">
        <is>
          <t>VÄRMLANDS LÄN</t>
        </is>
      </c>
      <c r="E9429" t="inlineStr">
        <is>
          <t>MUNKFORS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36466-2025</t>
        </is>
      </c>
      <c r="B9430" s="1" t="n">
        <v>45869.46987268519</v>
      </c>
      <c r="C9430" s="1" t="n">
        <v>45932</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43608-2025</t>
        </is>
      </c>
      <c r="B9431" s="1" t="n">
        <v>45911.67491898148</v>
      </c>
      <c r="C9431" s="1" t="n">
        <v>45932</v>
      </c>
      <c r="D9431" t="inlineStr">
        <is>
          <t>VÄRMLANDS LÄN</t>
        </is>
      </c>
      <c r="E9431" t="inlineStr">
        <is>
          <t>TORSBY</t>
        </is>
      </c>
      <c r="F9431" t="inlineStr">
        <is>
          <t>Bergvik skog väst AB</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43354-2025</t>
        </is>
      </c>
      <c r="B9432" s="1" t="n">
        <v>45911.32346064815</v>
      </c>
      <c r="C9432" s="1" t="n">
        <v>45932</v>
      </c>
      <c r="D9432" t="inlineStr">
        <is>
          <t>VÄRMLANDS LÄN</t>
        </is>
      </c>
      <c r="E9432" t="inlineStr">
        <is>
          <t>ARVIKA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43426-2025</t>
        </is>
      </c>
      <c r="B9433" s="1" t="n">
        <v>45911.41869212963</v>
      </c>
      <c r="C9433" s="1" t="n">
        <v>45932</v>
      </c>
      <c r="D9433" t="inlineStr">
        <is>
          <t>VÄRMLANDS LÄN</t>
        </is>
      </c>
      <c r="E9433" t="inlineStr">
        <is>
          <t>ÅRJÄNG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62540-2023</t>
        </is>
      </c>
      <c r="B9434" s="1" t="n">
        <v>45267</v>
      </c>
      <c r="C9434" s="1" t="n">
        <v>45932</v>
      </c>
      <c r="D9434" t="inlineStr">
        <is>
          <t>VÄRMLANDS LÄN</t>
        </is>
      </c>
      <c r="E9434" t="inlineStr">
        <is>
          <t>FILIPSTAD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36364-2025</t>
        </is>
      </c>
      <c r="B9435" s="1" t="n">
        <v>45868</v>
      </c>
      <c r="C9435" s="1" t="n">
        <v>45932</v>
      </c>
      <c r="D9435" t="inlineStr">
        <is>
          <t>VÄRMLANDS LÄN</t>
        </is>
      </c>
      <c r="E9435" t="inlineStr">
        <is>
          <t>ARVIKA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43453-2025</t>
        </is>
      </c>
      <c r="B9436" s="1" t="n">
        <v>45911</v>
      </c>
      <c r="C9436" s="1" t="n">
        <v>45932</v>
      </c>
      <c r="D9436" t="inlineStr">
        <is>
          <t>VÄRMLANDS LÄN</t>
        </is>
      </c>
      <c r="E9436" t="inlineStr">
        <is>
          <t>SUNNE</t>
        </is>
      </c>
      <c r="F9436" t="inlineStr">
        <is>
          <t>Bergvik skog väst AB</t>
        </is>
      </c>
      <c r="G9436" t="n">
        <v>29.9</v>
      </c>
      <c r="H9436" t="n">
        <v>0</v>
      </c>
      <c r="I9436" t="n">
        <v>0</v>
      </c>
      <c r="J9436" t="n">
        <v>0</v>
      </c>
      <c r="K9436" t="n">
        <v>0</v>
      </c>
      <c r="L9436" t="n">
        <v>0</v>
      </c>
      <c r="M9436" t="n">
        <v>0</v>
      </c>
      <c r="N9436" t="n">
        <v>0</v>
      </c>
      <c r="O9436" t="n">
        <v>0</v>
      </c>
      <c r="P9436" t="n">
        <v>0</v>
      </c>
      <c r="Q9436" t="n">
        <v>0</v>
      </c>
      <c r="R9436" s="2" t="inlineStr"/>
    </row>
    <row r="9437" ht="15" customHeight="1">
      <c r="A9437" t="inlineStr">
        <is>
          <t>A 51124-2021</t>
        </is>
      </c>
      <c r="B9437" s="1" t="n">
        <v>44461</v>
      </c>
      <c r="C9437" s="1" t="n">
        <v>45932</v>
      </c>
      <c r="D9437" t="inlineStr">
        <is>
          <t>VÄRMLANDS LÄN</t>
        </is>
      </c>
      <c r="E9437" t="inlineStr">
        <is>
          <t>FORSHAGA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56714-2022</t>
        </is>
      </c>
      <c r="B9438" s="1" t="n">
        <v>44893.86241898148</v>
      </c>
      <c r="C9438" s="1" t="n">
        <v>45932</v>
      </c>
      <c r="D9438" t="inlineStr">
        <is>
          <t>VÄRMLANDS LÄN</t>
        </is>
      </c>
      <c r="E9438" t="inlineStr">
        <is>
          <t>ARVIKA</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4995-2025</t>
        </is>
      </c>
      <c r="B9439" s="1" t="n">
        <v>45691.35699074074</v>
      </c>
      <c r="C9439" s="1" t="n">
        <v>45932</v>
      </c>
      <c r="D9439" t="inlineStr">
        <is>
          <t>VÄRMLANDS LÄN</t>
        </is>
      </c>
      <c r="E9439" t="inlineStr">
        <is>
          <t>ARVIKA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18779-2025</t>
        </is>
      </c>
      <c r="B9440" s="1" t="n">
        <v>45763</v>
      </c>
      <c r="C9440" s="1" t="n">
        <v>45932</v>
      </c>
      <c r="D9440" t="inlineStr">
        <is>
          <t>VÄRMLANDS LÄN</t>
        </is>
      </c>
      <c r="E9440" t="inlineStr">
        <is>
          <t>KRISTINEHAMN</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18855-2024</t>
        </is>
      </c>
      <c r="B9441" s="1" t="n">
        <v>45426.73634259259</v>
      </c>
      <c r="C9441" s="1" t="n">
        <v>45932</v>
      </c>
      <c r="D9441" t="inlineStr">
        <is>
          <t>VÄRMLANDS LÄN</t>
        </is>
      </c>
      <c r="E9441" t="inlineStr">
        <is>
          <t>TORSBY</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25437-2023</t>
        </is>
      </c>
      <c r="B9442" s="1" t="n">
        <v>45089.42549768519</v>
      </c>
      <c r="C9442" s="1" t="n">
        <v>45932</v>
      </c>
      <c r="D9442" t="inlineStr">
        <is>
          <t>VÄRMLANDS LÄN</t>
        </is>
      </c>
      <c r="E9442" t="inlineStr">
        <is>
          <t>EDA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336-2023</t>
        </is>
      </c>
      <c r="B9443" s="1" t="n">
        <v>44929.47711805555</v>
      </c>
      <c r="C9443" s="1" t="n">
        <v>45932</v>
      </c>
      <c r="D9443" t="inlineStr">
        <is>
          <t>VÄRMLANDS LÄN</t>
        </is>
      </c>
      <c r="E9443" t="inlineStr">
        <is>
          <t>SÄFFLE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42406-2025</t>
        </is>
      </c>
      <c r="B9444" s="1" t="n">
        <v>45905</v>
      </c>
      <c r="C9444" s="1" t="n">
        <v>45932</v>
      </c>
      <c r="D9444" t="inlineStr">
        <is>
          <t>VÄRMLANDS LÄN</t>
        </is>
      </c>
      <c r="E9444" t="inlineStr">
        <is>
          <t>HAGFORS</t>
        </is>
      </c>
      <c r="F9444" t="inlineStr">
        <is>
          <t>Bergvik skog väst AB</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34861-2022</t>
        </is>
      </c>
      <c r="B9445" s="1" t="n">
        <v>44796</v>
      </c>
      <c r="C9445" s="1" t="n">
        <v>45932</v>
      </c>
      <c r="D9445" t="inlineStr">
        <is>
          <t>VÄRMLANDS LÄN</t>
        </is>
      </c>
      <c r="E9445" t="inlineStr">
        <is>
          <t>FORSHAGA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16015-2023</t>
        </is>
      </c>
      <c r="B9446" s="1" t="n">
        <v>45026</v>
      </c>
      <c r="C9446" s="1" t="n">
        <v>45932</v>
      </c>
      <c r="D9446" t="inlineStr">
        <is>
          <t>VÄRMLANDS LÄN</t>
        </is>
      </c>
      <c r="E9446" t="inlineStr">
        <is>
          <t>SUNNE</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18700-2024</t>
        </is>
      </c>
      <c r="B9447" s="1" t="n">
        <v>45426.42743055556</v>
      </c>
      <c r="C9447" s="1" t="n">
        <v>45932</v>
      </c>
      <c r="D9447" t="inlineStr">
        <is>
          <t>VÄRMLANDS LÄN</t>
        </is>
      </c>
      <c r="E9447" t="inlineStr">
        <is>
          <t>SÄFFLE</t>
        </is>
      </c>
      <c r="G9447" t="n">
        <v>10.8</v>
      </c>
      <c r="H9447" t="n">
        <v>0</v>
      </c>
      <c r="I9447" t="n">
        <v>0</v>
      </c>
      <c r="J9447" t="n">
        <v>0</v>
      </c>
      <c r="K9447" t="n">
        <v>0</v>
      </c>
      <c r="L9447" t="n">
        <v>0</v>
      </c>
      <c r="M9447" t="n">
        <v>0</v>
      </c>
      <c r="N9447" t="n">
        <v>0</v>
      </c>
      <c r="O9447" t="n">
        <v>0</v>
      </c>
      <c r="P9447" t="n">
        <v>0</v>
      </c>
      <c r="Q9447" t="n">
        <v>0</v>
      </c>
      <c r="R9447" s="2" t="inlineStr"/>
    </row>
    <row r="9448" ht="15" customHeight="1">
      <c r="A9448" t="inlineStr">
        <is>
          <t>A 18758-2024</t>
        </is>
      </c>
      <c r="B9448" s="1" t="n">
        <v>45426.54575231481</v>
      </c>
      <c r="C9448" s="1" t="n">
        <v>45932</v>
      </c>
      <c r="D9448" t="inlineStr">
        <is>
          <t>VÄRMLANDS LÄN</t>
        </is>
      </c>
      <c r="E9448" t="inlineStr">
        <is>
          <t>EDA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53303-2023</t>
        </is>
      </c>
      <c r="B9449" s="1" t="n">
        <v>45229.59701388889</v>
      </c>
      <c r="C9449" s="1" t="n">
        <v>45932</v>
      </c>
      <c r="D9449" t="inlineStr">
        <is>
          <t>VÄRMLANDS LÄN</t>
        </is>
      </c>
      <c r="E9449" t="inlineStr">
        <is>
          <t>SÄFFLE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42229-2025</t>
        </is>
      </c>
      <c r="B9450" s="1" t="n">
        <v>45904</v>
      </c>
      <c r="C9450" s="1" t="n">
        <v>45932</v>
      </c>
      <c r="D9450" t="inlineStr">
        <is>
          <t>VÄRMLANDS LÄN</t>
        </is>
      </c>
      <c r="E9450" t="inlineStr">
        <is>
          <t>EDA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43055-2025</t>
        </is>
      </c>
      <c r="B9451" s="1" t="n">
        <v>45909</v>
      </c>
      <c r="C9451" s="1" t="n">
        <v>45932</v>
      </c>
      <c r="D9451" t="inlineStr">
        <is>
          <t>VÄRMLANDS LÄN</t>
        </is>
      </c>
      <c r="E9451" t="inlineStr">
        <is>
          <t>TORSBY</t>
        </is>
      </c>
      <c r="F9451" t="inlineStr">
        <is>
          <t>Bergvik skog väst AB</t>
        </is>
      </c>
      <c r="G9451" t="n">
        <v>20.1</v>
      </c>
      <c r="H9451" t="n">
        <v>0</v>
      </c>
      <c r="I9451" t="n">
        <v>0</v>
      </c>
      <c r="J9451" t="n">
        <v>0</v>
      </c>
      <c r="K9451" t="n">
        <v>0</v>
      </c>
      <c r="L9451" t="n">
        <v>0</v>
      </c>
      <c r="M9451" t="n">
        <v>0</v>
      </c>
      <c r="N9451" t="n">
        <v>0</v>
      </c>
      <c r="O9451" t="n">
        <v>0</v>
      </c>
      <c r="P9451" t="n">
        <v>0</v>
      </c>
      <c r="Q9451" t="n">
        <v>0</v>
      </c>
      <c r="R9451" s="2" t="inlineStr"/>
    </row>
    <row r="9452" ht="15" customHeight="1">
      <c r="A9452" t="inlineStr">
        <is>
          <t>A 11670-2025</t>
        </is>
      </c>
      <c r="B9452" s="1" t="n">
        <v>45727</v>
      </c>
      <c r="C9452" s="1" t="n">
        <v>45932</v>
      </c>
      <c r="D9452" t="inlineStr">
        <is>
          <t>VÄRMLANDS LÄN</t>
        </is>
      </c>
      <c r="E9452" t="inlineStr">
        <is>
          <t>TORSBY</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43313-2025</t>
        </is>
      </c>
      <c r="B9453" s="1" t="n">
        <v>45910</v>
      </c>
      <c r="C9453" s="1" t="n">
        <v>45932</v>
      </c>
      <c r="D9453" t="inlineStr">
        <is>
          <t>VÄRMLANDS LÄN</t>
        </is>
      </c>
      <c r="E9453" t="inlineStr">
        <is>
          <t>TORSBY</t>
        </is>
      </c>
      <c r="F9453" t="inlineStr">
        <is>
          <t>Övriga Aktiebolag</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27712-2025</t>
        </is>
      </c>
      <c r="B9454" s="1" t="n">
        <v>45813.79571759259</v>
      </c>
      <c r="C9454" s="1" t="n">
        <v>45932</v>
      </c>
      <c r="D9454" t="inlineStr">
        <is>
          <t>VÄRMLANDS LÄN</t>
        </is>
      </c>
      <c r="E9454" t="inlineStr">
        <is>
          <t>ARVIKA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32496-2022</t>
        </is>
      </c>
      <c r="B9455" s="1" t="n">
        <v>44782</v>
      </c>
      <c r="C9455" s="1" t="n">
        <v>45932</v>
      </c>
      <c r="D9455" t="inlineStr">
        <is>
          <t>VÄRMLANDS LÄN</t>
        </is>
      </c>
      <c r="E9455" t="inlineStr">
        <is>
          <t>TORSBY</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5753-2025</t>
        </is>
      </c>
      <c r="B9456" s="1" t="n">
        <v>45694</v>
      </c>
      <c r="C9456" s="1" t="n">
        <v>45932</v>
      </c>
      <c r="D9456" t="inlineStr">
        <is>
          <t>VÄRMLANDS LÄN</t>
        </is>
      </c>
      <c r="E9456" t="inlineStr">
        <is>
          <t>KIL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43350-2025</t>
        </is>
      </c>
      <c r="B9457" s="1" t="n">
        <v>45911.00423611111</v>
      </c>
      <c r="C9457" s="1" t="n">
        <v>45932</v>
      </c>
      <c r="D9457" t="inlineStr">
        <is>
          <t>VÄRMLANDS LÄN</t>
        </is>
      </c>
      <c r="E9457" t="inlineStr">
        <is>
          <t>KRISTINEHAMN</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32604-2025</t>
        </is>
      </c>
      <c r="B9458" s="1" t="n">
        <v>45838</v>
      </c>
      <c r="C9458" s="1" t="n">
        <v>45932</v>
      </c>
      <c r="D9458" t="inlineStr">
        <is>
          <t>VÄRMLANDS LÄN</t>
        </is>
      </c>
      <c r="E9458" t="inlineStr">
        <is>
          <t>HAGFORS</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45165-2023</t>
        </is>
      </c>
      <c r="B9459" s="1" t="n">
        <v>45191.49715277777</v>
      </c>
      <c r="C9459" s="1" t="n">
        <v>45932</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45167-2023</t>
        </is>
      </c>
      <c r="B9460" s="1" t="n">
        <v>45191</v>
      </c>
      <c r="C9460" s="1" t="n">
        <v>45932</v>
      </c>
      <c r="D9460" t="inlineStr">
        <is>
          <t>VÄRMLANDS LÄN</t>
        </is>
      </c>
      <c r="E9460" t="inlineStr">
        <is>
          <t>SÄFFLE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45178-2023</t>
        </is>
      </c>
      <c r="B9461" s="1" t="n">
        <v>45191.53236111111</v>
      </c>
      <c r="C9461" s="1" t="n">
        <v>45932</v>
      </c>
      <c r="D9461" t="inlineStr">
        <is>
          <t>VÄRMLANDS LÄN</t>
        </is>
      </c>
      <c r="E9461" t="inlineStr">
        <is>
          <t>ARVIKA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64366-2023</t>
        </is>
      </c>
      <c r="B9462" s="1" t="n">
        <v>45278</v>
      </c>
      <c r="C9462" s="1" t="n">
        <v>45932</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64374-2023</t>
        </is>
      </c>
      <c r="B9463" s="1" t="n">
        <v>45280.55791666666</v>
      </c>
      <c r="C9463" s="1" t="n">
        <v>45932</v>
      </c>
      <c r="D9463" t="inlineStr">
        <is>
          <t>VÄRMLANDS LÄN</t>
        </is>
      </c>
      <c r="E9463" t="inlineStr">
        <is>
          <t>KIL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41297-2021</t>
        </is>
      </c>
      <c r="B9464" s="1" t="n">
        <v>44424</v>
      </c>
      <c r="C9464" s="1" t="n">
        <v>45932</v>
      </c>
      <c r="D9464" t="inlineStr">
        <is>
          <t>VÄRMLANDS LÄN</t>
        </is>
      </c>
      <c r="E9464" t="inlineStr">
        <is>
          <t>KRISTINEHAMN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2261-2024</t>
        </is>
      </c>
      <c r="B9465" s="1" t="n">
        <v>45310</v>
      </c>
      <c r="C9465" s="1" t="n">
        <v>45932</v>
      </c>
      <c r="D9465" t="inlineStr">
        <is>
          <t>VÄRMLANDS LÄN</t>
        </is>
      </c>
      <c r="E9465" t="inlineStr">
        <is>
          <t>EDA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2265-2024</t>
        </is>
      </c>
      <c r="B9466" s="1" t="n">
        <v>45310</v>
      </c>
      <c r="C9466" s="1" t="n">
        <v>45932</v>
      </c>
      <c r="D9466" t="inlineStr">
        <is>
          <t>VÄRMLANDS LÄN</t>
        </is>
      </c>
      <c r="E9466" t="inlineStr">
        <is>
          <t>EDA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2306-2024</t>
        </is>
      </c>
      <c r="B9467" s="1" t="n">
        <v>45310.46356481482</v>
      </c>
      <c r="C9467" s="1" t="n">
        <v>45932</v>
      </c>
      <c r="D9467" t="inlineStr">
        <is>
          <t>VÄRMLANDS LÄN</t>
        </is>
      </c>
      <c r="E9467" t="inlineStr">
        <is>
          <t>KIL</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43312-2023</t>
        </is>
      </c>
      <c r="B9468" s="1" t="n">
        <v>45183.60768518518</v>
      </c>
      <c r="C9468" s="1" t="n">
        <v>45932</v>
      </c>
      <c r="D9468" t="inlineStr">
        <is>
          <t>VÄRMLANDS LÄN</t>
        </is>
      </c>
      <c r="E9468" t="inlineStr">
        <is>
          <t>SUNNE</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15052-2024</t>
        </is>
      </c>
      <c r="B9469" s="1" t="n">
        <v>45399.52613425926</v>
      </c>
      <c r="C9469" s="1" t="n">
        <v>45932</v>
      </c>
      <c r="D9469" t="inlineStr">
        <is>
          <t>VÄRMLANDS LÄN</t>
        </is>
      </c>
      <c r="E9469" t="inlineStr">
        <is>
          <t>TORSBY</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10297-2025</t>
        </is>
      </c>
      <c r="B9470" s="1" t="n">
        <v>45720.42957175926</v>
      </c>
      <c r="C9470" s="1" t="n">
        <v>45932</v>
      </c>
      <c r="D9470" t="inlineStr">
        <is>
          <t>VÄRMLANDS LÄN</t>
        </is>
      </c>
      <c r="E9470" t="inlineStr">
        <is>
          <t>HAGFORS</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63482-2021</t>
        </is>
      </c>
      <c r="B9471" s="1" t="n">
        <v>44508</v>
      </c>
      <c r="C9471" s="1" t="n">
        <v>45932</v>
      </c>
      <c r="D9471" t="inlineStr">
        <is>
          <t>VÄRMLANDS LÄN</t>
        </is>
      </c>
      <c r="E9471" t="inlineStr">
        <is>
          <t>FILIPSTAD</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44484-2022</t>
        </is>
      </c>
      <c r="B9472" s="1" t="n">
        <v>44840.35667824074</v>
      </c>
      <c r="C9472" s="1" t="n">
        <v>45932</v>
      </c>
      <c r="D9472" t="inlineStr">
        <is>
          <t>VÄRMLANDS LÄN</t>
        </is>
      </c>
      <c r="E9472" t="inlineStr">
        <is>
          <t>SUNNE</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19787-2025</t>
        </is>
      </c>
      <c r="B9473" s="1" t="n">
        <v>45771.4408912037</v>
      </c>
      <c r="C9473" s="1" t="n">
        <v>45932</v>
      </c>
      <c r="D9473" t="inlineStr">
        <is>
          <t>VÄRMLANDS LÄN</t>
        </is>
      </c>
      <c r="E9473" t="inlineStr">
        <is>
          <t>TORSBY</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11367-2025</t>
        </is>
      </c>
      <c r="B9474" s="1" t="n">
        <v>45726.54690972222</v>
      </c>
      <c r="C9474" s="1" t="n">
        <v>45932</v>
      </c>
      <c r="D9474" t="inlineStr">
        <is>
          <t>VÄRMLANDS LÄN</t>
        </is>
      </c>
      <c r="E9474" t="inlineStr">
        <is>
          <t>HAGFORS</t>
        </is>
      </c>
      <c r="F9474" t="inlineStr">
        <is>
          <t>Bergvik skog väst AB</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49298-2024</t>
        </is>
      </c>
      <c r="B9475" s="1" t="n">
        <v>45595.54357638889</v>
      </c>
      <c r="C9475" s="1" t="n">
        <v>45932</v>
      </c>
      <c r="D9475" t="inlineStr">
        <is>
          <t>VÄRMLANDS LÄN</t>
        </is>
      </c>
      <c r="E9475" t="inlineStr">
        <is>
          <t>TORSBY</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17081-2024</t>
        </is>
      </c>
      <c r="B9476" s="1" t="n">
        <v>45412</v>
      </c>
      <c r="C9476" s="1" t="n">
        <v>45932</v>
      </c>
      <c r="D9476" t="inlineStr">
        <is>
          <t>VÄRMLANDS LÄN</t>
        </is>
      </c>
      <c r="E9476" t="inlineStr">
        <is>
          <t>GRUMS</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5782-2022</t>
        </is>
      </c>
      <c r="B9477" s="1" t="n">
        <v>44596</v>
      </c>
      <c r="C9477" s="1" t="n">
        <v>45932</v>
      </c>
      <c r="D9477" t="inlineStr">
        <is>
          <t>VÄRMLANDS LÄN</t>
        </is>
      </c>
      <c r="E9477" t="inlineStr">
        <is>
          <t>ARVIKA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4998-2024</t>
        </is>
      </c>
      <c r="B9478" s="1" t="n">
        <v>45329</v>
      </c>
      <c r="C9478" s="1" t="n">
        <v>45932</v>
      </c>
      <c r="D9478" t="inlineStr">
        <is>
          <t>VÄRMLANDS LÄN</t>
        </is>
      </c>
      <c r="E9478" t="inlineStr">
        <is>
          <t>STORFORS</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56895-2023</t>
        </is>
      </c>
      <c r="B9479" s="1" t="n">
        <v>45244</v>
      </c>
      <c r="C9479" s="1" t="n">
        <v>45932</v>
      </c>
      <c r="D9479" t="inlineStr">
        <is>
          <t>VÄRMLANDS LÄN</t>
        </is>
      </c>
      <c r="E9479" t="inlineStr">
        <is>
          <t>HAGFORS</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57564-2024</t>
        </is>
      </c>
      <c r="B9480" s="1" t="n">
        <v>45630</v>
      </c>
      <c r="C9480" s="1" t="n">
        <v>45932</v>
      </c>
      <c r="D9480" t="inlineStr">
        <is>
          <t>VÄRMLANDS LÄN</t>
        </is>
      </c>
      <c r="E9480" t="inlineStr">
        <is>
          <t>SÄFFLE</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10310-2021</t>
        </is>
      </c>
      <c r="B9481" s="1" t="n">
        <v>44257</v>
      </c>
      <c r="C9481" s="1" t="n">
        <v>45932</v>
      </c>
      <c r="D9481" t="inlineStr">
        <is>
          <t>VÄRMLANDS LÄN</t>
        </is>
      </c>
      <c r="E9481" t="inlineStr">
        <is>
          <t>HAGFORS</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37029-2024</t>
        </is>
      </c>
      <c r="B9482" s="1" t="n">
        <v>45539.38806712963</v>
      </c>
      <c r="C9482" s="1" t="n">
        <v>45932</v>
      </c>
      <c r="D9482" t="inlineStr">
        <is>
          <t>VÄRMLANDS LÄN</t>
        </is>
      </c>
      <c r="E9482" t="inlineStr">
        <is>
          <t>ÅRJÄNG</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20661-2024</t>
        </is>
      </c>
      <c r="B9483" s="1" t="n">
        <v>45436</v>
      </c>
      <c r="C9483" s="1" t="n">
        <v>45932</v>
      </c>
      <c r="D9483" t="inlineStr">
        <is>
          <t>VÄRMLANDS LÄN</t>
        </is>
      </c>
      <c r="E9483" t="inlineStr">
        <is>
          <t>FILIPSTAD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26829-2023</t>
        </is>
      </c>
      <c r="B9484" s="1" t="n">
        <v>45093.54527777778</v>
      </c>
      <c r="C9484" s="1" t="n">
        <v>45932</v>
      </c>
      <c r="D9484" t="inlineStr">
        <is>
          <t>VÄRMLANDS LÄN</t>
        </is>
      </c>
      <c r="E9484" t="inlineStr">
        <is>
          <t>GRUMS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26831-2023</t>
        </is>
      </c>
      <c r="B9485" s="1" t="n">
        <v>45090</v>
      </c>
      <c r="C9485" s="1" t="n">
        <v>45932</v>
      </c>
      <c r="D9485" t="inlineStr">
        <is>
          <t>VÄRMLANDS LÄN</t>
        </is>
      </c>
      <c r="E9485" t="inlineStr">
        <is>
          <t>EDA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33623-2022</t>
        </is>
      </c>
      <c r="B9486" s="1" t="n">
        <v>44789</v>
      </c>
      <c r="C9486" s="1" t="n">
        <v>45932</v>
      </c>
      <c r="D9486" t="inlineStr">
        <is>
          <t>VÄRMLANDS LÄN</t>
        </is>
      </c>
      <c r="E9486" t="inlineStr">
        <is>
          <t>SUNNE</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11195-2025</t>
        </is>
      </c>
      <c r="B9487" s="1" t="n">
        <v>45725.85177083333</v>
      </c>
      <c r="C9487" s="1" t="n">
        <v>45932</v>
      </c>
      <c r="D9487" t="inlineStr">
        <is>
          <t>VÄRMLANDS LÄN</t>
        </is>
      </c>
      <c r="E9487" t="inlineStr">
        <is>
          <t>TORSBY</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56170-2023</t>
        </is>
      </c>
      <c r="B9488" s="1" t="n">
        <v>45240.62975694444</v>
      </c>
      <c r="C9488" s="1" t="n">
        <v>45932</v>
      </c>
      <c r="D9488" t="inlineStr">
        <is>
          <t>VÄRMLANDS LÄN</t>
        </is>
      </c>
      <c r="E9488" t="inlineStr">
        <is>
          <t>TORSBY</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56496-2023</t>
        </is>
      </c>
      <c r="B9489" s="1" t="n">
        <v>45243</v>
      </c>
      <c r="C9489" s="1" t="n">
        <v>45932</v>
      </c>
      <c r="D9489" t="inlineStr">
        <is>
          <t>VÄRMLANDS LÄN</t>
        </is>
      </c>
      <c r="E9489" t="inlineStr">
        <is>
          <t>EDA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61908-2022</t>
        </is>
      </c>
      <c r="B9490" s="1" t="n">
        <v>44917.73827546297</v>
      </c>
      <c r="C9490" s="1" t="n">
        <v>45932</v>
      </c>
      <c r="D9490" t="inlineStr">
        <is>
          <t>VÄRMLANDS LÄN</t>
        </is>
      </c>
      <c r="E9490" t="inlineStr">
        <is>
          <t>ARVIKA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62485-2022</t>
        </is>
      </c>
      <c r="B9491" s="1" t="n">
        <v>44924.56099537037</v>
      </c>
      <c r="C9491" s="1" t="n">
        <v>45932</v>
      </c>
      <c r="D9491" t="inlineStr">
        <is>
          <t>VÄRMLANDS LÄN</t>
        </is>
      </c>
      <c r="E9491" t="inlineStr">
        <is>
          <t>ARVIKA</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9578-2023</t>
        </is>
      </c>
      <c r="B9492" s="1" t="n">
        <v>44982.69790509259</v>
      </c>
      <c r="C9492" s="1" t="n">
        <v>45932</v>
      </c>
      <c r="D9492" t="inlineStr">
        <is>
          <t>VÄRMLANDS LÄN</t>
        </is>
      </c>
      <c r="E9492" t="inlineStr">
        <is>
          <t>TORSBY</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47241-2023</t>
        </is>
      </c>
      <c r="B9493" s="1" t="n">
        <v>45202.39821759259</v>
      </c>
      <c r="C9493" s="1" t="n">
        <v>45932</v>
      </c>
      <c r="D9493" t="inlineStr">
        <is>
          <t>VÄRMLANDS LÄN</t>
        </is>
      </c>
      <c r="E9493" t="inlineStr">
        <is>
          <t>TORSBY</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62039-2022</t>
        </is>
      </c>
      <c r="B9494" s="1" t="n">
        <v>44918</v>
      </c>
      <c r="C9494" s="1" t="n">
        <v>45932</v>
      </c>
      <c r="D9494" t="inlineStr">
        <is>
          <t>VÄRMLANDS LÄN</t>
        </is>
      </c>
      <c r="E9494" t="inlineStr">
        <is>
          <t>SUNNE</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55811-2021</t>
        </is>
      </c>
      <c r="B9495" s="1" t="n">
        <v>44476</v>
      </c>
      <c r="C9495" s="1" t="n">
        <v>45932</v>
      </c>
      <c r="D9495" t="inlineStr">
        <is>
          <t>VÄRMLANDS LÄN</t>
        </is>
      </c>
      <c r="E9495" t="inlineStr">
        <is>
          <t>TORSBY</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15228-2025</t>
        </is>
      </c>
      <c r="B9496" s="1" t="n">
        <v>45744.59353009259</v>
      </c>
      <c r="C9496" s="1" t="n">
        <v>45932</v>
      </c>
      <c r="D9496" t="inlineStr">
        <is>
          <t>VÄRMLANDS LÄN</t>
        </is>
      </c>
      <c r="E9496" t="inlineStr">
        <is>
          <t>FILIPSTAD</t>
        </is>
      </c>
      <c r="F9496" t="inlineStr">
        <is>
          <t>Kommuner</t>
        </is>
      </c>
      <c r="G9496" t="n">
        <v>17.7</v>
      </c>
      <c r="H9496" t="n">
        <v>0</v>
      </c>
      <c r="I9496" t="n">
        <v>0</v>
      </c>
      <c r="J9496" t="n">
        <v>0</v>
      </c>
      <c r="K9496" t="n">
        <v>0</v>
      </c>
      <c r="L9496" t="n">
        <v>0</v>
      </c>
      <c r="M9496" t="n">
        <v>0</v>
      </c>
      <c r="N9496" t="n">
        <v>0</v>
      </c>
      <c r="O9496" t="n">
        <v>0</v>
      </c>
      <c r="P9496" t="n">
        <v>0</v>
      </c>
      <c r="Q9496" t="n">
        <v>0</v>
      </c>
      <c r="R9496" s="2" t="inlineStr"/>
    </row>
    <row r="9497" ht="15" customHeight="1">
      <c r="A9497" t="inlineStr">
        <is>
          <t>A 15230-2025</t>
        </is>
      </c>
      <c r="B9497" s="1" t="n">
        <v>45744</v>
      </c>
      <c r="C9497" s="1" t="n">
        <v>45932</v>
      </c>
      <c r="D9497" t="inlineStr">
        <is>
          <t>VÄRMLANDS LÄN</t>
        </is>
      </c>
      <c r="E9497" t="inlineStr">
        <is>
          <t>ÅRJÄNG</t>
        </is>
      </c>
      <c r="G9497" t="n">
        <v>17.1</v>
      </c>
      <c r="H9497" t="n">
        <v>0</v>
      </c>
      <c r="I9497" t="n">
        <v>0</v>
      </c>
      <c r="J9497" t="n">
        <v>0</v>
      </c>
      <c r="K9497" t="n">
        <v>0</v>
      </c>
      <c r="L9497" t="n">
        <v>0</v>
      </c>
      <c r="M9497" t="n">
        <v>0</v>
      </c>
      <c r="N9497" t="n">
        <v>0</v>
      </c>
      <c r="O9497" t="n">
        <v>0</v>
      </c>
      <c r="P9497" t="n">
        <v>0</v>
      </c>
      <c r="Q9497" t="n">
        <v>0</v>
      </c>
      <c r="R9497" s="2" t="inlineStr"/>
    </row>
    <row r="9498" ht="15" customHeight="1">
      <c r="A9498" t="inlineStr">
        <is>
          <t>A 12737-2024</t>
        </is>
      </c>
      <c r="B9498" s="1" t="n">
        <v>45384</v>
      </c>
      <c r="C9498" s="1" t="n">
        <v>45932</v>
      </c>
      <c r="D9498" t="inlineStr">
        <is>
          <t>VÄRMLANDS LÄN</t>
        </is>
      </c>
      <c r="E9498" t="inlineStr">
        <is>
          <t>FILIPSTAD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10461-2024</t>
        </is>
      </c>
      <c r="B9499" s="1" t="n">
        <v>45366</v>
      </c>
      <c r="C9499" s="1" t="n">
        <v>45932</v>
      </c>
      <c r="D9499" t="inlineStr">
        <is>
          <t>VÄRMLANDS LÄN</t>
        </is>
      </c>
      <c r="E9499" t="inlineStr">
        <is>
          <t>KARLSTAD</t>
        </is>
      </c>
      <c r="F9499" t="inlineStr">
        <is>
          <t>Övriga statliga verk och myndigheter</t>
        </is>
      </c>
      <c r="G9499" t="n">
        <v>17.8</v>
      </c>
      <c r="H9499" t="n">
        <v>0</v>
      </c>
      <c r="I9499" t="n">
        <v>0</v>
      </c>
      <c r="J9499" t="n">
        <v>0</v>
      </c>
      <c r="K9499" t="n">
        <v>0</v>
      </c>
      <c r="L9499" t="n">
        <v>0</v>
      </c>
      <c r="M9499" t="n">
        <v>0</v>
      </c>
      <c r="N9499" t="n">
        <v>0</v>
      </c>
      <c r="O9499" t="n">
        <v>0</v>
      </c>
      <c r="P9499" t="n">
        <v>0</v>
      </c>
      <c r="Q9499" t="n">
        <v>0</v>
      </c>
      <c r="R9499" s="2" t="inlineStr"/>
    </row>
    <row r="9500" ht="15" customHeight="1">
      <c r="A9500" t="inlineStr">
        <is>
          <t>A 59296-2023</t>
        </is>
      </c>
      <c r="B9500" s="1" t="n">
        <v>45253</v>
      </c>
      <c r="C9500" s="1" t="n">
        <v>45932</v>
      </c>
      <c r="D9500" t="inlineStr">
        <is>
          <t>VÄRMLANDS LÄN</t>
        </is>
      </c>
      <c r="E9500" t="inlineStr">
        <is>
          <t>FILIPSTAD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68279-2020</t>
        </is>
      </c>
      <c r="B9501" s="1" t="n">
        <v>44183</v>
      </c>
      <c r="C9501" s="1" t="n">
        <v>45932</v>
      </c>
      <c r="D9501" t="inlineStr">
        <is>
          <t>VÄRMLANDS LÄN</t>
        </is>
      </c>
      <c r="E9501" t="inlineStr">
        <is>
          <t>ARVIKA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32627-2023</t>
        </is>
      </c>
      <c r="B9502" s="1" t="n">
        <v>45121</v>
      </c>
      <c r="C9502" s="1" t="n">
        <v>45932</v>
      </c>
      <c r="D9502" t="inlineStr">
        <is>
          <t>VÄRMLANDS LÄN</t>
        </is>
      </c>
      <c r="E9502" t="inlineStr">
        <is>
          <t>HAGFORS</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43595-2024</t>
        </is>
      </c>
      <c r="B9503" s="1" t="n">
        <v>45569.44310185185</v>
      </c>
      <c r="C9503" s="1" t="n">
        <v>45932</v>
      </c>
      <c r="D9503" t="inlineStr">
        <is>
          <t>VÄRMLANDS LÄN</t>
        </is>
      </c>
      <c r="E9503" t="inlineStr">
        <is>
          <t>HAGFORS</t>
        </is>
      </c>
      <c r="F9503" t="inlineStr">
        <is>
          <t>Bergvik skog väst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40021-2025</t>
        </is>
      </c>
      <c r="B9504" s="1" t="n">
        <v>45894</v>
      </c>
      <c r="C9504" s="1" t="n">
        <v>45932</v>
      </c>
      <c r="D9504" t="inlineStr">
        <is>
          <t>VÄRMLANDS LÄN</t>
        </is>
      </c>
      <c r="E9504" t="inlineStr">
        <is>
          <t>SÄFFLE</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36494-2025</t>
        </is>
      </c>
      <c r="B9505" s="1" t="n">
        <v>45869</v>
      </c>
      <c r="C9505" s="1" t="n">
        <v>45932</v>
      </c>
      <c r="D9505" t="inlineStr">
        <is>
          <t>VÄRMLANDS LÄN</t>
        </is>
      </c>
      <c r="E9505" t="inlineStr">
        <is>
          <t>HAGFORS</t>
        </is>
      </c>
      <c r="F9505" t="inlineStr">
        <is>
          <t>Kyrkan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36497-2025</t>
        </is>
      </c>
      <c r="B9506" s="1" t="n">
        <v>45869.55634259259</v>
      </c>
      <c r="C9506" s="1" t="n">
        <v>45932</v>
      </c>
      <c r="D9506" t="inlineStr">
        <is>
          <t>VÄRMLANDS LÄN</t>
        </is>
      </c>
      <c r="E9506" t="inlineStr">
        <is>
          <t>KARLSTAD</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43140-2025</t>
        </is>
      </c>
      <c r="B9507" s="1" t="n">
        <v>45909</v>
      </c>
      <c r="C9507" s="1" t="n">
        <v>45932</v>
      </c>
      <c r="D9507" t="inlineStr">
        <is>
          <t>VÄRMLANDS LÄN</t>
        </is>
      </c>
      <c r="E9507" t="inlineStr">
        <is>
          <t>SUNNE</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43155-2025</t>
        </is>
      </c>
      <c r="B9508" s="1" t="n">
        <v>45910.34619212963</v>
      </c>
      <c r="C9508" s="1" t="n">
        <v>45932</v>
      </c>
      <c r="D9508" t="inlineStr">
        <is>
          <t>VÄRMLANDS LÄN</t>
        </is>
      </c>
      <c r="E9508" t="inlineStr">
        <is>
          <t>EDA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36431-2025</t>
        </is>
      </c>
      <c r="B9509" s="1" t="n">
        <v>45869</v>
      </c>
      <c r="C9509" s="1" t="n">
        <v>45932</v>
      </c>
      <c r="D9509" t="inlineStr">
        <is>
          <t>VÄRMLANDS LÄN</t>
        </is>
      </c>
      <c r="E9509" t="inlineStr">
        <is>
          <t>ARVIKA</t>
        </is>
      </c>
      <c r="F9509" t="inlineStr">
        <is>
          <t>Bergvik skog väst AB</t>
        </is>
      </c>
      <c r="G9509" t="n">
        <v>10.2</v>
      </c>
      <c r="H9509" t="n">
        <v>0</v>
      </c>
      <c r="I9509" t="n">
        <v>0</v>
      </c>
      <c r="J9509" t="n">
        <v>0</v>
      </c>
      <c r="K9509" t="n">
        <v>0</v>
      </c>
      <c r="L9509" t="n">
        <v>0</v>
      </c>
      <c r="M9509" t="n">
        <v>0</v>
      </c>
      <c r="N9509" t="n">
        <v>0</v>
      </c>
      <c r="O9509" t="n">
        <v>0</v>
      </c>
      <c r="P9509" t="n">
        <v>0</v>
      </c>
      <c r="Q9509" t="n">
        <v>0</v>
      </c>
      <c r="R9509" s="2" t="inlineStr"/>
    </row>
    <row r="9510" ht="15" customHeight="1">
      <c r="A9510" t="inlineStr">
        <is>
          <t>A 50078-2020</t>
        </is>
      </c>
      <c r="B9510" s="1" t="n">
        <v>44109</v>
      </c>
      <c r="C9510" s="1" t="n">
        <v>45932</v>
      </c>
      <c r="D9510" t="inlineStr">
        <is>
          <t>VÄRMLANDS LÄN</t>
        </is>
      </c>
      <c r="E9510" t="inlineStr">
        <is>
          <t>HAGFORS</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40949-2022</t>
        </is>
      </c>
      <c r="B9511" s="1" t="n">
        <v>44825.45866898148</v>
      </c>
      <c r="C9511" s="1" t="n">
        <v>45932</v>
      </c>
      <c r="D9511" t="inlineStr">
        <is>
          <t>VÄRMLANDS LÄN</t>
        </is>
      </c>
      <c r="E9511" t="inlineStr">
        <is>
          <t>ARVIKA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20611-2022</t>
        </is>
      </c>
      <c r="B9512" s="1" t="n">
        <v>44700</v>
      </c>
      <c r="C9512" s="1" t="n">
        <v>45932</v>
      </c>
      <c r="D9512" t="inlineStr">
        <is>
          <t>VÄRMLANDS LÄN</t>
        </is>
      </c>
      <c r="E9512" t="inlineStr">
        <is>
          <t>EDA</t>
        </is>
      </c>
      <c r="F9512" t="inlineStr">
        <is>
          <t>Kommuner</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5965-2024</t>
        </is>
      </c>
      <c r="B9513" s="1" t="n">
        <v>45336</v>
      </c>
      <c r="C9513" s="1" t="n">
        <v>45932</v>
      </c>
      <c r="D9513" t="inlineStr">
        <is>
          <t>VÄRMLANDS LÄN</t>
        </is>
      </c>
      <c r="E9513" t="inlineStr">
        <is>
          <t>ARVIKA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2371-2025</t>
        </is>
      </c>
      <c r="B9514" s="1" t="n">
        <v>45673.7546875</v>
      </c>
      <c r="C9514" s="1" t="n">
        <v>45932</v>
      </c>
      <c r="D9514" t="inlineStr">
        <is>
          <t>VÄRMLANDS LÄN</t>
        </is>
      </c>
      <c r="E9514" t="inlineStr">
        <is>
          <t>HAGFORS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43162-2025</t>
        </is>
      </c>
      <c r="B9515" s="1" t="n">
        <v>45910</v>
      </c>
      <c r="C9515" s="1" t="n">
        <v>45932</v>
      </c>
      <c r="D9515" t="inlineStr">
        <is>
          <t>VÄRMLANDS LÄN</t>
        </is>
      </c>
      <c r="E9515" t="inlineStr">
        <is>
          <t>ÅRJÄNG</t>
        </is>
      </c>
      <c r="F9515" t="inlineStr">
        <is>
          <t>Bergvik skog väst AB</t>
        </is>
      </c>
      <c r="G9515" t="n">
        <v>12.9</v>
      </c>
      <c r="H9515" t="n">
        <v>0</v>
      </c>
      <c r="I9515" t="n">
        <v>0</v>
      </c>
      <c r="J9515" t="n">
        <v>0</v>
      </c>
      <c r="K9515" t="n">
        <v>0</v>
      </c>
      <c r="L9515" t="n">
        <v>0</v>
      </c>
      <c r="M9515" t="n">
        <v>0</v>
      </c>
      <c r="N9515" t="n">
        <v>0</v>
      </c>
      <c r="O9515" t="n">
        <v>0</v>
      </c>
      <c r="P9515" t="n">
        <v>0</v>
      </c>
      <c r="Q9515" t="n">
        <v>0</v>
      </c>
      <c r="R9515" s="2" t="inlineStr"/>
    </row>
    <row r="9516" ht="15" customHeight="1">
      <c r="A9516" t="inlineStr">
        <is>
          <t>A 9574-2024</t>
        </is>
      </c>
      <c r="B9516" s="1" t="n">
        <v>45360.40841435185</v>
      </c>
      <c r="C9516" s="1" t="n">
        <v>45932</v>
      </c>
      <c r="D9516" t="inlineStr">
        <is>
          <t>VÄRMLANDS LÄN</t>
        </is>
      </c>
      <c r="E9516" t="inlineStr">
        <is>
          <t>ARVIKA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43404-2025</t>
        </is>
      </c>
      <c r="B9517" s="1" t="n">
        <v>45911.39032407408</v>
      </c>
      <c r="C9517" s="1" t="n">
        <v>45932</v>
      </c>
      <c r="D9517" t="inlineStr">
        <is>
          <t>VÄRMLANDS LÄN</t>
        </is>
      </c>
      <c r="E9517" t="inlineStr">
        <is>
          <t>SUNNE</t>
        </is>
      </c>
      <c r="F9517" t="inlineStr">
        <is>
          <t>Bergvik skog väst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43408-2025</t>
        </is>
      </c>
      <c r="B9518" s="1" t="n">
        <v>45911.39462962963</v>
      </c>
      <c r="C9518" s="1" t="n">
        <v>45932</v>
      </c>
      <c r="D9518" t="inlineStr">
        <is>
          <t>VÄRMLANDS LÄN</t>
        </is>
      </c>
      <c r="E9518" t="inlineStr">
        <is>
          <t>ARVIKA</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43410-2025</t>
        </is>
      </c>
      <c r="B9519" s="1" t="n">
        <v>45911.39592592593</v>
      </c>
      <c r="C9519" s="1" t="n">
        <v>45932</v>
      </c>
      <c r="D9519" t="inlineStr">
        <is>
          <t>VÄRMLANDS LÄN</t>
        </is>
      </c>
      <c r="E9519" t="inlineStr">
        <is>
          <t>ARVIKA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36399-2023</t>
        </is>
      </c>
      <c r="B9520" s="1" t="n">
        <v>45149</v>
      </c>
      <c r="C9520" s="1" t="n">
        <v>45932</v>
      </c>
      <c r="D9520" t="inlineStr">
        <is>
          <t>VÄRMLANDS LÄN</t>
        </is>
      </c>
      <c r="E9520" t="inlineStr">
        <is>
          <t>KARLSTAD</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36461-2025</t>
        </is>
      </c>
      <c r="B9521" s="1" t="n">
        <v>45869</v>
      </c>
      <c r="C9521" s="1" t="n">
        <v>45932</v>
      </c>
      <c r="D9521" t="inlineStr">
        <is>
          <t>VÄRMLANDS LÄN</t>
        </is>
      </c>
      <c r="E9521" t="inlineStr">
        <is>
          <t>ÅRJÄNG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1040-2024</t>
        </is>
      </c>
      <c r="B9522" s="1" t="n">
        <v>45301</v>
      </c>
      <c r="C9522" s="1" t="n">
        <v>45932</v>
      </c>
      <c r="D9522" t="inlineStr">
        <is>
          <t>VÄRMLANDS LÄN</t>
        </is>
      </c>
      <c r="E9522" t="inlineStr">
        <is>
          <t>TORSBY</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11981-2021</t>
        </is>
      </c>
      <c r="B9523" s="1" t="n">
        <v>44266</v>
      </c>
      <c r="C9523" s="1" t="n">
        <v>45932</v>
      </c>
      <c r="D9523" t="inlineStr">
        <is>
          <t>VÄRMLANDS LÄN</t>
        </is>
      </c>
      <c r="E9523" t="inlineStr">
        <is>
          <t>STORFORS</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7347-2025</t>
        </is>
      </c>
      <c r="B9524" s="1" t="n">
        <v>45703</v>
      </c>
      <c r="C9524" s="1" t="n">
        <v>45932</v>
      </c>
      <c r="D9524" t="inlineStr">
        <is>
          <t>VÄRMLANDS LÄN</t>
        </is>
      </c>
      <c r="E9524" t="inlineStr">
        <is>
          <t>ARVIKA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49334-2024</t>
        </is>
      </c>
      <c r="B9525" s="1" t="n">
        <v>45595.58565972222</v>
      </c>
      <c r="C9525" s="1" t="n">
        <v>45932</v>
      </c>
      <c r="D9525" t="inlineStr">
        <is>
          <t>VÄRMLANDS LÄN</t>
        </is>
      </c>
      <c r="E9525" t="inlineStr">
        <is>
          <t>ARVIKA</t>
        </is>
      </c>
      <c r="F9525" t="inlineStr">
        <is>
          <t>Bergvik skog väst AB</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56802-2024</t>
        </is>
      </c>
      <c r="B9526" s="1" t="n">
        <v>45628</v>
      </c>
      <c r="C9526" s="1" t="n">
        <v>45932</v>
      </c>
      <c r="D9526" t="inlineStr">
        <is>
          <t>VÄRMLANDS LÄN</t>
        </is>
      </c>
      <c r="E9526" t="inlineStr">
        <is>
          <t>KRISTINEHAMN</t>
        </is>
      </c>
      <c r="F9526" t="inlineStr">
        <is>
          <t>Kommuner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5008-2025</t>
        </is>
      </c>
      <c r="B9527" s="1" t="n">
        <v>45691.37667824074</v>
      </c>
      <c r="C9527" s="1" t="n">
        <v>45932</v>
      </c>
      <c r="D9527" t="inlineStr">
        <is>
          <t>VÄRMLANDS LÄN</t>
        </is>
      </c>
      <c r="E9527" t="inlineStr">
        <is>
          <t>SUNNE</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43213-2025</t>
        </is>
      </c>
      <c r="B9528" s="1" t="n">
        <v>45910</v>
      </c>
      <c r="C9528" s="1" t="n">
        <v>45932</v>
      </c>
      <c r="D9528" t="inlineStr">
        <is>
          <t>VÄRMLANDS LÄN</t>
        </is>
      </c>
      <c r="E9528" t="inlineStr">
        <is>
          <t>SÄFFLE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25628-2025</t>
        </is>
      </c>
      <c r="B9529" s="1" t="n">
        <v>45803.58684027778</v>
      </c>
      <c r="C9529" s="1" t="n">
        <v>45932</v>
      </c>
      <c r="D9529" t="inlineStr">
        <is>
          <t>VÄRMLANDS LÄN</t>
        </is>
      </c>
      <c r="E9529" t="inlineStr">
        <is>
          <t>KRISTINEHAMN</t>
        </is>
      </c>
      <c r="F9529" t="inlineStr">
        <is>
          <t>Naturvårdsverket</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43831-2025</t>
        </is>
      </c>
      <c r="B9530" s="1" t="n">
        <v>45912.62987268518</v>
      </c>
      <c r="C9530" s="1" t="n">
        <v>45932</v>
      </c>
      <c r="D9530" t="inlineStr">
        <is>
          <t>VÄRMLANDS LÄN</t>
        </is>
      </c>
      <c r="E9530" t="inlineStr">
        <is>
          <t>TORSBY</t>
        </is>
      </c>
      <c r="F9530" t="inlineStr">
        <is>
          <t>Bergvik skog väst AB</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12113-2023</t>
        </is>
      </c>
      <c r="B9531" s="1" t="n">
        <v>44998.41233796296</v>
      </c>
      <c r="C9531" s="1" t="n">
        <v>45932</v>
      </c>
      <c r="D9531" t="inlineStr">
        <is>
          <t>VÄRMLANDS LÄN</t>
        </is>
      </c>
      <c r="E9531" t="inlineStr">
        <is>
          <t>EDA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14303-2023</t>
        </is>
      </c>
      <c r="B9532" s="1" t="n">
        <v>45011.75886574074</v>
      </c>
      <c r="C9532" s="1" t="n">
        <v>45932</v>
      </c>
      <c r="D9532" t="inlineStr">
        <is>
          <t>VÄRMLANDS LÄN</t>
        </is>
      </c>
      <c r="E9532" t="inlineStr">
        <is>
          <t>TORSBY</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36125-2022</t>
        </is>
      </c>
      <c r="B9533" s="1" t="n">
        <v>44803</v>
      </c>
      <c r="C9533" s="1" t="n">
        <v>45932</v>
      </c>
      <c r="D9533" t="inlineStr">
        <is>
          <t>VÄRMLANDS LÄN</t>
        </is>
      </c>
      <c r="E9533" t="inlineStr">
        <is>
          <t>ARVIKA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19685-2024</t>
        </is>
      </c>
      <c r="B9534" s="1" t="n">
        <v>45432.4952662037</v>
      </c>
      <c r="C9534" s="1" t="n">
        <v>45932</v>
      </c>
      <c r="D9534" t="inlineStr">
        <is>
          <t>VÄRMLANDS LÄN</t>
        </is>
      </c>
      <c r="E9534" t="inlineStr">
        <is>
          <t>EDA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21828-2024</t>
        </is>
      </c>
      <c r="B9535" s="1" t="n">
        <v>45442</v>
      </c>
      <c r="C9535" s="1" t="n">
        <v>45932</v>
      </c>
      <c r="D9535" t="inlineStr">
        <is>
          <t>VÄRMLANDS LÄN</t>
        </is>
      </c>
      <c r="E9535" t="inlineStr">
        <is>
          <t>TORSBY</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29603-2024</t>
        </is>
      </c>
      <c r="B9536" s="1" t="n">
        <v>45484</v>
      </c>
      <c r="C9536" s="1" t="n">
        <v>45932</v>
      </c>
      <c r="D9536" t="inlineStr">
        <is>
          <t>VÄRMLANDS LÄN</t>
        </is>
      </c>
      <c r="E9536" t="inlineStr">
        <is>
          <t>ÅRJÄNG</t>
        </is>
      </c>
      <c r="G9536" t="n">
        <v>7.5</v>
      </c>
      <c r="H9536" t="n">
        <v>0</v>
      </c>
      <c r="I9536" t="n">
        <v>0</v>
      </c>
      <c r="J9536" t="n">
        <v>0</v>
      </c>
      <c r="K9536" t="n">
        <v>0</v>
      </c>
      <c r="L9536" t="n">
        <v>0</v>
      </c>
      <c r="M9536" t="n">
        <v>0</v>
      </c>
      <c r="N9536" t="n">
        <v>0</v>
      </c>
      <c r="O9536" t="n">
        <v>0</v>
      </c>
      <c r="P9536" t="n">
        <v>0</v>
      </c>
      <c r="Q9536" t="n">
        <v>0</v>
      </c>
      <c r="R9536" s="2" t="inlineStr"/>
    </row>
    <row r="9537" ht="15" customHeight="1">
      <c r="A9537" t="inlineStr">
        <is>
          <t>A 26354-2024</t>
        </is>
      </c>
      <c r="B9537" s="1" t="n">
        <v>45469.37152777778</v>
      </c>
      <c r="C9537" s="1" t="n">
        <v>45932</v>
      </c>
      <c r="D9537" t="inlineStr">
        <is>
          <t>VÄRMLANDS LÄN</t>
        </is>
      </c>
      <c r="E9537" t="inlineStr">
        <is>
          <t>ARVIKA</t>
        </is>
      </c>
      <c r="F9537" t="inlineStr">
        <is>
          <t>Bergvik skog väst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47295-2024</t>
        </is>
      </c>
      <c r="B9538" s="1" t="n">
        <v>45587.34261574074</v>
      </c>
      <c r="C9538" s="1" t="n">
        <v>45932</v>
      </c>
      <c r="D9538" t="inlineStr">
        <is>
          <t>VÄRMLANDS LÄN</t>
        </is>
      </c>
      <c r="E9538" t="inlineStr">
        <is>
          <t>EDA</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57750-2024</t>
        </is>
      </c>
      <c r="B9539" s="1" t="n">
        <v>45630</v>
      </c>
      <c r="C9539" s="1" t="n">
        <v>45932</v>
      </c>
      <c r="D9539" t="inlineStr">
        <is>
          <t>VÄRMLANDS LÄN</t>
        </is>
      </c>
      <c r="E9539" t="inlineStr">
        <is>
          <t>ARVIKA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49785-2024</t>
        </is>
      </c>
      <c r="B9540" s="1" t="n">
        <v>45597.35758101852</v>
      </c>
      <c r="C9540" s="1" t="n">
        <v>45932</v>
      </c>
      <c r="D9540" t="inlineStr">
        <is>
          <t>VÄRMLANDS LÄN</t>
        </is>
      </c>
      <c r="E9540" t="inlineStr">
        <is>
          <t>ÅRJÄNG</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22757-2024</t>
        </is>
      </c>
      <c r="B9541" s="1" t="n">
        <v>45448</v>
      </c>
      <c r="C9541" s="1" t="n">
        <v>45932</v>
      </c>
      <c r="D9541" t="inlineStr">
        <is>
          <t>VÄRMLANDS LÄN</t>
        </is>
      </c>
      <c r="E9541" t="inlineStr">
        <is>
          <t>MUNKFORS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56840-2024</t>
        </is>
      </c>
      <c r="B9542" s="1" t="n">
        <v>45628</v>
      </c>
      <c r="C9542" s="1" t="n">
        <v>45932</v>
      </c>
      <c r="D9542" t="inlineStr">
        <is>
          <t>VÄRMLANDS LÄN</t>
        </is>
      </c>
      <c r="E9542" t="inlineStr">
        <is>
          <t>FILIPSTAD</t>
        </is>
      </c>
      <c r="F9542" t="inlineStr">
        <is>
          <t>Bergvik skog väst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20028-2023</t>
        </is>
      </c>
      <c r="B9543" s="1" t="n">
        <v>45054.64534722222</v>
      </c>
      <c r="C9543" s="1" t="n">
        <v>45932</v>
      </c>
      <c r="D9543" t="inlineStr">
        <is>
          <t>VÄRMLANDS LÄN</t>
        </is>
      </c>
      <c r="E9543" t="inlineStr">
        <is>
          <t>ÅRJÄNG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20055-2023</t>
        </is>
      </c>
      <c r="B9544" s="1" t="n">
        <v>45054.67517361111</v>
      </c>
      <c r="C9544" s="1" t="n">
        <v>45932</v>
      </c>
      <c r="D9544" t="inlineStr">
        <is>
          <t>VÄRMLANDS LÄN</t>
        </is>
      </c>
      <c r="E9544" t="inlineStr">
        <is>
          <t>EDA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6930-2025</t>
        </is>
      </c>
      <c r="B9545" s="1" t="n">
        <v>45701</v>
      </c>
      <c r="C9545" s="1" t="n">
        <v>45932</v>
      </c>
      <c r="D9545" t="inlineStr">
        <is>
          <t>VÄRMLANDS LÄN</t>
        </is>
      </c>
      <c r="E9545" t="inlineStr">
        <is>
          <t>SUNNE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6933-2025</t>
        </is>
      </c>
      <c r="B9546" s="1" t="n">
        <v>45701.45445601852</v>
      </c>
      <c r="C9546" s="1" t="n">
        <v>45932</v>
      </c>
      <c r="D9546" t="inlineStr">
        <is>
          <t>VÄRMLANDS LÄN</t>
        </is>
      </c>
      <c r="E9546" t="inlineStr">
        <is>
          <t>KRISTINEHAMN</t>
        </is>
      </c>
      <c r="F9546" t="inlineStr">
        <is>
          <t>Naturvårdsverket</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43839-2025</t>
        </is>
      </c>
      <c r="B9547" s="1" t="n">
        <v>45912.63494212963</v>
      </c>
      <c r="C9547" s="1" t="n">
        <v>45932</v>
      </c>
      <c r="D9547" t="inlineStr">
        <is>
          <t>VÄRMLANDS LÄN</t>
        </is>
      </c>
      <c r="E9547" t="inlineStr">
        <is>
          <t>SÄFFLE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3336-2024</t>
        </is>
      </c>
      <c r="B9548" s="1" t="n">
        <v>45317.57612268518</v>
      </c>
      <c r="C9548" s="1" t="n">
        <v>45932</v>
      </c>
      <c r="D9548" t="inlineStr">
        <is>
          <t>VÄRMLANDS LÄN</t>
        </is>
      </c>
      <c r="E9548" t="inlineStr">
        <is>
          <t>SUNNE</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43849-2025</t>
        </is>
      </c>
      <c r="B9549" s="1" t="n">
        <v>45912.63859953704</v>
      </c>
      <c r="C9549" s="1" t="n">
        <v>45932</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27088-2022</t>
        </is>
      </c>
      <c r="B9550" s="1" t="n">
        <v>44741</v>
      </c>
      <c r="C9550" s="1" t="n">
        <v>45932</v>
      </c>
      <c r="D9550" t="inlineStr">
        <is>
          <t>VÄRMLANDS LÄN</t>
        </is>
      </c>
      <c r="E9550" t="inlineStr">
        <is>
          <t>SUNNE</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13208-2025</t>
        </is>
      </c>
      <c r="B9551" s="1" t="n">
        <v>45735.43711805555</v>
      </c>
      <c r="C9551" s="1" t="n">
        <v>45932</v>
      </c>
      <c r="D9551" t="inlineStr">
        <is>
          <t>VÄRMLANDS LÄN</t>
        </is>
      </c>
      <c r="E9551" t="inlineStr">
        <is>
          <t>SUNNE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57980-2023</t>
        </is>
      </c>
      <c r="B9552" s="1" t="n">
        <v>45247.59328703704</v>
      </c>
      <c r="C9552" s="1" t="n">
        <v>45932</v>
      </c>
      <c r="D9552" t="inlineStr">
        <is>
          <t>VÄRMLANDS LÄN</t>
        </is>
      </c>
      <c r="E9552" t="inlineStr">
        <is>
          <t>TORSBY</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13493-2024</t>
        </is>
      </c>
      <c r="B9553" s="1" t="n">
        <v>45387</v>
      </c>
      <c r="C9553" s="1" t="n">
        <v>45932</v>
      </c>
      <c r="D9553" t="inlineStr">
        <is>
          <t>VÄRMLANDS LÄN</t>
        </is>
      </c>
      <c r="E9553" t="inlineStr">
        <is>
          <t>SÄFFLE</t>
        </is>
      </c>
      <c r="F9553" t="inlineStr">
        <is>
          <t>Bergvik skog väst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27961-2023</t>
        </is>
      </c>
      <c r="B9554" s="1" t="n">
        <v>45098</v>
      </c>
      <c r="C9554" s="1" t="n">
        <v>45932</v>
      </c>
      <c r="D9554" t="inlineStr">
        <is>
          <t>VÄRMLANDS LÄN</t>
        </is>
      </c>
      <c r="E9554" t="inlineStr">
        <is>
          <t>KRISTINEHAMN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28026-2023</t>
        </is>
      </c>
      <c r="B9555" s="1" t="n">
        <v>45098.98056712963</v>
      </c>
      <c r="C9555" s="1" t="n">
        <v>45932</v>
      </c>
      <c r="D9555" t="inlineStr">
        <is>
          <t>VÄRMLANDS LÄN</t>
        </is>
      </c>
      <c r="E9555" t="inlineStr">
        <is>
          <t>SUNNE</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11718-2024</t>
        </is>
      </c>
      <c r="B9556" s="1" t="n">
        <v>45373.63803240741</v>
      </c>
      <c r="C9556" s="1" t="n">
        <v>45932</v>
      </c>
      <c r="D9556" t="inlineStr">
        <is>
          <t>VÄRMLANDS LÄN</t>
        </is>
      </c>
      <c r="E9556" t="inlineStr">
        <is>
          <t>ÅRJÄNG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44005-2023</t>
        </is>
      </c>
      <c r="B9557" s="1" t="n">
        <v>45188.30975694444</v>
      </c>
      <c r="C9557" s="1" t="n">
        <v>45932</v>
      </c>
      <c r="D9557" t="inlineStr">
        <is>
          <t>VÄRMLANDS LÄN</t>
        </is>
      </c>
      <c r="E9557" t="inlineStr">
        <is>
          <t>ARVIKA</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7993-2024</t>
        </is>
      </c>
      <c r="B9558" s="1" t="n">
        <v>45350.63241898148</v>
      </c>
      <c r="C9558" s="1" t="n">
        <v>45932</v>
      </c>
      <c r="D9558" t="inlineStr">
        <is>
          <t>VÄRMLANDS LÄN</t>
        </is>
      </c>
      <c r="E9558" t="inlineStr">
        <is>
          <t>GRUMS</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22316-2023</t>
        </is>
      </c>
      <c r="B9559" s="1" t="n">
        <v>45070</v>
      </c>
      <c r="C9559" s="1" t="n">
        <v>45932</v>
      </c>
      <c r="D9559" t="inlineStr">
        <is>
          <t>VÄRMLANDS LÄN</t>
        </is>
      </c>
      <c r="E9559" t="inlineStr">
        <is>
          <t>ARVIKA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25090-2023</t>
        </is>
      </c>
      <c r="B9560" s="1" t="n">
        <v>45086</v>
      </c>
      <c r="C9560" s="1" t="n">
        <v>45932</v>
      </c>
      <c r="D9560" t="inlineStr">
        <is>
          <t>VÄRMLANDS LÄN</t>
        </is>
      </c>
      <c r="E9560" t="inlineStr">
        <is>
          <t>TORSBY</t>
        </is>
      </c>
      <c r="F9560" t="inlineStr">
        <is>
          <t>Bergvik skog väst AB</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9061-2023</t>
        </is>
      </c>
      <c r="B9561" s="1" t="n">
        <v>44979.71533564815</v>
      </c>
      <c r="C9561" s="1" t="n">
        <v>45932</v>
      </c>
      <c r="D9561" t="inlineStr">
        <is>
          <t>VÄRMLANDS LÄN</t>
        </is>
      </c>
      <c r="E9561" t="inlineStr">
        <is>
          <t>ARVIKA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11330-2024</t>
        </is>
      </c>
      <c r="B9562" s="1" t="n">
        <v>45371</v>
      </c>
      <c r="C9562" s="1" t="n">
        <v>45932</v>
      </c>
      <c r="D9562" t="inlineStr">
        <is>
          <t>VÄRMLANDS LÄN</t>
        </is>
      </c>
      <c r="E9562" t="inlineStr">
        <is>
          <t>KIL</t>
        </is>
      </c>
      <c r="F9562" t="inlineStr">
        <is>
          <t>Kyrkan</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42150-2024</t>
        </is>
      </c>
      <c r="B9563" s="1" t="n">
        <v>45562.44609953704</v>
      </c>
      <c r="C9563" s="1" t="n">
        <v>45932</v>
      </c>
      <c r="D9563" t="inlineStr">
        <is>
          <t>VÄRMLANDS LÄN</t>
        </is>
      </c>
      <c r="E9563" t="inlineStr">
        <is>
          <t>HAGFORS</t>
        </is>
      </c>
      <c r="F9563" t="inlineStr">
        <is>
          <t>Bergvik skog väst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17153-2025</t>
        </is>
      </c>
      <c r="B9564" s="1" t="n">
        <v>45756</v>
      </c>
      <c r="C9564" s="1" t="n">
        <v>45932</v>
      </c>
      <c r="D9564" t="inlineStr">
        <is>
          <t>VÄRMLANDS LÄN</t>
        </is>
      </c>
      <c r="E9564" t="inlineStr">
        <is>
          <t>TORSBY</t>
        </is>
      </c>
      <c r="F9564" t="inlineStr">
        <is>
          <t>Bergvik skog väst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7537-2021</t>
        </is>
      </c>
      <c r="B9565" s="1" t="n">
        <v>44239</v>
      </c>
      <c r="C9565" s="1" t="n">
        <v>45932</v>
      </c>
      <c r="D9565" t="inlineStr">
        <is>
          <t>VÄRMLANDS LÄN</t>
        </is>
      </c>
      <c r="E9565" t="inlineStr">
        <is>
          <t>ÅRJÄNG</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15315-2024</t>
        </is>
      </c>
      <c r="B9566" s="1" t="n">
        <v>45400</v>
      </c>
      <c r="C9566" s="1" t="n">
        <v>45932</v>
      </c>
      <c r="D9566" t="inlineStr">
        <is>
          <t>VÄRMLANDS LÄN</t>
        </is>
      </c>
      <c r="E9566" t="inlineStr">
        <is>
          <t>TORSBY</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16584-2024</t>
        </is>
      </c>
      <c r="B9567" s="1" t="n">
        <v>45408.4859375</v>
      </c>
      <c r="C9567" s="1" t="n">
        <v>45932</v>
      </c>
      <c r="D9567" t="inlineStr">
        <is>
          <t>VÄRMLANDS LÄN</t>
        </is>
      </c>
      <c r="E9567" t="inlineStr">
        <is>
          <t>FILIPSTAD</t>
        </is>
      </c>
      <c r="F9567" t="inlineStr">
        <is>
          <t>Bergvik skog väst AB</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14014-2024</t>
        </is>
      </c>
      <c r="B9568" s="1" t="n">
        <v>45392.48643518519</v>
      </c>
      <c r="C9568" s="1" t="n">
        <v>45932</v>
      </c>
      <c r="D9568" t="inlineStr">
        <is>
          <t>VÄRMLANDS LÄN</t>
        </is>
      </c>
      <c r="E9568" t="inlineStr">
        <is>
          <t>KRISTINEHAMN</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17878-2024</t>
        </is>
      </c>
      <c r="B9569" s="1" t="n">
        <v>45419</v>
      </c>
      <c r="C9569" s="1" t="n">
        <v>45932</v>
      </c>
      <c r="D9569" t="inlineStr">
        <is>
          <t>VÄRMLANDS LÄN</t>
        </is>
      </c>
      <c r="E9569" t="inlineStr">
        <is>
          <t>ÅRJÄNG</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69417-2021</t>
        </is>
      </c>
      <c r="B9570" s="1" t="n">
        <v>44531</v>
      </c>
      <c r="C9570" s="1" t="n">
        <v>45932</v>
      </c>
      <c r="D9570" t="inlineStr">
        <is>
          <t>VÄRMLANDS LÄN</t>
        </is>
      </c>
      <c r="E9570" t="inlineStr">
        <is>
          <t>ÅRJÄNG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3332-2025</t>
        </is>
      </c>
      <c r="B9571" s="1" t="n">
        <v>45679.70420138889</v>
      </c>
      <c r="C9571" s="1" t="n">
        <v>45932</v>
      </c>
      <c r="D9571" t="inlineStr">
        <is>
          <t>VÄRMLANDS LÄN</t>
        </is>
      </c>
      <c r="E9571" t="inlineStr">
        <is>
          <t>KRISTINEHAMN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45147-2023</t>
        </is>
      </c>
      <c r="B9572" s="1" t="n">
        <v>45191.47472222222</v>
      </c>
      <c r="C9572" s="1" t="n">
        <v>45932</v>
      </c>
      <c r="D9572" t="inlineStr">
        <is>
          <t>VÄRMLANDS LÄN</t>
        </is>
      </c>
      <c r="E9572" t="inlineStr">
        <is>
          <t>EDA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46233-2023</t>
        </is>
      </c>
      <c r="B9573" s="1" t="n">
        <v>45196.69575231482</v>
      </c>
      <c r="C9573" s="1" t="n">
        <v>45932</v>
      </c>
      <c r="D9573" t="inlineStr">
        <is>
          <t>VÄRMLANDS LÄN</t>
        </is>
      </c>
      <c r="E9573" t="inlineStr">
        <is>
          <t>TORSBY</t>
        </is>
      </c>
      <c r="F9573" t="inlineStr">
        <is>
          <t>Kyrkan</t>
        </is>
      </c>
      <c r="G9573" t="n">
        <v>8.800000000000001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36850-2024</t>
        </is>
      </c>
      <c r="B9574" s="1" t="n">
        <v>45538</v>
      </c>
      <c r="C9574" s="1" t="n">
        <v>45932</v>
      </c>
      <c r="D9574" t="inlineStr">
        <is>
          <t>VÄRMLANDS LÄN</t>
        </is>
      </c>
      <c r="E9574" t="inlineStr">
        <is>
          <t>TORSBY</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13924-2025</t>
        </is>
      </c>
      <c r="B9575" s="1" t="n">
        <v>45737</v>
      </c>
      <c r="C9575" s="1" t="n">
        <v>45932</v>
      </c>
      <c r="D9575" t="inlineStr">
        <is>
          <t>VÄRMLANDS LÄN</t>
        </is>
      </c>
      <c r="E9575" t="inlineStr">
        <is>
          <t>TORSBY</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60880-2024</t>
        </is>
      </c>
      <c r="B9576" s="1" t="n">
        <v>45644.83135416666</v>
      </c>
      <c r="C9576" s="1" t="n">
        <v>45932</v>
      </c>
      <c r="D9576" t="inlineStr">
        <is>
          <t>VÄRMLANDS LÄN</t>
        </is>
      </c>
      <c r="E9576" t="inlineStr">
        <is>
          <t>SUNNE</t>
        </is>
      </c>
      <c r="G9576" t="n">
        <v>13.5</v>
      </c>
      <c r="H9576" t="n">
        <v>0</v>
      </c>
      <c r="I9576" t="n">
        <v>0</v>
      </c>
      <c r="J9576" t="n">
        <v>0</v>
      </c>
      <c r="K9576" t="n">
        <v>0</v>
      </c>
      <c r="L9576" t="n">
        <v>0</v>
      </c>
      <c r="M9576" t="n">
        <v>0</v>
      </c>
      <c r="N9576" t="n">
        <v>0</v>
      </c>
      <c r="O9576" t="n">
        <v>0</v>
      </c>
      <c r="P9576" t="n">
        <v>0</v>
      </c>
      <c r="Q9576" t="n">
        <v>0</v>
      </c>
      <c r="R9576" s="2" t="inlineStr"/>
    </row>
    <row r="9577" ht="15" customHeight="1">
      <c r="A9577" t="inlineStr">
        <is>
          <t>A 5331-2023</t>
        </is>
      </c>
      <c r="B9577" s="1" t="n">
        <v>44959</v>
      </c>
      <c r="C9577" s="1" t="n">
        <v>45932</v>
      </c>
      <c r="D9577" t="inlineStr">
        <is>
          <t>VÄRMLANDS LÄN</t>
        </is>
      </c>
      <c r="E9577" t="inlineStr">
        <is>
          <t>SÄFFLE</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33765-2024</t>
        </is>
      </c>
      <c r="B9578" s="1" t="n">
        <v>45520.57130787037</v>
      </c>
      <c r="C9578" s="1" t="n">
        <v>45932</v>
      </c>
      <c r="D9578" t="inlineStr">
        <is>
          <t>VÄRMLANDS LÄN</t>
        </is>
      </c>
      <c r="E9578" t="inlineStr">
        <is>
          <t>ARVIKA</t>
        </is>
      </c>
      <c r="F9578" t="inlineStr">
        <is>
          <t>Bergvik skog väst AB</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5954-2024</t>
        </is>
      </c>
      <c r="B9579" s="1" t="n">
        <v>45336</v>
      </c>
      <c r="C9579" s="1" t="n">
        <v>45932</v>
      </c>
      <c r="D9579" t="inlineStr">
        <is>
          <t>VÄRMLANDS LÄN</t>
        </is>
      </c>
      <c r="E9579" t="inlineStr">
        <is>
          <t>EDA</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57792-2022</t>
        </is>
      </c>
      <c r="B9580" s="1" t="n">
        <v>44897.66182870371</v>
      </c>
      <c r="C9580" s="1" t="n">
        <v>45932</v>
      </c>
      <c r="D9580" t="inlineStr">
        <is>
          <t>VÄRMLANDS LÄN</t>
        </is>
      </c>
      <c r="E9580" t="inlineStr">
        <is>
          <t>STORFORS</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41310-2023</t>
        </is>
      </c>
      <c r="B9581" s="1" t="n">
        <v>45174.63408564815</v>
      </c>
      <c r="C9581" s="1" t="n">
        <v>45932</v>
      </c>
      <c r="D9581" t="inlineStr">
        <is>
          <t>VÄRMLANDS LÄN</t>
        </is>
      </c>
      <c r="E9581" t="inlineStr">
        <is>
          <t>ARVIKA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10989-2025</t>
        </is>
      </c>
      <c r="B9582" s="1" t="n">
        <v>45723</v>
      </c>
      <c r="C9582" s="1" t="n">
        <v>45932</v>
      </c>
      <c r="D9582" t="inlineStr">
        <is>
          <t>VÄRMLANDS LÄN</t>
        </is>
      </c>
      <c r="E9582" t="inlineStr">
        <is>
          <t>FORSHAGA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36582-2025</t>
        </is>
      </c>
      <c r="B9583" s="1" t="n">
        <v>45870.42993055555</v>
      </c>
      <c r="C9583" s="1" t="n">
        <v>45932</v>
      </c>
      <c r="D9583" t="inlineStr">
        <is>
          <t>VÄRMLANDS LÄN</t>
        </is>
      </c>
      <c r="E9583" t="inlineStr">
        <is>
          <t>FILIPSTAD</t>
        </is>
      </c>
      <c r="F9583" t="inlineStr">
        <is>
          <t>Bergvik skog väst AB</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17696-2025</t>
        </is>
      </c>
      <c r="B9584" s="1" t="n">
        <v>45758.41444444445</v>
      </c>
      <c r="C9584" s="1" t="n">
        <v>45932</v>
      </c>
      <c r="D9584" t="inlineStr">
        <is>
          <t>VÄRMLANDS LÄN</t>
        </is>
      </c>
      <c r="E9584" t="inlineStr">
        <is>
          <t>HAGFORS</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41486-2025</t>
        </is>
      </c>
      <c r="B9585" s="1" t="n">
        <v>45901</v>
      </c>
      <c r="C9585" s="1" t="n">
        <v>45932</v>
      </c>
      <c r="D9585" t="inlineStr">
        <is>
          <t>VÄRMLANDS LÄN</t>
        </is>
      </c>
      <c r="E9585" t="inlineStr">
        <is>
          <t>ARVIKA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2980-2022</t>
        </is>
      </c>
      <c r="B9586" s="1" t="n">
        <v>44581</v>
      </c>
      <c r="C9586" s="1" t="n">
        <v>45932</v>
      </c>
      <c r="D9586" t="inlineStr">
        <is>
          <t>VÄRMLANDS LÄN</t>
        </is>
      </c>
      <c r="E9586" t="inlineStr">
        <is>
          <t>SUNNE</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52382-2024</t>
        </is>
      </c>
      <c r="B9587" s="1" t="n">
        <v>45608</v>
      </c>
      <c r="C9587" s="1" t="n">
        <v>45932</v>
      </c>
      <c r="D9587" t="inlineStr">
        <is>
          <t>VÄRMLANDS LÄN</t>
        </is>
      </c>
      <c r="E9587" t="inlineStr">
        <is>
          <t>ÅRJÄNG</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25521-2024</t>
        </is>
      </c>
      <c r="B9588" s="1" t="n">
        <v>45463</v>
      </c>
      <c r="C9588" s="1" t="n">
        <v>45932</v>
      </c>
      <c r="D9588" t="inlineStr">
        <is>
          <t>VÄRMLANDS LÄN</t>
        </is>
      </c>
      <c r="E9588" t="inlineStr">
        <is>
          <t>FILIPSTAD</t>
        </is>
      </c>
      <c r="F9588" t="inlineStr">
        <is>
          <t>Bergvik skog väst AB</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31034-2023</t>
        </is>
      </c>
      <c r="B9589" s="1" t="n">
        <v>45113.58893518519</v>
      </c>
      <c r="C9589" s="1" t="n">
        <v>45932</v>
      </c>
      <c r="D9589" t="inlineStr">
        <is>
          <t>VÄRMLANDS LÄN</t>
        </is>
      </c>
      <c r="E9589" t="inlineStr">
        <is>
          <t>SUNNE</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29558-2024</t>
        </is>
      </c>
      <c r="B9590" s="1" t="n">
        <v>45484</v>
      </c>
      <c r="C9590" s="1" t="n">
        <v>45932</v>
      </c>
      <c r="D9590" t="inlineStr">
        <is>
          <t>VÄRMLANDS LÄN</t>
        </is>
      </c>
      <c r="E9590" t="inlineStr">
        <is>
          <t>ÅRJÄNG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56498-2023</t>
        </is>
      </c>
      <c r="B9591" s="1" t="n">
        <v>45237</v>
      </c>
      <c r="C9591" s="1" t="n">
        <v>45932</v>
      </c>
      <c r="D9591" t="inlineStr">
        <is>
          <t>VÄRMLANDS LÄN</t>
        </is>
      </c>
      <c r="E9591" t="inlineStr">
        <is>
          <t>SÄFFLE</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39557-2023</t>
        </is>
      </c>
      <c r="B9592" s="1" t="n">
        <v>45167.38633101852</v>
      </c>
      <c r="C9592" s="1" t="n">
        <v>45932</v>
      </c>
      <c r="D9592" t="inlineStr">
        <is>
          <t>VÄRMLANDS LÄN</t>
        </is>
      </c>
      <c r="E9592" t="inlineStr">
        <is>
          <t>ÅRJÄNG</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49701-2022</t>
        </is>
      </c>
      <c r="B9593" s="1" t="n">
        <v>44862.53201388889</v>
      </c>
      <c r="C9593" s="1" t="n">
        <v>45932</v>
      </c>
      <c r="D9593" t="inlineStr">
        <is>
          <t>VÄRMLANDS LÄN</t>
        </is>
      </c>
      <c r="E9593" t="inlineStr">
        <is>
          <t>ÅRJÄNG</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49795-2024</t>
        </is>
      </c>
      <c r="B9594" s="1" t="n">
        <v>45597.3713425926</v>
      </c>
      <c r="C9594" s="1" t="n">
        <v>45932</v>
      </c>
      <c r="D9594" t="inlineStr">
        <is>
          <t>VÄRMLANDS LÄN</t>
        </is>
      </c>
      <c r="E9594" t="inlineStr">
        <is>
          <t>ÅRJÄNG</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41671-2021</t>
        </is>
      </c>
      <c r="B9595" s="1" t="n">
        <v>44425</v>
      </c>
      <c r="C9595" s="1" t="n">
        <v>45932</v>
      </c>
      <c r="D9595" t="inlineStr">
        <is>
          <t>VÄRMLANDS LÄN</t>
        </is>
      </c>
      <c r="E9595" t="inlineStr">
        <is>
          <t>TORSBY</t>
        </is>
      </c>
      <c r="F9595" t="inlineStr">
        <is>
          <t>Övriga Aktiebolag</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41686-2021</t>
        </is>
      </c>
      <c r="B9596" s="1" t="n">
        <v>44425</v>
      </c>
      <c r="C9596" s="1" t="n">
        <v>45932</v>
      </c>
      <c r="D9596" t="inlineStr">
        <is>
          <t>VÄRMLANDS LÄN</t>
        </is>
      </c>
      <c r="E9596" t="inlineStr">
        <is>
          <t>ARVIKA</t>
        </is>
      </c>
      <c r="G9596" t="n">
        <v>4.4</v>
      </c>
      <c r="H9596" t="n">
        <v>0</v>
      </c>
      <c r="I9596" t="n">
        <v>0</v>
      </c>
      <c r="J9596" t="n">
        <v>0</v>
      </c>
      <c r="K9596" t="n">
        <v>0</v>
      </c>
      <c r="L9596" t="n">
        <v>0</v>
      </c>
      <c r="M9596" t="n">
        <v>0</v>
      </c>
      <c r="N9596" t="n">
        <v>0</v>
      </c>
      <c r="O9596" t="n">
        <v>0</v>
      </c>
      <c r="P9596" t="n">
        <v>0</v>
      </c>
      <c r="Q9596" t="n">
        <v>0</v>
      </c>
      <c r="R9596" s="2" t="inlineStr"/>
      <c r="U9596">
        <f>HYPERLINK("https://klasma.github.io/Logging_1784/knärot/A 41686-2021 karta knärot.png", "A 41686-2021")</f>
        <v/>
      </c>
      <c r="V9596">
        <f>HYPERLINK("https://klasma.github.io/Logging_1784/klagomål/A 41686-2021 FSC-klagomål.docx", "A 41686-2021")</f>
        <v/>
      </c>
      <c r="W9596">
        <f>HYPERLINK("https://klasma.github.io/Logging_1784/klagomålsmail/A 41686-2021 FSC-klagomål mail.docx", "A 41686-2021")</f>
        <v/>
      </c>
      <c r="X9596">
        <f>HYPERLINK("https://klasma.github.io/Logging_1784/tillsyn/A 41686-2021 tillsynsbegäran.docx", "A 41686-2021")</f>
        <v/>
      </c>
      <c r="Y9596">
        <f>HYPERLINK("https://klasma.github.io/Logging_1784/tillsynsmail/A 41686-2021 tillsynsbegäran mail.docx", "A 41686-2021")</f>
        <v/>
      </c>
    </row>
    <row r="9597" ht="15" customHeight="1">
      <c r="A9597" t="inlineStr">
        <is>
          <t>A 13007-2021</t>
        </is>
      </c>
      <c r="B9597" s="1" t="n">
        <v>44271</v>
      </c>
      <c r="C9597" s="1" t="n">
        <v>45932</v>
      </c>
      <c r="D9597" t="inlineStr">
        <is>
          <t>VÄRMLANDS LÄN</t>
        </is>
      </c>
      <c r="E9597" t="inlineStr">
        <is>
          <t>ARVIKA</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44131-2025</t>
        </is>
      </c>
      <c r="B9598" s="1" t="n">
        <v>45915.58487268518</v>
      </c>
      <c r="C9598" s="1" t="n">
        <v>45932</v>
      </c>
      <c r="D9598" t="inlineStr">
        <is>
          <t>VÄRMLANDS LÄN</t>
        </is>
      </c>
      <c r="E9598" t="inlineStr">
        <is>
          <t>FILIPSTAD</t>
        </is>
      </c>
      <c r="F9598" t="inlineStr">
        <is>
          <t>Bergvik skog väst AB</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21362-2022</t>
        </is>
      </c>
      <c r="B9599" s="1" t="n">
        <v>44705</v>
      </c>
      <c r="C9599" s="1" t="n">
        <v>45932</v>
      </c>
      <c r="D9599" t="inlineStr">
        <is>
          <t>VÄRMLANDS LÄN</t>
        </is>
      </c>
      <c r="E9599" t="inlineStr">
        <is>
          <t>ÅRJÄNG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6829-2024</t>
        </is>
      </c>
      <c r="B9600" s="1" t="n">
        <v>45342</v>
      </c>
      <c r="C9600" s="1" t="n">
        <v>45932</v>
      </c>
      <c r="D9600" t="inlineStr">
        <is>
          <t>VÄRMLANDS LÄN</t>
        </is>
      </c>
      <c r="E9600" t="inlineStr">
        <is>
          <t>SÄFFLE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38505-2024</t>
        </is>
      </c>
      <c r="B9601" s="1" t="n">
        <v>45546</v>
      </c>
      <c r="C9601" s="1" t="n">
        <v>45932</v>
      </c>
      <c r="D9601" t="inlineStr">
        <is>
          <t>VÄRMLANDS LÄN</t>
        </is>
      </c>
      <c r="E9601" t="inlineStr">
        <is>
          <t>EDA</t>
        </is>
      </c>
      <c r="G9601" t="n">
        <v>0</v>
      </c>
      <c r="H9601" t="n">
        <v>0</v>
      </c>
      <c r="I9601" t="n">
        <v>0</v>
      </c>
      <c r="J9601" t="n">
        <v>0</v>
      </c>
      <c r="K9601" t="n">
        <v>0</v>
      </c>
      <c r="L9601" t="n">
        <v>0</v>
      </c>
      <c r="M9601" t="n">
        <v>0</v>
      </c>
      <c r="N9601" t="n">
        <v>0</v>
      </c>
      <c r="O9601" t="n">
        <v>0</v>
      </c>
      <c r="P9601" t="n">
        <v>0</v>
      </c>
      <c r="Q9601" t="n">
        <v>0</v>
      </c>
      <c r="R9601" s="2" t="inlineStr"/>
    </row>
    <row r="9602" ht="15" customHeight="1">
      <c r="A9602" t="inlineStr">
        <is>
          <t>A 38517-2024</t>
        </is>
      </c>
      <c r="B9602" s="1" t="n">
        <v>45546.56068287037</v>
      </c>
      <c r="C9602" s="1" t="n">
        <v>45932</v>
      </c>
      <c r="D9602" t="inlineStr">
        <is>
          <t>VÄRMLANDS LÄN</t>
        </is>
      </c>
      <c r="E9602" t="inlineStr">
        <is>
          <t>GRUMS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9766-2025</t>
        </is>
      </c>
      <c r="B9603" s="1" t="n">
        <v>45716.48475694445</v>
      </c>
      <c r="C9603" s="1" t="n">
        <v>45932</v>
      </c>
      <c r="D9603" t="inlineStr">
        <is>
          <t>VÄRMLANDS LÄN</t>
        </is>
      </c>
      <c r="E9603" t="inlineStr">
        <is>
          <t>MUNKFORS</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9779-2025</t>
        </is>
      </c>
      <c r="B9604" s="1" t="n">
        <v>45716.49689814815</v>
      </c>
      <c r="C9604" s="1" t="n">
        <v>45932</v>
      </c>
      <c r="D9604" t="inlineStr">
        <is>
          <t>VÄRMLANDS LÄN</t>
        </is>
      </c>
      <c r="E9604" t="inlineStr">
        <is>
          <t>MUNKFORS</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53690-2022</t>
        </is>
      </c>
      <c r="B9605" s="1" t="n">
        <v>44880</v>
      </c>
      <c r="C9605" s="1" t="n">
        <v>45932</v>
      </c>
      <c r="D9605" t="inlineStr">
        <is>
          <t>VÄRMLANDS LÄN</t>
        </is>
      </c>
      <c r="E9605" t="inlineStr">
        <is>
          <t>FILIPSTAD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34205-2025</t>
        </is>
      </c>
      <c r="B9606" s="1" t="n">
        <v>45845</v>
      </c>
      <c r="C9606" s="1" t="n">
        <v>45932</v>
      </c>
      <c r="D9606" t="inlineStr">
        <is>
          <t>VÄRMLANDS LÄN</t>
        </is>
      </c>
      <c r="E9606" t="inlineStr">
        <is>
          <t>ÅRJÄNG</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44141-2025</t>
        </is>
      </c>
      <c r="B9607" s="1" t="n">
        <v>45915.58881944444</v>
      </c>
      <c r="C9607" s="1" t="n">
        <v>45932</v>
      </c>
      <c r="D9607" t="inlineStr">
        <is>
          <t>VÄRMLANDS LÄN</t>
        </is>
      </c>
      <c r="E9607" t="inlineStr">
        <is>
          <t>TORSBY</t>
        </is>
      </c>
      <c r="F9607" t="inlineStr">
        <is>
          <t>Kyrkan</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40835-2023</t>
        </is>
      </c>
      <c r="B9608" s="1" t="n">
        <v>45172</v>
      </c>
      <c r="C9608" s="1" t="n">
        <v>45932</v>
      </c>
      <c r="D9608" t="inlineStr">
        <is>
          <t>VÄRMLANDS LÄN</t>
        </is>
      </c>
      <c r="E9608" t="inlineStr">
        <is>
          <t>HAGFORS</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11784-2023</t>
        </is>
      </c>
      <c r="B9609" s="1" t="n">
        <v>44994.65591435185</v>
      </c>
      <c r="C9609" s="1" t="n">
        <v>45932</v>
      </c>
      <c r="D9609" t="inlineStr">
        <is>
          <t>VÄRMLANDS LÄN</t>
        </is>
      </c>
      <c r="E9609" t="inlineStr">
        <is>
          <t>KRISTINEHAMN</t>
        </is>
      </c>
      <c r="F9609" t="inlineStr">
        <is>
          <t>Sveaskog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10547-2022</t>
        </is>
      </c>
      <c r="B9610" s="1" t="n">
        <v>44623</v>
      </c>
      <c r="C9610" s="1" t="n">
        <v>45932</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26321-2023</t>
        </is>
      </c>
      <c r="B9611" s="1" t="n">
        <v>45091.69579861111</v>
      </c>
      <c r="C9611" s="1" t="n">
        <v>45932</v>
      </c>
      <c r="D9611" t="inlineStr">
        <is>
          <t>VÄRMLANDS LÄN</t>
        </is>
      </c>
      <c r="E9611" t="inlineStr">
        <is>
          <t>ARVIKA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26324-2023</t>
        </is>
      </c>
      <c r="B9612" s="1" t="n">
        <v>45091.71113425926</v>
      </c>
      <c r="C9612" s="1" t="n">
        <v>45932</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19391-2025</t>
        </is>
      </c>
      <c r="B9613" s="1" t="n">
        <v>45769.66221064814</v>
      </c>
      <c r="C9613" s="1" t="n">
        <v>45932</v>
      </c>
      <c r="D9613" t="inlineStr">
        <is>
          <t>VÄRMLANDS LÄN</t>
        </is>
      </c>
      <c r="E9613" t="inlineStr">
        <is>
          <t>HAGFORS</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13183-2025</t>
        </is>
      </c>
      <c r="B9614" s="1" t="n">
        <v>45735</v>
      </c>
      <c r="C9614" s="1" t="n">
        <v>45932</v>
      </c>
      <c r="D9614" t="inlineStr">
        <is>
          <t>VÄRMLANDS LÄN</t>
        </is>
      </c>
      <c r="E9614" t="inlineStr">
        <is>
          <t>SÄFFLE</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13191-2025</t>
        </is>
      </c>
      <c r="B9615" s="1" t="n">
        <v>45735.40501157408</v>
      </c>
      <c r="C9615" s="1" t="n">
        <v>45932</v>
      </c>
      <c r="D9615" t="inlineStr">
        <is>
          <t>VÄRMLANDS LÄN</t>
        </is>
      </c>
      <c r="E9615" t="inlineStr">
        <is>
          <t>TORSBY</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135-2023</t>
        </is>
      </c>
      <c r="B9616" s="1" t="n">
        <v>44921</v>
      </c>
      <c r="C9616" s="1" t="n">
        <v>45932</v>
      </c>
      <c r="D9616" t="inlineStr">
        <is>
          <t>VÄRMLANDS LÄN</t>
        </is>
      </c>
      <c r="E9616" t="inlineStr">
        <is>
          <t>SÄFFLE</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2743-2022</t>
        </is>
      </c>
      <c r="B9617" s="1" t="n">
        <v>44580.87892361111</v>
      </c>
      <c r="C9617" s="1" t="n">
        <v>45932</v>
      </c>
      <c r="D9617" t="inlineStr">
        <is>
          <t>VÄRMLANDS LÄN</t>
        </is>
      </c>
      <c r="E9617" t="inlineStr">
        <is>
          <t>SÄFFLE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4012-2025</t>
        </is>
      </c>
      <c r="B9618" s="1" t="n">
        <v>45684.57827546296</v>
      </c>
      <c r="C9618" s="1" t="n">
        <v>45932</v>
      </c>
      <c r="D9618" t="inlineStr">
        <is>
          <t>VÄRMLANDS LÄN</t>
        </is>
      </c>
      <c r="E9618" t="inlineStr">
        <is>
          <t>HAGFORS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1847-2025</t>
        </is>
      </c>
      <c r="B9619" s="1" t="n">
        <v>45671</v>
      </c>
      <c r="C9619" s="1" t="n">
        <v>45932</v>
      </c>
      <c r="D9619" t="inlineStr">
        <is>
          <t>VÄRMLANDS LÄN</t>
        </is>
      </c>
      <c r="E9619" t="inlineStr">
        <is>
          <t>KIL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44156-2025</t>
        </is>
      </c>
      <c r="B9620" s="1" t="n">
        <v>45915.59539351852</v>
      </c>
      <c r="C9620" s="1" t="n">
        <v>45932</v>
      </c>
      <c r="D9620" t="inlineStr">
        <is>
          <t>VÄRMLANDS LÄN</t>
        </is>
      </c>
      <c r="E9620" t="inlineStr">
        <is>
          <t>TORSBY</t>
        </is>
      </c>
      <c r="F9620" t="inlineStr">
        <is>
          <t>Kyrkan</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33133-2024</t>
        </is>
      </c>
      <c r="B9621" s="1" t="n">
        <v>45518.31722222222</v>
      </c>
      <c r="C9621" s="1" t="n">
        <v>45932</v>
      </c>
      <c r="D9621" t="inlineStr">
        <is>
          <t>VÄRMLANDS LÄN</t>
        </is>
      </c>
      <c r="E9621" t="inlineStr">
        <is>
          <t>TORSBY</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63217-2023</t>
        </is>
      </c>
      <c r="B9622" s="1" t="n">
        <v>45273</v>
      </c>
      <c r="C9622" s="1" t="n">
        <v>45932</v>
      </c>
      <c r="D9622" t="inlineStr">
        <is>
          <t>VÄRMLANDS LÄN</t>
        </is>
      </c>
      <c r="E9622" t="inlineStr">
        <is>
          <t>ARVIKA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12252-2025</t>
        </is>
      </c>
      <c r="B9623" s="1" t="n">
        <v>45729.60891203704</v>
      </c>
      <c r="C9623" s="1" t="n">
        <v>45932</v>
      </c>
      <c r="D9623" t="inlineStr">
        <is>
          <t>VÄRMLANDS LÄN</t>
        </is>
      </c>
      <c r="E9623" t="inlineStr">
        <is>
          <t>STORFORS</t>
        </is>
      </c>
      <c r="F9623" t="inlineStr">
        <is>
          <t>Bergvik skog väst AB</t>
        </is>
      </c>
      <c r="G9623" t="n">
        <v>14.5</v>
      </c>
      <c r="H9623" t="n">
        <v>0</v>
      </c>
      <c r="I9623" t="n">
        <v>0</v>
      </c>
      <c r="J9623" t="n">
        <v>0</v>
      </c>
      <c r="K9623" t="n">
        <v>0</v>
      </c>
      <c r="L9623" t="n">
        <v>0</v>
      </c>
      <c r="M9623" t="n">
        <v>0</v>
      </c>
      <c r="N9623" t="n">
        <v>0</v>
      </c>
      <c r="O9623" t="n">
        <v>0</v>
      </c>
      <c r="P9623" t="n">
        <v>0</v>
      </c>
      <c r="Q9623" t="n">
        <v>0</v>
      </c>
      <c r="R9623" s="2" t="inlineStr"/>
    </row>
    <row r="9624" ht="15" customHeight="1">
      <c r="A9624" t="inlineStr">
        <is>
          <t>A 35722-2024</t>
        </is>
      </c>
      <c r="B9624" s="1" t="n">
        <v>45532</v>
      </c>
      <c r="C9624" s="1" t="n">
        <v>45932</v>
      </c>
      <c r="D9624" t="inlineStr">
        <is>
          <t>VÄRMLANDS LÄN</t>
        </is>
      </c>
      <c r="E9624" t="inlineStr">
        <is>
          <t>EDA</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65062-2023</t>
        </is>
      </c>
      <c r="B9625" s="1" t="n">
        <v>45287</v>
      </c>
      <c r="C9625" s="1" t="n">
        <v>45932</v>
      </c>
      <c r="D9625" t="inlineStr">
        <is>
          <t>VÄRMLANDS LÄN</t>
        </is>
      </c>
      <c r="E9625" t="inlineStr">
        <is>
          <t>FORSHAGA</t>
        </is>
      </c>
      <c r="F9625" t="inlineStr">
        <is>
          <t>Bergvik skog väst AB</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49101-2024</t>
        </is>
      </c>
      <c r="B9626" s="1" t="n">
        <v>45594.64802083333</v>
      </c>
      <c r="C9626" s="1" t="n">
        <v>45932</v>
      </c>
      <c r="D9626" t="inlineStr">
        <is>
          <t>VÄRMLANDS LÄN</t>
        </is>
      </c>
      <c r="E9626" t="inlineStr">
        <is>
          <t>STORFORS</t>
        </is>
      </c>
      <c r="F9626" t="inlineStr">
        <is>
          <t>Kyrkan</t>
        </is>
      </c>
      <c r="G9626" t="n">
        <v>14.1</v>
      </c>
      <c r="H9626" t="n">
        <v>0</v>
      </c>
      <c r="I9626" t="n">
        <v>0</v>
      </c>
      <c r="J9626" t="n">
        <v>0</v>
      </c>
      <c r="K9626" t="n">
        <v>0</v>
      </c>
      <c r="L9626" t="n">
        <v>0</v>
      </c>
      <c r="M9626" t="n">
        <v>0</v>
      </c>
      <c r="N9626" t="n">
        <v>0</v>
      </c>
      <c r="O9626" t="n">
        <v>0</v>
      </c>
      <c r="P9626" t="n">
        <v>0</v>
      </c>
      <c r="Q9626" t="n">
        <v>0</v>
      </c>
      <c r="R9626" s="2" t="inlineStr"/>
    </row>
    <row r="9627" ht="15" customHeight="1">
      <c r="A9627" t="inlineStr">
        <is>
          <t>A 46-2025</t>
        </is>
      </c>
      <c r="B9627" s="1" t="n">
        <v>45659.36717592592</v>
      </c>
      <c r="C9627" s="1" t="n">
        <v>45932</v>
      </c>
      <c r="D9627" t="inlineStr">
        <is>
          <t>VÄRMLANDS LÄN</t>
        </is>
      </c>
      <c r="E9627" t="inlineStr">
        <is>
          <t>ARVIKA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36642-2025</t>
        </is>
      </c>
      <c r="B9628" s="1" t="n">
        <v>45871.59560185186</v>
      </c>
      <c r="C9628" s="1" t="n">
        <v>45932</v>
      </c>
      <c r="D9628" t="inlineStr">
        <is>
          <t>VÄRMLANDS LÄN</t>
        </is>
      </c>
      <c r="E9628" t="inlineStr">
        <is>
          <t>SÄFFLE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45466-2022</t>
        </is>
      </c>
      <c r="B9629" s="1" t="n">
        <v>44845.36622685185</v>
      </c>
      <c r="C9629" s="1" t="n">
        <v>45932</v>
      </c>
      <c r="D9629" t="inlineStr">
        <is>
          <t>VÄRMLANDS LÄN</t>
        </is>
      </c>
      <c r="E9629" t="inlineStr">
        <is>
          <t>EDA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45467-2022</t>
        </is>
      </c>
      <c r="B9630" s="1" t="n">
        <v>44845</v>
      </c>
      <c r="C9630" s="1" t="n">
        <v>45932</v>
      </c>
      <c r="D9630" t="inlineStr">
        <is>
          <t>VÄRMLANDS LÄN</t>
        </is>
      </c>
      <c r="E9630" t="inlineStr">
        <is>
          <t>GRUMS</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43994-2025</t>
        </is>
      </c>
      <c r="B9631" s="1" t="n">
        <v>45915.44663194445</v>
      </c>
      <c r="C9631" s="1" t="n">
        <v>45932</v>
      </c>
      <c r="D9631" t="inlineStr">
        <is>
          <t>VÄRMLANDS LÄN</t>
        </is>
      </c>
      <c r="E9631" t="inlineStr">
        <is>
          <t>ARVIKA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44004-2025</t>
        </is>
      </c>
      <c r="B9632" s="1" t="n">
        <v>45915.45674768519</v>
      </c>
      <c r="C9632" s="1" t="n">
        <v>45932</v>
      </c>
      <c r="D9632" t="inlineStr">
        <is>
          <t>VÄRMLANDS LÄN</t>
        </is>
      </c>
      <c r="E9632" t="inlineStr">
        <is>
          <t>FILIPSTAD</t>
        </is>
      </c>
      <c r="F9632" t="inlineStr">
        <is>
          <t>Bergvik skog väst AB</t>
        </is>
      </c>
      <c r="G9632" t="n">
        <v>17.2</v>
      </c>
      <c r="H9632" t="n">
        <v>0</v>
      </c>
      <c r="I9632" t="n">
        <v>0</v>
      </c>
      <c r="J9632" t="n">
        <v>0</v>
      </c>
      <c r="K9632" t="n">
        <v>0</v>
      </c>
      <c r="L9632" t="n">
        <v>0</v>
      </c>
      <c r="M9632" t="n">
        <v>0</v>
      </c>
      <c r="N9632" t="n">
        <v>0</v>
      </c>
      <c r="O9632" t="n">
        <v>0</v>
      </c>
      <c r="P9632" t="n">
        <v>0</v>
      </c>
      <c r="Q9632" t="n">
        <v>0</v>
      </c>
      <c r="R9632" s="2" t="inlineStr"/>
    </row>
    <row r="9633" ht="15" customHeight="1">
      <c r="A9633" t="inlineStr">
        <is>
          <t>A 25330-2024</t>
        </is>
      </c>
      <c r="B9633" s="1" t="n">
        <v>45462</v>
      </c>
      <c r="C9633" s="1" t="n">
        <v>45932</v>
      </c>
      <c r="D9633" t="inlineStr">
        <is>
          <t>VÄRMLANDS LÄN</t>
        </is>
      </c>
      <c r="E9633" t="inlineStr">
        <is>
          <t>KARLSTAD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25954-2023</t>
        </is>
      </c>
      <c r="B9634" s="1" t="n">
        <v>45090</v>
      </c>
      <c r="C9634" s="1" t="n">
        <v>45932</v>
      </c>
      <c r="D9634" t="inlineStr">
        <is>
          <t>VÄRMLANDS LÄN</t>
        </is>
      </c>
      <c r="E9634" t="inlineStr">
        <is>
          <t>ARVIKA</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29269-2025</t>
        </is>
      </c>
      <c r="B9635" s="1" t="n">
        <v>45824</v>
      </c>
      <c r="C9635" s="1" t="n">
        <v>45932</v>
      </c>
      <c r="D9635" t="inlineStr">
        <is>
          <t>VÄRMLANDS LÄN</t>
        </is>
      </c>
      <c r="E9635" t="inlineStr">
        <is>
          <t>HAGFORS</t>
        </is>
      </c>
      <c r="F9635" t="inlineStr">
        <is>
          <t>Bergvik skog väst AB</t>
        </is>
      </c>
      <c r="G9635" t="n">
        <v>26.5</v>
      </c>
      <c r="H9635" t="n">
        <v>0</v>
      </c>
      <c r="I9635" t="n">
        <v>0</v>
      </c>
      <c r="J9635" t="n">
        <v>0</v>
      </c>
      <c r="K9635" t="n">
        <v>0</v>
      </c>
      <c r="L9635" t="n">
        <v>0</v>
      </c>
      <c r="M9635" t="n">
        <v>0</v>
      </c>
      <c r="N9635" t="n">
        <v>0</v>
      </c>
      <c r="O9635" t="n">
        <v>0</v>
      </c>
      <c r="P9635" t="n">
        <v>0</v>
      </c>
      <c r="Q9635" t="n">
        <v>0</v>
      </c>
      <c r="R9635" s="2" t="inlineStr"/>
    </row>
    <row r="9636" ht="15" customHeight="1">
      <c r="A9636" t="inlineStr">
        <is>
          <t>A 1512-2025</t>
        </is>
      </c>
      <c r="B9636" s="1" t="n">
        <v>45670.45255787037</v>
      </c>
      <c r="C9636" s="1" t="n">
        <v>45932</v>
      </c>
      <c r="D9636" t="inlineStr">
        <is>
          <t>VÄRMLANDS LÄN</t>
        </is>
      </c>
      <c r="E9636" t="inlineStr">
        <is>
          <t>TORSBY</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47028-2023</t>
        </is>
      </c>
      <c r="B9637" s="1" t="n">
        <v>45201.52802083334</v>
      </c>
      <c r="C9637" s="1" t="n">
        <v>45932</v>
      </c>
      <c r="D9637" t="inlineStr">
        <is>
          <t>VÄRMLANDS LÄN</t>
        </is>
      </c>
      <c r="E9637" t="inlineStr">
        <is>
          <t>HAGFORS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14162-2025</t>
        </is>
      </c>
      <c r="B9638" s="1" t="n">
        <v>45740</v>
      </c>
      <c r="C9638" s="1" t="n">
        <v>45932</v>
      </c>
      <c r="D9638" t="inlineStr">
        <is>
          <t>VÄRMLANDS LÄN</t>
        </is>
      </c>
      <c r="E9638" t="inlineStr">
        <is>
          <t>TORSBY</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31812-2024</t>
        </is>
      </c>
      <c r="B9639" s="1" t="n">
        <v>45509</v>
      </c>
      <c r="C9639" s="1" t="n">
        <v>45932</v>
      </c>
      <c r="D9639" t="inlineStr">
        <is>
          <t>VÄRMLANDS LÄN</t>
        </is>
      </c>
      <c r="E9639" t="inlineStr">
        <is>
          <t>HAGFORS</t>
        </is>
      </c>
      <c r="F9639" t="inlineStr">
        <is>
          <t>Kommuner</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32619-2023</t>
        </is>
      </c>
      <c r="B9640" s="1" t="n">
        <v>45121</v>
      </c>
      <c r="C9640" s="1" t="n">
        <v>45932</v>
      </c>
      <c r="D9640" t="inlineStr">
        <is>
          <t>VÄRMLANDS LÄN</t>
        </is>
      </c>
      <c r="E9640" t="inlineStr">
        <is>
          <t>ARVIKA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38659-2024</t>
        </is>
      </c>
      <c r="B9641" s="1" t="n">
        <v>45546</v>
      </c>
      <c r="C9641" s="1" t="n">
        <v>45932</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41017-2024</t>
        </is>
      </c>
      <c r="B9642" s="1" t="n">
        <v>45559</v>
      </c>
      <c r="C9642" s="1" t="n">
        <v>45932</v>
      </c>
      <c r="D9642" t="inlineStr">
        <is>
          <t>VÄRMLANDS LÄN</t>
        </is>
      </c>
      <c r="E9642" t="inlineStr">
        <is>
          <t>SUNNE</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10354-2025</t>
        </is>
      </c>
      <c r="B9643" s="1" t="n">
        <v>45720</v>
      </c>
      <c r="C9643" s="1" t="n">
        <v>45932</v>
      </c>
      <c r="D9643" t="inlineStr">
        <is>
          <t>VÄRMLANDS LÄN</t>
        </is>
      </c>
      <c r="E9643" t="inlineStr">
        <is>
          <t>SÄFFLE</t>
        </is>
      </c>
      <c r="F9643" t="inlineStr">
        <is>
          <t>Kyrkan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10398-2025</t>
        </is>
      </c>
      <c r="B9644" s="1" t="n">
        <v>45720</v>
      </c>
      <c r="C9644" s="1" t="n">
        <v>45932</v>
      </c>
      <c r="D9644" t="inlineStr">
        <is>
          <t>VÄRMLANDS LÄN</t>
        </is>
      </c>
      <c r="E9644" t="inlineStr">
        <is>
          <t>KIL</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6728-2025</t>
        </is>
      </c>
      <c r="B9645" s="1" t="n">
        <v>45700</v>
      </c>
      <c r="C9645" s="1" t="n">
        <v>45932</v>
      </c>
      <c r="D9645" t="inlineStr">
        <is>
          <t>VÄRMLANDS LÄN</t>
        </is>
      </c>
      <c r="E9645" t="inlineStr">
        <is>
          <t>FILIPSTAD</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1675-2023</t>
        </is>
      </c>
      <c r="B9646" s="1" t="n">
        <v>44938.39040509259</v>
      </c>
      <c r="C9646" s="1" t="n">
        <v>45932</v>
      </c>
      <c r="D9646" t="inlineStr">
        <is>
          <t>VÄRMLANDS LÄN</t>
        </is>
      </c>
      <c r="E9646" t="inlineStr">
        <is>
          <t>KARLSTAD</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5271-2025</t>
        </is>
      </c>
      <c r="B9647" s="1" t="n">
        <v>45692.40827546296</v>
      </c>
      <c r="C9647" s="1" t="n">
        <v>45932</v>
      </c>
      <c r="D9647" t="inlineStr">
        <is>
          <t>VÄRMLANDS LÄN</t>
        </is>
      </c>
      <c r="E9647" t="inlineStr">
        <is>
          <t>SÄFFLE</t>
        </is>
      </c>
      <c r="G9647" t="n">
        <v>19.2</v>
      </c>
      <c r="H9647" t="n">
        <v>0</v>
      </c>
      <c r="I9647" t="n">
        <v>0</v>
      </c>
      <c r="J9647" t="n">
        <v>0</v>
      </c>
      <c r="K9647" t="n">
        <v>0</v>
      </c>
      <c r="L9647" t="n">
        <v>0</v>
      </c>
      <c r="M9647" t="n">
        <v>0</v>
      </c>
      <c r="N9647" t="n">
        <v>0</v>
      </c>
      <c r="O9647" t="n">
        <v>0</v>
      </c>
      <c r="P9647" t="n">
        <v>0</v>
      </c>
      <c r="Q9647" t="n">
        <v>0</v>
      </c>
      <c r="R9647" s="2" t="inlineStr"/>
    </row>
    <row r="9648" ht="15" customHeight="1">
      <c r="A9648" t="inlineStr">
        <is>
          <t>A 5272-2025</t>
        </is>
      </c>
      <c r="B9648" s="1" t="n">
        <v>45692.41335648148</v>
      </c>
      <c r="C9648" s="1" t="n">
        <v>45932</v>
      </c>
      <c r="D9648" t="inlineStr">
        <is>
          <t>VÄRMLANDS LÄN</t>
        </is>
      </c>
      <c r="E9648" t="inlineStr">
        <is>
          <t>SÄFFLE</t>
        </is>
      </c>
      <c r="G9648" t="n">
        <v>20.8</v>
      </c>
      <c r="H9648" t="n">
        <v>0</v>
      </c>
      <c r="I9648" t="n">
        <v>0</v>
      </c>
      <c r="J9648" t="n">
        <v>0</v>
      </c>
      <c r="K9648" t="n">
        <v>0</v>
      </c>
      <c r="L9648" t="n">
        <v>0</v>
      </c>
      <c r="M9648" t="n">
        <v>0</v>
      </c>
      <c r="N9648" t="n">
        <v>0</v>
      </c>
      <c r="O9648" t="n">
        <v>0</v>
      </c>
      <c r="P9648" t="n">
        <v>0</v>
      </c>
      <c r="Q9648" t="n">
        <v>0</v>
      </c>
      <c r="R9648" s="2" t="inlineStr"/>
    </row>
    <row r="9649" ht="15" customHeight="1">
      <c r="A9649" t="inlineStr">
        <is>
          <t>A 18221-2025</t>
        </is>
      </c>
      <c r="B9649" s="1" t="n">
        <v>45761</v>
      </c>
      <c r="C9649" s="1" t="n">
        <v>45932</v>
      </c>
      <c r="D9649" t="inlineStr">
        <is>
          <t>VÄRMLANDS LÄN</t>
        </is>
      </c>
      <c r="E9649" t="inlineStr">
        <is>
          <t>HAGFORS</t>
        </is>
      </c>
      <c r="F9649" t="inlineStr">
        <is>
          <t>Bergvik skog väst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23270-2024</t>
        </is>
      </c>
      <c r="B9650" s="1" t="n">
        <v>45450</v>
      </c>
      <c r="C9650" s="1" t="n">
        <v>45932</v>
      </c>
      <c r="D9650" t="inlineStr">
        <is>
          <t>VÄRMLANDS LÄN</t>
        </is>
      </c>
      <c r="E9650" t="inlineStr">
        <is>
          <t>KRISTINEHAMN</t>
        </is>
      </c>
      <c r="F9650" t="inlineStr">
        <is>
          <t>Kommuner</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16085-2025</t>
        </is>
      </c>
      <c r="B9651" s="1" t="n">
        <v>45749.81053240741</v>
      </c>
      <c r="C9651" s="1" t="n">
        <v>45932</v>
      </c>
      <c r="D9651" t="inlineStr">
        <is>
          <t>VÄRMLANDS LÄN</t>
        </is>
      </c>
      <c r="E9651" t="inlineStr">
        <is>
          <t>SUNNE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17505-2022</t>
        </is>
      </c>
      <c r="B9652" s="1" t="n">
        <v>44679</v>
      </c>
      <c r="C9652" s="1" t="n">
        <v>45932</v>
      </c>
      <c r="D9652" t="inlineStr">
        <is>
          <t>VÄRMLANDS LÄN</t>
        </is>
      </c>
      <c r="E9652" t="inlineStr">
        <is>
          <t>SÄFFLE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36706-2024</t>
        </is>
      </c>
      <c r="B9653" s="1" t="n">
        <v>45537</v>
      </c>
      <c r="C9653" s="1" t="n">
        <v>45932</v>
      </c>
      <c r="D9653" t="inlineStr">
        <is>
          <t>VÄRMLANDS LÄN</t>
        </is>
      </c>
      <c r="E9653" t="inlineStr">
        <is>
          <t>ÅRJÄNG</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23904-2024</t>
        </is>
      </c>
      <c r="B9654" s="1" t="n">
        <v>45455</v>
      </c>
      <c r="C9654" s="1" t="n">
        <v>45932</v>
      </c>
      <c r="D9654" t="inlineStr">
        <is>
          <t>VÄRMLANDS LÄN</t>
        </is>
      </c>
      <c r="E9654" t="inlineStr">
        <is>
          <t>EDA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7096-2025</t>
        </is>
      </c>
      <c r="B9655" s="1" t="n">
        <v>45701</v>
      </c>
      <c r="C9655" s="1" t="n">
        <v>45932</v>
      </c>
      <c r="D9655" t="inlineStr">
        <is>
          <t>VÄRMLANDS LÄN</t>
        </is>
      </c>
      <c r="E9655" t="inlineStr">
        <is>
          <t>SUNNE</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34723-2022</t>
        </is>
      </c>
      <c r="B9656" s="1" t="n">
        <v>44795</v>
      </c>
      <c r="C9656" s="1" t="n">
        <v>45932</v>
      </c>
      <c r="D9656" t="inlineStr">
        <is>
          <t>VÄRMLANDS LÄN</t>
        </is>
      </c>
      <c r="E9656" t="inlineStr">
        <is>
          <t>SUNNE</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43862-2025</t>
        </is>
      </c>
      <c r="B9657" s="1" t="n">
        <v>45912</v>
      </c>
      <c r="C9657" s="1" t="n">
        <v>45932</v>
      </c>
      <c r="D9657" t="inlineStr">
        <is>
          <t>VÄRMLANDS LÄN</t>
        </is>
      </c>
      <c r="E9657" t="inlineStr">
        <is>
          <t>SÄFFLE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39025-2023</t>
        </is>
      </c>
      <c r="B9658" s="1" t="n">
        <v>45163</v>
      </c>
      <c r="C9658" s="1" t="n">
        <v>45932</v>
      </c>
      <c r="D9658" t="inlineStr">
        <is>
          <t>VÄRMLANDS LÄN</t>
        </is>
      </c>
      <c r="E9658" t="inlineStr">
        <is>
          <t>STORFORS</t>
        </is>
      </c>
      <c r="F9658" t="inlineStr">
        <is>
          <t>Kyrkan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4049-2022</t>
        </is>
      </c>
      <c r="B9659" s="1" t="n">
        <v>44588</v>
      </c>
      <c r="C9659" s="1" t="n">
        <v>45932</v>
      </c>
      <c r="D9659" t="inlineStr">
        <is>
          <t>VÄRMLANDS LÄN</t>
        </is>
      </c>
      <c r="E9659" t="inlineStr">
        <is>
          <t>ARVIKA</t>
        </is>
      </c>
      <c r="F9659" t="inlineStr">
        <is>
          <t>Bergvik skog väst AB</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19928-2024</t>
        </is>
      </c>
      <c r="B9660" s="1" t="n">
        <v>45433.59773148148</v>
      </c>
      <c r="C9660" s="1" t="n">
        <v>45932</v>
      </c>
      <c r="D9660" t="inlineStr">
        <is>
          <t>VÄRMLANDS LÄN</t>
        </is>
      </c>
      <c r="E9660" t="inlineStr">
        <is>
          <t>ARVIKA</t>
        </is>
      </c>
      <c r="F9660" t="inlineStr">
        <is>
          <t>Bergvik skog väst AB</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19930-2024</t>
        </is>
      </c>
      <c r="B9661" s="1" t="n">
        <v>45433</v>
      </c>
      <c r="C9661" s="1" t="n">
        <v>45932</v>
      </c>
      <c r="D9661" t="inlineStr">
        <is>
          <t>VÄRMLANDS LÄN</t>
        </is>
      </c>
      <c r="E9661" t="inlineStr">
        <is>
          <t>ARVIKA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43904-2025</t>
        </is>
      </c>
      <c r="B9662" s="1" t="n">
        <v>45913.63548611111</v>
      </c>
      <c r="C9662" s="1" t="n">
        <v>45932</v>
      </c>
      <c r="D9662" t="inlineStr">
        <is>
          <t>VÄRMLANDS LÄN</t>
        </is>
      </c>
      <c r="E9662" t="inlineStr">
        <is>
          <t>SÄFFLE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68526-2021</t>
        </is>
      </c>
      <c r="B9663" s="1" t="n">
        <v>44526</v>
      </c>
      <c r="C9663" s="1" t="n">
        <v>45932</v>
      </c>
      <c r="D9663" t="inlineStr">
        <is>
          <t>VÄRMLANDS LÄN</t>
        </is>
      </c>
      <c r="E9663" t="inlineStr">
        <is>
          <t>KRISTINEHAMN</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68530-2021</t>
        </is>
      </c>
      <c r="B9664" s="1" t="n">
        <v>44526</v>
      </c>
      <c r="C9664" s="1" t="n">
        <v>45932</v>
      </c>
      <c r="D9664" t="inlineStr">
        <is>
          <t>VÄRMLANDS LÄN</t>
        </is>
      </c>
      <c r="E9664" t="inlineStr">
        <is>
          <t>KRISTINEHAMN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53914-2023</t>
        </is>
      </c>
      <c r="B9665" s="1" t="n">
        <v>45231.56193287037</v>
      </c>
      <c r="C9665" s="1" t="n">
        <v>45932</v>
      </c>
      <c r="D9665" t="inlineStr">
        <is>
          <t>VÄRMLANDS LÄN</t>
        </is>
      </c>
      <c r="E9665" t="inlineStr">
        <is>
          <t>SUNNE</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39164-2024</t>
        </is>
      </c>
      <c r="B9666" s="1" t="n">
        <v>45548</v>
      </c>
      <c r="C9666" s="1" t="n">
        <v>45932</v>
      </c>
      <c r="D9666" t="inlineStr">
        <is>
          <t>VÄRMLANDS LÄN</t>
        </is>
      </c>
      <c r="E9666" t="inlineStr">
        <is>
          <t>SUNNE</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30520-2024</t>
        </is>
      </c>
      <c r="B9667" s="1" t="n">
        <v>45492.47939814815</v>
      </c>
      <c r="C9667" s="1" t="n">
        <v>45932</v>
      </c>
      <c r="D9667" t="inlineStr">
        <is>
          <t>VÄRMLANDS LÄN</t>
        </is>
      </c>
      <c r="E9667" t="inlineStr">
        <is>
          <t>HAGFORS</t>
        </is>
      </c>
      <c r="F9667" t="inlineStr">
        <is>
          <t>Kyrkan</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18796-2023</t>
        </is>
      </c>
      <c r="B9668" s="1" t="n">
        <v>45044.31065972222</v>
      </c>
      <c r="C9668" s="1" t="n">
        <v>45932</v>
      </c>
      <c r="D9668" t="inlineStr">
        <is>
          <t>VÄRMLANDS LÄN</t>
        </is>
      </c>
      <c r="E9668" t="inlineStr">
        <is>
          <t>ÅRJÄNG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43545-2024</t>
        </is>
      </c>
      <c r="B9669" s="1" t="n">
        <v>45569.36980324074</v>
      </c>
      <c r="C9669" s="1" t="n">
        <v>45932</v>
      </c>
      <c r="D9669" t="inlineStr">
        <is>
          <t>VÄRMLANDS LÄN</t>
        </is>
      </c>
      <c r="E9669" t="inlineStr">
        <is>
          <t>TORSBY</t>
        </is>
      </c>
      <c r="F9669" t="inlineStr">
        <is>
          <t>Bergvik skog väst AB</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21365-2023</t>
        </is>
      </c>
      <c r="B9670" s="1" t="n">
        <v>45063.26761574074</v>
      </c>
      <c r="C9670" s="1" t="n">
        <v>45932</v>
      </c>
      <c r="D9670" t="inlineStr">
        <is>
          <t>VÄRMLANDS LÄN</t>
        </is>
      </c>
      <c r="E9670" t="inlineStr">
        <is>
          <t>TORSBY</t>
        </is>
      </c>
      <c r="F9670" t="inlineStr">
        <is>
          <t>Kyrkan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58714-2021</t>
        </is>
      </c>
      <c r="B9671" s="1" t="n">
        <v>44489.4774537037</v>
      </c>
      <c r="C9671" s="1" t="n">
        <v>45932</v>
      </c>
      <c r="D9671" t="inlineStr">
        <is>
          <t>VÄRMLANDS LÄN</t>
        </is>
      </c>
      <c r="E9671" t="inlineStr">
        <is>
          <t>FORSHAGA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67617-2021</t>
        </is>
      </c>
      <c r="B9672" s="1" t="n">
        <v>44524</v>
      </c>
      <c r="C9672" s="1" t="n">
        <v>45932</v>
      </c>
      <c r="D9672" t="inlineStr">
        <is>
          <t>VÄRMLANDS LÄN</t>
        </is>
      </c>
      <c r="E9672" t="inlineStr">
        <is>
          <t>FORSHAGA</t>
        </is>
      </c>
      <c r="G9672" t="n">
        <v>6.5</v>
      </c>
      <c r="H9672" t="n">
        <v>0</v>
      </c>
      <c r="I9672" t="n">
        <v>0</v>
      </c>
      <c r="J9672" t="n">
        <v>0</v>
      </c>
      <c r="K9672" t="n">
        <v>0</v>
      </c>
      <c r="L9672" t="n">
        <v>0</v>
      </c>
      <c r="M9672" t="n">
        <v>0</v>
      </c>
      <c r="N9672" t="n">
        <v>0</v>
      </c>
      <c r="O9672" t="n">
        <v>0</v>
      </c>
      <c r="P9672" t="n">
        <v>0</v>
      </c>
      <c r="Q9672" t="n">
        <v>0</v>
      </c>
      <c r="R9672" s="2" t="inlineStr"/>
    </row>
    <row r="9673" ht="15" customHeight="1">
      <c r="A9673" t="inlineStr">
        <is>
          <t>A 101-2022</t>
        </is>
      </c>
      <c r="B9673" s="1" t="n">
        <v>44564</v>
      </c>
      <c r="C9673" s="1" t="n">
        <v>45932</v>
      </c>
      <c r="D9673" t="inlineStr">
        <is>
          <t>VÄRMLANDS LÄN</t>
        </is>
      </c>
      <c r="E9673" t="inlineStr">
        <is>
          <t>SÄFFLE</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43601-2025</t>
        </is>
      </c>
      <c r="B9674" s="1" t="n">
        <v>45911</v>
      </c>
      <c r="C9674" s="1" t="n">
        <v>45932</v>
      </c>
      <c r="D9674" t="inlineStr">
        <is>
          <t>VÄRMLANDS LÄN</t>
        </is>
      </c>
      <c r="E9674" t="inlineStr">
        <is>
          <t>KARLSTAD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43667-2025</t>
        </is>
      </c>
      <c r="B9675" s="1" t="n">
        <v>45912.35234953704</v>
      </c>
      <c r="C9675" s="1" t="n">
        <v>45932</v>
      </c>
      <c r="D9675" t="inlineStr">
        <is>
          <t>VÄRMLANDS LÄN</t>
        </is>
      </c>
      <c r="E9675" t="inlineStr">
        <is>
          <t>HAGFORS</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18076-2023</t>
        </is>
      </c>
      <c r="B9676" s="1" t="n">
        <v>45040</v>
      </c>
      <c r="C9676" s="1" t="n">
        <v>45932</v>
      </c>
      <c r="D9676" t="inlineStr">
        <is>
          <t>VÄRMLANDS LÄN</t>
        </is>
      </c>
      <c r="E9676" t="inlineStr">
        <is>
          <t>EDA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43952-2025</t>
        </is>
      </c>
      <c r="B9677" s="1" t="n">
        <v>45915.38284722222</v>
      </c>
      <c r="C9677" s="1" t="n">
        <v>45932</v>
      </c>
      <c r="D9677" t="inlineStr">
        <is>
          <t>VÄRMLANDS LÄN</t>
        </is>
      </c>
      <c r="E9677" t="inlineStr">
        <is>
          <t>SÄFFLE</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33273-2025</t>
        </is>
      </c>
      <c r="B9678" s="1" t="n">
        <v>45840.68797453704</v>
      </c>
      <c r="C9678" s="1" t="n">
        <v>45932</v>
      </c>
      <c r="D9678" t="inlineStr">
        <is>
          <t>VÄRMLANDS LÄN</t>
        </is>
      </c>
      <c r="E9678" t="inlineStr">
        <is>
          <t>STORFORS</t>
        </is>
      </c>
      <c r="F9678" t="inlineStr">
        <is>
          <t>Bergvik skog väst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5011-2024</t>
        </is>
      </c>
      <c r="B9679" s="1" t="n">
        <v>45329</v>
      </c>
      <c r="C9679" s="1" t="n">
        <v>45932</v>
      </c>
      <c r="D9679" t="inlineStr">
        <is>
          <t>VÄRMLANDS LÄN</t>
        </is>
      </c>
      <c r="E9679" t="inlineStr">
        <is>
          <t>GRUMS</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43954-2025</t>
        </is>
      </c>
      <c r="B9680" s="1" t="n">
        <v>45915.38431712963</v>
      </c>
      <c r="C9680" s="1" t="n">
        <v>45932</v>
      </c>
      <c r="D9680" t="inlineStr">
        <is>
          <t>VÄRMLANDS LÄN</t>
        </is>
      </c>
      <c r="E9680" t="inlineStr">
        <is>
          <t>SÄFFLE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19527-2023</t>
        </is>
      </c>
      <c r="B9681" s="1" t="n">
        <v>45050</v>
      </c>
      <c r="C9681" s="1" t="n">
        <v>45932</v>
      </c>
      <c r="D9681" t="inlineStr">
        <is>
          <t>VÄRMLANDS LÄN</t>
        </is>
      </c>
      <c r="E9681" t="inlineStr">
        <is>
          <t>TORSBY</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21563-2023</t>
        </is>
      </c>
      <c r="B9682" s="1" t="n">
        <v>45063</v>
      </c>
      <c r="C9682" s="1" t="n">
        <v>45932</v>
      </c>
      <c r="D9682" t="inlineStr">
        <is>
          <t>VÄRMLANDS LÄN</t>
        </is>
      </c>
      <c r="E9682" t="inlineStr">
        <is>
          <t>SÄFFLE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46137-2024</t>
        </is>
      </c>
      <c r="B9683" s="1" t="n">
        <v>45581.44835648148</v>
      </c>
      <c r="C9683" s="1" t="n">
        <v>45932</v>
      </c>
      <c r="D9683" t="inlineStr">
        <is>
          <t>VÄRMLANDS LÄN</t>
        </is>
      </c>
      <c r="E9683" t="inlineStr">
        <is>
          <t>KRISTINEHAMN</t>
        </is>
      </c>
      <c r="F9683" t="inlineStr">
        <is>
          <t>Sveaskog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44796-2021</t>
        </is>
      </c>
      <c r="B9684" s="1" t="n">
        <v>44438</v>
      </c>
      <c r="C9684" s="1" t="n">
        <v>45932</v>
      </c>
      <c r="D9684" t="inlineStr">
        <is>
          <t>VÄRMLANDS LÄN</t>
        </is>
      </c>
      <c r="E9684" t="inlineStr">
        <is>
          <t>SUNNE</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44038-2025</t>
        </is>
      </c>
      <c r="B9685" s="1" t="n">
        <v>45915.49105324074</v>
      </c>
      <c r="C9685" s="1" t="n">
        <v>45932</v>
      </c>
      <c r="D9685" t="inlineStr">
        <is>
          <t>VÄRMLANDS LÄN</t>
        </is>
      </c>
      <c r="E9685" t="inlineStr">
        <is>
          <t>SÄFFLE</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1338-2023</t>
        </is>
      </c>
      <c r="B9686" s="1" t="n">
        <v>44936.58559027778</v>
      </c>
      <c r="C9686" s="1" t="n">
        <v>45932</v>
      </c>
      <c r="D9686" t="inlineStr">
        <is>
          <t>VÄRMLANDS LÄN</t>
        </is>
      </c>
      <c r="E9686" t="inlineStr">
        <is>
          <t>FORSHAGA</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74330-2021</t>
        </is>
      </c>
      <c r="B9687" s="1" t="n">
        <v>44559</v>
      </c>
      <c r="C9687" s="1" t="n">
        <v>45932</v>
      </c>
      <c r="D9687" t="inlineStr">
        <is>
          <t>VÄRMLANDS LÄN</t>
        </is>
      </c>
      <c r="E9687" t="inlineStr">
        <is>
          <t>ARVIKA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40988-2021</t>
        </is>
      </c>
      <c r="B9688" s="1" t="n">
        <v>44421</v>
      </c>
      <c r="C9688" s="1" t="n">
        <v>45932</v>
      </c>
      <c r="D9688" t="inlineStr">
        <is>
          <t>VÄRMLANDS LÄN</t>
        </is>
      </c>
      <c r="E9688" t="inlineStr">
        <is>
          <t>KRISTINEHAMN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50400-2021</t>
        </is>
      </c>
      <c r="B9689" s="1" t="n">
        <v>44459</v>
      </c>
      <c r="C9689" s="1" t="n">
        <v>45932</v>
      </c>
      <c r="D9689" t="inlineStr">
        <is>
          <t>VÄRMLANDS LÄN</t>
        </is>
      </c>
      <c r="E9689" t="inlineStr">
        <is>
          <t>KARLSTAD</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44055-2025</t>
        </is>
      </c>
      <c r="B9690" s="1" t="n">
        <v>45915.52358796296</v>
      </c>
      <c r="C9690" s="1" t="n">
        <v>45932</v>
      </c>
      <c r="D9690" t="inlineStr">
        <is>
          <t>VÄRMLANDS LÄN</t>
        </is>
      </c>
      <c r="E9690" t="inlineStr">
        <is>
          <t>TORSBY</t>
        </is>
      </c>
      <c r="F9690" t="inlineStr">
        <is>
          <t>Kyrkan</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4706-2025</t>
        </is>
      </c>
      <c r="B9691" s="1" t="n">
        <v>45688.38394675926</v>
      </c>
      <c r="C9691" s="1" t="n">
        <v>45932</v>
      </c>
      <c r="D9691" t="inlineStr">
        <is>
          <t>VÄRMLANDS LÄN</t>
        </is>
      </c>
      <c r="E9691" t="inlineStr">
        <is>
          <t>ARVIKA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33399-2024</t>
        </is>
      </c>
      <c r="B9692" s="1" t="n">
        <v>45519</v>
      </c>
      <c r="C9692" s="1" t="n">
        <v>45932</v>
      </c>
      <c r="D9692" t="inlineStr">
        <is>
          <t>VÄRMLANDS LÄN</t>
        </is>
      </c>
      <c r="E9692" t="inlineStr">
        <is>
          <t>HAGFORS</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36751-2025</t>
        </is>
      </c>
      <c r="B9693" s="1" t="n">
        <v>45873</v>
      </c>
      <c r="C9693" s="1" t="n">
        <v>45932</v>
      </c>
      <c r="D9693" t="inlineStr">
        <is>
          <t>VÄRMLANDS LÄN</t>
        </is>
      </c>
      <c r="E9693" t="inlineStr">
        <is>
          <t>ÅRJÄNG</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18174-2024</t>
        </is>
      </c>
      <c r="B9694" s="1" t="n">
        <v>45420</v>
      </c>
      <c r="C9694" s="1" t="n">
        <v>45932</v>
      </c>
      <c r="D9694" t="inlineStr">
        <is>
          <t>VÄRMLANDS LÄN</t>
        </is>
      </c>
      <c r="E9694" t="inlineStr">
        <is>
          <t>SÄFFLE</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36771-2025</t>
        </is>
      </c>
      <c r="B9695" s="1" t="n">
        <v>45873.58828703704</v>
      </c>
      <c r="C9695" s="1" t="n">
        <v>45932</v>
      </c>
      <c r="D9695" t="inlineStr">
        <is>
          <t>VÄRMLANDS LÄN</t>
        </is>
      </c>
      <c r="E9695" t="inlineStr">
        <is>
          <t>EDA</t>
        </is>
      </c>
      <c r="F9695" t="inlineStr">
        <is>
          <t>Bergvik skog väst AB</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36780-2025</t>
        </is>
      </c>
      <c r="B9696" s="1" t="n">
        <v>45873</v>
      </c>
      <c r="C9696" s="1" t="n">
        <v>45932</v>
      </c>
      <c r="D9696" t="inlineStr">
        <is>
          <t>VÄRMLANDS LÄN</t>
        </is>
      </c>
      <c r="E9696" t="inlineStr">
        <is>
          <t>ÅRJÄNG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43739-2025</t>
        </is>
      </c>
      <c r="B9697" s="1" t="n">
        <v>45912.45163194444</v>
      </c>
      <c r="C9697" s="1" t="n">
        <v>45932</v>
      </c>
      <c r="D9697" t="inlineStr">
        <is>
          <t>VÄRMLANDS LÄN</t>
        </is>
      </c>
      <c r="E9697" t="inlineStr">
        <is>
          <t>HAGFORS</t>
        </is>
      </c>
      <c r="F9697" t="inlineStr">
        <is>
          <t>Bergvik skog väst AB</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12542-2021</t>
        </is>
      </c>
      <c r="B9698" s="1" t="n">
        <v>44270.29697916667</v>
      </c>
      <c r="C9698" s="1" t="n">
        <v>45932</v>
      </c>
      <c r="D9698" t="inlineStr">
        <is>
          <t>VÄRMLANDS LÄN</t>
        </is>
      </c>
      <c r="E9698" t="inlineStr">
        <is>
          <t>KRISTINEHAMN</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44220-2025</t>
        </is>
      </c>
      <c r="B9699" s="1" t="n">
        <v>45915.63672453703</v>
      </c>
      <c r="C9699" s="1" t="n">
        <v>45932</v>
      </c>
      <c r="D9699" t="inlineStr">
        <is>
          <t>VÄRMLANDS LÄN</t>
        </is>
      </c>
      <c r="E9699" t="inlineStr">
        <is>
          <t>TORSBY</t>
        </is>
      </c>
      <c r="F9699" t="inlineStr">
        <is>
          <t>Kommuner</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17108-2025</t>
        </is>
      </c>
      <c r="B9700" s="1" t="n">
        <v>45755</v>
      </c>
      <c r="C9700" s="1" t="n">
        <v>45932</v>
      </c>
      <c r="D9700" t="inlineStr">
        <is>
          <t>VÄRMLANDS LÄN</t>
        </is>
      </c>
      <c r="E9700" t="inlineStr">
        <is>
          <t>ARVIKA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33143-2025</t>
        </is>
      </c>
      <c r="B9701" s="1" t="n">
        <v>45840.52465277778</v>
      </c>
      <c r="C9701" s="1" t="n">
        <v>45932</v>
      </c>
      <c r="D9701" t="inlineStr">
        <is>
          <t>VÄRMLANDS LÄN</t>
        </is>
      </c>
      <c r="E9701" t="inlineStr">
        <is>
          <t>STORFORS</t>
        </is>
      </c>
      <c r="F9701" t="inlineStr">
        <is>
          <t>Bergvik skog väst AB</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26697-2023</t>
        </is>
      </c>
      <c r="B9702" s="1" t="n">
        <v>45093.36811342592</v>
      </c>
      <c r="C9702" s="1" t="n">
        <v>45932</v>
      </c>
      <c r="D9702" t="inlineStr">
        <is>
          <t>VÄRMLANDS LÄN</t>
        </is>
      </c>
      <c r="E9702" t="inlineStr">
        <is>
          <t>EDA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43806-2025</t>
        </is>
      </c>
      <c r="B9703" s="1" t="n">
        <v>45912.57702546296</v>
      </c>
      <c r="C9703" s="1" t="n">
        <v>45932</v>
      </c>
      <c r="D9703" t="inlineStr">
        <is>
          <t>VÄRMLANDS LÄN</t>
        </is>
      </c>
      <c r="E9703" t="inlineStr">
        <is>
          <t>SUNNE</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25796-2024</t>
        </is>
      </c>
      <c r="B9704" s="1" t="n">
        <v>45467.34659722223</v>
      </c>
      <c r="C9704" s="1" t="n">
        <v>45932</v>
      </c>
      <c r="D9704" t="inlineStr">
        <is>
          <t>VÄRMLANDS LÄN</t>
        </is>
      </c>
      <c r="E9704" t="inlineStr">
        <is>
          <t>SUNNE</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26718-2023</t>
        </is>
      </c>
      <c r="B9705" s="1" t="n">
        <v>45093.3868287037</v>
      </c>
      <c r="C9705" s="1" t="n">
        <v>45932</v>
      </c>
      <c r="D9705" t="inlineStr">
        <is>
          <t>VÄRMLANDS LÄN</t>
        </is>
      </c>
      <c r="E9705" t="inlineStr">
        <is>
          <t>ARVIKA</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26722-2023</t>
        </is>
      </c>
      <c r="B9706" s="1" t="n">
        <v>45093.39921296296</v>
      </c>
      <c r="C9706" s="1" t="n">
        <v>45932</v>
      </c>
      <c r="D9706" t="inlineStr">
        <is>
          <t>VÄRMLANDS LÄN</t>
        </is>
      </c>
      <c r="E9706" t="inlineStr">
        <is>
          <t>ARVIKA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16574-2025</t>
        </is>
      </c>
      <c r="B9707" s="1" t="n">
        <v>45752.50203703704</v>
      </c>
      <c r="C9707" s="1" t="n">
        <v>45932</v>
      </c>
      <c r="D9707" t="inlineStr">
        <is>
          <t>VÄRMLANDS LÄN</t>
        </is>
      </c>
      <c r="E9707" t="inlineStr">
        <is>
          <t>GRUMS</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26728-2023</t>
        </is>
      </c>
      <c r="B9708" s="1" t="n">
        <v>45093</v>
      </c>
      <c r="C9708" s="1" t="n">
        <v>45932</v>
      </c>
      <c r="D9708" t="inlineStr">
        <is>
          <t>VÄRMLANDS LÄN</t>
        </is>
      </c>
      <c r="E9708" t="inlineStr">
        <is>
          <t>ARVIKA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6859-2023</t>
        </is>
      </c>
      <c r="B9709" s="1" t="n">
        <v>44967.45532407407</v>
      </c>
      <c r="C9709" s="1" t="n">
        <v>45932</v>
      </c>
      <c r="D9709" t="inlineStr">
        <is>
          <t>VÄRMLANDS LÄN</t>
        </is>
      </c>
      <c r="E9709" t="inlineStr">
        <is>
          <t>MUNKFORS</t>
        </is>
      </c>
      <c r="F9709" t="inlineStr">
        <is>
          <t>Bergvik skog väst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20196-2025</t>
        </is>
      </c>
      <c r="B9710" s="1" t="n">
        <v>45772.61085648148</v>
      </c>
      <c r="C9710" s="1" t="n">
        <v>45932</v>
      </c>
      <c r="D9710" t="inlineStr">
        <is>
          <t>VÄRMLANDS LÄN</t>
        </is>
      </c>
      <c r="E9710" t="inlineStr">
        <is>
          <t>ARVIKA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8206-2025</t>
        </is>
      </c>
      <c r="B9711" s="1" t="n">
        <v>45707</v>
      </c>
      <c r="C9711" s="1" t="n">
        <v>45932</v>
      </c>
      <c r="D9711" t="inlineStr">
        <is>
          <t>VÄRMLANDS LÄN</t>
        </is>
      </c>
      <c r="E9711" t="inlineStr">
        <is>
          <t>SÄFFLE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7643-2025</t>
        </is>
      </c>
      <c r="B9712" s="1" t="n">
        <v>45705.78703703704</v>
      </c>
      <c r="C9712" s="1" t="n">
        <v>45932</v>
      </c>
      <c r="D9712" t="inlineStr">
        <is>
          <t>VÄRMLANDS LÄN</t>
        </is>
      </c>
      <c r="E9712" t="inlineStr">
        <is>
          <t>TORSBY</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4236-2023</t>
        </is>
      </c>
      <c r="B9713" s="1" t="n">
        <v>44953.48950231481</v>
      </c>
      <c r="C9713" s="1" t="n">
        <v>45932</v>
      </c>
      <c r="D9713" t="inlineStr">
        <is>
          <t>VÄRMLANDS LÄN</t>
        </is>
      </c>
      <c r="E9713" t="inlineStr">
        <is>
          <t>TORSBY</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48040-2023</t>
        </is>
      </c>
      <c r="B9714" s="1" t="n">
        <v>45204</v>
      </c>
      <c r="C9714" s="1" t="n">
        <v>45932</v>
      </c>
      <c r="D9714" t="inlineStr">
        <is>
          <t>VÄRMLANDS LÄN</t>
        </is>
      </c>
      <c r="E9714" t="inlineStr">
        <is>
          <t>FILIPSTAD</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4250-2023</t>
        </is>
      </c>
      <c r="B9715" s="1" t="n">
        <v>44953.51747685186</v>
      </c>
      <c r="C9715" s="1" t="n">
        <v>45932</v>
      </c>
      <c r="D9715" t="inlineStr">
        <is>
          <t>VÄRMLANDS LÄN</t>
        </is>
      </c>
      <c r="E9715" t="inlineStr">
        <is>
          <t>TORSBY</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32577-2023</t>
        </is>
      </c>
      <c r="B9716" s="1" t="n">
        <v>45121.47208333333</v>
      </c>
      <c r="C9716" s="1" t="n">
        <v>45932</v>
      </c>
      <c r="D9716" t="inlineStr">
        <is>
          <t>VÄRMLANDS LÄN</t>
        </is>
      </c>
      <c r="E9716" t="inlineStr">
        <is>
          <t>ARVIKA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29256-2023</t>
        </is>
      </c>
      <c r="B9717" s="1" t="n">
        <v>45105.65310185185</v>
      </c>
      <c r="C9717" s="1" t="n">
        <v>45932</v>
      </c>
      <c r="D9717" t="inlineStr">
        <is>
          <t>VÄRMLANDS LÄN</t>
        </is>
      </c>
      <c r="E9717" t="inlineStr">
        <is>
          <t>TORSBY</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52981-2021</t>
        </is>
      </c>
      <c r="B9718" s="1" t="n">
        <v>44467.63005787037</v>
      </c>
      <c r="C9718" s="1" t="n">
        <v>45932</v>
      </c>
      <c r="D9718" t="inlineStr">
        <is>
          <t>VÄRMLANDS LÄN</t>
        </is>
      </c>
      <c r="E9718" t="inlineStr">
        <is>
          <t>FILIPSTAD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41716-2025</t>
        </is>
      </c>
      <c r="B9719" s="1" t="n">
        <v>45902</v>
      </c>
      <c r="C9719" s="1" t="n">
        <v>45932</v>
      </c>
      <c r="D9719" t="inlineStr">
        <is>
          <t>VÄRMLANDS LÄN</t>
        </is>
      </c>
      <c r="E9719" t="inlineStr">
        <is>
          <t>ARVIKA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55758-2024</t>
        </is>
      </c>
      <c r="B9720" s="1" t="n">
        <v>45623</v>
      </c>
      <c r="C9720" s="1" t="n">
        <v>45932</v>
      </c>
      <c r="D9720" t="inlineStr">
        <is>
          <t>VÄRMLANDS LÄN</t>
        </is>
      </c>
      <c r="E9720" t="inlineStr">
        <is>
          <t>HAGFORS</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55835-2024</t>
        </is>
      </c>
      <c r="B9721" s="1" t="n">
        <v>45623</v>
      </c>
      <c r="C9721" s="1" t="n">
        <v>45932</v>
      </c>
      <c r="D9721" t="inlineStr">
        <is>
          <t>VÄRMLANDS LÄN</t>
        </is>
      </c>
      <c r="E9721" t="inlineStr">
        <is>
          <t>FORSHAGA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19052-2025</t>
        </is>
      </c>
      <c r="B9722" s="1" t="n">
        <v>45764.83717592592</v>
      </c>
      <c r="C9722" s="1" t="n">
        <v>45932</v>
      </c>
      <c r="D9722" t="inlineStr">
        <is>
          <t>VÄRMLANDS LÄN</t>
        </is>
      </c>
      <c r="E9722" t="inlineStr">
        <is>
          <t>EDA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33992-2024</t>
        </is>
      </c>
      <c r="B9723" s="1" t="n">
        <v>45523.53612268518</v>
      </c>
      <c r="C9723" s="1" t="n">
        <v>45932</v>
      </c>
      <c r="D9723" t="inlineStr">
        <is>
          <t>VÄRMLANDS LÄN</t>
        </is>
      </c>
      <c r="E9723" t="inlineStr">
        <is>
          <t>SUNNE</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29990-2022</t>
        </is>
      </c>
      <c r="B9724" s="1" t="n">
        <v>44756.73530092592</v>
      </c>
      <c r="C9724" s="1" t="n">
        <v>45932</v>
      </c>
      <c r="D9724" t="inlineStr">
        <is>
          <t>VÄRMLANDS LÄN</t>
        </is>
      </c>
      <c r="E9724" t="inlineStr">
        <is>
          <t>TORSBY</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19088-2025</t>
        </is>
      </c>
      <c r="B9725" s="1" t="n">
        <v>45767.39503472222</v>
      </c>
      <c r="C9725" s="1" t="n">
        <v>45932</v>
      </c>
      <c r="D9725" t="inlineStr">
        <is>
          <t>VÄRMLANDS LÄN</t>
        </is>
      </c>
      <c r="E9725" t="inlineStr">
        <is>
          <t>KARLSTAD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11139-2024</t>
        </is>
      </c>
      <c r="B9726" s="1" t="n">
        <v>45371</v>
      </c>
      <c r="C9726" s="1" t="n">
        <v>45932</v>
      </c>
      <c r="D9726" t="inlineStr">
        <is>
          <t>VÄRMLANDS LÄN</t>
        </is>
      </c>
      <c r="E9726" t="inlineStr">
        <is>
          <t>EDA</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11259-2024</t>
        </is>
      </c>
      <c r="B9727" s="1" t="n">
        <v>45371</v>
      </c>
      <c r="C9727" s="1" t="n">
        <v>45932</v>
      </c>
      <c r="D9727" t="inlineStr">
        <is>
          <t>VÄRMLANDS LÄN</t>
        </is>
      </c>
      <c r="E9727" t="inlineStr">
        <is>
          <t>TORSBY</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53137-2023</t>
        </is>
      </c>
      <c r="B9728" s="1" t="n">
        <v>45229.33768518519</v>
      </c>
      <c r="C9728" s="1" t="n">
        <v>45932</v>
      </c>
      <c r="D9728" t="inlineStr">
        <is>
          <t>VÄRMLANDS LÄN</t>
        </is>
      </c>
      <c r="E9728" t="inlineStr">
        <is>
          <t>GRUMS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18184-2024</t>
        </is>
      </c>
      <c r="B9729" s="1" t="n">
        <v>45420</v>
      </c>
      <c r="C9729" s="1" t="n">
        <v>45932</v>
      </c>
      <c r="D9729" t="inlineStr">
        <is>
          <t>VÄRMLANDS LÄN</t>
        </is>
      </c>
      <c r="E9729" t="inlineStr">
        <is>
          <t>GRUMS</t>
        </is>
      </c>
      <c r="F9729" t="inlineStr">
        <is>
          <t>Bergvik skog väst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36654-2025</t>
        </is>
      </c>
      <c r="B9730" s="1" t="n">
        <v>45873.24579861111</v>
      </c>
      <c r="C9730" s="1" t="n">
        <v>45932</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18208-2024</t>
        </is>
      </c>
      <c r="B9731" s="1" t="n">
        <v>45420</v>
      </c>
      <c r="C9731" s="1" t="n">
        <v>45932</v>
      </c>
      <c r="D9731" t="inlineStr">
        <is>
          <t>VÄRMLANDS LÄN</t>
        </is>
      </c>
      <c r="E9731" t="inlineStr">
        <is>
          <t>SUNNE</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43974-2025</t>
        </is>
      </c>
      <c r="B9732" s="1" t="n">
        <v>45915</v>
      </c>
      <c r="C9732" s="1" t="n">
        <v>45932</v>
      </c>
      <c r="D9732" t="inlineStr">
        <is>
          <t>VÄRMLANDS LÄN</t>
        </is>
      </c>
      <c r="E9732" t="inlineStr">
        <is>
          <t>EDA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18308-2024</t>
        </is>
      </c>
      <c r="B9733" s="1" t="n">
        <v>45422</v>
      </c>
      <c r="C9733" s="1" t="n">
        <v>45932</v>
      </c>
      <c r="D9733" t="inlineStr">
        <is>
          <t>VÄRMLANDS LÄN</t>
        </is>
      </c>
      <c r="E9733" t="inlineStr">
        <is>
          <t>TORSBY</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25227-2023</t>
        </is>
      </c>
      <c r="B9734" s="1" t="n">
        <v>45086</v>
      </c>
      <c r="C9734" s="1" t="n">
        <v>45932</v>
      </c>
      <c r="D9734" t="inlineStr">
        <is>
          <t>VÄRMLANDS LÄN</t>
        </is>
      </c>
      <c r="E9734" t="inlineStr">
        <is>
          <t>ARVIKA</t>
        </is>
      </c>
      <c r="F9734" t="inlineStr">
        <is>
          <t>Bergvik skog väst AB</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1464-2023</t>
        </is>
      </c>
      <c r="B9735" s="1" t="n">
        <v>44937</v>
      </c>
      <c r="C9735" s="1" t="n">
        <v>45932</v>
      </c>
      <c r="D9735" t="inlineStr">
        <is>
          <t>VÄRMLANDS LÄN</t>
        </is>
      </c>
      <c r="E9735" t="inlineStr">
        <is>
          <t>HAGFORS</t>
        </is>
      </c>
      <c r="F9735" t="inlineStr">
        <is>
          <t>Bergvik skog väst AB</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12541-2021</t>
        </is>
      </c>
      <c r="B9736" s="1" t="n">
        <v>44270.28930555555</v>
      </c>
      <c r="C9736" s="1" t="n">
        <v>45932</v>
      </c>
      <c r="D9736" t="inlineStr">
        <is>
          <t>VÄRMLANDS LÄN</t>
        </is>
      </c>
      <c r="E9736" t="inlineStr">
        <is>
          <t>KRISTINEHAMN</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5337-2025</t>
        </is>
      </c>
      <c r="B9737" s="1" t="n">
        <v>45692</v>
      </c>
      <c r="C9737" s="1" t="n">
        <v>45932</v>
      </c>
      <c r="D9737" t="inlineStr">
        <is>
          <t>VÄRMLANDS LÄN</t>
        </is>
      </c>
      <c r="E9737" t="inlineStr">
        <is>
          <t>ARVIKA</t>
        </is>
      </c>
      <c r="F9737" t="inlineStr">
        <is>
          <t>Kommuner</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10224-2022</t>
        </is>
      </c>
      <c r="B9738" s="1" t="n">
        <v>44622</v>
      </c>
      <c r="C9738" s="1" t="n">
        <v>45932</v>
      </c>
      <c r="D9738" t="inlineStr">
        <is>
          <t>VÄRMLANDS LÄN</t>
        </is>
      </c>
      <c r="E9738" t="inlineStr">
        <is>
          <t>SUNNE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25243-2023</t>
        </is>
      </c>
      <c r="B9739" s="1" t="n">
        <v>45086</v>
      </c>
      <c r="C9739" s="1" t="n">
        <v>45932</v>
      </c>
      <c r="D9739" t="inlineStr">
        <is>
          <t>VÄRMLANDS LÄN</t>
        </is>
      </c>
      <c r="E9739" t="inlineStr">
        <is>
          <t>ARVIKA</t>
        </is>
      </c>
      <c r="F9739" t="inlineStr">
        <is>
          <t>Bergvik skog väst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10236-2022</t>
        </is>
      </c>
      <c r="B9740" s="1" t="n">
        <v>44622.54008101852</v>
      </c>
      <c r="C9740" s="1" t="n">
        <v>45932</v>
      </c>
      <c r="D9740" t="inlineStr">
        <is>
          <t>VÄRMLANDS LÄN</t>
        </is>
      </c>
      <c r="E9740" t="inlineStr">
        <is>
          <t>HAGFORS</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47506-2024</t>
        </is>
      </c>
      <c r="B9741" s="1" t="n">
        <v>45587.60549768519</v>
      </c>
      <c r="C9741" s="1" t="n">
        <v>45932</v>
      </c>
      <c r="D9741" t="inlineStr">
        <is>
          <t>VÄRMLANDS LÄN</t>
        </is>
      </c>
      <c r="E9741" t="inlineStr">
        <is>
          <t>HAGFORS</t>
        </is>
      </c>
      <c r="F9741" t="inlineStr">
        <is>
          <t>Bergvik skog väst AB</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4135-2025</t>
        </is>
      </c>
      <c r="B9742" s="1" t="n">
        <v>45685</v>
      </c>
      <c r="C9742" s="1" t="n">
        <v>45932</v>
      </c>
      <c r="D9742" t="inlineStr">
        <is>
          <t>VÄRMLANDS LÄN</t>
        </is>
      </c>
      <c r="E9742" t="inlineStr">
        <is>
          <t>ÅRJÄNG</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58635-2022</t>
        </is>
      </c>
      <c r="B9743" s="1" t="n">
        <v>44902.62333333334</v>
      </c>
      <c r="C9743" s="1" t="n">
        <v>45932</v>
      </c>
      <c r="D9743" t="inlineStr">
        <is>
          <t>VÄRMLANDS LÄN</t>
        </is>
      </c>
      <c r="E9743" t="inlineStr">
        <is>
          <t>ARVIKA</t>
        </is>
      </c>
      <c r="F9743" t="inlineStr">
        <is>
          <t>Bergvik skog väst AB</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32951-2021</t>
        </is>
      </c>
      <c r="B9744" s="1" t="n">
        <v>44369</v>
      </c>
      <c r="C9744" s="1" t="n">
        <v>45932</v>
      </c>
      <c r="D9744" t="inlineStr">
        <is>
          <t>VÄRMLANDS LÄN</t>
        </is>
      </c>
      <c r="E9744" t="inlineStr">
        <is>
          <t>SUNNE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55274-2023</t>
        </is>
      </c>
      <c r="B9745" s="1" t="n">
        <v>45237.68157407407</v>
      </c>
      <c r="C9745" s="1" t="n">
        <v>45932</v>
      </c>
      <c r="D9745" t="inlineStr">
        <is>
          <t>VÄRMLANDS LÄN</t>
        </is>
      </c>
      <c r="E9745" t="inlineStr">
        <is>
          <t>SÄFFLE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61703-2022</t>
        </is>
      </c>
      <c r="B9746" s="1" t="n">
        <v>44917</v>
      </c>
      <c r="C9746" s="1" t="n">
        <v>45932</v>
      </c>
      <c r="D9746" t="inlineStr">
        <is>
          <t>VÄRMLANDS LÄN</t>
        </is>
      </c>
      <c r="E9746" t="inlineStr">
        <is>
          <t>EDA</t>
        </is>
      </c>
      <c r="F9746" t="inlineStr">
        <is>
          <t>Bergvik skog väst AB</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25355-2024</t>
        </is>
      </c>
      <c r="B9747" s="1" t="n">
        <v>45462.92868055555</v>
      </c>
      <c r="C9747" s="1" t="n">
        <v>45932</v>
      </c>
      <c r="D9747" t="inlineStr">
        <is>
          <t>VÄRMLANDS LÄN</t>
        </is>
      </c>
      <c r="E9747" t="inlineStr">
        <is>
          <t>TORSBY</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2902-2025</t>
        </is>
      </c>
      <c r="B9748" s="1" t="n">
        <v>45677</v>
      </c>
      <c r="C9748" s="1" t="n">
        <v>45932</v>
      </c>
      <c r="D9748" t="inlineStr">
        <is>
          <t>VÄRMLANDS LÄN</t>
        </is>
      </c>
      <c r="E9748" t="inlineStr">
        <is>
          <t>SÄFFLE</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39156-2024</t>
        </is>
      </c>
      <c r="B9749" s="1" t="n">
        <v>45548.62956018518</v>
      </c>
      <c r="C9749" s="1" t="n">
        <v>45932</v>
      </c>
      <c r="D9749" t="inlineStr">
        <is>
          <t>VÄRMLANDS LÄN</t>
        </is>
      </c>
      <c r="E9749" t="inlineStr">
        <is>
          <t>ÅRJÄNG</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10349-2025</t>
        </is>
      </c>
      <c r="B9750" s="1" t="n">
        <v>45720</v>
      </c>
      <c r="C9750" s="1" t="n">
        <v>45932</v>
      </c>
      <c r="D9750" t="inlineStr">
        <is>
          <t>VÄRMLANDS LÄN</t>
        </is>
      </c>
      <c r="E9750" t="inlineStr">
        <is>
          <t>SUNNE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22262-2024</t>
        </is>
      </c>
      <c r="B9751" s="1" t="n">
        <v>45446.49438657407</v>
      </c>
      <c r="C9751" s="1" t="n">
        <v>45932</v>
      </c>
      <c r="D9751" t="inlineStr">
        <is>
          <t>VÄRMLANDS LÄN</t>
        </is>
      </c>
      <c r="E9751" t="inlineStr">
        <is>
          <t>ARVIKA</t>
        </is>
      </c>
      <c r="F9751" t="inlineStr">
        <is>
          <t>Bergvik skog väst AB</t>
        </is>
      </c>
      <c r="G9751" t="n">
        <v>25.5</v>
      </c>
      <c r="H9751" t="n">
        <v>0</v>
      </c>
      <c r="I9751" t="n">
        <v>0</v>
      </c>
      <c r="J9751" t="n">
        <v>0</v>
      </c>
      <c r="K9751" t="n">
        <v>0</v>
      </c>
      <c r="L9751" t="n">
        <v>0</v>
      </c>
      <c r="M9751" t="n">
        <v>0</v>
      </c>
      <c r="N9751" t="n">
        <v>0</v>
      </c>
      <c r="O9751" t="n">
        <v>0</v>
      </c>
      <c r="P9751" t="n">
        <v>0</v>
      </c>
      <c r="Q9751" t="n">
        <v>0</v>
      </c>
      <c r="R9751" s="2" t="inlineStr"/>
    </row>
    <row r="9752" ht="15" customHeight="1">
      <c r="A9752" t="inlineStr">
        <is>
          <t>A 8909-2023</t>
        </is>
      </c>
      <c r="B9752" s="1" t="n">
        <v>44973</v>
      </c>
      <c r="C9752" s="1" t="n">
        <v>45932</v>
      </c>
      <c r="D9752" t="inlineStr">
        <is>
          <t>VÄRMLANDS LÄN</t>
        </is>
      </c>
      <c r="E9752" t="inlineStr">
        <is>
          <t>SÄFFLE</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4424-2023</t>
        </is>
      </c>
      <c r="B9753" s="1" t="n">
        <v>44956.39633101852</v>
      </c>
      <c r="C9753" s="1" t="n">
        <v>45932</v>
      </c>
      <c r="D9753" t="inlineStr">
        <is>
          <t>VÄRMLANDS LÄN</t>
        </is>
      </c>
      <c r="E9753" t="inlineStr">
        <is>
          <t>EDA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40466-2024</t>
        </is>
      </c>
      <c r="B9754" s="1" t="n">
        <v>45555</v>
      </c>
      <c r="C9754" s="1" t="n">
        <v>45932</v>
      </c>
      <c r="D9754" t="inlineStr">
        <is>
          <t>VÄRMLANDS LÄN</t>
        </is>
      </c>
      <c r="E9754" t="inlineStr">
        <is>
          <t>SÄFFLE</t>
        </is>
      </c>
      <c r="G9754" t="n">
        <v>17.3</v>
      </c>
      <c r="H9754" t="n">
        <v>0</v>
      </c>
      <c r="I9754" t="n">
        <v>0</v>
      </c>
      <c r="J9754" t="n">
        <v>0</v>
      </c>
      <c r="K9754" t="n">
        <v>0</v>
      </c>
      <c r="L9754" t="n">
        <v>0</v>
      </c>
      <c r="M9754" t="n">
        <v>0</v>
      </c>
      <c r="N9754" t="n">
        <v>0</v>
      </c>
      <c r="O9754" t="n">
        <v>0</v>
      </c>
      <c r="P9754" t="n">
        <v>0</v>
      </c>
      <c r="Q9754" t="n">
        <v>0</v>
      </c>
      <c r="R9754" s="2" t="inlineStr"/>
    </row>
    <row r="9755" ht="15" customHeight="1">
      <c r="A9755" t="inlineStr">
        <is>
          <t>A 34405-2023</t>
        </is>
      </c>
      <c r="B9755" s="1" t="n">
        <v>45139.55131944444</v>
      </c>
      <c r="C9755" s="1" t="n">
        <v>45932</v>
      </c>
      <c r="D9755" t="inlineStr">
        <is>
          <t>VÄRMLANDS LÄN</t>
        </is>
      </c>
      <c r="E9755" t="inlineStr">
        <is>
          <t>TORSBY</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25338-2023</t>
        </is>
      </c>
      <c r="B9756" s="1" t="n">
        <v>45087.49439814815</v>
      </c>
      <c r="C9756" s="1" t="n">
        <v>45932</v>
      </c>
      <c r="D9756" t="inlineStr">
        <is>
          <t>VÄRMLANDS LÄN</t>
        </is>
      </c>
      <c r="E9756" t="inlineStr">
        <is>
          <t>FILIPSTAD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135-2024</t>
        </is>
      </c>
      <c r="B9757" s="1" t="n">
        <v>45294.43738425926</v>
      </c>
      <c r="C9757" s="1" t="n">
        <v>45932</v>
      </c>
      <c r="D9757" t="inlineStr">
        <is>
          <t>VÄRMLANDS LÄN</t>
        </is>
      </c>
      <c r="E9757" t="inlineStr">
        <is>
          <t>EDA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70453-2021</t>
        </is>
      </c>
      <c r="B9758" s="1" t="n">
        <v>44536</v>
      </c>
      <c r="C9758" s="1" t="n">
        <v>45932</v>
      </c>
      <c r="D9758" t="inlineStr">
        <is>
          <t>VÄRMLANDS LÄN</t>
        </is>
      </c>
      <c r="E9758" t="inlineStr">
        <is>
          <t>ARVIKA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12701-2024</t>
        </is>
      </c>
      <c r="B9759" s="1" t="n">
        <v>45384</v>
      </c>
      <c r="C9759" s="1" t="n">
        <v>45932</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25349-2023</t>
        </is>
      </c>
      <c r="B9760" s="1" t="n">
        <v>45087.93266203703</v>
      </c>
      <c r="C9760" s="1" t="n">
        <v>45932</v>
      </c>
      <c r="D9760" t="inlineStr">
        <is>
          <t>VÄRMLANDS LÄN</t>
        </is>
      </c>
      <c r="E9760" t="inlineStr">
        <is>
          <t>HAGFORS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43669-2025</t>
        </is>
      </c>
      <c r="B9761" s="1" t="n">
        <v>45912.36299768519</v>
      </c>
      <c r="C9761" s="1" t="n">
        <v>45932</v>
      </c>
      <c r="D9761" t="inlineStr">
        <is>
          <t>VÄRMLANDS LÄN</t>
        </is>
      </c>
      <c r="E9761" t="inlineStr">
        <is>
          <t>TORSBY</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30859-2024</t>
        </is>
      </c>
      <c r="B9762" s="1" t="n">
        <v>45497</v>
      </c>
      <c r="C9762" s="1" t="n">
        <v>45932</v>
      </c>
      <c r="D9762" t="inlineStr">
        <is>
          <t>VÄRMLANDS LÄN</t>
        </is>
      </c>
      <c r="E9762" t="inlineStr">
        <is>
          <t>FORSHAGA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25375-2023</t>
        </is>
      </c>
      <c r="B9763" s="1" t="n">
        <v>45088.94734953704</v>
      </c>
      <c r="C9763" s="1" t="n">
        <v>45932</v>
      </c>
      <c r="D9763" t="inlineStr">
        <is>
          <t>VÄRMLANDS LÄN</t>
        </is>
      </c>
      <c r="E9763" t="inlineStr">
        <is>
          <t>FILIPSTAD</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46342-2023</t>
        </is>
      </c>
      <c r="B9764" s="1" t="n">
        <v>45194</v>
      </c>
      <c r="C9764" s="1" t="n">
        <v>45932</v>
      </c>
      <c r="D9764" t="inlineStr">
        <is>
          <t>VÄRMLANDS LÄN</t>
        </is>
      </c>
      <c r="E9764" t="inlineStr">
        <is>
          <t>SUNNE</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8780-2023</t>
        </is>
      </c>
      <c r="B9765" s="1" t="n">
        <v>44978</v>
      </c>
      <c r="C9765" s="1" t="n">
        <v>45932</v>
      </c>
      <c r="D9765" t="inlineStr">
        <is>
          <t>VÄRMLANDS LÄN</t>
        </is>
      </c>
      <c r="E9765" t="inlineStr">
        <is>
          <t>ARVIKA</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59944-2024</t>
        </is>
      </c>
      <c r="B9766" s="1" t="n">
        <v>45642.33300925926</v>
      </c>
      <c r="C9766" s="1" t="n">
        <v>45932</v>
      </c>
      <c r="D9766" t="inlineStr">
        <is>
          <t>VÄRMLANDS LÄN</t>
        </is>
      </c>
      <c r="E9766" t="inlineStr">
        <is>
          <t>KIL</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32968-2024</t>
        </is>
      </c>
      <c r="B9767" s="1" t="n">
        <v>45517.40324074074</v>
      </c>
      <c r="C9767" s="1" t="n">
        <v>45932</v>
      </c>
      <c r="D9767" t="inlineStr">
        <is>
          <t>VÄRMLANDS LÄN</t>
        </is>
      </c>
      <c r="E9767" t="inlineStr">
        <is>
          <t>SÄFFLE</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55765-2024</t>
        </is>
      </c>
      <c r="B9768" s="1" t="n">
        <v>45623</v>
      </c>
      <c r="C9768" s="1" t="n">
        <v>45932</v>
      </c>
      <c r="D9768" t="inlineStr">
        <is>
          <t>VÄRMLANDS LÄN</t>
        </is>
      </c>
      <c r="E9768" t="inlineStr">
        <is>
          <t>KARLSTAD</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43699-2025</t>
        </is>
      </c>
      <c r="B9769" s="1" t="n">
        <v>45912.39915509259</v>
      </c>
      <c r="C9769" s="1" t="n">
        <v>45932</v>
      </c>
      <c r="D9769" t="inlineStr">
        <is>
          <t>VÄRMLANDS LÄN</t>
        </is>
      </c>
      <c r="E9769" t="inlineStr">
        <is>
          <t>HAGFORS</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34374-2023</t>
        </is>
      </c>
      <c r="B9770" s="1" t="n">
        <v>45131</v>
      </c>
      <c r="C9770" s="1" t="n">
        <v>45932</v>
      </c>
      <c r="D9770" t="inlineStr">
        <is>
          <t>VÄRMLANDS LÄN</t>
        </is>
      </c>
      <c r="E9770" t="inlineStr">
        <is>
          <t>SUNNE</t>
        </is>
      </c>
      <c r="G9770" t="n">
        <v>11.7</v>
      </c>
      <c r="H9770" t="n">
        <v>0</v>
      </c>
      <c r="I9770" t="n">
        <v>0</v>
      </c>
      <c r="J9770" t="n">
        <v>0</v>
      </c>
      <c r="K9770" t="n">
        <v>0</v>
      </c>
      <c r="L9770" t="n">
        <v>0</v>
      </c>
      <c r="M9770" t="n">
        <v>0</v>
      </c>
      <c r="N9770" t="n">
        <v>0</v>
      </c>
      <c r="O9770" t="n">
        <v>0</v>
      </c>
      <c r="P9770" t="n">
        <v>0</v>
      </c>
      <c r="Q9770" t="n">
        <v>0</v>
      </c>
      <c r="R9770" s="2" t="inlineStr"/>
    </row>
    <row r="9771" ht="15" customHeight="1">
      <c r="A9771" t="inlineStr">
        <is>
          <t>A 43705-2025</t>
        </is>
      </c>
      <c r="B9771" s="1" t="n">
        <v>45912.40546296296</v>
      </c>
      <c r="C9771" s="1" t="n">
        <v>45932</v>
      </c>
      <c r="D9771" t="inlineStr">
        <is>
          <t>VÄRMLANDS LÄN</t>
        </is>
      </c>
      <c r="E9771" t="inlineStr">
        <is>
          <t>HAGFORS</t>
        </is>
      </c>
      <c r="F9771" t="inlineStr">
        <is>
          <t>Bergvik skog väst AB</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22201-2022</t>
        </is>
      </c>
      <c r="B9772" s="1" t="n">
        <v>44712</v>
      </c>
      <c r="C9772" s="1" t="n">
        <v>45932</v>
      </c>
      <c r="D9772" t="inlineStr">
        <is>
          <t>VÄRMLANDS LÄN</t>
        </is>
      </c>
      <c r="E9772" t="inlineStr">
        <is>
          <t>KRISTINEHAMN</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59278-2023</t>
        </is>
      </c>
      <c r="B9773" s="1" t="n">
        <v>45253.55711805556</v>
      </c>
      <c r="C9773" s="1" t="n">
        <v>45932</v>
      </c>
      <c r="D9773" t="inlineStr">
        <is>
          <t>VÄRMLANDS LÄN</t>
        </is>
      </c>
      <c r="E9773" t="inlineStr">
        <is>
          <t>EDA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5311-2024</t>
        </is>
      </c>
      <c r="B9774" s="1" t="n">
        <v>45331</v>
      </c>
      <c r="C9774" s="1" t="n">
        <v>45932</v>
      </c>
      <c r="D9774" t="inlineStr">
        <is>
          <t>VÄRMLANDS LÄN</t>
        </is>
      </c>
      <c r="E9774" t="inlineStr">
        <is>
          <t>ARVIKA</t>
        </is>
      </c>
      <c r="F9774" t="inlineStr">
        <is>
          <t>Bergvik skog väst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36498-2025</t>
        </is>
      </c>
      <c r="B9775" s="1" t="n">
        <v>45869</v>
      </c>
      <c r="C9775" s="1" t="n">
        <v>45932</v>
      </c>
      <c r="D9775" t="inlineStr">
        <is>
          <t>VÄRMLANDS LÄN</t>
        </is>
      </c>
      <c r="E9775" t="inlineStr">
        <is>
          <t>TORSBY</t>
        </is>
      </c>
      <c r="F9775" t="inlineStr">
        <is>
          <t>Bergvik skog väst AB</t>
        </is>
      </c>
      <c r="G9775" t="n">
        <v>10.4</v>
      </c>
      <c r="H9775" t="n">
        <v>0</v>
      </c>
      <c r="I9775" t="n">
        <v>0</v>
      </c>
      <c r="J9775" t="n">
        <v>0</v>
      </c>
      <c r="K9775" t="n">
        <v>0</v>
      </c>
      <c r="L9775" t="n">
        <v>0</v>
      </c>
      <c r="M9775" t="n">
        <v>0</v>
      </c>
      <c r="N9775" t="n">
        <v>0</v>
      </c>
      <c r="O9775" t="n">
        <v>0</v>
      </c>
      <c r="P9775" t="n">
        <v>0</v>
      </c>
      <c r="Q9775" t="n">
        <v>0</v>
      </c>
      <c r="R9775" s="2" t="inlineStr"/>
    </row>
    <row r="9776" ht="15" customHeight="1">
      <c r="A9776" t="inlineStr">
        <is>
          <t>A 36500-2025</t>
        </is>
      </c>
      <c r="B9776" s="1" t="n">
        <v>45869</v>
      </c>
      <c r="C9776" s="1" t="n">
        <v>45932</v>
      </c>
      <c r="D9776" t="inlineStr">
        <is>
          <t>VÄRMLANDS LÄN</t>
        </is>
      </c>
      <c r="E9776" t="inlineStr">
        <is>
          <t>TORSBY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5044-2025</t>
        </is>
      </c>
      <c r="B9777" s="1" t="n">
        <v>45691.44375</v>
      </c>
      <c r="C9777" s="1" t="n">
        <v>45932</v>
      </c>
      <c r="D9777" t="inlineStr">
        <is>
          <t>VÄRMLANDS LÄN</t>
        </is>
      </c>
      <c r="E9777" t="inlineStr">
        <is>
          <t>EDA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32973-2021</t>
        </is>
      </c>
      <c r="B9778" s="1" t="n">
        <v>44376</v>
      </c>
      <c r="C9778" s="1" t="n">
        <v>45932</v>
      </c>
      <c r="D9778" t="inlineStr">
        <is>
          <t>VÄRMLANDS LÄN</t>
        </is>
      </c>
      <c r="E9778" t="inlineStr">
        <is>
          <t>ÅRJÄNG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37557-2024</t>
        </is>
      </c>
      <c r="B9779" s="1" t="n">
        <v>45541.43833333333</v>
      </c>
      <c r="C9779" s="1" t="n">
        <v>45932</v>
      </c>
      <c r="D9779" t="inlineStr">
        <is>
          <t>VÄRMLANDS LÄN</t>
        </is>
      </c>
      <c r="E9779" t="inlineStr">
        <is>
          <t>EDA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37561-2024</t>
        </is>
      </c>
      <c r="B9780" s="1" t="n">
        <v>45541</v>
      </c>
      <c r="C9780" s="1" t="n">
        <v>45932</v>
      </c>
      <c r="D9780" t="inlineStr">
        <is>
          <t>VÄRMLANDS LÄN</t>
        </is>
      </c>
      <c r="E9780" t="inlineStr">
        <is>
          <t>ARVIKA</t>
        </is>
      </c>
      <c r="G9780" t="n">
        <v>8.699999999999999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43822-2025</t>
        </is>
      </c>
      <c r="B9781" s="1" t="n">
        <v>45912</v>
      </c>
      <c r="C9781" s="1" t="n">
        <v>45932</v>
      </c>
      <c r="D9781" t="inlineStr">
        <is>
          <t>VÄRMLANDS LÄN</t>
        </is>
      </c>
      <c r="E9781" t="inlineStr">
        <is>
          <t>SUNNE</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6602-2024</t>
        </is>
      </c>
      <c r="B9782" s="1" t="n">
        <v>45341</v>
      </c>
      <c r="C9782" s="1" t="n">
        <v>45932</v>
      </c>
      <c r="D9782" t="inlineStr">
        <is>
          <t>VÄRMLANDS LÄN</t>
        </is>
      </c>
      <c r="E9782" t="inlineStr">
        <is>
          <t>ARVIKA</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34697-2024</t>
        </is>
      </c>
      <c r="B9783" s="1" t="n">
        <v>45526.55518518519</v>
      </c>
      <c r="C9783" s="1" t="n">
        <v>45932</v>
      </c>
      <c r="D9783" t="inlineStr">
        <is>
          <t>VÄRMLANDS LÄN</t>
        </is>
      </c>
      <c r="E9783" t="inlineStr">
        <is>
          <t>TORSBY</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6278-2023</t>
        </is>
      </c>
      <c r="B9784" s="1" t="n">
        <v>44965.40863425926</v>
      </c>
      <c r="C9784" s="1" t="n">
        <v>45932</v>
      </c>
      <c r="D9784" t="inlineStr">
        <is>
          <t>VÄRMLANDS LÄN</t>
        </is>
      </c>
      <c r="E9784" t="inlineStr">
        <is>
          <t>KRISTINEHAMN</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19524-2024</t>
        </is>
      </c>
      <c r="B9785" s="1" t="n">
        <v>45429.6306712963</v>
      </c>
      <c r="C9785" s="1" t="n">
        <v>45932</v>
      </c>
      <c r="D9785" t="inlineStr">
        <is>
          <t>VÄRMLANDS LÄN</t>
        </is>
      </c>
      <c r="E9785" t="inlineStr">
        <is>
          <t>GRUMS</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35088-2024</t>
        </is>
      </c>
      <c r="B9786" s="1" t="n">
        <v>45527.71361111111</v>
      </c>
      <c r="C9786" s="1" t="n">
        <v>45932</v>
      </c>
      <c r="D9786" t="inlineStr">
        <is>
          <t>VÄRMLANDS LÄN</t>
        </is>
      </c>
      <c r="E9786" t="inlineStr">
        <is>
          <t>HAGFORS</t>
        </is>
      </c>
      <c r="F9786" t="inlineStr">
        <is>
          <t>Bergvik skog väst AB</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1486-2021</t>
        </is>
      </c>
      <c r="B9787" s="1" t="n">
        <v>44208</v>
      </c>
      <c r="C9787" s="1" t="n">
        <v>45932</v>
      </c>
      <c r="D9787" t="inlineStr">
        <is>
          <t>VÄRMLANDS LÄN</t>
        </is>
      </c>
      <c r="E9787" t="inlineStr">
        <is>
          <t>KARLSTAD</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684-2025</t>
        </is>
      </c>
      <c r="B9788" s="1" t="n">
        <v>45665.13362268519</v>
      </c>
      <c r="C9788" s="1" t="n">
        <v>45932</v>
      </c>
      <c r="D9788" t="inlineStr">
        <is>
          <t>VÄRMLANDS LÄN</t>
        </is>
      </c>
      <c r="E9788" t="inlineStr">
        <is>
          <t>SUNNE</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32991-2023</t>
        </is>
      </c>
      <c r="B9789" s="1" t="n">
        <v>45113</v>
      </c>
      <c r="C9789" s="1" t="n">
        <v>45932</v>
      </c>
      <c r="D9789" t="inlineStr">
        <is>
          <t>VÄRMLANDS LÄN</t>
        </is>
      </c>
      <c r="E9789" t="inlineStr">
        <is>
          <t>KRISTINEHAMN</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39781-2022</t>
        </is>
      </c>
      <c r="B9790" s="1" t="n">
        <v>44819</v>
      </c>
      <c r="C9790" s="1" t="n">
        <v>45932</v>
      </c>
      <c r="D9790" t="inlineStr">
        <is>
          <t>VÄRMLANDS LÄN</t>
        </is>
      </c>
      <c r="E9790" t="inlineStr">
        <is>
          <t>TORSBY</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43731-2025</t>
        </is>
      </c>
      <c r="B9791" s="1" t="n">
        <v>45912.43563657408</v>
      </c>
      <c r="C9791" s="1" t="n">
        <v>45932</v>
      </c>
      <c r="D9791" t="inlineStr">
        <is>
          <t>VÄRMLANDS LÄN</t>
        </is>
      </c>
      <c r="E9791" t="inlineStr">
        <is>
          <t>FILIPSTAD</t>
        </is>
      </c>
      <c r="F9791" t="inlineStr">
        <is>
          <t>Bergvik skog väst AB</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47489-2024</t>
        </is>
      </c>
      <c r="B9792" s="1" t="n">
        <v>45587</v>
      </c>
      <c r="C9792" s="1" t="n">
        <v>45932</v>
      </c>
      <c r="D9792" t="inlineStr">
        <is>
          <t>VÄRMLANDS LÄN</t>
        </is>
      </c>
      <c r="E9792" t="inlineStr">
        <is>
          <t>ARVIKA</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43756-2025</t>
        </is>
      </c>
      <c r="B9793" s="1" t="n">
        <v>45912.47396990741</v>
      </c>
      <c r="C9793" s="1" t="n">
        <v>45932</v>
      </c>
      <c r="D9793" t="inlineStr">
        <is>
          <t>VÄRMLANDS LÄN</t>
        </is>
      </c>
      <c r="E9793" t="inlineStr">
        <is>
          <t>HAGFORS</t>
        </is>
      </c>
      <c r="F9793" t="inlineStr">
        <is>
          <t>Bergvik skog väst AB</t>
        </is>
      </c>
      <c r="G9793" t="n">
        <v>14.4</v>
      </c>
      <c r="H9793" t="n">
        <v>0</v>
      </c>
      <c r="I9793" t="n">
        <v>0</v>
      </c>
      <c r="J9793" t="n">
        <v>0</v>
      </c>
      <c r="K9793" t="n">
        <v>0</v>
      </c>
      <c r="L9793" t="n">
        <v>0</v>
      </c>
      <c r="M9793" t="n">
        <v>0</v>
      </c>
      <c r="N9793" t="n">
        <v>0</v>
      </c>
      <c r="O9793" t="n">
        <v>0</v>
      </c>
      <c r="P9793" t="n">
        <v>0</v>
      </c>
      <c r="Q9793" t="n">
        <v>0</v>
      </c>
      <c r="R9793" s="2" t="inlineStr"/>
    </row>
    <row r="9794" ht="15" customHeight="1">
      <c r="A9794" t="inlineStr">
        <is>
          <t>A 43761-2025</t>
        </is>
      </c>
      <c r="B9794" s="1" t="n">
        <v>45912</v>
      </c>
      <c r="C9794" s="1" t="n">
        <v>45932</v>
      </c>
      <c r="D9794" t="inlineStr">
        <is>
          <t>VÄRMLANDS LÄN</t>
        </is>
      </c>
      <c r="E9794" t="inlineStr">
        <is>
          <t>ARVIKA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26464-2023</t>
        </is>
      </c>
      <c r="B9795" s="1" t="n">
        <v>45092.46762731481</v>
      </c>
      <c r="C9795" s="1" t="n">
        <v>45932</v>
      </c>
      <c r="D9795" t="inlineStr">
        <is>
          <t>VÄRMLANDS LÄN</t>
        </is>
      </c>
      <c r="E9795" t="inlineStr">
        <is>
          <t>EDA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17635-2022</t>
        </is>
      </c>
      <c r="B9796" s="1" t="n">
        <v>44680</v>
      </c>
      <c r="C9796" s="1" t="n">
        <v>45932</v>
      </c>
      <c r="D9796" t="inlineStr">
        <is>
          <t>VÄRMLANDS LÄN</t>
        </is>
      </c>
      <c r="E9796" t="inlineStr">
        <is>
          <t>KIL</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3333-2025</t>
        </is>
      </c>
      <c r="B9797" s="1" t="n">
        <v>45679</v>
      </c>
      <c r="C9797" s="1" t="n">
        <v>45932</v>
      </c>
      <c r="D9797" t="inlineStr">
        <is>
          <t>VÄRMLANDS LÄN</t>
        </is>
      </c>
      <c r="E9797" t="inlineStr">
        <is>
          <t>MUNKFORS</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3338-2025</t>
        </is>
      </c>
      <c r="B9798" s="1" t="n">
        <v>45679</v>
      </c>
      <c r="C9798" s="1" t="n">
        <v>45932</v>
      </c>
      <c r="D9798" t="inlineStr">
        <is>
          <t>VÄRMLANDS LÄN</t>
        </is>
      </c>
      <c r="E9798" t="inlineStr">
        <is>
          <t>KRISTINEHAMN</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1041-2025</t>
        </is>
      </c>
      <c r="B9799" s="1" t="n">
        <v>45665</v>
      </c>
      <c r="C9799" s="1" t="n">
        <v>45932</v>
      </c>
      <c r="D9799" t="inlineStr">
        <is>
          <t>VÄRMLANDS LÄN</t>
        </is>
      </c>
      <c r="E9799" t="inlineStr">
        <is>
          <t>SÄFFLE</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36788-2025</t>
        </is>
      </c>
      <c r="B9800" s="1" t="n">
        <v>45873.63435185186</v>
      </c>
      <c r="C9800" s="1" t="n">
        <v>45932</v>
      </c>
      <c r="D9800" t="inlineStr">
        <is>
          <t>VÄRMLANDS LÄN</t>
        </is>
      </c>
      <c r="E9800" t="inlineStr">
        <is>
          <t>ARVIKA</t>
        </is>
      </c>
      <c r="F9800" t="inlineStr">
        <is>
          <t>Bergvik skog väst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10306-2025</t>
        </is>
      </c>
      <c r="B9801" s="1" t="n">
        <v>45720.44628472222</v>
      </c>
      <c r="C9801" s="1" t="n">
        <v>45932</v>
      </c>
      <c r="D9801" t="inlineStr">
        <is>
          <t>VÄRMLANDS LÄN</t>
        </is>
      </c>
      <c r="E9801" t="inlineStr">
        <is>
          <t>FILIPSTAD</t>
        </is>
      </c>
      <c r="F9801" t="inlineStr">
        <is>
          <t>Bergvik skog väst AB</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46792-2022</t>
        </is>
      </c>
      <c r="B9802" s="1" t="n">
        <v>44851</v>
      </c>
      <c r="C9802" s="1" t="n">
        <v>45932</v>
      </c>
      <c r="D9802" t="inlineStr">
        <is>
          <t>VÄRMLANDS LÄN</t>
        </is>
      </c>
      <c r="E9802" t="inlineStr">
        <is>
          <t>HAGFORS</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33564-2023</t>
        </is>
      </c>
      <c r="B9803" s="1" t="n">
        <v>45118</v>
      </c>
      <c r="C9803" s="1" t="n">
        <v>45932</v>
      </c>
      <c r="D9803" t="inlineStr">
        <is>
          <t>VÄRMLANDS LÄN</t>
        </is>
      </c>
      <c r="E9803" t="inlineStr">
        <is>
          <t>KARLSTAD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44233-2025</t>
        </is>
      </c>
      <c r="B9804" s="1" t="n">
        <v>45915.65515046296</v>
      </c>
      <c r="C9804" s="1" t="n">
        <v>45932</v>
      </c>
      <c r="D9804" t="inlineStr">
        <is>
          <t>VÄRMLANDS LÄN</t>
        </is>
      </c>
      <c r="E9804" t="inlineStr">
        <is>
          <t>TORSBY</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44248-2025</t>
        </is>
      </c>
      <c r="B9805" s="1" t="n">
        <v>45915.69100694444</v>
      </c>
      <c r="C9805" s="1" t="n">
        <v>45932</v>
      </c>
      <c r="D9805" t="inlineStr">
        <is>
          <t>VÄRMLANDS LÄN</t>
        </is>
      </c>
      <c r="E9805" t="inlineStr">
        <is>
          <t>STORFORS</t>
        </is>
      </c>
      <c r="F9805" t="inlineStr">
        <is>
          <t>Kyrkan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60383-2024</t>
        </is>
      </c>
      <c r="B9806" s="1" t="n">
        <v>45643.47674768518</v>
      </c>
      <c r="C9806" s="1" t="n">
        <v>45932</v>
      </c>
      <c r="D9806" t="inlineStr">
        <is>
          <t>VÄRMLANDS LÄN</t>
        </is>
      </c>
      <c r="E9806" t="inlineStr">
        <is>
          <t>TORSBY</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60386-2024</t>
        </is>
      </c>
      <c r="B9807" s="1" t="n">
        <v>45643</v>
      </c>
      <c r="C9807" s="1" t="n">
        <v>45932</v>
      </c>
      <c r="D9807" t="inlineStr">
        <is>
          <t>VÄRMLANDS LÄN</t>
        </is>
      </c>
      <c r="E9807" t="inlineStr">
        <is>
          <t>TORSBY</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13288-2024</t>
        </is>
      </c>
      <c r="B9808" s="1" t="n">
        <v>45386</v>
      </c>
      <c r="C9808" s="1" t="n">
        <v>45932</v>
      </c>
      <c r="D9808" t="inlineStr">
        <is>
          <t>VÄRMLANDS LÄN</t>
        </is>
      </c>
      <c r="E9808" t="inlineStr">
        <is>
          <t>STORFORS</t>
        </is>
      </c>
      <c r="F9808" t="inlineStr">
        <is>
          <t>Kyrkan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21260-2024</t>
        </is>
      </c>
      <c r="B9809" s="1" t="n">
        <v>45440.63092592593</v>
      </c>
      <c r="C9809" s="1" t="n">
        <v>45932</v>
      </c>
      <c r="D9809" t="inlineStr">
        <is>
          <t>VÄRMLANDS LÄN</t>
        </is>
      </c>
      <c r="E9809" t="inlineStr">
        <is>
          <t>EDA</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20005-2025</t>
        </is>
      </c>
      <c r="B9810" s="1" t="n">
        <v>45771.95877314815</v>
      </c>
      <c r="C9810" s="1" t="n">
        <v>45932</v>
      </c>
      <c r="D9810" t="inlineStr">
        <is>
          <t>VÄRMLANDS LÄN</t>
        </is>
      </c>
      <c r="E9810" t="inlineStr">
        <is>
          <t>KARLSTAD</t>
        </is>
      </c>
      <c r="F9810" t="inlineStr">
        <is>
          <t>Kyrkan</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51162-2024</t>
        </is>
      </c>
      <c r="B9811" s="1" t="n">
        <v>45603.5819675926</v>
      </c>
      <c r="C9811" s="1" t="n">
        <v>45932</v>
      </c>
      <c r="D9811" t="inlineStr">
        <is>
          <t>VÄRMLANDS LÄN</t>
        </is>
      </c>
      <c r="E9811" t="inlineStr">
        <is>
          <t>FILIPSTAD</t>
        </is>
      </c>
      <c r="F9811" t="inlineStr">
        <is>
          <t>Bergvik skog väst AB</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45206-2023</t>
        </is>
      </c>
      <c r="B9812" s="1" t="n">
        <v>45191.55560185185</v>
      </c>
      <c r="C9812" s="1" t="n">
        <v>45932</v>
      </c>
      <c r="D9812" t="inlineStr">
        <is>
          <t>VÄRMLANDS LÄN</t>
        </is>
      </c>
      <c r="E9812" t="inlineStr">
        <is>
          <t>SUNNE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6013-2024</t>
        </is>
      </c>
      <c r="B9813" s="1" t="n">
        <v>45336.60763888889</v>
      </c>
      <c r="C9813" s="1" t="n">
        <v>45932</v>
      </c>
      <c r="D9813" t="inlineStr">
        <is>
          <t>VÄRMLANDS LÄN</t>
        </is>
      </c>
      <c r="E9813" t="inlineStr">
        <is>
          <t>TORSBY</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16486-2024</t>
        </is>
      </c>
      <c r="B9814" s="1" t="n">
        <v>45408.33878472223</v>
      </c>
      <c r="C9814" s="1" t="n">
        <v>45932</v>
      </c>
      <c r="D9814" t="inlineStr">
        <is>
          <t>VÄRMLANDS LÄN</t>
        </is>
      </c>
      <c r="E9814" t="inlineStr">
        <is>
          <t>EDA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9405-2025</t>
        </is>
      </c>
      <c r="B9815" s="1" t="n">
        <v>45715</v>
      </c>
      <c r="C9815" s="1" t="n">
        <v>45932</v>
      </c>
      <c r="D9815" t="inlineStr">
        <is>
          <t>VÄRMLANDS LÄN</t>
        </is>
      </c>
      <c r="E9815" t="inlineStr">
        <is>
          <t>KARLSTAD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32033-2024</t>
        </is>
      </c>
      <c r="B9816" s="1" t="n">
        <v>45510.66981481481</v>
      </c>
      <c r="C9816" s="1" t="n">
        <v>45932</v>
      </c>
      <c r="D9816" t="inlineStr">
        <is>
          <t>VÄRMLANDS LÄN</t>
        </is>
      </c>
      <c r="E9816" t="inlineStr">
        <is>
          <t>HAGFORS</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43787-2025</t>
        </is>
      </c>
      <c r="B9817" s="1" t="n">
        <v>45912.53890046296</v>
      </c>
      <c r="C9817" s="1" t="n">
        <v>45932</v>
      </c>
      <c r="D9817" t="inlineStr">
        <is>
          <t>VÄRMLANDS LÄN</t>
        </is>
      </c>
      <c r="E9817" t="inlineStr">
        <is>
          <t>TORSBY</t>
        </is>
      </c>
      <c r="G9817" t="n">
        <v>13.1</v>
      </c>
      <c r="H9817" t="n">
        <v>0</v>
      </c>
      <c r="I9817" t="n">
        <v>0</v>
      </c>
      <c r="J9817" t="n">
        <v>0</v>
      </c>
      <c r="K9817" t="n">
        <v>0</v>
      </c>
      <c r="L9817" t="n">
        <v>0</v>
      </c>
      <c r="M9817" t="n">
        <v>0</v>
      </c>
      <c r="N9817" t="n">
        <v>0</v>
      </c>
      <c r="O9817" t="n">
        <v>0</v>
      </c>
      <c r="P9817" t="n">
        <v>0</v>
      </c>
      <c r="Q9817" t="n">
        <v>0</v>
      </c>
      <c r="R9817" s="2" t="inlineStr"/>
    </row>
    <row r="9818" ht="15" customHeight="1">
      <c r="A9818" t="inlineStr">
        <is>
          <t>A 61738-2020</t>
        </is>
      </c>
      <c r="B9818" s="1" t="n">
        <v>44158</v>
      </c>
      <c r="C9818" s="1" t="n">
        <v>45932</v>
      </c>
      <c r="D9818" t="inlineStr">
        <is>
          <t>VÄRMLANDS LÄN</t>
        </is>
      </c>
      <c r="E9818" t="inlineStr">
        <is>
          <t>TORSBY</t>
        </is>
      </c>
      <c r="F9818" t="inlineStr">
        <is>
          <t>Kommuner</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43289-2022</t>
        </is>
      </c>
      <c r="B9819" s="1" t="n">
        <v>44834.51623842592</v>
      </c>
      <c r="C9819" s="1" t="n">
        <v>45932</v>
      </c>
      <c r="D9819" t="inlineStr">
        <is>
          <t>VÄRMLANDS LÄN</t>
        </is>
      </c>
      <c r="E9819" t="inlineStr">
        <is>
          <t>TORSBY</t>
        </is>
      </c>
      <c r="G9819" t="n">
        <v>11.2</v>
      </c>
      <c r="H9819" t="n">
        <v>0</v>
      </c>
      <c r="I9819" t="n">
        <v>0</v>
      </c>
      <c r="J9819" t="n">
        <v>0</v>
      </c>
      <c r="K9819" t="n">
        <v>0</v>
      </c>
      <c r="L9819" t="n">
        <v>0</v>
      </c>
      <c r="M9819" t="n">
        <v>0</v>
      </c>
      <c r="N9819" t="n">
        <v>0</v>
      </c>
      <c r="O9819" t="n">
        <v>0</v>
      </c>
      <c r="P9819" t="n">
        <v>0</v>
      </c>
      <c r="Q9819" t="n">
        <v>0</v>
      </c>
      <c r="R9819" s="2" t="inlineStr"/>
    </row>
    <row r="9820" ht="15" customHeight="1">
      <c r="A9820" t="inlineStr">
        <is>
          <t>A 43653-2025</t>
        </is>
      </c>
      <c r="B9820" s="1" t="n">
        <v>45912.33145833333</v>
      </c>
      <c r="C9820" s="1" t="n">
        <v>45932</v>
      </c>
      <c r="D9820" t="inlineStr">
        <is>
          <t>VÄRMLANDS LÄN</t>
        </is>
      </c>
      <c r="E9820" t="inlineStr">
        <is>
          <t>KARLSTAD</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44178-2025</t>
        </is>
      </c>
      <c r="B9821" s="1" t="n">
        <v>45915.60693287037</v>
      </c>
      <c r="C9821" s="1" t="n">
        <v>45932</v>
      </c>
      <c r="D9821" t="inlineStr">
        <is>
          <t>VÄRMLANDS LÄN</t>
        </is>
      </c>
      <c r="E9821" t="inlineStr">
        <is>
          <t>STORFORS</t>
        </is>
      </c>
      <c r="F9821" t="inlineStr">
        <is>
          <t>Bergvik skog väst AB</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55163-2024</t>
        </is>
      </c>
      <c r="B9822" s="1" t="n">
        <v>45621.51796296296</v>
      </c>
      <c r="C9822" s="1" t="n">
        <v>45932</v>
      </c>
      <c r="D9822" t="inlineStr">
        <is>
          <t>VÄRMLANDS LÄN</t>
        </is>
      </c>
      <c r="E9822" t="inlineStr">
        <is>
          <t>SUNNE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45548-2024</t>
        </is>
      </c>
      <c r="B9823" s="1" t="n">
        <v>45579</v>
      </c>
      <c r="C9823" s="1" t="n">
        <v>45932</v>
      </c>
      <c r="D9823" t="inlineStr">
        <is>
          <t>VÄRMLANDS LÄN</t>
        </is>
      </c>
      <c r="E9823" t="inlineStr">
        <is>
          <t>TORSBY</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3771-2025</t>
        </is>
      </c>
      <c r="B9824" s="1" t="n">
        <v>45681</v>
      </c>
      <c r="C9824" s="1" t="n">
        <v>45932</v>
      </c>
      <c r="D9824" t="inlineStr">
        <is>
          <t>VÄRMLANDS LÄN</t>
        </is>
      </c>
      <c r="E9824" t="inlineStr">
        <is>
          <t>SÄFFLE</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3775-2025</t>
        </is>
      </c>
      <c r="B9825" s="1" t="n">
        <v>45681.60923611111</v>
      </c>
      <c r="C9825" s="1" t="n">
        <v>45932</v>
      </c>
      <c r="D9825" t="inlineStr">
        <is>
          <t>VÄRMLANDS LÄN</t>
        </is>
      </c>
      <c r="E9825" t="inlineStr">
        <is>
          <t>EDA</t>
        </is>
      </c>
      <c r="F9825" t="inlineStr">
        <is>
          <t>Kommuner</t>
        </is>
      </c>
      <c r="G9825" t="n">
        <v>8.300000000000001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3779-2025</t>
        </is>
      </c>
      <c r="B9826" s="1" t="n">
        <v>45681</v>
      </c>
      <c r="C9826" s="1" t="n">
        <v>45932</v>
      </c>
      <c r="D9826" t="inlineStr">
        <is>
          <t>VÄRMLANDS LÄN</t>
        </is>
      </c>
      <c r="E9826" t="inlineStr">
        <is>
          <t>GRUMS</t>
        </is>
      </c>
      <c r="F9826" t="inlineStr">
        <is>
          <t>BillerudKorsnäs AB</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17065-2025</t>
        </is>
      </c>
      <c r="B9827" s="1" t="n">
        <v>45754</v>
      </c>
      <c r="C9827" s="1" t="n">
        <v>45932</v>
      </c>
      <c r="D9827" t="inlineStr">
        <is>
          <t>VÄRMLANDS LÄN</t>
        </is>
      </c>
      <c r="E9827" t="inlineStr">
        <is>
          <t>TORSBY</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20106-2024</t>
        </is>
      </c>
      <c r="B9828" s="1" t="n">
        <v>45434.48952546297</v>
      </c>
      <c r="C9828" s="1" t="n">
        <v>45932</v>
      </c>
      <c r="D9828" t="inlineStr">
        <is>
          <t>VÄRMLANDS LÄN</t>
        </is>
      </c>
      <c r="E9828" t="inlineStr">
        <is>
          <t>SUNNE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48527-2024</t>
        </is>
      </c>
      <c r="B9829" s="1" t="n">
        <v>45593.341875</v>
      </c>
      <c r="C9829" s="1" t="n">
        <v>45932</v>
      </c>
      <c r="D9829" t="inlineStr">
        <is>
          <t>VÄRMLANDS LÄN</t>
        </is>
      </c>
      <c r="E9829" t="inlineStr">
        <is>
          <t>FILIPSTAD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36764-2025</t>
        </is>
      </c>
      <c r="B9830" s="1" t="n">
        <v>45873</v>
      </c>
      <c r="C9830" s="1" t="n">
        <v>45932</v>
      </c>
      <c r="D9830" t="inlineStr">
        <is>
          <t>VÄRMLANDS LÄN</t>
        </is>
      </c>
      <c r="E9830" t="inlineStr">
        <is>
          <t>HAGFORS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1449-2021</t>
        </is>
      </c>
      <c r="B9831" s="1" t="n">
        <v>44208</v>
      </c>
      <c r="C9831" s="1" t="n">
        <v>45932</v>
      </c>
      <c r="D9831" t="inlineStr">
        <is>
          <t>VÄRMLANDS LÄN</t>
        </is>
      </c>
      <c r="E9831" t="inlineStr">
        <is>
          <t>SUNNE</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13029-2024</t>
        </is>
      </c>
      <c r="B9832" s="1" t="n">
        <v>45385.59082175926</v>
      </c>
      <c r="C9832" s="1" t="n">
        <v>45932</v>
      </c>
      <c r="D9832" t="inlineStr">
        <is>
          <t>VÄRMLANDS LÄN</t>
        </is>
      </c>
      <c r="E9832" t="inlineStr">
        <is>
          <t>SÄFFLE</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4707-2023</t>
        </is>
      </c>
      <c r="B9833" s="1" t="n">
        <v>44957</v>
      </c>
      <c r="C9833" s="1" t="n">
        <v>45932</v>
      </c>
      <c r="D9833" t="inlineStr">
        <is>
          <t>VÄRMLANDS LÄN</t>
        </is>
      </c>
      <c r="E9833" t="inlineStr">
        <is>
          <t>TORSBY</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42997-2023</t>
        </is>
      </c>
      <c r="B9834" s="1" t="n">
        <v>45182.62891203703</v>
      </c>
      <c r="C9834" s="1" t="n">
        <v>45932</v>
      </c>
      <c r="D9834" t="inlineStr">
        <is>
          <t>VÄRMLANDS LÄN</t>
        </is>
      </c>
      <c r="E9834" t="inlineStr">
        <is>
          <t>ARVIKA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29175-2024</t>
        </is>
      </c>
      <c r="B9835" s="1" t="n">
        <v>45482.53081018518</v>
      </c>
      <c r="C9835" s="1" t="n">
        <v>45932</v>
      </c>
      <c r="D9835" t="inlineStr">
        <is>
          <t>VÄRMLANDS LÄN</t>
        </is>
      </c>
      <c r="E9835" t="inlineStr">
        <is>
          <t>ARVIKA</t>
        </is>
      </c>
      <c r="F9835" t="inlineStr">
        <is>
          <t>Bergvik skog väst AB</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51405-2021</t>
        </is>
      </c>
      <c r="B9836" s="1" t="n">
        <v>44461</v>
      </c>
      <c r="C9836" s="1" t="n">
        <v>45932</v>
      </c>
      <c r="D9836" t="inlineStr">
        <is>
          <t>VÄRMLANDS LÄN</t>
        </is>
      </c>
      <c r="E9836" t="inlineStr">
        <is>
          <t>SUNNE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35553-2023</t>
        </is>
      </c>
      <c r="B9837" s="1" t="n">
        <v>45147</v>
      </c>
      <c r="C9837" s="1" t="n">
        <v>45932</v>
      </c>
      <c r="D9837" t="inlineStr">
        <is>
          <t>VÄRMLANDS LÄN</t>
        </is>
      </c>
      <c r="E9837" t="inlineStr">
        <is>
          <t>TORSBY</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35573-2023</t>
        </is>
      </c>
      <c r="B9838" s="1" t="n">
        <v>45147</v>
      </c>
      <c r="C9838" s="1" t="n">
        <v>45932</v>
      </c>
      <c r="D9838" t="inlineStr">
        <is>
          <t>VÄRMLANDS LÄN</t>
        </is>
      </c>
      <c r="E9838" t="inlineStr">
        <is>
          <t>FORSHAGA</t>
        </is>
      </c>
      <c r="F9838" t="inlineStr">
        <is>
          <t>Kommuner</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35579-2023</t>
        </is>
      </c>
      <c r="B9839" s="1" t="n">
        <v>45147</v>
      </c>
      <c r="C9839" s="1" t="n">
        <v>45932</v>
      </c>
      <c r="D9839" t="inlineStr">
        <is>
          <t>VÄRMLANDS LÄN</t>
        </is>
      </c>
      <c r="E9839" t="inlineStr">
        <is>
          <t>ARVIKA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30387-2024</t>
        </is>
      </c>
      <c r="B9840" s="1" t="n">
        <v>45491.48956018518</v>
      </c>
      <c r="C9840" s="1" t="n">
        <v>45932</v>
      </c>
      <c r="D9840" t="inlineStr">
        <is>
          <t>VÄRMLANDS LÄN</t>
        </is>
      </c>
      <c r="E9840" t="inlineStr">
        <is>
          <t>SÄFFLE</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36655-2025</t>
        </is>
      </c>
      <c r="B9841" s="1" t="n">
        <v>45873</v>
      </c>
      <c r="C9841" s="1" t="n">
        <v>45932</v>
      </c>
      <c r="D9841" t="inlineStr">
        <is>
          <t>VÄRMLANDS LÄN</t>
        </is>
      </c>
      <c r="E9841" t="inlineStr">
        <is>
          <t>ARVIKA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36685-2025</t>
        </is>
      </c>
      <c r="B9842" s="1" t="n">
        <v>45873</v>
      </c>
      <c r="C9842" s="1" t="n">
        <v>45932</v>
      </c>
      <c r="D9842" t="inlineStr">
        <is>
          <t>VÄRMLANDS LÄN</t>
        </is>
      </c>
      <c r="E9842" t="inlineStr">
        <is>
          <t>EDA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14675-2024</t>
        </is>
      </c>
      <c r="B9843" s="1" t="n">
        <v>45397.45333333333</v>
      </c>
      <c r="C9843" s="1" t="n">
        <v>45932</v>
      </c>
      <c r="D9843" t="inlineStr">
        <is>
          <t>VÄRMLANDS LÄN</t>
        </is>
      </c>
      <c r="E9843" t="inlineStr">
        <is>
          <t>KIL</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59862-2024</t>
        </is>
      </c>
      <c r="B9844" s="1" t="n">
        <v>45639</v>
      </c>
      <c r="C9844" s="1" t="n">
        <v>45932</v>
      </c>
      <c r="D9844" t="inlineStr">
        <is>
          <t>VÄRMLANDS LÄN</t>
        </is>
      </c>
      <c r="E9844" t="inlineStr">
        <is>
          <t>KRISTINEHAMN</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60477-2024</t>
        </is>
      </c>
      <c r="B9845" s="1" t="n">
        <v>45643</v>
      </c>
      <c r="C9845" s="1" t="n">
        <v>45932</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61463-2022</t>
        </is>
      </c>
      <c r="B9846" s="1" t="n">
        <v>44916</v>
      </c>
      <c r="C9846" s="1" t="n">
        <v>45932</v>
      </c>
      <c r="D9846" t="inlineStr">
        <is>
          <t>VÄRMLANDS LÄN</t>
        </is>
      </c>
      <c r="E9846" t="inlineStr">
        <is>
          <t>FORSHAGA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29600-2025</t>
        </is>
      </c>
      <c r="B9847" s="1" t="n">
        <v>45825</v>
      </c>
      <c r="C9847" s="1" t="n">
        <v>45932</v>
      </c>
      <c r="D9847" t="inlineStr">
        <is>
          <t>VÄRMLANDS LÄN</t>
        </is>
      </c>
      <c r="E9847" t="inlineStr">
        <is>
          <t>ARVIKA</t>
        </is>
      </c>
      <c r="F9847" t="inlineStr">
        <is>
          <t>Bergvik skog väst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9593-2025</t>
        </is>
      </c>
      <c r="B9848" s="1" t="n">
        <v>45714</v>
      </c>
      <c r="C9848" s="1" t="n">
        <v>45932</v>
      </c>
      <c r="D9848" t="inlineStr">
        <is>
          <t>VÄRMLANDS LÄN</t>
        </is>
      </c>
      <c r="E9848" t="inlineStr">
        <is>
          <t>SUNNE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16946-2025</t>
        </is>
      </c>
      <c r="B9849" s="1" t="n">
        <v>45755.43291666666</v>
      </c>
      <c r="C9849" s="1" t="n">
        <v>45932</v>
      </c>
      <c r="D9849" t="inlineStr">
        <is>
          <t>VÄRMLANDS LÄN</t>
        </is>
      </c>
      <c r="E9849" t="inlineStr">
        <is>
          <t>EDA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36752-2025</t>
        </is>
      </c>
      <c r="B9850" s="1" t="n">
        <v>45873</v>
      </c>
      <c r="C9850" s="1" t="n">
        <v>45932</v>
      </c>
      <c r="D9850" t="inlineStr">
        <is>
          <t>VÄRMLANDS LÄN</t>
        </is>
      </c>
      <c r="E9850" t="inlineStr">
        <is>
          <t>ÅRJÄNG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36450-2025</t>
        </is>
      </c>
      <c r="B9851" s="1" t="n">
        <v>45869</v>
      </c>
      <c r="C9851" s="1" t="n">
        <v>45932</v>
      </c>
      <c r="D9851" t="inlineStr">
        <is>
          <t>VÄRMLANDS LÄN</t>
        </is>
      </c>
      <c r="E9851" t="inlineStr">
        <is>
          <t>ÅRJÄNG</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36469-2025</t>
        </is>
      </c>
      <c r="B9852" s="1" t="n">
        <v>45869.47287037037</v>
      </c>
      <c r="C9852" s="1" t="n">
        <v>45932</v>
      </c>
      <c r="D9852" t="inlineStr">
        <is>
          <t>VÄRMLANDS LÄN</t>
        </is>
      </c>
      <c r="E9852" t="inlineStr">
        <is>
          <t>ARVIKA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57647-2023</t>
        </is>
      </c>
      <c r="B9853" s="1" t="n">
        <v>45246.59627314815</v>
      </c>
      <c r="C9853" s="1" t="n">
        <v>45932</v>
      </c>
      <c r="D9853" t="inlineStr">
        <is>
          <t>VÄRMLANDS LÄN</t>
        </is>
      </c>
      <c r="E9853" t="inlineStr">
        <is>
          <t>TORSBY</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58116-2023</t>
        </is>
      </c>
      <c r="B9854" s="1" t="n">
        <v>45249.71587962963</v>
      </c>
      <c r="C9854" s="1" t="n">
        <v>45932</v>
      </c>
      <c r="D9854" t="inlineStr">
        <is>
          <t>VÄRMLANDS LÄN</t>
        </is>
      </c>
      <c r="E9854" t="inlineStr">
        <is>
          <t>SÄFFLE</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21861-2023</t>
        </is>
      </c>
      <c r="B9855" s="1" t="n">
        <v>45068</v>
      </c>
      <c r="C9855" s="1" t="n">
        <v>45932</v>
      </c>
      <c r="D9855" t="inlineStr">
        <is>
          <t>VÄRMLANDS LÄN</t>
        </is>
      </c>
      <c r="E9855" t="inlineStr">
        <is>
          <t>KRISTINEHAMN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15111-2025</t>
        </is>
      </c>
      <c r="B9856" s="1" t="n">
        <v>45744.35527777778</v>
      </c>
      <c r="C9856" s="1" t="n">
        <v>45932</v>
      </c>
      <c r="D9856" t="inlineStr">
        <is>
          <t>VÄRMLANDS LÄN</t>
        </is>
      </c>
      <c r="E9856" t="inlineStr">
        <is>
          <t>MUNKFORS</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15125-2025</t>
        </is>
      </c>
      <c r="B9857" s="1" t="n">
        <v>45744</v>
      </c>
      <c r="C9857" s="1" t="n">
        <v>45932</v>
      </c>
      <c r="D9857" t="inlineStr">
        <is>
          <t>VÄRMLANDS LÄN</t>
        </is>
      </c>
      <c r="E9857" t="inlineStr">
        <is>
          <t>MUNKFORS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40744-2025</t>
        </is>
      </c>
      <c r="B9858" s="1" t="n">
        <v>45897</v>
      </c>
      <c r="C9858" s="1" t="n">
        <v>45932</v>
      </c>
      <c r="D9858" t="inlineStr">
        <is>
          <t>VÄRMLANDS LÄN</t>
        </is>
      </c>
      <c r="E9858" t="inlineStr">
        <is>
          <t>FORSHAGA</t>
        </is>
      </c>
      <c r="F9858" t="inlineStr">
        <is>
          <t>Kyrkan</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44451-2025</t>
        </is>
      </c>
      <c r="B9859" s="1" t="n">
        <v>45916</v>
      </c>
      <c r="C9859" s="1" t="n">
        <v>45932</v>
      </c>
      <c r="D9859" t="inlineStr">
        <is>
          <t>VÄRMLANDS LÄN</t>
        </is>
      </c>
      <c r="E9859" t="inlineStr">
        <is>
          <t>ÅRJÄNG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44396-2025</t>
        </is>
      </c>
      <c r="B9860" s="1" t="n">
        <v>45916.49664351852</v>
      </c>
      <c r="C9860" s="1" t="n">
        <v>45932</v>
      </c>
      <c r="D9860" t="inlineStr">
        <is>
          <t>VÄRMLANDS LÄN</t>
        </is>
      </c>
      <c r="E9860" t="inlineStr">
        <is>
          <t>SUNNE</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59515-2024</t>
        </is>
      </c>
      <c r="B9861" s="1" t="n">
        <v>45638</v>
      </c>
      <c r="C9861" s="1" t="n">
        <v>45932</v>
      </c>
      <c r="D9861" t="inlineStr">
        <is>
          <t>VÄRMLANDS LÄN</t>
        </is>
      </c>
      <c r="E9861" t="inlineStr">
        <is>
          <t>EDA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44433-2025</t>
        </is>
      </c>
      <c r="B9862" s="1" t="n">
        <v>45916.57868055555</v>
      </c>
      <c r="C9862" s="1" t="n">
        <v>45932</v>
      </c>
      <c r="D9862" t="inlineStr">
        <is>
          <t>VÄRMLANDS LÄN</t>
        </is>
      </c>
      <c r="E9862" t="inlineStr">
        <is>
          <t>SUNNE</t>
        </is>
      </c>
      <c r="F9862" t="inlineStr">
        <is>
          <t>Bergvik skog väst AB</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54744-2024</t>
        </is>
      </c>
      <c r="B9863" s="1" t="n">
        <v>45618</v>
      </c>
      <c r="C9863" s="1" t="n">
        <v>45932</v>
      </c>
      <c r="D9863" t="inlineStr">
        <is>
          <t>VÄRMLANDS LÄN</t>
        </is>
      </c>
      <c r="E9863" t="inlineStr">
        <is>
          <t>HAGFORS</t>
        </is>
      </c>
      <c r="F9863" t="inlineStr">
        <is>
          <t>Kyrkan</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58284-2024</t>
        </is>
      </c>
      <c r="B9864" s="1" t="n">
        <v>45631</v>
      </c>
      <c r="C9864" s="1" t="n">
        <v>45932</v>
      </c>
      <c r="D9864" t="inlineStr">
        <is>
          <t>VÄRMLANDS LÄN</t>
        </is>
      </c>
      <c r="E9864" t="inlineStr">
        <is>
          <t>KRISTINEHAMN</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44452-2025</t>
        </is>
      </c>
      <c r="B9865" s="1" t="n">
        <v>45916</v>
      </c>
      <c r="C9865" s="1" t="n">
        <v>45932</v>
      </c>
      <c r="D9865" t="inlineStr">
        <is>
          <t>VÄRMLANDS LÄN</t>
        </is>
      </c>
      <c r="E9865" t="inlineStr">
        <is>
          <t>ÅRJÄNG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44456-2025</t>
        </is>
      </c>
      <c r="B9866" s="1" t="n">
        <v>45916</v>
      </c>
      <c r="C9866" s="1" t="n">
        <v>45932</v>
      </c>
      <c r="D9866" t="inlineStr">
        <is>
          <t>VÄRMLANDS LÄN</t>
        </is>
      </c>
      <c r="E9866" t="inlineStr">
        <is>
          <t>ÅRJÄNG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28154-2022</t>
        </is>
      </c>
      <c r="B9867" s="1" t="n">
        <v>44746.53506944444</v>
      </c>
      <c r="C9867" s="1" t="n">
        <v>45932</v>
      </c>
      <c r="D9867" t="inlineStr">
        <is>
          <t>VÄRMLANDS LÄN</t>
        </is>
      </c>
      <c r="E9867" t="inlineStr">
        <is>
          <t>KARLSTAD</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44472-2025</t>
        </is>
      </c>
      <c r="B9868" s="1" t="n">
        <v>45916</v>
      </c>
      <c r="C9868" s="1" t="n">
        <v>45932</v>
      </c>
      <c r="D9868" t="inlineStr">
        <is>
          <t>VÄRMLANDS LÄN</t>
        </is>
      </c>
      <c r="E9868" t="inlineStr">
        <is>
          <t>ARVIKA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35831-2023</t>
        </is>
      </c>
      <c r="B9869" s="1" t="n">
        <v>45148</v>
      </c>
      <c r="C9869" s="1" t="n">
        <v>45932</v>
      </c>
      <c r="D9869" t="inlineStr">
        <is>
          <t>VÄRMLANDS LÄN</t>
        </is>
      </c>
      <c r="E9869" t="inlineStr">
        <is>
          <t>FORSHAGA</t>
        </is>
      </c>
      <c r="F9869" t="inlineStr">
        <is>
          <t>Kommuner</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17426-2025</t>
        </is>
      </c>
      <c r="B9870" s="1" t="n">
        <v>45757.40153935185</v>
      </c>
      <c r="C9870" s="1" t="n">
        <v>45932</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44368-2025</t>
        </is>
      </c>
      <c r="B9871" s="1" t="n">
        <v>45916.45922453704</v>
      </c>
      <c r="C9871" s="1" t="n">
        <v>45932</v>
      </c>
      <c r="D9871" t="inlineStr">
        <is>
          <t>VÄRMLANDS LÄN</t>
        </is>
      </c>
      <c r="E9871" t="inlineStr">
        <is>
          <t>SUNNE</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9630-2025</t>
        </is>
      </c>
      <c r="B9872" s="1" t="n">
        <v>45715.71145833333</v>
      </c>
      <c r="C9872" s="1" t="n">
        <v>45932</v>
      </c>
      <c r="D9872" t="inlineStr">
        <is>
          <t>VÄRMLANDS LÄN</t>
        </is>
      </c>
      <c r="E9872" t="inlineStr">
        <is>
          <t>ÅRJÄNG</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4620-2024</t>
        </is>
      </c>
      <c r="B9873" s="1" t="n">
        <v>45328</v>
      </c>
      <c r="C9873" s="1" t="n">
        <v>45932</v>
      </c>
      <c r="D9873" t="inlineStr">
        <is>
          <t>VÄRMLANDS LÄN</t>
        </is>
      </c>
      <c r="E9873" t="inlineStr">
        <is>
          <t>FILIPSTAD</t>
        </is>
      </c>
      <c r="F9873" t="inlineStr">
        <is>
          <t>Bergvik skog väst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21089-2022</t>
        </is>
      </c>
      <c r="B9874" s="1" t="n">
        <v>44704</v>
      </c>
      <c r="C9874" s="1" t="n">
        <v>45932</v>
      </c>
      <c r="D9874" t="inlineStr">
        <is>
          <t>VÄRMLANDS LÄN</t>
        </is>
      </c>
      <c r="E9874" t="inlineStr">
        <is>
          <t>TORSBY</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4738-2021</t>
        </is>
      </c>
      <c r="B9875" s="1" t="n">
        <v>44225</v>
      </c>
      <c r="C9875" s="1" t="n">
        <v>45932</v>
      </c>
      <c r="D9875" t="inlineStr">
        <is>
          <t>VÄRMLANDS LÄN</t>
        </is>
      </c>
      <c r="E9875" t="inlineStr">
        <is>
          <t>FILIPSTAD</t>
        </is>
      </c>
      <c r="F9875" t="inlineStr">
        <is>
          <t>Bergvik skog väst AB</t>
        </is>
      </c>
      <c r="G9875" t="n">
        <v>14.7</v>
      </c>
      <c r="H9875" t="n">
        <v>0</v>
      </c>
      <c r="I9875" t="n">
        <v>0</v>
      </c>
      <c r="J9875" t="n">
        <v>0</v>
      </c>
      <c r="K9875" t="n">
        <v>0</v>
      </c>
      <c r="L9875" t="n">
        <v>0</v>
      </c>
      <c r="M9875" t="n">
        <v>0</v>
      </c>
      <c r="N9875" t="n">
        <v>0</v>
      </c>
      <c r="O9875" t="n">
        <v>0</v>
      </c>
      <c r="P9875" t="n">
        <v>0</v>
      </c>
      <c r="Q9875" t="n">
        <v>0</v>
      </c>
      <c r="R9875" s="2" t="inlineStr"/>
    </row>
    <row r="9876" ht="15" customHeight="1">
      <c r="A9876" t="inlineStr">
        <is>
          <t>A 37027-2025</t>
        </is>
      </c>
      <c r="B9876" s="1" t="n">
        <v>45874.88440972222</v>
      </c>
      <c r="C9876" s="1" t="n">
        <v>45932</v>
      </c>
      <c r="D9876" t="inlineStr">
        <is>
          <t>VÄRMLANDS LÄN</t>
        </is>
      </c>
      <c r="E9876" t="inlineStr">
        <is>
          <t>HAGFORS</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37029-2025</t>
        </is>
      </c>
      <c r="B9877" s="1" t="n">
        <v>45874</v>
      </c>
      <c r="C9877" s="1" t="n">
        <v>45932</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44334-2025</t>
        </is>
      </c>
      <c r="B9878" s="1" t="n">
        <v>45916.423125</v>
      </c>
      <c r="C9878" s="1" t="n">
        <v>45932</v>
      </c>
      <c r="D9878" t="inlineStr">
        <is>
          <t>VÄRMLANDS LÄN</t>
        </is>
      </c>
      <c r="E9878" t="inlineStr">
        <is>
          <t>SUNNE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44362-2025</t>
        </is>
      </c>
      <c r="B9879" s="1" t="n">
        <v>45916.45337962963</v>
      </c>
      <c r="C9879" s="1" t="n">
        <v>45932</v>
      </c>
      <c r="D9879" t="inlineStr">
        <is>
          <t>VÄRMLANDS LÄN</t>
        </is>
      </c>
      <c r="E9879" t="inlineStr">
        <is>
          <t>HAGFORS</t>
        </is>
      </c>
      <c r="F9879" t="inlineStr">
        <is>
          <t>Bergvik skog väst AB</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36829-2025</t>
        </is>
      </c>
      <c r="B9880" s="1" t="n">
        <v>45874.34097222222</v>
      </c>
      <c r="C9880" s="1" t="n">
        <v>45932</v>
      </c>
      <c r="D9880" t="inlineStr">
        <is>
          <t>VÄRMLANDS LÄN</t>
        </is>
      </c>
      <c r="E9880" t="inlineStr">
        <is>
          <t>SUNNE</t>
        </is>
      </c>
      <c r="F9880" t="inlineStr">
        <is>
          <t>Bergvik skog väst AB</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36851-2025</t>
        </is>
      </c>
      <c r="B9881" s="1" t="n">
        <v>45874</v>
      </c>
      <c r="C9881" s="1" t="n">
        <v>45932</v>
      </c>
      <c r="D9881" t="inlineStr">
        <is>
          <t>VÄRMLANDS LÄN</t>
        </is>
      </c>
      <c r="E9881" t="inlineStr">
        <is>
          <t>SÄFFLE</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4834-2021</t>
        </is>
      </c>
      <c r="B9882" s="1" t="n">
        <v>44225</v>
      </c>
      <c r="C9882" s="1" t="n">
        <v>45932</v>
      </c>
      <c r="D9882" t="inlineStr">
        <is>
          <t>VÄRMLANDS LÄN</t>
        </is>
      </c>
      <c r="E9882" t="inlineStr">
        <is>
          <t>HAGFORS</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33993-2024</t>
        </is>
      </c>
      <c r="B9883" s="1" t="n">
        <v>45523</v>
      </c>
      <c r="C9883" s="1" t="n">
        <v>45932</v>
      </c>
      <c r="D9883" t="inlineStr">
        <is>
          <t>VÄRMLANDS LÄN</t>
        </is>
      </c>
      <c r="E9883" t="inlineStr">
        <is>
          <t>SÄFFLE</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53331-2024</t>
        </is>
      </c>
      <c r="B9884" s="1" t="n">
        <v>45614</v>
      </c>
      <c r="C9884" s="1" t="n">
        <v>45932</v>
      </c>
      <c r="D9884" t="inlineStr">
        <is>
          <t>VÄRMLANDS LÄN</t>
        </is>
      </c>
      <c r="E9884" t="inlineStr">
        <is>
          <t>TORSBY</t>
        </is>
      </c>
      <c r="F9884" t="inlineStr">
        <is>
          <t>Bergvik skog väst AB</t>
        </is>
      </c>
      <c r="G9884" t="n">
        <v>9.300000000000001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8246-2025</t>
        </is>
      </c>
      <c r="B9885" s="1" t="n">
        <v>45708.48710648148</v>
      </c>
      <c r="C9885" s="1" t="n">
        <v>45932</v>
      </c>
      <c r="D9885" t="inlineStr">
        <is>
          <t>VÄRMLANDS LÄN</t>
        </is>
      </c>
      <c r="E9885" t="inlineStr">
        <is>
          <t>ÅRJÄNG</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29526-2022</t>
        </is>
      </c>
      <c r="B9886" s="1" t="n">
        <v>44753.68769675926</v>
      </c>
      <c r="C9886" s="1" t="n">
        <v>45932</v>
      </c>
      <c r="D9886" t="inlineStr">
        <is>
          <t>VÄRMLANDS LÄN</t>
        </is>
      </c>
      <c r="E9886" t="inlineStr">
        <is>
          <t>KRISTINEHAMN</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62609-2023</t>
        </is>
      </c>
      <c r="B9887" s="1" t="n">
        <v>45267</v>
      </c>
      <c r="C9887" s="1" t="n">
        <v>45932</v>
      </c>
      <c r="D9887" t="inlineStr">
        <is>
          <t>VÄRMLANDS LÄN</t>
        </is>
      </c>
      <c r="E9887" t="inlineStr">
        <is>
          <t>ÅRJÄNG</t>
        </is>
      </c>
      <c r="G9887" t="n">
        <v>14.4</v>
      </c>
      <c r="H9887" t="n">
        <v>0</v>
      </c>
      <c r="I9887" t="n">
        <v>0</v>
      </c>
      <c r="J9887" t="n">
        <v>0</v>
      </c>
      <c r="K9887" t="n">
        <v>0</v>
      </c>
      <c r="L9887" t="n">
        <v>0</v>
      </c>
      <c r="M9887" t="n">
        <v>0</v>
      </c>
      <c r="N9887" t="n">
        <v>0</v>
      </c>
      <c r="O9887" t="n">
        <v>0</v>
      </c>
      <c r="P9887" t="n">
        <v>0</v>
      </c>
      <c r="Q9887" t="n">
        <v>0</v>
      </c>
      <c r="R9887" s="2" t="inlineStr"/>
    </row>
    <row r="9888" ht="15" customHeight="1">
      <c r="A9888" t="inlineStr">
        <is>
          <t>A 60477-2022</t>
        </is>
      </c>
      <c r="B9888" s="1" t="n">
        <v>44911.41508101852</v>
      </c>
      <c r="C9888" s="1" t="n">
        <v>45932</v>
      </c>
      <c r="D9888" t="inlineStr">
        <is>
          <t>VÄRMLANDS LÄN</t>
        </is>
      </c>
      <c r="E9888" t="inlineStr">
        <is>
          <t>EDA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37000-2025</t>
        </is>
      </c>
      <c r="B9889" s="1" t="n">
        <v>45874</v>
      </c>
      <c r="C9889" s="1" t="n">
        <v>45932</v>
      </c>
      <c r="D9889" t="inlineStr">
        <is>
          <t>VÄRMLANDS LÄN</t>
        </is>
      </c>
      <c r="E9889" t="inlineStr">
        <is>
          <t>SÄFFLE</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37030-2025</t>
        </is>
      </c>
      <c r="B9890" s="1" t="n">
        <v>45874.90478009259</v>
      </c>
      <c r="C9890" s="1" t="n">
        <v>45932</v>
      </c>
      <c r="D9890" t="inlineStr">
        <is>
          <t>VÄRMLANDS LÄN</t>
        </is>
      </c>
      <c r="E9890" t="inlineStr">
        <is>
          <t>ARVIKA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37031-2025</t>
        </is>
      </c>
      <c r="B9891" s="1" t="n">
        <v>45874.91972222222</v>
      </c>
      <c r="C9891" s="1" t="n">
        <v>45932</v>
      </c>
      <c r="D9891" t="inlineStr">
        <is>
          <t>VÄRMLANDS LÄN</t>
        </is>
      </c>
      <c r="E9891" t="inlineStr">
        <is>
          <t>ARVIKA</t>
        </is>
      </c>
      <c r="G9891" t="n">
        <v>12.4</v>
      </c>
      <c r="H9891" t="n">
        <v>0</v>
      </c>
      <c r="I9891" t="n">
        <v>0</v>
      </c>
      <c r="J9891" t="n">
        <v>0</v>
      </c>
      <c r="K9891" t="n">
        <v>0</v>
      </c>
      <c r="L9891" t="n">
        <v>0</v>
      </c>
      <c r="M9891" t="n">
        <v>0</v>
      </c>
      <c r="N9891" t="n">
        <v>0</v>
      </c>
      <c r="O9891" t="n">
        <v>0</v>
      </c>
      <c r="P9891" t="n">
        <v>0</v>
      </c>
      <c r="Q9891" t="n">
        <v>0</v>
      </c>
      <c r="R9891" s="2" t="inlineStr"/>
    </row>
    <row r="9892" ht="15" customHeight="1">
      <c r="A9892" t="inlineStr">
        <is>
          <t>A 37071-2025</t>
        </is>
      </c>
      <c r="B9892" s="1" t="n">
        <v>45875.40101851852</v>
      </c>
      <c r="C9892" s="1" t="n">
        <v>45932</v>
      </c>
      <c r="D9892" t="inlineStr">
        <is>
          <t>VÄRMLANDS LÄN</t>
        </is>
      </c>
      <c r="E9892" t="inlineStr">
        <is>
          <t>ÅRJÄNG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44370-2025</t>
        </is>
      </c>
      <c r="B9893" s="1" t="n">
        <v>45916.4603587963</v>
      </c>
      <c r="C9893" s="1" t="n">
        <v>45932</v>
      </c>
      <c r="D9893" t="inlineStr">
        <is>
          <t>VÄRMLANDS LÄN</t>
        </is>
      </c>
      <c r="E9893" t="inlineStr">
        <is>
          <t>HAGFORS</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6569-2023</t>
        </is>
      </c>
      <c r="B9894" s="1" t="n">
        <v>44966.46943287037</v>
      </c>
      <c r="C9894" s="1" t="n">
        <v>45932</v>
      </c>
      <c r="D9894" t="inlineStr">
        <is>
          <t>VÄRMLANDS LÄN</t>
        </is>
      </c>
      <c r="E9894" t="inlineStr">
        <is>
          <t>SUNNE</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44768-2025</t>
        </is>
      </c>
      <c r="B9895" s="1" t="n">
        <v>45917.74274305555</v>
      </c>
      <c r="C9895" s="1" t="n">
        <v>45932</v>
      </c>
      <c r="D9895" t="inlineStr">
        <is>
          <t>VÄRMLANDS LÄN</t>
        </is>
      </c>
      <c r="E9895" t="inlineStr">
        <is>
          <t>ÅRJÄNG</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60272-2024</t>
        </is>
      </c>
      <c r="B9896" s="1" t="n">
        <v>45642</v>
      </c>
      <c r="C9896" s="1" t="n">
        <v>45932</v>
      </c>
      <c r="D9896" t="inlineStr">
        <is>
          <t>VÄRMLANDS LÄN</t>
        </is>
      </c>
      <c r="E9896" t="inlineStr">
        <is>
          <t>TORSBY</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44256-2025</t>
        </is>
      </c>
      <c r="B9897" s="1" t="n">
        <v>45915</v>
      </c>
      <c r="C9897" s="1" t="n">
        <v>45932</v>
      </c>
      <c r="D9897" t="inlineStr">
        <is>
          <t>VÄRMLANDS LÄN</t>
        </is>
      </c>
      <c r="E9897" t="inlineStr">
        <is>
          <t>ARVIKA</t>
        </is>
      </c>
      <c r="F9897" t="inlineStr">
        <is>
          <t>Kyrkan</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44489-2025</t>
        </is>
      </c>
      <c r="B9898" s="1" t="n">
        <v>45916.6571412037</v>
      </c>
      <c r="C9898" s="1" t="n">
        <v>45932</v>
      </c>
      <c r="D9898" t="inlineStr">
        <is>
          <t>VÄRMLANDS LÄN</t>
        </is>
      </c>
      <c r="E9898" t="inlineStr">
        <is>
          <t>SUNNE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37145-2025</t>
        </is>
      </c>
      <c r="B9899" s="1" t="n">
        <v>45875.56288194445</v>
      </c>
      <c r="C9899" s="1" t="n">
        <v>45932</v>
      </c>
      <c r="D9899" t="inlineStr">
        <is>
          <t>VÄRMLANDS LÄN</t>
        </is>
      </c>
      <c r="E9899" t="inlineStr">
        <is>
          <t>STORFORS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7198-2024</t>
        </is>
      </c>
      <c r="B9900" s="1" t="n">
        <v>45344.58605324074</v>
      </c>
      <c r="C9900" s="1" t="n">
        <v>45932</v>
      </c>
      <c r="D9900" t="inlineStr">
        <is>
          <t>VÄRMLANDS LÄN</t>
        </is>
      </c>
      <c r="E9900" t="inlineStr">
        <is>
          <t>ARVIKA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15691-2022</t>
        </is>
      </c>
      <c r="B9901" s="1" t="n">
        <v>44663</v>
      </c>
      <c r="C9901" s="1" t="n">
        <v>45932</v>
      </c>
      <c r="D9901" t="inlineStr">
        <is>
          <t>VÄRMLANDS LÄN</t>
        </is>
      </c>
      <c r="E9901" t="inlineStr">
        <is>
          <t>SÄFFLE</t>
        </is>
      </c>
      <c r="G9901" t="n">
        <v>9</v>
      </c>
      <c r="H9901" t="n">
        <v>0</v>
      </c>
      <c r="I9901" t="n">
        <v>0</v>
      </c>
      <c r="J9901" t="n">
        <v>0</v>
      </c>
      <c r="K9901" t="n">
        <v>0</v>
      </c>
      <c r="L9901" t="n">
        <v>0</v>
      </c>
      <c r="M9901" t="n">
        <v>0</v>
      </c>
      <c r="N9901" t="n">
        <v>0</v>
      </c>
      <c r="O9901" t="n">
        <v>0</v>
      </c>
      <c r="P9901" t="n">
        <v>0</v>
      </c>
      <c r="Q9901" t="n">
        <v>0</v>
      </c>
      <c r="R9901" s="2" t="inlineStr"/>
    </row>
    <row r="9902" ht="15" customHeight="1">
      <c r="A9902" t="inlineStr">
        <is>
          <t>A 24445-2025</t>
        </is>
      </c>
      <c r="B9902" s="1" t="n">
        <v>45798</v>
      </c>
      <c r="C9902" s="1" t="n">
        <v>45932</v>
      </c>
      <c r="D9902" t="inlineStr">
        <is>
          <t>VÄRMLANDS LÄN</t>
        </is>
      </c>
      <c r="E9902" t="inlineStr">
        <is>
          <t>ÅRJÄNG</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36822-2025</t>
        </is>
      </c>
      <c r="B9903" s="1" t="n">
        <v>45873.9018287037</v>
      </c>
      <c r="C9903" s="1" t="n">
        <v>45932</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36827-2025</t>
        </is>
      </c>
      <c r="B9904" s="1" t="n">
        <v>45874</v>
      </c>
      <c r="C9904" s="1" t="n">
        <v>45932</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44263-2025</t>
        </is>
      </c>
      <c r="B9905" s="1" t="n">
        <v>45916.07644675926</v>
      </c>
      <c r="C9905" s="1" t="n">
        <v>45932</v>
      </c>
      <c r="D9905" t="inlineStr">
        <is>
          <t>VÄRMLANDS LÄN</t>
        </is>
      </c>
      <c r="E9905" t="inlineStr">
        <is>
          <t>SUNNE</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44304-2025</t>
        </is>
      </c>
      <c r="B9906" s="1" t="n">
        <v>45916.37346064814</v>
      </c>
      <c r="C9906" s="1" t="n">
        <v>45932</v>
      </c>
      <c r="D9906" t="inlineStr">
        <is>
          <t>VÄRMLANDS LÄN</t>
        </is>
      </c>
      <c r="E9906" t="inlineStr">
        <is>
          <t>ARVIKA</t>
        </is>
      </c>
      <c r="F9906" t="inlineStr">
        <is>
          <t>Bergvik skog väst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44512-2025</t>
        </is>
      </c>
      <c r="B9907" s="1" t="n">
        <v>45916.69612268519</v>
      </c>
      <c r="C9907" s="1" t="n">
        <v>45932</v>
      </c>
      <c r="D9907" t="inlineStr">
        <is>
          <t>VÄRMLANDS LÄN</t>
        </is>
      </c>
      <c r="E9907" t="inlineStr">
        <is>
          <t>SUNNE</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67162-2021</t>
        </is>
      </c>
      <c r="B9908" s="1" t="n">
        <v>44523.41258101852</v>
      </c>
      <c r="C9908" s="1" t="n">
        <v>45932</v>
      </c>
      <c r="D9908" t="inlineStr">
        <is>
          <t>VÄRMLANDS LÄN</t>
        </is>
      </c>
      <c r="E9908" t="inlineStr">
        <is>
          <t>EDA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34637-2023</t>
        </is>
      </c>
      <c r="B9909" s="1" t="n">
        <v>45140</v>
      </c>
      <c r="C9909" s="1" t="n">
        <v>45932</v>
      </c>
      <c r="D9909" t="inlineStr">
        <is>
          <t>VÄRMLANDS LÄN</t>
        </is>
      </c>
      <c r="E9909" t="inlineStr">
        <is>
          <t>EDA</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44586-2025</t>
        </is>
      </c>
      <c r="B9910" s="1" t="n">
        <v>45917</v>
      </c>
      <c r="C9910" s="1" t="n">
        <v>45932</v>
      </c>
      <c r="D9910" t="inlineStr">
        <is>
          <t>VÄRMLANDS LÄN</t>
        </is>
      </c>
      <c r="E9910" t="inlineStr">
        <is>
          <t>ARVIKA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44590-2025</t>
        </is>
      </c>
      <c r="B9911" s="1" t="n">
        <v>45917.42607638889</v>
      </c>
      <c r="C9911" s="1" t="n">
        <v>45932</v>
      </c>
      <c r="D9911" t="inlineStr">
        <is>
          <t>VÄRMLANDS LÄN</t>
        </is>
      </c>
      <c r="E9911" t="inlineStr">
        <is>
          <t>TORSBY</t>
        </is>
      </c>
      <c r="F9911" t="inlineStr">
        <is>
          <t>Bergvik skog väst AB</t>
        </is>
      </c>
      <c r="G9911" t="n">
        <v>10.3</v>
      </c>
      <c r="H9911" t="n">
        <v>0</v>
      </c>
      <c r="I9911" t="n">
        <v>0</v>
      </c>
      <c r="J9911" t="n">
        <v>0</v>
      </c>
      <c r="K9911" t="n">
        <v>0</v>
      </c>
      <c r="L9911" t="n">
        <v>0</v>
      </c>
      <c r="M9911" t="n">
        <v>0</v>
      </c>
      <c r="N9911" t="n">
        <v>0</v>
      </c>
      <c r="O9911" t="n">
        <v>0</v>
      </c>
      <c r="P9911" t="n">
        <v>0</v>
      </c>
      <c r="Q9911" t="n">
        <v>0</v>
      </c>
      <c r="R9911" s="2" t="inlineStr"/>
    </row>
    <row r="9912" ht="15" customHeight="1">
      <c r="A9912" t="inlineStr">
        <is>
          <t>A 22242-2025</t>
        </is>
      </c>
      <c r="B9912" s="1" t="n">
        <v>45785.67917824074</v>
      </c>
      <c r="C9912" s="1" t="n">
        <v>45932</v>
      </c>
      <c r="D9912" t="inlineStr">
        <is>
          <t>VÄRMLANDS LÄN</t>
        </is>
      </c>
      <c r="E9912" t="inlineStr">
        <is>
          <t>KARLSTAD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24444-2025</t>
        </is>
      </c>
      <c r="B9913" s="1" t="n">
        <v>45798</v>
      </c>
      <c r="C9913" s="1" t="n">
        <v>45932</v>
      </c>
      <c r="D9913" t="inlineStr">
        <is>
          <t>VÄRMLANDS LÄN</t>
        </is>
      </c>
      <c r="E9913" t="inlineStr">
        <is>
          <t>ÅRJÄNG</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28472-2024</t>
        </is>
      </c>
      <c r="B9914" s="1" t="n">
        <v>45477.73</v>
      </c>
      <c r="C9914" s="1" t="n">
        <v>45932</v>
      </c>
      <c r="D9914" t="inlineStr">
        <is>
          <t>VÄRMLANDS LÄN</t>
        </is>
      </c>
      <c r="E9914" t="inlineStr">
        <is>
          <t>KRISTINEHAMN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31606-2021</t>
        </is>
      </c>
      <c r="B9915" s="1" t="n">
        <v>44369</v>
      </c>
      <c r="C9915" s="1" t="n">
        <v>45932</v>
      </c>
      <c r="D9915" t="inlineStr">
        <is>
          <t>VÄRMLANDS LÄN</t>
        </is>
      </c>
      <c r="E9915" t="inlineStr">
        <is>
          <t>SUNNE</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22582-2024</t>
        </is>
      </c>
      <c r="B9916" s="1" t="n">
        <v>45447</v>
      </c>
      <c r="C9916" s="1" t="n">
        <v>45932</v>
      </c>
      <c r="D9916" t="inlineStr">
        <is>
          <t>VÄRMLANDS LÄN</t>
        </is>
      </c>
      <c r="E9916" t="inlineStr">
        <is>
          <t>FORSHAGA</t>
        </is>
      </c>
      <c r="F9916" t="inlineStr">
        <is>
          <t>Bergvik skog väst AB</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44140-2024</t>
        </is>
      </c>
      <c r="B9917" s="1" t="n">
        <v>45572</v>
      </c>
      <c r="C9917" s="1" t="n">
        <v>45932</v>
      </c>
      <c r="D9917" t="inlineStr">
        <is>
          <t>VÄRMLANDS LÄN</t>
        </is>
      </c>
      <c r="E9917" t="inlineStr">
        <is>
          <t>ÅRJÄNG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44182-2024</t>
        </is>
      </c>
      <c r="B9918" s="1" t="n">
        <v>45572</v>
      </c>
      <c r="C9918" s="1" t="n">
        <v>45932</v>
      </c>
      <c r="D9918" t="inlineStr">
        <is>
          <t>VÄRMLANDS LÄN</t>
        </is>
      </c>
      <c r="E9918" t="inlineStr">
        <is>
          <t>HAGFORS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28197-2024</t>
        </is>
      </c>
      <c r="B9919" s="1" t="n">
        <v>45477</v>
      </c>
      <c r="C9919" s="1" t="n">
        <v>45932</v>
      </c>
      <c r="D9919" t="inlineStr">
        <is>
          <t>VÄRMLANDS LÄN</t>
        </is>
      </c>
      <c r="E9919" t="inlineStr">
        <is>
          <t>EDA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37075-2021</t>
        </is>
      </c>
      <c r="B9920" s="1" t="n">
        <v>44394</v>
      </c>
      <c r="C9920" s="1" t="n">
        <v>45932</v>
      </c>
      <c r="D9920" t="inlineStr">
        <is>
          <t>VÄRMLANDS LÄN</t>
        </is>
      </c>
      <c r="E9920" t="inlineStr">
        <is>
          <t>TORSBY</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37084-2021</t>
        </is>
      </c>
      <c r="B9921" s="1" t="n">
        <v>44395.55420138889</v>
      </c>
      <c r="C9921" s="1" t="n">
        <v>45932</v>
      </c>
      <c r="D9921" t="inlineStr">
        <is>
          <t>VÄRMLANDS LÄN</t>
        </is>
      </c>
      <c r="E9921" t="inlineStr">
        <is>
          <t>SUNNE</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37006-2025</t>
        </is>
      </c>
      <c r="B9922" s="1" t="n">
        <v>45874</v>
      </c>
      <c r="C9922" s="1" t="n">
        <v>45932</v>
      </c>
      <c r="D9922" t="inlineStr">
        <is>
          <t>VÄRMLANDS LÄN</t>
        </is>
      </c>
      <c r="E9922" t="inlineStr">
        <is>
          <t>SUNNE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37028-2025</t>
        </is>
      </c>
      <c r="B9923" s="1" t="n">
        <v>45874.8867824074</v>
      </c>
      <c r="C9923" s="1" t="n">
        <v>45932</v>
      </c>
      <c r="D9923" t="inlineStr">
        <is>
          <t>VÄRMLANDS LÄN</t>
        </is>
      </c>
      <c r="E9923" t="inlineStr">
        <is>
          <t>KARLSTAD</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21396-2024</t>
        </is>
      </c>
      <c r="B9924" s="1" t="n">
        <v>45441</v>
      </c>
      <c r="C9924" s="1" t="n">
        <v>45932</v>
      </c>
      <c r="D9924" t="inlineStr">
        <is>
          <t>VÄRMLANDS LÄN</t>
        </is>
      </c>
      <c r="E9924" t="inlineStr">
        <is>
          <t>SÄFFLE</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22565-2024</t>
        </is>
      </c>
      <c r="B9925" s="1" t="n">
        <v>45447</v>
      </c>
      <c r="C9925" s="1" t="n">
        <v>45932</v>
      </c>
      <c r="D9925" t="inlineStr">
        <is>
          <t>VÄRMLANDS LÄN</t>
        </is>
      </c>
      <c r="E9925" t="inlineStr">
        <is>
          <t>TORSBY</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6503-2025</t>
        </is>
      </c>
      <c r="B9926" s="1" t="n">
        <v>45699</v>
      </c>
      <c r="C9926" s="1" t="n">
        <v>45932</v>
      </c>
      <c r="D9926" t="inlineStr">
        <is>
          <t>VÄRMLANDS LÄN</t>
        </is>
      </c>
      <c r="E9926" t="inlineStr">
        <is>
          <t>KIL</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6579-2025</t>
        </is>
      </c>
      <c r="B9927" s="1" t="n">
        <v>45699</v>
      </c>
      <c r="C9927" s="1" t="n">
        <v>45932</v>
      </c>
      <c r="D9927" t="inlineStr">
        <is>
          <t>VÄRMLANDS LÄN</t>
        </is>
      </c>
      <c r="E9927" t="inlineStr">
        <is>
          <t>MUNKFORS</t>
        </is>
      </c>
      <c r="F9927" t="inlineStr">
        <is>
          <t>Kommuner</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16591-2024</t>
        </is>
      </c>
      <c r="B9928" s="1" t="n">
        <v>45408.49420138889</v>
      </c>
      <c r="C9928" s="1" t="n">
        <v>45932</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36885-2025</t>
        </is>
      </c>
      <c r="B9929" s="1" t="n">
        <v>45874.4428125</v>
      </c>
      <c r="C9929" s="1" t="n">
        <v>45932</v>
      </c>
      <c r="D9929" t="inlineStr">
        <is>
          <t>VÄRMLANDS LÄN</t>
        </is>
      </c>
      <c r="E9929" t="inlineStr">
        <is>
          <t>SUNNE</t>
        </is>
      </c>
      <c r="F9929" t="inlineStr">
        <is>
          <t>Bergvik skog väst AB</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36296-2022</t>
        </is>
      </c>
      <c r="B9930" s="1" t="n">
        <v>44803</v>
      </c>
      <c r="C9930" s="1" t="n">
        <v>45932</v>
      </c>
      <c r="D9930" t="inlineStr">
        <is>
          <t>VÄRMLANDS LÄN</t>
        </is>
      </c>
      <c r="E9930" t="inlineStr">
        <is>
          <t>KIL</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34726-2023</t>
        </is>
      </c>
      <c r="B9931" s="1" t="n">
        <v>45141.35248842592</v>
      </c>
      <c r="C9931" s="1" t="n">
        <v>45932</v>
      </c>
      <c r="D9931" t="inlineStr">
        <is>
          <t>VÄRMLANDS LÄN</t>
        </is>
      </c>
      <c r="E9931" t="inlineStr">
        <is>
          <t>KARLSTAD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34727-2023</t>
        </is>
      </c>
      <c r="B9932" s="1" t="n">
        <v>45141.35356481482</v>
      </c>
      <c r="C9932" s="1" t="n">
        <v>45932</v>
      </c>
      <c r="D9932" t="inlineStr">
        <is>
          <t>VÄRMLANDS LÄN</t>
        </is>
      </c>
      <c r="E9932" t="inlineStr">
        <is>
          <t>KARLSTAD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54343-2020</t>
        </is>
      </c>
      <c r="B9933" s="1" t="n">
        <v>44126</v>
      </c>
      <c r="C9933" s="1" t="n">
        <v>45932</v>
      </c>
      <c r="D9933" t="inlineStr">
        <is>
          <t>VÄRMLANDS LÄN</t>
        </is>
      </c>
      <c r="E9933" t="inlineStr">
        <is>
          <t>KIL</t>
        </is>
      </c>
      <c r="G9933" t="n">
        <v>7.3</v>
      </c>
      <c r="H9933" t="n">
        <v>0</v>
      </c>
      <c r="I9933" t="n">
        <v>0</v>
      </c>
      <c r="J9933" t="n">
        <v>0</v>
      </c>
      <c r="K9933" t="n">
        <v>0</v>
      </c>
      <c r="L9933" t="n">
        <v>0</v>
      </c>
      <c r="M9933" t="n">
        <v>0</v>
      </c>
      <c r="N9933" t="n">
        <v>0</v>
      </c>
      <c r="O9933" t="n">
        <v>0</v>
      </c>
      <c r="P9933" t="n">
        <v>0</v>
      </c>
      <c r="Q9933" t="n">
        <v>0</v>
      </c>
      <c r="R9933" s="2" t="inlineStr"/>
    </row>
    <row r="9934" ht="15" customHeight="1">
      <c r="A9934" t="inlineStr">
        <is>
          <t>A 16757-2025</t>
        </is>
      </c>
      <c r="B9934" s="1" t="n">
        <v>45754</v>
      </c>
      <c r="C9934" s="1" t="n">
        <v>45932</v>
      </c>
      <c r="D9934" t="inlineStr">
        <is>
          <t>VÄRMLANDS LÄN</t>
        </is>
      </c>
      <c r="E9934" t="inlineStr">
        <is>
          <t>ARVIKA</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16762-2025</t>
        </is>
      </c>
      <c r="B9935" s="1" t="n">
        <v>45754.57711805555</v>
      </c>
      <c r="C9935" s="1" t="n">
        <v>45932</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44715-2025</t>
        </is>
      </c>
      <c r="B9936" s="1" t="n">
        <v>45917.62854166667</v>
      </c>
      <c r="C9936" s="1" t="n">
        <v>45932</v>
      </c>
      <c r="D9936" t="inlineStr">
        <is>
          <t>VÄRMLANDS LÄN</t>
        </is>
      </c>
      <c r="E9936" t="inlineStr">
        <is>
          <t>TORSBY</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36839-2025</t>
        </is>
      </c>
      <c r="B9937" s="1" t="n">
        <v>45874</v>
      </c>
      <c r="C9937" s="1" t="n">
        <v>45932</v>
      </c>
      <c r="D9937" t="inlineStr">
        <is>
          <t>VÄRMLANDS LÄN</t>
        </is>
      </c>
      <c r="E9937" t="inlineStr">
        <is>
          <t>ÅRJÄNG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42624-2022</t>
        </is>
      </c>
      <c r="B9938" s="1" t="n">
        <v>44831.88890046296</v>
      </c>
      <c r="C9938" s="1" t="n">
        <v>45932</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16319-2023</t>
        </is>
      </c>
      <c r="B9939" s="1" t="n">
        <v>45028</v>
      </c>
      <c r="C9939" s="1" t="n">
        <v>45932</v>
      </c>
      <c r="D9939" t="inlineStr">
        <is>
          <t>VÄRMLANDS LÄN</t>
        </is>
      </c>
      <c r="E9939" t="inlineStr">
        <is>
          <t>HAGFORS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8625-2022</t>
        </is>
      </c>
      <c r="B9940" s="1" t="n">
        <v>44613.61064814815</v>
      </c>
      <c r="C9940" s="1" t="n">
        <v>45932</v>
      </c>
      <c r="D9940" t="inlineStr">
        <is>
          <t>VÄRMLANDS LÄN</t>
        </is>
      </c>
      <c r="E9940" t="inlineStr">
        <is>
          <t>ÅRJÄNG</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36834-2025</t>
        </is>
      </c>
      <c r="B9941" s="1" t="n">
        <v>45874.35965277778</v>
      </c>
      <c r="C9941" s="1" t="n">
        <v>45932</v>
      </c>
      <c r="D9941" t="inlineStr">
        <is>
          <t>VÄRMLANDS LÄN</t>
        </is>
      </c>
      <c r="E9941" t="inlineStr">
        <is>
          <t>ÅRJÄNG</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36840-2025</t>
        </is>
      </c>
      <c r="B9942" s="1" t="n">
        <v>45874</v>
      </c>
      <c r="C9942" s="1" t="n">
        <v>45932</v>
      </c>
      <c r="D9942" t="inlineStr">
        <is>
          <t>VÄRMLANDS LÄN</t>
        </is>
      </c>
      <c r="E9942" t="inlineStr">
        <is>
          <t>SÄFFLE</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36857-2025</t>
        </is>
      </c>
      <c r="B9943" s="1" t="n">
        <v>45874.40488425926</v>
      </c>
      <c r="C9943" s="1" t="n">
        <v>45932</v>
      </c>
      <c r="D9943" t="inlineStr">
        <is>
          <t>VÄRMLANDS LÄN</t>
        </is>
      </c>
      <c r="E9943" t="inlineStr">
        <is>
          <t>ÅRJÄNG</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36865-2025</t>
        </is>
      </c>
      <c r="B9944" s="1" t="n">
        <v>45874.41655092593</v>
      </c>
      <c r="C9944" s="1" t="n">
        <v>45932</v>
      </c>
      <c r="D9944" t="inlineStr">
        <is>
          <t>VÄRMLANDS LÄN</t>
        </is>
      </c>
      <c r="E9944" t="inlineStr">
        <is>
          <t>ÅRJÄNG</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53460-2024</t>
        </is>
      </c>
      <c r="B9945" s="1" t="n">
        <v>45611</v>
      </c>
      <c r="C9945" s="1" t="n">
        <v>45932</v>
      </c>
      <c r="D9945" t="inlineStr">
        <is>
          <t>VÄRMLANDS LÄN</t>
        </is>
      </c>
      <c r="E9945" t="inlineStr">
        <is>
          <t>TORSBY</t>
        </is>
      </c>
      <c r="G9945" t="n">
        <v>12.7</v>
      </c>
      <c r="H9945" t="n">
        <v>0</v>
      </c>
      <c r="I9945" t="n">
        <v>0</v>
      </c>
      <c r="J9945" t="n">
        <v>0</v>
      </c>
      <c r="K9945" t="n">
        <v>0</v>
      </c>
      <c r="L9945" t="n">
        <v>0</v>
      </c>
      <c r="M9945" t="n">
        <v>0</v>
      </c>
      <c r="N9945" t="n">
        <v>0</v>
      </c>
      <c r="O9945" t="n">
        <v>0</v>
      </c>
      <c r="P9945" t="n">
        <v>0</v>
      </c>
      <c r="Q9945" t="n">
        <v>0</v>
      </c>
      <c r="R9945" s="2" t="inlineStr"/>
    </row>
    <row r="9946" ht="15" customHeight="1">
      <c r="A9946" t="inlineStr">
        <is>
          <t>A 36923-2025</t>
        </is>
      </c>
      <c r="B9946" s="1" t="n">
        <v>45874.54039351852</v>
      </c>
      <c r="C9946" s="1" t="n">
        <v>45932</v>
      </c>
      <c r="D9946" t="inlineStr">
        <is>
          <t>VÄRMLANDS LÄN</t>
        </is>
      </c>
      <c r="E9946" t="inlineStr">
        <is>
          <t>SUNNE</t>
        </is>
      </c>
      <c r="F9946" t="inlineStr">
        <is>
          <t>Bergvik skog väst AB</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36930-2025</t>
        </is>
      </c>
      <c r="B9947" s="1" t="n">
        <v>45874.55393518518</v>
      </c>
      <c r="C9947" s="1" t="n">
        <v>45932</v>
      </c>
      <c r="D9947" t="inlineStr">
        <is>
          <t>VÄRMLANDS LÄN</t>
        </is>
      </c>
      <c r="E9947" t="inlineStr">
        <is>
          <t>EDA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36835-2025</t>
        </is>
      </c>
      <c r="B9948" s="1" t="n">
        <v>45874</v>
      </c>
      <c r="C9948" s="1" t="n">
        <v>45932</v>
      </c>
      <c r="D9948" t="inlineStr">
        <is>
          <t>VÄRMLANDS LÄN</t>
        </is>
      </c>
      <c r="E9948" t="inlineStr">
        <is>
          <t>EDA</t>
        </is>
      </c>
      <c r="F9948" t="inlineStr">
        <is>
          <t>Bergvik skog väst AB</t>
        </is>
      </c>
      <c r="G9948" t="n">
        <v>13.9</v>
      </c>
      <c r="H9948" t="n">
        <v>0</v>
      </c>
      <c r="I9948" t="n">
        <v>0</v>
      </c>
      <c r="J9948" t="n">
        <v>0</v>
      </c>
      <c r="K9948" t="n">
        <v>0</v>
      </c>
      <c r="L9948" t="n">
        <v>0</v>
      </c>
      <c r="M9948" t="n">
        <v>0</v>
      </c>
      <c r="N9948" t="n">
        <v>0</v>
      </c>
      <c r="O9948" t="n">
        <v>0</v>
      </c>
      <c r="P9948" t="n">
        <v>0</v>
      </c>
      <c r="Q9948" t="n">
        <v>0</v>
      </c>
      <c r="R9948" s="2" t="inlineStr"/>
    </row>
    <row r="9949" ht="15" customHeight="1">
      <c r="A9949" t="inlineStr">
        <is>
          <t>A 66222-2021</t>
        </is>
      </c>
      <c r="B9949" s="1" t="n">
        <v>44518.3752662037</v>
      </c>
      <c r="C9949" s="1" t="n">
        <v>45932</v>
      </c>
      <c r="D9949" t="inlineStr">
        <is>
          <t>VÄRMLANDS LÄN</t>
        </is>
      </c>
      <c r="E9949" t="inlineStr">
        <is>
          <t>EDA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26090-2022</t>
        </is>
      </c>
      <c r="B9950" s="1" t="n">
        <v>44734.76909722222</v>
      </c>
      <c r="C9950" s="1" t="n">
        <v>45932</v>
      </c>
      <c r="D9950" t="inlineStr">
        <is>
          <t>VÄRMLANDS LÄN</t>
        </is>
      </c>
      <c r="E9950" t="inlineStr">
        <is>
          <t>ARVIKA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59014-2024</t>
        </is>
      </c>
      <c r="B9951" s="1" t="n">
        <v>45636</v>
      </c>
      <c r="C9951" s="1" t="n">
        <v>45932</v>
      </c>
      <c r="D9951" t="inlineStr">
        <is>
          <t>VÄRMLANDS LÄN</t>
        </is>
      </c>
      <c r="E9951" t="inlineStr">
        <is>
          <t>ÅRJÄNG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46914-2024</t>
        </is>
      </c>
      <c r="B9952" s="1" t="n">
        <v>45583.7577662037</v>
      </c>
      <c r="C9952" s="1" t="n">
        <v>45932</v>
      </c>
      <c r="D9952" t="inlineStr">
        <is>
          <t>VÄRMLANDS LÄN</t>
        </is>
      </c>
      <c r="E9952" t="inlineStr">
        <is>
          <t>TORSBY</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65171-2023</t>
        </is>
      </c>
      <c r="B9953" s="1" t="n">
        <v>45288.71099537037</v>
      </c>
      <c r="C9953" s="1" t="n">
        <v>45932</v>
      </c>
      <c r="D9953" t="inlineStr">
        <is>
          <t>VÄRMLANDS LÄN</t>
        </is>
      </c>
      <c r="E9953" t="inlineStr">
        <is>
          <t>ÅRJÄNG</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44564-2025</t>
        </is>
      </c>
      <c r="B9954" s="1" t="n">
        <v>45917</v>
      </c>
      <c r="C9954" s="1" t="n">
        <v>45932</v>
      </c>
      <c r="D9954" t="inlineStr">
        <is>
          <t>VÄRMLANDS LÄN</t>
        </is>
      </c>
      <c r="E9954" t="inlineStr">
        <is>
          <t>ARVIKA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44585-2025</t>
        </is>
      </c>
      <c r="B9955" s="1" t="n">
        <v>45917</v>
      </c>
      <c r="C9955" s="1" t="n">
        <v>45932</v>
      </c>
      <c r="D9955" t="inlineStr">
        <is>
          <t>VÄRMLANDS LÄN</t>
        </is>
      </c>
      <c r="E9955" t="inlineStr">
        <is>
          <t>ARVIKA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44615-2025</t>
        </is>
      </c>
      <c r="B9956" s="1" t="n">
        <v>45917.45476851852</v>
      </c>
      <c r="C9956" s="1" t="n">
        <v>45932</v>
      </c>
      <c r="D9956" t="inlineStr">
        <is>
          <t>VÄRMLANDS LÄN</t>
        </is>
      </c>
      <c r="E9956" t="inlineStr">
        <is>
          <t>KARLSTAD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45891-2024</t>
        </is>
      </c>
      <c r="B9957" s="1" t="n">
        <v>45580</v>
      </c>
      <c r="C9957" s="1" t="n">
        <v>45932</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45962-2024</t>
        </is>
      </c>
      <c r="B9958" s="1" t="n">
        <v>45580.57537037037</v>
      </c>
      <c r="C9958" s="1" t="n">
        <v>45932</v>
      </c>
      <c r="D9958" t="inlineStr">
        <is>
          <t>VÄRMLANDS LÄN</t>
        </is>
      </c>
      <c r="E9958" t="inlineStr">
        <is>
          <t>ARVIKA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35057-2023</t>
        </is>
      </c>
      <c r="B9959" s="1" t="n">
        <v>45145.3909375</v>
      </c>
      <c r="C9959" s="1" t="n">
        <v>45932</v>
      </c>
      <c r="D9959" t="inlineStr">
        <is>
          <t>VÄRMLANDS LÄN</t>
        </is>
      </c>
      <c r="E9959" t="inlineStr">
        <is>
          <t>TORSBY</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3083-2024</t>
        </is>
      </c>
      <c r="B9960" s="1" t="n">
        <v>45316.43739583333</v>
      </c>
      <c r="C9960" s="1" t="n">
        <v>45932</v>
      </c>
      <c r="D9960" t="inlineStr">
        <is>
          <t>VÄRMLANDS LÄN</t>
        </is>
      </c>
      <c r="E9960" t="inlineStr">
        <is>
          <t>SUNNE</t>
        </is>
      </c>
      <c r="F9960" t="inlineStr">
        <is>
          <t>Kommuner</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36920-2025</t>
        </is>
      </c>
      <c r="B9961" s="1" t="n">
        <v>45874</v>
      </c>
      <c r="C9961" s="1" t="n">
        <v>45932</v>
      </c>
      <c r="D9961" t="inlineStr">
        <is>
          <t>VÄRMLANDS LÄN</t>
        </is>
      </c>
      <c r="E9961" t="inlineStr">
        <is>
          <t>TORSBY</t>
        </is>
      </c>
      <c r="F9961" t="inlineStr">
        <is>
          <t>Bergvik skog väst AB</t>
        </is>
      </c>
      <c r="G9961" t="n">
        <v>15.9</v>
      </c>
      <c r="H9961" t="n">
        <v>0</v>
      </c>
      <c r="I9961" t="n">
        <v>0</v>
      </c>
      <c r="J9961" t="n">
        <v>0</v>
      </c>
      <c r="K9961" t="n">
        <v>0</v>
      </c>
      <c r="L9961" t="n">
        <v>0</v>
      </c>
      <c r="M9961" t="n">
        <v>0</v>
      </c>
      <c r="N9961" t="n">
        <v>0</v>
      </c>
      <c r="O9961" t="n">
        <v>0</v>
      </c>
      <c r="P9961" t="n">
        <v>0</v>
      </c>
      <c r="Q9961" t="n">
        <v>0</v>
      </c>
      <c r="R9961" s="2" t="inlineStr"/>
    </row>
    <row r="9962" ht="15" customHeight="1">
      <c r="A9962" t="inlineStr">
        <is>
          <t>A 36852-2025</t>
        </is>
      </c>
      <c r="B9962" s="1" t="n">
        <v>45874.39383101852</v>
      </c>
      <c r="C9962" s="1" t="n">
        <v>45932</v>
      </c>
      <c r="D9962" t="inlineStr">
        <is>
          <t>VÄRMLANDS LÄN</t>
        </is>
      </c>
      <c r="E9962" t="inlineStr">
        <is>
          <t>ARVIKA</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36867-2025</t>
        </is>
      </c>
      <c r="B9963" s="1" t="n">
        <v>45874.42763888889</v>
      </c>
      <c r="C9963" s="1" t="n">
        <v>45932</v>
      </c>
      <c r="D9963" t="inlineStr">
        <is>
          <t>VÄRMLANDS LÄN</t>
        </is>
      </c>
      <c r="E9963" t="inlineStr">
        <is>
          <t>SUNNE</t>
        </is>
      </c>
      <c r="F9963" t="inlineStr">
        <is>
          <t>Bergvik skog väst AB</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44381-2025</t>
        </is>
      </c>
      <c r="B9964" s="1" t="n">
        <v>45916.48342592592</v>
      </c>
      <c r="C9964" s="1" t="n">
        <v>45932</v>
      </c>
      <c r="D9964" t="inlineStr">
        <is>
          <t>VÄRMLANDS LÄN</t>
        </is>
      </c>
      <c r="E9964" t="inlineStr">
        <is>
          <t>SUNNE</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30853-2024</t>
        </is>
      </c>
      <c r="B9965" s="1" t="n">
        <v>45497.63994212963</v>
      </c>
      <c r="C9965" s="1" t="n">
        <v>45932</v>
      </c>
      <c r="D9965" t="inlineStr">
        <is>
          <t>VÄRMLANDS LÄN</t>
        </is>
      </c>
      <c r="E9965" t="inlineStr">
        <is>
          <t>SUNNE</t>
        </is>
      </c>
      <c r="F9965" t="inlineStr">
        <is>
          <t>Bergvik skog väst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14780-2024</t>
        </is>
      </c>
      <c r="B9966" s="1" t="n">
        <v>45397.74032407408</v>
      </c>
      <c r="C9966" s="1" t="n">
        <v>45932</v>
      </c>
      <c r="D9966" t="inlineStr">
        <is>
          <t>VÄRMLANDS LÄN</t>
        </is>
      </c>
      <c r="E9966" t="inlineStr">
        <is>
          <t>ARVIKA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14795-2024</t>
        </is>
      </c>
      <c r="B9967" s="1" t="n">
        <v>45397.85427083333</v>
      </c>
      <c r="C9967" s="1" t="n">
        <v>45932</v>
      </c>
      <c r="D9967" t="inlineStr">
        <is>
          <t>VÄRMLANDS LÄN</t>
        </is>
      </c>
      <c r="E9967" t="inlineStr">
        <is>
          <t>EDA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30855-2024</t>
        </is>
      </c>
      <c r="B9968" s="1" t="n">
        <v>45497.64699074074</v>
      </c>
      <c r="C9968" s="1" t="n">
        <v>45932</v>
      </c>
      <c r="D9968" t="inlineStr">
        <is>
          <t>VÄRMLANDS LÄN</t>
        </is>
      </c>
      <c r="E9968" t="inlineStr">
        <is>
          <t>SUNNE</t>
        </is>
      </c>
      <c r="F9968" t="inlineStr">
        <is>
          <t>Bergvik skog väst AB</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44431-2025</t>
        </is>
      </c>
      <c r="B9969" s="1" t="n">
        <v>45916.57724537037</v>
      </c>
      <c r="C9969" s="1" t="n">
        <v>45932</v>
      </c>
      <c r="D9969" t="inlineStr">
        <is>
          <t>VÄRMLANDS LÄN</t>
        </is>
      </c>
      <c r="E9969" t="inlineStr">
        <is>
          <t>SUNNE</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44036-2025</t>
        </is>
      </c>
      <c r="B9970" s="1" t="n">
        <v>45915</v>
      </c>
      <c r="C9970" s="1" t="n">
        <v>45932</v>
      </c>
      <c r="D9970" t="inlineStr">
        <is>
          <t>VÄRMLANDS LÄN</t>
        </is>
      </c>
      <c r="E9970" t="inlineStr">
        <is>
          <t>HAGFORS</t>
        </is>
      </c>
      <c r="F9970" t="inlineStr">
        <is>
          <t>Kyrkan</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44365-2025</t>
        </is>
      </c>
      <c r="B9971" s="1" t="n">
        <v>45916.4562962963</v>
      </c>
      <c r="C9971" s="1" t="n">
        <v>45932</v>
      </c>
      <c r="D9971" t="inlineStr">
        <is>
          <t>VÄRMLANDS LÄN</t>
        </is>
      </c>
      <c r="E9971" t="inlineStr">
        <is>
          <t>HAGFORS</t>
        </is>
      </c>
      <c r="F9971" t="inlineStr">
        <is>
          <t>Bergvik skog väst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44374-2025</t>
        </is>
      </c>
      <c r="B9972" s="1" t="n">
        <v>45916.47035879629</v>
      </c>
      <c r="C9972" s="1" t="n">
        <v>45932</v>
      </c>
      <c r="D9972" t="inlineStr">
        <is>
          <t>VÄRMLANDS LÄN</t>
        </is>
      </c>
      <c r="E9972" t="inlineStr">
        <is>
          <t>TORSBY</t>
        </is>
      </c>
      <c r="F9972" t="inlineStr">
        <is>
          <t>Bergvik skog väst AB</t>
        </is>
      </c>
      <c r="G9972" t="n">
        <v>10.5</v>
      </c>
      <c r="H9972" t="n">
        <v>0</v>
      </c>
      <c r="I9972" t="n">
        <v>0</v>
      </c>
      <c r="J9972" t="n">
        <v>0</v>
      </c>
      <c r="K9972" t="n">
        <v>0</v>
      </c>
      <c r="L9972" t="n">
        <v>0</v>
      </c>
      <c r="M9972" t="n">
        <v>0</v>
      </c>
      <c r="N9972" t="n">
        <v>0</v>
      </c>
      <c r="O9972" t="n">
        <v>0</v>
      </c>
      <c r="P9972" t="n">
        <v>0</v>
      </c>
      <c r="Q9972" t="n">
        <v>0</v>
      </c>
      <c r="R9972" s="2" t="inlineStr"/>
    </row>
    <row r="9973" ht="15" customHeight="1">
      <c r="A9973" t="inlineStr">
        <is>
          <t>A 44361-2025</t>
        </is>
      </c>
      <c r="B9973" s="1" t="n">
        <v>45916.4533912037</v>
      </c>
      <c r="C9973" s="1" t="n">
        <v>45932</v>
      </c>
      <c r="D9973" t="inlineStr">
        <is>
          <t>VÄRMLANDS LÄN</t>
        </is>
      </c>
      <c r="E9973" t="inlineStr">
        <is>
          <t>SUNNE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43113-2021</t>
        </is>
      </c>
      <c r="B9974" s="1" t="n">
        <v>44431</v>
      </c>
      <c r="C9974" s="1" t="n">
        <v>45932</v>
      </c>
      <c r="D9974" t="inlineStr">
        <is>
          <t>VÄRMLANDS LÄN</t>
        </is>
      </c>
      <c r="E9974" t="inlineStr">
        <is>
          <t>SUNNE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23046-2023</t>
        </is>
      </c>
      <c r="B9975" s="1" t="n">
        <v>45075</v>
      </c>
      <c r="C9975" s="1" t="n">
        <v>45932</v>
      </c>
      <c r="D9975" t="inlineStr">
        <is>
          <t>VÄRMLANDS LÄN</t>
        </is>
      </c>
      <c r="E9975" t="inlineStr">
        <is>
          <t>FILIPSTAD</t>
        </is>
      </c>
      <c r="F9975" t="inlineStr">
        <is>
          <t>Bergvik skog väst AB</t>
        </is>
      </c>
      <c r="G9975" t="n">
        <v>1.7</v>
      </c>
      <c r="H9975" t="n">
        <v>0</v>
      </c>
      <c r="I9975" t="n">
        <v>0</v>
      </c>
      <c r="J9975" t="n">
        <v>0</v>
      </c>
      <c r="K9975" t="n">
        <v>0</v>
      </c>
      <c r="L9975" t="n">
        <v>0</v>
      </c>
      <c r="M9975" t="n">
        <v>0</v>
      </c>
      <c r="N9975" t="n">
        <v>0</v>
      </c>
      <c r="O9975" t="n">
        <v>0</v>
      </c>
      <c r="P9975" t="n">
        <v>0</v>
      </c>
      <c r="Q9975" t="n">
        <v>0</v>
      </c>
      <c r="R9975" s="2" t="inlineStr"/>
      <c r="U9975">
        <f>HYPERLINK("https://klasma.github.io/Logging_1782/knärot/A 23046-2023 karta knärot.png", "A 23046-2023")</f>
        <v/>
      </c>
      <c r="V9975">
        <f>HYPERLINK("https://klasma.github.io/Logging_1782/klagomål/A 23046-2023 FSC-klagomål.docx", "A 23046-2023")</f>
        <v/>
      </c>
      <c r="W9975">
        <f>HYPERLINK("https://klasma.github.io/Logging_1782/klagomålsmail/A 23046-2023 FSC-klagomål mail.docx", "A 23046-2023")</f>
        <v/>
      </c>
      <c r="X9975">
        <f>HYPERLINK("https://klasma.github.io/Logging_1782/tillsyn/A 23046-2023 tillsynsbegäran.docx", "A 23046-2023")</f>
        <v/>
      </c>
      <c r="Y9975">
        <f>HYPERLINK("https://klasma.github.io/Logging_1782/tillsynsmail/A 23046-2023 tillsynsbegäran mail.docx", "A 23046-2023")</f>
        <v/>
      </c>
    </row>
    <row r="9976" ht="15" customHeight="1">
      <c r="A9976" t="inlineStr">
        <is>
          <t>A 23055-2023</t>
        </is>
      </c>
      <c r="B9976" s="1" t="n">
        <v>45075</v>
      </c>
      <c r="C9976" s="1" t="n">
        <v>45932</v>
      </c>
      <c r="D9976" t="inlineStr">
        <is>
          <t>VÄRMLANDS LÄN</t>
        </is>
      </c>
      <c r="E9976" t="inlineStr">
        <is>
          <t>SÄFFLE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43623-2025</t>
        </is>
      </c>
      <c r="B9977" s="1" t="n">
        <v>45911</v>
      </c>
      <c r="C9977" s="1" t="n">
        <v>45932</v>
      </c>
      <c r="D9977" t="inlineStr">
        <is>
          <t>VÄRMLANDS LÄN</t>
        </is>
      </c>
      <c r="E9977" t="inlineStr">
        <is>
          <t>KRISTINEHAMN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1411-2025</t>
        </is>
      </c>
      <c r="B9978" s="1" t="n">
        <v>45667</v>
      </c>
      <c r="C9978" s="1" t="n">
        <v>45932</v>
      </c>
      <c r="D9978" t="inlineStr">
        <is>
          <t>VÄRMLANDS LÄN</t>
        </is>
      </c>
      <c r="E9978" t="inlineStr">
        <is>
          <t>ARVIKA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56021-2023</t>
        </is>
      </c>
      <c r="B9979" s="1" t="n">
        <v>45240</v>
      </c>
      <c r="C9979" s="1" t="n">
        <v>45932</v>
      </c>
      <c r="D9979" t="inlineStr">
        <is>
          <t>VÄRMLANDS LÄN</t>
        </is>
      </c>
      <c r="E9979" t="inlineStr">
        <is>
          <t>TORSBY</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44259-2025</t>
        </is>
      </c>
      <c r="B9980" s="1" t="n">
        <v>45915.83709490741</v>
      </c>
      <c r="C9980" s="1" t="n">
        <v>45932</v>
      </c>
      <c r="D9980" t="inlineStr">
        <is>
          <t>VÄRMLANDS LÄN</t>
        </is>
      </c>
      <c r="E9980" t="inlineStr">
        <is>
          <t>ARVIKA</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44288-2025</t>
        </is>
      </c>
      <c r="B9981" s="1" t="n">
        <v>45916.3500462963</v>
      </c>
      <c r="C9981" s="1" t="n">
        <v>45932</v>
      </c>
      <c r="D9981" t="inlineStr">
        <is>
          <t>VÄRMLANDS LÄN</t>
        </is>
      </c>
      <c r="E9981" t="inlineStr">
        <is>
          <t>TORSBY</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44290-2025</t>
        </is>
      </c>
      <c r="B9982" s="1" t="n">
        <v>45916.35228009259</v>
      </c>
      <c r="C9982" s="1" t="n">
        <v>45932</v>
      </c>
      <c r="D9982" t="inlineStr">
        <is>
          <t>VÄRMLANDS LÄN</t>
        </is>
      </c>
      <c r="E9982" t="inlineStr">
        <is>
          <t>TORSBY</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44300-2025</t>
        </is>
      </c>
      <c r="B9983" s="1" t="n">
        <v>45916.3702662037</v>
      </c>
      <c r="C9983" s="1" t="n">
        <v>45932</v>
      </c>
      <c r="D9983" t="inlineStr">
        <is>
          <t>VÄRMLANDS LÄN</t>
        </is>
      </c>
      <c r="E9983" t="inlineStr">
        <is>
          <t>ÅRJÄNG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36847-2025</t>
        </is>
      </c>
      <c r="B9984" s="1" t="n">
        <v>45874</v>
      </c>
      <c r="C9984" s="1" t="n">
        <v>45932</v>
      </c>
      <c r="D9984" t="inlineStr">
        <is>
          <t>VÄRMLANDS LÄN</t>
        </is>
      </c>
      <c r="E9984" t="inlineStr">
        <is>
          <t>SÄFFLE</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36855-2025</t>
        </is>
      </c>
      <c r="B9985" s="1" t="n">
        <v>45874</v>
      </c>
      <c r="C9985" s="1" t="n">
        <v>45932</v>
      </c>
      <c r="D9985" t="inlineStr">
        <is>
          <t>VÄRMLANDS LÄN</t>
        </is>
      </c>
      <c r="E9985" t="inlineStr">
        <is>
          <t>SÄFFLE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36856-2025</t>
        </is>
      </c>
      <c r="B9986" s="1" t="n">
        <v>45874.40421296296</v>
      </c>
      <c r="C9986" s="1" t="n">
        <v>45932</v>
      </c>
      <c r="D9986" t="inlineStr">
        <is>
          <t>VÄRMLANDS LÄN</t>
        </is>
      </c>
      <c r="E9986" t="inlineStr">
        <is>
          <t>TORSBY</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36875-2025</t>
        </is>
      </c>
      <c r="B9987" s="1" t="n">
        <v>45874.43059027778</v>
      </c>
      <c r="C9987" s="1" t="n">
        <v>45932</v>
      </c>
      <c r="D9987" t="inlineStr">
        <is>
          <t>VÄRMLANDS LÄN</t>
        </is>
      </c>
      <c r="E9987" t="inlineStr">
        <is>
          <t>SUNNE</t>
        </is>
      </c>
      <c r="F9987" t="inlineStr">
        <is>
          <t>Bergvik skog väst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36899-2025</t>
        </is>
      </c>
      <c r="B9988" s="1" t="n">
        <v>45874</v>
      </c>
      <c r="C9988" s="1" t="n">
        <v>45932</v>
      </c>
      <c r="D9988" t="inlineStr">
        <is>
          <t>VÄRMLANDS LÄN</t>
        </is>
      </c>
      <c r="E9988" t="inlineStr">
        <is>
          <t>SÄFFLE</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44160-2025</t>
        </is>
      </c>
      <c r="B9989" s="1" t="n">
        <v>45915.59703703703</v>
      </c>
      <c r="C9989" s="1" t="n">
        <v>45932</v>
      </c>
      <c r="D9989" t="inlineStr">
        <is>
          <t>VÄRMLANDS LÄN</t>
        </is>
      </c>
      <c r="E9989" t="inlineStr">
        <is>
          <t>GRUMS</t>
        </is>
      </c>
      <c r="F9989" t="inlineStr">
        <is>
          <t>Kommuner</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32340-2024</t>
        </is>
      </c>
      <c r="B9990" s="1" t="n">
        <v>45512.50826388889</v>
      </c>
      <c r="C9990" s="1" t="n">
        <v>45932</v>
      </c>
      <c r="D9990" t="inlineStr">
        <is>
          <t>VÄRMLANDS LÄN</t>
        </is>
      </c>
      <c r="E9990" t="inlineStr">
        <is>
          <t>TORSBY</t>
        </is>
      </c>
      <c r="G9990" t="n">
        <v>9.9</v>
      </c>
      <c r="H9990" t="n">
        <v>0</v>
      </c>
      <c r="I9990" t="n">
        <v>0</v>
      </c>
      <c r="J9990" t="n">
        <v>0</v>
      </c>
      <c r="K9990" t="n">
        <v>0</v>
      </c>
      <c r="L9990" t="n">
        <v>0</v>
      </c>
      <c r="M9990" t="n">
        <v>0</v>
      </c>
      <c r="N9990" t="n">
        <v>0</v>
      </c>
      <c r="O9990" t="n">
        <v>0</v>
      </c>
      <c r="P9990" t="n">
        <v>0</v>
      </c>
      <c r="Q9990" t="n">
        <v>0</v>
      </c>
      <c r="R9990" s="2" t="inlineStr"/>
    </row>
    <row r="9991" ht="15" customHeight="1">
      <c r="A9991" t="inlineStr">
        <is>
          <t>A 28467-2022</t>
        </is>
      </c>
      <c r="B9991" s="1" t="n">
        <v>44747.74592592593</v>
      </c>
      <c r="C9991" s="1" t="n">
        <v>45932</v>
      </c>
      <c r="D9991" t="inlineStr">
        <is>
          <t>VÄRMLANDS LÄN</t>
        </is>
      </c>
      <c r="E9991" t="inlineStr">
        <is>
          <t>STORFORS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57893-2023</t>
        </is>
      </c>
      <c r="B9992" s="1" t="n">
        <v>45247</v>
      </c>
      <c r="C9992" s="1" t="n">
        <v>45932</v>
      </c>
      <c r="D9992" t="inlineStr">
        <is>
          <t>VÄRMLANDS LÄN</t>
        </is>
      </c>
      <c r="E9992" t="inlineStr">
        <is>
          <t>HAMMARÖ</t>
        </is>
      </c>
      <c r="F9992" t="inlineStr">
        <is>
          <t>Kommuner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15308-2022</t>
        </is>
      </c>
      <c r="B9993" s="1" t="n">
        <v>44659.45865740741</v>
      </c>
      <c r="C9993" s="1" t="n">
        <v>45932</v>
      </c>
      <c r="D9993" t="inlineStr">
        <is>
          <t>VÄRMLANDS LÄN</t>
        </is>
      </c>
      <c r="E9993" t="inlineStr">
        <is>
          <t>ÅRJÄNG</t>
        </is>
      </c>
      <c r="G9993" t="n">
        <v>10.7</v>
      </c>
      <c r="H9993" t="n">
        <v>0</v>
      </c>
      <c r="I9993" t="n">
        <v>0</v>
      </c>
      <c r="J9993" t="n">
        <v>0</v>
      </c>
      <c r="K9993" t="n">
        <v>0</v>
      </c>
      <c r="L9993" t="n">
        <v>0</v>
      </c>
      <c r="M9993" t="n">
        <v>0</v>
      </c>
      <c r="N9993" t="n">
        <v>0</v>
      </c>
      <c r="O9993" t="n">
        <v>0</v>
      </c>
      <c r="P9993" t="n">
        <v>0</v>
      </c>
      <c r="Q9993" t="n">
        <v>0</v>
      </c>
      <c r="R9993" s="2" t="inlineStr"/>
    </row>
    <row r="9994" ht="15" customHeight="1">
      <c r="A9994" t="inlineStr">
        <is>
          <t>A 36831-2025</t>
        </is>
      </c>
      <c r="B9994" s="1" t="n">
        <v>45874</v>
      </c>
      <c r="C9994" s="1" t="n">
        <v>45932</v>
      </c>
      <c r="D9994" t="inlineStr">
        <is>
          <t>VÄRMLANDS LÄN</t>
        </is>
      </c>
      <c r="E9994" t="inlineStr">
        <is>
          <t>ÅRJÄNG</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44473-2025</t>
        </is>
      </c>
      <c r="B9995" s="1" t="n">
        <v>45916.64385416666</v>
      </c>
      <c r="C9995" s="1" t="n">
        <v>45932</v>
      </c>
      <c r="D9995" t="inlineStr">
        <is>
          <t>VÄRMLANDS LÄN</t>
        </is>
      </c>
      <c r="E9995" t="inlineStr">
        <is>
          <t>SUNNE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34803-2021</t>
        </is>
      </c>
      <c r="B9996" s="1" t="n">
        <v>44383</v>
      </c>
      <c r="C9996" s="1" t="n">
        <v>45932</v>
      </c>
      <c r="D9996" t="inlineStr">
        <is>
          <t>VÄRMLANDS LÄN</t>
        </is>
      </c>
      <c r="E9996" t="inlineStr">
        <is>
          <t>ÅRJÄNG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56662-2023</t>
        </is>
      </c>
      <c r="B9997" s="1" t="n">
        <v>45243.8634375</v>
      </c>
      <c r="C9997" s="1" t="n">
        <v>45932</v>
      </c>
      <c r="D9997" t="inlineStr">
        <is>
          <t>VÄRMLANDS LÄN</t>
        </is>
      </c>
      <c r="E9997" t="inlineStr">
        <is>
          <t>KRISTINEHAMN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23847-2023</t>
        </is>
      </c>
      <c r="B9998" s="1" t="n">
        <v>45078</v>
      </c>
      <c r="C9998" s="1" t="n">
        <v>45932</v>
      </c>
      <c r="D9998" t="inlineStr">
        <is>
          <t>VÄRMLANDS LÄN</t>
        </is>
      </c>
      <c r="E9998" t="inlineStr">
        <is>
          <t>ÅRJÄNG</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9004-2023</t>
        </is>
      </c>
      <c r="B9999" s="1" t="n">
        <v>44979.58105324074</v>
      </c>
      <c r="C9999" s="1" t="n">
        <v>45932</v>
      </c>
      <c r="D9999" t="inlineStr">
        <is>
          <t>VÄRMLANDS LÄN</t>
        </is>
      </c>
      <c r="E9999" t="inlineStr">
        <is>
          <t>SUNNE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8012-2023</t>
        </is>
      </c>
      <c r="B10000" s="1" t="n">
        <v>44973</v>
      </c>
      <c r="C10000" s="1" t="n">
        <v>45932</v>
      </c>
      <c r="D10000" t="inlineStr">
        <is>
          <t>VÄRMLANDS LÄN</t>
        </is>
      </c>
      <c r="E10000" t="inlineStr">
        <is>
          <t>TORSBY</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36917-2024</t>
        </is>
      </c>
      <c r="B10001" s="1" t="n">
        <v>45538.65065972223</v>
      </c>
      <c r="C10001" s="1" t="n">
        <v>45932</v>
      </c>
      <c r="D10001" t="inlineStr">
        <is>
          <t>VÄRMLANDS LÄN</t>
        </is>
      </c>
      <c r="E10001" t="inlineStr">
        <is>
          <t>TORSBY</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36922-2024</t>
        </is>
      </c>
      <c r="B10002" s="1" t="n">
        <v>45538</v>
      </c>
      <c r="C10002" s="1" t="n">
        <v>45932</v>
      </c>
      <c r="D10002" t="inlineStr">
        <is>
          <t>VÄRMLANDS LÄN</t>
        </is>
      </c>
      <c r="E10002" t="inlineStr">
        <is>
          <t>TORSBY</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20465-2023</t>
        </is>
      </c>
      <c r="B10003" s="1" t="n">
        <v>45057.28254629629</v>
      </c>
      <c r="C10003" s="1" t="n">
        <v>45932</v>
      </c>
      <c r="D10003" t="inlineStr">
        <is>
          <t>VÄRMLANDS LÄN</t>
        </is>
      </c>
      <c r="E10003" t="inlineStr">
        <is>
          <t>SUNNE</t>
        </is>
      </c>
      <c r="F10003" t="inlineStr">
        <is>
          <t>Kyrkan</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39583-2025</t>
        </is>
      </c>
      <c r="B10004" s="1" t="n">
        <v>45890</v>
      </c>
      <c r="C10004" s="1" t="n">
        <v>45932</v>
      </c>
      <c r="D10004" t="inlineStr">
        <is>
          <t>VÄRMLANDS LÄN</t>
        </is>
      </c>
      <c r="E10004" t="inlineStr">
        <is>
          <t>ARVIKA</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31226-2025</t>
        </is>
      </c>
      <c r="B10005" s="1" t="n">
        <v>45832</v>
      </c>
      <c r="C10005" s="1" t="n">
        <v>45932</v>
      </c>
      <c r="D10005" t="inlineStr">
        <is>
          <t>VÄRMLANDS LÄN</t>
        </is>
      </c>
      <c r="E10005" t="inlineStr">
        <is>
          <t>SÄFFLE</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27233-2024</t>
        </is>
      </c>
      <c r="B10006" s="1" t="n">
        <v>45471.6508912037</v>
      </c>
      <c r="C10006" s="1" t="n">
        <v>45932</v>
      </c>
      <c r="D10006" t="inlineStr">
        <is>
          <t>VÄRMLANDS LÄN</t>
        </is>
      </c>
      <c r="E10006" t="inlineStr">
        <is>
          <t>SÄFFLE</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4253-2024</t>
        </is>
      </c>
      <c r="B10007" s="1" t="n">
        <v>45324.4834837963</v>
      </c>
      <c r="C10007" s="1" t="n">
        <v>45932</v>
      </c>
      <c r="D10007" t="inlineStr">
        <is>
          <t>VÄRMLANDS LÄN</t>
        </is>
      </c>
      <c r="E10007" t="inlineStr">
        <is>
          <t>SÄFFLE</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36898-2025</t>
        </is>
      </c>
      <c r="B10008" s="1" t="n">
        <v>45874.47643518518</v>
      </c>
      <c r="C10008" s="1" t="n">
        <v>45932</v>
      </c>
      <c r="D10008" t="inlineStr">
        <is>
          <t>VÄRMLANDS LÄN</t>
        </is>
      </c>
      <c r="E10008" t="inlineStr">
        <is>
          <t>SUNNE</t>
        </is>
      </c>
      <c r="F10008" t="inlineStr">
        <is>
          <t>Bergvik skog väst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36900-2025</t>
        </is>
      </c>
      <c r="B10009" s="1" t="n">
        <v>45874.48020833333</v>
      </c>
      <c r="C10009" s="1" t="n">
        <v>45932</v>
      </c>
      <c r="D10009" t="inlineStr">
        <is>
          <t>VÄRMLANDS LÄN</t>
        </is>
      </c>
      <c r="E10009" t="inlineStr">
        <is>
          <t>EDA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16484-2022</t>
        </is>
      </c>
      <c r="B10010" s="1" t="n">
        <v>44671</v>
      </c>
      <c r="C10010" s="1" t="n">
        <v>45932</v>
      </c>
      <c r="D10010" t="inlineStr">
        <is>
          <t>VÄRMLANDS LÄN</t>
        </is>
      </c>
      <c r="E10010" t="inlineStr">
        <is>
          <t>SÄFFLE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74430-2021</t>
        </is>
      </c>
      <c r="B10011" s="1" t="n">
        <v>44560.43342592593</v>
      </c>
      <c r="C10011" s="1" t="n">
        <v>45932</v>
      </c>
      <c r="D10011" t="inlineStr">
        <is>
          <t>VÄRMLANDS LÄN</t>
        </is>
      </c>
      <c r="E10011" t="inlineStr">
        <is>
          <t>ÅRJÄNG</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36949-2025</t>
        </is>
      </c>
      <c r="B10012" s="1" t="n">
        <v>45874.60010416667</v>
      </c>
      <c r="C10012" s="1" t="n">
        <v>45932</v>
      </c>
      <c r="D10012" t="inlineStr">
        <is>
          <t>VÄRMLANDS LÄN</t>
        </is>
      </c>
      <c r="E10012" t="inlineStr">
        <is>
          <t>FILIPSTAD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7700-2023</t>
        </is>
      </c>
      <c r="B10013" s="1" t="n">
        <v>44967</v>
      </c>
      <c r="C10013" s="1" t="n">
        <v>45932</v>
      </c>
      <c r="D10013" t="inlineStr">
        <is>
          <t>VÄRMLANDS LÄN</t>
        </is>
      </c>
      <c r="E10013" t="inlineStr">
        <is>
          <t>ÅRJÄNG</t>
        </is>
      </c>
      <c r="F10013" t="inlineStr">
        <is>
          <t>Övriga Aktiebolag</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37409-2025</t>
        </is>
      </c>
      <c r="B10014" s="1" t="n">
        <v>45877</v>
      </c>
      <c r="C10014" s="1" t="n">
        <v>45932</v>
      </c>
      <c r="D10014" t="inlineStr">
        <is>
          <t>VÄRMLANDS LÄN</t>
        </is>
      </c>
      <c r="E10014" t="inlineStr">
        <is>
          <t>ÅRJÄNG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50537-2023</t>
        </is>
      </c>
      <c r="B10015" s="1" t="n">
        <v>45217</v>
      </c>
      <c r="C10015" s="1" t="n">
        <v>45932</v>
      </c>
      <c r="D10015" t="inlineStr">
        <is>
          <t>VÄRMLANDS LÄN</t>
        </is>
      </c>
      <c r="E10015" t="inlineStr">
        <is>
          <t>ÅRJÄNG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3645-2023</t>
        </is>
      </c>
      <c r="B10016" s="1" t="n">
        <v>44950.70296296296</v>
      </c>
      <c r="C10016" s="1" t="n">
        <v>45932</v>
      </c>
      <c r="D10016" t="inlineStr">
        <is>
          <t>VÄRMLANDS LÄN</t>
        </is>
      </c>
      <c r="E10016" t="inlineStr">
        <is>
          <t>ARVIKA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44321-2025</t>
        </is>
      </c>
      <c r="B10017" s="1" t="n">
        <v>45916.40230324074</v>
      </c>
      <c r="C10017" s="1" t="n">
        <v>45932</v>
      </c>
      <c r="D10017" t="inlineStr">
        <is>
          <t>VÄRMLANDS LÄN</t>
        </is>
      </c>
      <c r="E10017" t="inlineStr">
        <is>
          <t>ARVIKA</t>
        </is>
      </c>
      <c r="F10017" t="inlineStr">
        <is>
          <t>Bergvik skog väst AB</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28466-2022</t>
        </is>
      </c>
      <c r="B10018" s="1" t="n">
        <v>44747.74182870371</v>
      </c>
      <c r="C10018" s="1" t="n">
        <v>45932</v>
      </c>
      <c r="D10018" t="inlineStr">
        <is>
          <t>VÄRMLANDS LÄN</t>
        </is>
      </c>
      <c r="E10018" t="inlineStr">
        <is>
          <t>STORFORS</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51046-2024</t>
        </is>
      </c>
      <c r="B10019" s="1" t="n">
        <v>45603.44505787037</v>
      </c>
      <c r="C10019" s="1" t="n">
        <v>45932</v>
      </c>
      <c r="D10019" t="inlineStr">
        <is>
          <t>VÄRMLANDS LÄN</t>
        </is>
      </c>
      <c r="E10019" t="inlineStr">
        <is>
          <t>SUNNE</t>
        </is>
      </c>
      <c r="F10019" t="inlineStr">
        <is>
          <t>Bergvik skog väst AB</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44497-2025</t>
        </is>
      </c>
      <c r="B10020" s="1" t="n">
        <v>45916.67107638889</v>
      </c>
      <c r="C10020" s="1" t="n">
        <v>45932</v>
      </c>
      <c r="D10020" t="inlineStr">
        <is>
          <t>VÄRMLANDS LÄN</t>
        </is>
      </c>
      <c r="E10020" t="inlineStr">
        <is>
          <t>GRUMS</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56522-2021</t>
        </is>
      </c>
      <c r="B10021" s="1" t="n">
        <v>44480</v>
      </c>
      <c r="C10021" s="1" t="n">
        <v>45932</v>
      </c>
      <c r="D10021" t="inlineStr">
        <is>
          <t>VÄRMLANDS LÄN</t>
        </is>
      </c>
      <c r="E10021" t="inlineStr">
        <is>
          <t>KRISTINEHAMN</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51266-2021</t>
        </is>
      </c>
      <c r="B10022" s="1" t="n">
        <v>44461.56226851852</v>
      </c>
      <c r="C10022" s="1" t="n">
        <v>45932</v>
      </c>
      <c r="D10022" t="inlineStr">
        <is>
          <t>VÄRMLANDS LÄN</t>
        </is>
      </c>
      <c r="E10022" t="inlineStr">
        <is>
          <t>FILIPSTAD</t>
        </is>
      </c>
      <c r="G10022" t="n">
        <v>4.7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44533-2025</t>
        </is>
      </c>
      <c r="B10023" s="1" t="n">
        <v>45916</v>
      </c>
      <c r="C10023" s="1" t="n">
        <v>45932</v>
      </c>
      <c r="D10023" t="inlineStr">
        <is>
          <t>VÄRMLANDS LÄN</t>
        </is>
      </c>
      <c r="E10023" t="inlineStr">
        <is>
          <t>ARVIKA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36819-2025</t>
        </is>
      </c>
      <c r="B10024" s="1" t="n">
        <v>45873.84164351852</v>
      </c>
      <c r="C10024" s="1" t="n">
        <v>45932</v>
      </c>
      <c r="D10024" t="inlineStr">
        <is>
          <t>VÄRMLANDS LÄN</t>
        </is>
      </c>
      <c r="E10024" t="inlineStr">
        <is>
          <t>ÅRJÄNG</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42931-2025</t>
        </is>
      </c>
      <c r="B10025" s="1" t="n">
        <v>45909</v>
      </c>
      <c r="C10025" s="1" t="n">
        <v>45932</v>
      </c>
      <c r="D10025" t="inlineStr">
        <is>
          <t>VÄRMLANDS LÄN</t>
        </is>
      </c>
      <c r="E10025" t="inlineStr">
        <is>
          <t>TORSBY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21492-2023</t>
        </is>
      </c>
      <c r="B10026" s="1" t="n">
        <v>45063</v>
      </c>
      <c r="C10026" s="1" t="n">
        <v>45932</v>
      </c>
      <c r="D10026" t="inlineStr">
        <is>
          <t>VÄRMLANDS LÄN</t>
        </is>
      </c>
      <c r="E10026" t="inlineStr">
        <is>
          <t>SÄFFLE</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57233-2023</t>
        </is>
      </c>
      <c r="B10027" s="1" t="n">
        <v>45245.54103009259</v>
      </c>
      <c r="C10027" s="1" t="n">
        <v>45932</v>
      </c>
      <c r="D10027" t="inlineStr">
        <is>
          <t>VÄRMLANDS LÄN</t>
        </is>
      </c>
      <c r="E10027" t="inlineStr">
        <is>
          <t>GRUMS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26993-2025</t>
        </is>
      </c>
      <c r="B10028" s="1" t="n">
        <v>45811</v>
      </c>
      <c r="C10028" s="1" t="n">
        <v>45932</v>
      </c>
      <c r="D10028" t="inlineStr">
        <is>
          <t>VÄRMLANDS LÄN</t>
        </is>
      </c>
      <c r="E10028" t="inlineStr">
        <is>
          <t>ARVIKA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58223-2020</t>
        </is>
      </c>
      <c r="B10029" s="1" t="n">
        <v>44144</v>
      </c>
      <c r="C10029" s="1" t="n">
        <v>45932</v>
      </c>
      <c r="D10029" t="inlineStr">
        <is>
          <t>VÄRMLANDS LÄN</t>
        </is>
      </c>
      <c r="E10029" t="inlineStr">
        <is>
          <t>SUNNE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58956-2022</t>
        </is>
      </c>
      <c r="B10030" s="1" t="n">
        <v>44903.65895833333</v>
      </c>
      <c r="C10030" s="1" t="n">
        <v>45932</v>
      </c>
      <c r="D10030" t="inlineStr">
        <is>
          <t>VÄRMLANDS LÄN</t>
        </is>
      </c>
      <c r="E10030" t="inlineStr">
        <is>
          <t>TORSBY</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39640-2022</t>
        </is>
      </c>
      <c r="B10031" s="1" t="n">
        <v>44817</v>
      </c>
      <c r="C10031" s="1" t="n">
        <v>45932</v>
      </c>
      <c r="D10031" t="inlineStr">
        <is>
          <t>VÄRMLANDS LÄN</t>
        </is>
      </c>
      <c r="E10031" t="inlineStr">
        <is>
          <t>HAGFORS</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9144-2024</t>
        </is>
      </c>
      <c r="B10032" s="1" t="n">
        <v>45358.37327546296</v>
      </c>
      <c r="C10032" s="1" t="n">
        <v>45932</v>
      </c>
      <c r="D10032" t="inlineStr">
        <is>
          <t>VÄRMLANDS LÄN</t>
        </is>
      </c>
      <c r="E10032" t="inlineStr">
        <is>
          <t>GRUMS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1735-2023</t>
        </is>
      </c>
      <c r="B10033" s="1" t="n">
        <v>44938</v>
      </c>
      <c r="C10033" s="1" t="n">
        <v>45932</v>
      </c>
      <c r="D10033" t="inlineStr">
        <is>
          <t>VÄRMLANDS LÄN</t>
        </is>
      </c>
      <c r="E10033" t="inlineStr">
        <is>
          <t>HAGFORS</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59479-2024</t>
        </is>
      </c>
      <c r="B10034" s="1" t="n">
        <v>45638.52420138889</v>
      </c>
      <c r="C10034" s="1" t="n">
        <v>45932</v>
      </c>
      <c r="D10034" t="inlineStr">
        <is>
          <t>VÄRMLANDS LÄN</t>
        </is>
      </c>
      <c r="E10034" t="inlineStr">
        <is>
          <t>ÅRJÄNG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42932-2025</t>
        </is>
      </c>
      <c r="B10035" s="1" t="n">
        <v>45909</v>
      </c>
      <c r="C10035" s="1" t="n">
        <v>45932</v>
      </c>
      <c r="D10035" t="inlineStr">
        <is>
          <t>VÄRMLANDS LÄN</t>
        </is>
      </c>
      <c r="E10035" t="inlineStr">
        <is>
          <t>TORSBY</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9160-2024</t>
        </is>
      </c>
      <c r="B10036" s="1" t="n">
        <v>45358.39800925926</v>
      </c>
      <c r="C10036" s="1" t="n">
        <v>45932</v>
      </c>
      <c r="D10036" t="inlineStr">
        <is>
          <t>VÄRMLANDS LÄN</t>
        </is>
      </c>
      <c r="E10036" t="inlineStr">
        <is>
          <t>EDA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37260-2025</t>
        </is>
      </c>
      <c r="B10037" s="1" t="n">
        <v>45876</v>
      </c>
      <c r="C10037" s="1" t="n">
        <v>45932</v>
      </c>
      <c r="D10037" t="inlineStr">
        <is>
          <t>VÄRMLANDS LÄN</t>
        </is>
      </c>
      <c r="E10037" t="inlineStr">
        <is>
          <t>TORSBY</t>
        </is>
      </c>
      <c r="F10037" t="inlineStr">
        <is>
          <t>Bergvik skog väst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29373-2023</t>
        </is>
      </c>
      <c r="B10038" s="1" t="n">
        <v>45106</v>
      </c>
      <c r="C10038" s="1" t="n">
        <v>45932</v>
      </c>
      <c r="D10038" t="inlineStr">
        <is>
          <t>VÄRMLANDS LÄN</t>
        </is>
      </c>
      <c r="E10038" t="inlineStr">
        <is>
          <t>HAGFORS</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621-2024</t>
        </is>
      </c>
      <c r="B10039" s="1" t="n">
        <v>45299.66635416666</v>
      </c>
      <c r="C10039" s="1" t="n">
        <v>45932</v>
      </c>
      <c r="D10039" t="inlineStr">
        <is>
          <t>VÄRMLANDS LÄN</t>
        </is>
      </c>
      <c r="E10039" t="inlineStr">
        <is>
          <t>KARLSTAD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37481-2025</t>
        </is>
      </c>
      <c r="B10040" s="1" t="n">
        <v>45877.61613425926</v>
      </c>
      <c r="C10040" s="1" t="n">
        <v>45932</v>
      </c>
      <c r="D10040" t="inlineStr">
        <is>
          <t>VÄRMLANDS LÄN</t>
        </is>
      </c>
      <c r="E10040" t="inlineStr">
        <is>
          <t>SUNNE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37484-2025</t>
        </is>
      </c>
      <c r="B10041" s="1" t="n">
        <v>45877</v>
      </c>
      <c r="C10041" s="1" t="n">
        <v>45932</v>
      </c>
      <c r="D10041" t="inlineStr">
        <is>
          <t>VÄRMLANDS LÄN</t>
        </is>
      </c>
      <c r="E10041" t="inlineStr">
        <is>
          <t>ÅRJÄNG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44808-2025</t>
        </is>
      </c>
      <c r="B10042" s="1" t="n">
        <v>45918</v>
      </c>
      <c r="C10042" s="1" t="n">
        <v>45932</v>
      </c>
      <c r="D10042" t="inlineStr">
        <is>
          <t>VÄRMLANDS LÄN</t>
        </is>
      </c>
      <c r="E10042" t="inlineStr">
        <is>
          <t>TORSBY</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345-2023</t>
        </is>
      </c>
      <c r="B10043" s="1" t="n">
        <v>44923</v>
      </c>
      <c r="C10043" s="1" t="n">
        <v>45932</v>
      </c>
      <c r="D10043" t="inlineStr">
        <is>
          <t>VÄRMLANDS LÄN</t>
        </is>
      </c>
      <c r="E10043" t="inlineStr">
        <is>
          <t>TORSBY</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359-2023</t>
        </is>
      </c>
      <c r="B10044" s="1" t="n">
        <v>44923</v>
      </c>
      <c r="C10044" s="1" t="n">
        <v>45932</v>
      </c>
      <c r="D10044" t="inlineStr">
        <is>
          <t>VÄRMLANDS LÄN</t>
        </is>
      </c>
      <c r="E10044" t="inlineStr">
        <is>
          <t>KRISTINEHAMN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45038-2025</t>
        </is>
      </c>
      <c r="B10045" s="1" t="n">
        <v>45918.7137037037</v>
      </c>
      <c r="C10045" s="1" t="n">
        <v>45932</v>
      </c>
      <c r="D10045" t="inlineStr">
        <is>
          <t>VÄRMLANDS LÄN</t>
        </is>
      </c>
      <c r="E10045" t="inlineStr">
        <is>
          <t>SUNNE</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2351-2024</t>
        </is>
      </c>
      <c r="B10046" s="1" t="n">
        <v>45310.58418981481</v>
      </c>
      <c r="C10046" s="1" t="n">
        <v>45932</v>
      </c>
      <c r="D10046" t="inlineStr">
        <is>
          <t>VÄRMLANDS LÄN</t>
        </is>
      </c>
      <c r="E10046" t="inlineStr">
        <is>
          <t>SÄFFLE</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39504-2022</t>
        </is>
      </c>
      <c r="B10047" s="1" t="n">
        <v>44818.46552083334</v>
      </c>
      <c r="C10047" s="1" t="n">
        <v>45932</v>
      </c>
      <c r="D10047" t="inlineStr">
        <is>
          <t>VÄRMLANDS LÄN</t>
        </is>
      </c>
      <c r="E10047" t="inlineStr">
        <is>
          <t>KARLSTAD</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41127-2024</t>
        </is>
      </c>
      <c r="B10048" s="1" t="n">
        <v>45559</v>
      </c>
      <c r="C10048" s="1" t="n">
        <v>45932</v>
      </c>
      <c r="D10048" t="inlineStr">
        <is>
          <t>VÄRMLANDS LÄN</t>
        </is>
      </c>
      <c r="E10048" t="inlineStr">
        <is>
          <t>ARVIKA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51618-2022</t>
        </is>
      </c>
      <c r="B10049" s="1" t="n">
        <v>44872.32150462963</v>
      </c>
      <c r="C10049" s="1" t="n">
        <v>45932</v>
      </c>
      <c r="D10049" t="inlineStr">
        <is>
          <t>VÄRMLANDS LÄN</t>
        </is>
      </c>
      <c r="E10049" t="inlineStr">
        <is>
          <t>FILIPSTAD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16100-2025</t>
        </is>
      </c>
      <c r="B10050" s="1" t="n">
        <v>45750.0056712963</v>
      </c>
      <c r="C10050" s="1" t="n">
        <v>45932</v>
      </c>
      <c r="D10050" t="inlineStr">
        <is>
          <t>VÄRMLANDS LÄN</t>
        </is>
      </c>
      <c r="E10050" t="inlineStr">
        <is>
          <t>FILIPSTAD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49543-2024</t>
        </is>
      </c>
      <c r="B10051" s="1" t="n">
        <v>45596</v>
      </c>
      <c r="C10051" s="1" t="n">
        <v>45932</v>
      </c>
      <c r="D10051" t="inlineStr">
        <is>
          <t>VÄRMLANDS LÄN</t>
        </is>
      </c>
      <c r="E10051" t="inlineStr">
        <is>
          <t>SUNNE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45162-2025</t>
        </is>
      </c>
      <c r="B10052" s="1" t="n">
        <v>45919</v>
      </c>
      <c r="C10052" s="1" t="n">
        <v>45932</v>
      </c>
      <c r="D10052" t="inlineStr">
        <is>
          <t>VÄRMLANDS LÄN</t>
        </is>
      </c>
      <c r="E10052" t="inlineStr">
        <is>
          <t>ÅRJÄNG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45034-2025</t>
        </is>
      </c>
      <c r="B10053" s="1" t="n">
        <v>45918.7072800926</v>
      </c>
      <c r="C10053" s="1" t="n">
        <v>45932</v>
      </c>
      <c r="D10053" t="inlineStr">
        <is>
          <t>VÄRMLANDS LÄN</t>
        </is>
      </c>
      <c r="E10053" t="inlineStr">
        <is>
          <t>SUNNE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45043-2025</t>
        </is>
      </c>
      <c r="B10054" s="1" t="n">
        <v>45918.92902777778</v>
      </c>
      <c r="C10054" s="1" t="n">
        <v>45932</v>
      </c>
      <c r="D10054" t="inlineStr">
        <is>
          <t>VÄRMLANDS LÄN</t>
        </is>
      </c>
      <c r="E10054" t="inlineStr">
        <is>
          <t>TORSBY</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37518-2025</t>
        </is>
      </c>
      <c r="B10055" s="1" t="n">
        <v>45877</v>
      </c>
      <c r="C10055" s="1" t="n">
        <v>45932</v>
      </c>
      <c r="D10055" t="inlineStr">
        <is>
          <t>VÄRMLANDS LÄN</t>
        </is>
      </c>
      <c r="E10055" t="inlineStr">
        <is>
          <t>SÄFFLE</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54652-2024</t>
        </is>
      </c>
      <c r="B10056" s="1" t="n">
        <v>45618</v>
      </c>
      <c r="C10056" s="1" t="n">
        <v>45932</v>
      </c>
      <c r="D10056" t="inlineStr">
        <is>
          <t>VÄRMLANDS LÄN</t>
        </is>
      </c>
      <c r="E10056" t="inlineStr">
        <is>
          <t>ARVIKA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46315-2024</t>
        </is>
      </c>
      <c r="B10057" s="1" t="n">
        <v>45581.73703703703</v>
      </c>
      <c r="C10057" s="1" t="n">
        <v>45932</v>
      </c>
      <c r="D10057" t="inlineStr">
        <is>
          <t>VÄRMLANDS LÄN</t>
        </is>
      </c>
      <c r="E10057" t="inlineStr">
        <is>
          <t>ÅRJÄNG</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5432-2025</t>
        </is>
      </c>
      <c r="B10058" s="1" t="n">
        <v>45692</v>
      </c>
      <c r="C10058" s="1" t="n">
        <v>45932</v>
      </c>
      <c r="D10058" t="inlineStr">
        <is>
          <t>VÄRMLANDS LÄN</t>
        </is>
      </c>
      <c r="E10058" t="inlineStr">
        <is>
          <t>EDA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20898-2023</t>
        </is>
      </c>
      <c r="B10059" s="1" t="n">
        <v>45059</v>
      </c>
      <c r="C10059" s="1" t="n">
        <v>45932</v>
      </c>
      <c r="D10059" t="inlineStr">
        <is>
          <t>VÄRMLANDS LÄN</t>
        </is>
      </c>
      <c r="E10059" t="inlineStr">
        <is>
          <t>TORSBY</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60314-2023</t>
        </is>
      </c>
      <c r="B10060" s="1" t="n">
        <v>45258.87101851852</v>
      </c>
      <c r="C10060" s="1" t="n">
        <v>45932</v>
      </c>
      <c r="D10060" t="inlineStr">
        <is>
          <t>VÄRMLANDS LÄN</t>
        </is>
      </c>
      <c r="E10060" t="inlineStr">
        <is>
          <t>TORSBY</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1931-2024</t>
        </is>
      </c>
      <c r="B10061" s="1" t="n">
        <v>45308.45737268519</v>
      </c>
      <c r="C10061" s="1" t="n">
        <v>45932</v>
      </c>
      <c r="D10061" t="inlineStr">
        <is>
          <t>VÄRMLANDS LÄN</t>
        </is>
      </c>
      <c r="E10061" t="inlineStr">
        <is>
          <t>HAGFORS</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10681-2024</t>
        </is>
      </c>
      <c r="B10062" s="1" t="n">
        <v>45369.36349537037</v>
      </c>
      <c r="C10062" s="1" t="n">
        <v>45932</v>
      </c>
      <c r="D10062" t="inlineStr">
        <is>
          <t>VÄRMLANDS LÄN</t>
        </is>
      </c>
      <c r="E10062" t="inlineStr">
        <is>
          <t>ÅRJÄNG</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17579-2024</t>
        </is>
      </c>
      <c r="B10063" s="1" t="n">
        <v>45415.86181712963</v>
      </c>
      <c r="C10063" s="1" t="n">
        <v>45932</v>
      </c>
      <c r="D10063" t="inlineStr">
        <is>
          <t>VÄRMLANDS LÄN</t>
        </is>
      </c>
      <c r="E10063" t="inlineStr">
        <is>
          <t>SUNNE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41270-2023</t>
        </is>
      </c>
      <c r="B10064" s="1" t="n">
        <v>45174.54952546296</v>
      </c>
      <c r="C10064" s="1" t="n">
        <v>45932</v>
      </c>
      <c r="D10064" t="inlineStr">
        <is>
          <t>VÄRMLANDS LÄN</t>
        </is>
      </c>
      <c r="E10064" t="inlineStr">
        <is>
          <t>TORSBY</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32932-2024</t>
        </is>
      </c>
      <c r="B10065" s="1" t="n">
        <v>45517.31537037037</v>
      </c>
      <c r="C10065" s="1" t="n">
        <v>45932</v>
      </c>
      <c r="D10065" t="inlineStr">
        <is>
          <t>VÄRMLANDS LÄN</t>
        </is>
      </c>
      <c r="E10065" t="inlineStr">
        <is>
          <t>TORSBY</t>
        </is>
      </c>
      <c r="G10065" t="n">
        <v>6.3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50852-2023</t>
        </is>
      </c>
      <c r="B10066" s="1" t="n">
        <v>45218.29837962963</v>
      </c>
      <c r="C10066" s="1" t="n">
        <v>45932</v>
      </c>
      <c r="D10066" t="inlineStr">
        <is>
          <t>VÄRMLANDS LÄN</t>
        </is>
      </c>
      <c r="E10066" t="inlineStr">
        <is>
          <t>TORSBY</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27677-2024</t>
        </is>
      </c>
      <c r="B10067" s="1" t="n">
        <v>45475</v>
      </c>
      <c r="C10067" s="1" t="n">
        <v>45932</v>
      </c>
      <c r="D10067" t="inlineStr">
        <is>
          <t>VÄRMLANDS LÄN</t>
        </is>
      </c>
      <c r="E10067" t="inlineStr">
        <is>
          <t>TORSBY</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27678-2024</t>
        </is>
      </c>
      <c r="B10068" s="1" t="n">
        <v>45475</v>
      </c>
      <c r="C10068" s="1" t="n">
        <v>45932</v>
      </c>
      <c r="D10068" t="inlineStr">
        <is>
          <t>VÄRMLANDS LÄN</t>
        </is>
      </c>
      <c r="E10068" t="inlineStr">
        <is>
          <t>TORSBY</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44522-2025</t>
        </is>
      </c>
      <c r="B10069" s="1" t="n">
        <v>45916</v>
      </c>
      <c r="C10069" s="1" t="n">
        <v>45932</v>
      </c>
      <c r="D10069" t="inlineStr">
        <is>
          <t>VÄRMLANDS LÄN</t>
        </is>
      </c>
      <c r="E10069" t="inlineStr">
        <is>
          <t>TORSBY</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34425-2021</t>
        </is>
      </c>
      <c r="B10070" s="1" t="n">
        <v>44380</v>
      </c>
      <c r="C10070" s="1" t="n">
        <v>45932</v>
      </c>
      <c r="D10070" t="inlineStr">
        <is>
          <t>VÄRMLANDS LÄN</t>
        </is>
      </c>
      <c r="E10070" t="inlineStr">
        <is>
          <t>ÅRJÄNG</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8567-2025</t>
        </is>
      </c>
      <c r="B10071" s="1" t="n">
        <v>45709</v>
      </c>
      <c r="C10071" s="1" t="n">
        <v>45932</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45153-2025</t>
        </is>
      </c>
      <c r="B10072" s="1" t="n">
        <v>45919.4753587963</v>
      </c>
      <c r="C10072" s="1" t="n">
        <v>45932</v>
      </c>
      <c r="D10072" t="inlineStr">
        <is>
          <t>VÄRMLANDS LÄN</t>
        </is>
      </c>
      <c r="E10072" t="inlineStr">
        <is>
          <t>MUNKFORS</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45166-2025</t>
        </is>
      </c>
      <c r="B10073" s="1" t="n">
        <v>45919</v>
      </c>
      <c r="C10073" s="1" t="n">
        <v>45932</v>
      </c>
      <c r="D10073" t="inlineStr">
        <is>
          <t>VÄRMLANDS LÄN</t>
        </is>
      </c>
      <c r="E10073" t="inlineStr">
        <is>
          <t>ÅRJÄNG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15333-2025</t>
        </is>
      </c>
      <c r="B10074" s="1" t="n">
        <v>45746</v>
      </c>
      <c r="C10074" s="1" t="n">
        <v>45932</v>
      </c>
      <c r="D10074" t="inlineStr">
        <is>
          <t>VÄRMLANDS LÄN</t>
        </is>
      </c>
      <c r="E10074" t="inlineStr">
        <is>
          <t>SÄFFLE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25199-2023</t>
        </is>
      </c>
      <c r="B10075" s="1" t="n">
        <v>45086.58609953704</v>
      </c>
      <c r="C10075" s="1" t="n">
        <v>45932</v>
      </c>
      <c r="D10075" t="inlineStr">
        <is>
          <t>VÄRMLANDS LÄN</t>
        </is>
      </c>
      <c r="E10075" t="inlineStr">
        <is>
          <t>SUNNE</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20269-2025</t>
        </is>
      </c>
      <c r="B10076" s="1" t="n">
        <v>45773.68157407407</v>
      </c>
      <c r="C10076" s="1" t="n">
        <v>45932</v>
      </c>
      <c r="D10076" t="inlineStr">
        <is>
          <t>VÄRMLANDS LÄN</t>
        </is>
      </c>
      <c r="E10076" t="inlineStr">
        <is>
          <t>SUNNE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37507-2025</t>
        </is>
      </c>
      <c r="B10077" s="1" t="n">
        <v>45877</v>
      </c>
      <c r="C10077" s="1" t="n">
        <v>45932</v>
      </c>
      <c r="D10077" t="inlineStr">
        <is>
          <t>VÄRMLANDS LÄN</t>
        </is>
      </c>
      <c r="E10077" t="inlineStr">
        <is>
          <t>ÅRJÄNG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16826-2024</t>
        </is>
      </c>
      <c r="B10078" s="1" t="n">
        <v>45411.47464120371</v>
      </c>
      <c r="C10078" s="1" t="n">
        <v>45932</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26042-2024</t>
        </is>
      </c>
      <c r="B10079" s="1" t="n">
        <v>45468.29846064815</v>
      </c>
      <c r="C10079" s="1" t="n">
        <v>45932</v>
      </c>
      <c r="D10079" t="inlineStr">
        <is>
          <t>VÄRMLANDS LÄN</t>
        </is>
      </c>
      <c r="E10079" t="inlineStr">
        <is>
          <t>TORSBY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62675-2023</t>
        </is>
      </c>
      <c r="B10080" s="1" t="n">
        <v>45271</v>
      </c>
      <c r="C10080" s="1" t="n">
        <v>45932</v>
      </c>
      <c r="D10080" t="inlineStr">
        <is>
          <t>VÄRMLANDS LÄN</t>
        </is>
      </c>
      <c r="E10080" t="inlineStr">
        <is>
          <t>GRUMS</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43558-2024</t>
        </is>
      </c>
      <c r="B10081" s="1" t="n">
        <v>45569.39258101852</v>
      </c>
      <c r="C10081" s="1" t="n">
        <v>45932</v>
      </c>
      <c r="D10081" t="inlineStr">
        <is>
          <t>VÄRMLANDS LÄN</t>
        </is>
      </c>
      <c r="E10081" t="inlineStr">
        <is>
          <t>HAGFORS</t>
        </is>
      </c>
      <c r="F10081" t="inlineStr">
        <is>
          <t>Bergvik skog väst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15464-2025</t>
        </is>
      </c>
      <c r="B10082" s="1" t="n">
        <v>45747</v>
      </c>
      <c r="C10082" s="1" t="n">
        <v>45932</v>
      </c>
      <c r="D10082" t="inlineStr">
        <is>
          <t>VÄRMLANDS LÄN</t>
        </is>
      </c>
      <c r="E10082" t="inlineStr">
        <is>
          <t>TORSBY</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17135-2025</t>
        </is>
      </c>
      <c r="B10083" s="1" t="n">
        <v>45755.79530092593</v>
      </c>
      <c r="C10083" s="1" t="n">
        <v>45932</v>
      </c>
      <c r="D10083" t="inlineStr">
        <is>
          <t>VÄRMLANDS LÄN</t>
        </is>
      </c>
      <c r="E10083" t="inlineStr">
        <is>
          <t>FORSHAGA</t>
        </is>
      </c>
      <c r="G10083" t="n">
        <v>10.3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44984-2025</t>
        </is>
      </c>
      <c r="B10084" s="1" t="n">
        <v>45918.65199074074</v>
      </c>
      <c r="C10084" s="1" t="n">
        <v>45932</v>
      </c>
      <c r="D10084" t="inlineStr">
        <is>
          <t>VÄRMLANDS LÄN</t>
        </is>
      </c>
      <c r="E10084" t="inlineStr">
        <is>
          <t>SUNNE</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37247-2025</t>
        </is>
      </c>
      <c r="B10085" s="1" t="n">
        <v>45876.40268518519</v>
      </c>
      <c r="C10085" s="1" t="n">
        <v>45932</v>
      </c>
      <c r="D10085" t="inlineStr">
        <is>
          <t>VÄRMLANDS LÄN</t>
        </is>
      </c>
      <c r="E10085" t="inlineStr">
        <is>
          <t>ÅRJÄNG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44787-2025</t>
        </is>
      </c>
      <c r="B10086" s="1" t="n">
        <v>45918.28855324074</v>
      </c>
      <c r="C10086" s="1" t="n">
        <v>45932</v>
      </c>
      <c r="D10086" t="inlineStr">
        <is>
          <t>VÄRMLANDS LÄN</t>
        </is>
      </c>
      <c r="E10086" t="inlineStr">
        <is>
          <t>SÄFFLE</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44804-2025</t>
        </is>
      </c>
      <c r="B10087" s="1" t="n">
        <v>45918.3608912037</v>
      </c>
      <c r="C10087" s="1" t="n">
        <v>45932</v>
      </c>
      <c r="D10087" t="inlineStr">
        <is>
          <t>VÄRMLANDS LÄN</t>
        </is>
      </c>
      <c r="E10087" t="inlineStr">
        <is>
          <t>HAGFORS</t>
        </is>
      </c>
      <c r="F10087" t="inlineStr">
        <is>
          <t>Bergvik skog väst AB</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44821-2025</t>
        </is>
      </c>
      <c r="B10088" s="1" t="n">
        <v>45918</v>
      </c>
      <c r="C10088" s="1" t="n">
        <v>45932</v>
      </c>
      <c r="D10088" t="inlineStr">
        <is>
          <t>VÄRMLANDS LÄN</t>
        </is>
      </c>
      <c r="E10088" t="inlineStr">
        <is>
          <t>TORSBY</t>
        </is>
      </c>
      <c r="F10088" t="inlineStr">
        <is>
          <t>Bergvik skog väst AB</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62682-2023</t>
        </is>
      </c>
      <c r="B10089" s="1" t="n">
        <v>45271</v>
      </c>
      <c r="C10089" s="1" t="n">
        <v>45932</v>
      </c>
      <c r="D10089" t="inlineStr">
        <is>
          <t>VÄRMLANDS LÄN</t>
        </is>
      </c>
      <c r="E10089" t="inlineStr">
        <is>
          <t>GRUMS</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44876-2025</t>
        </is>
      </c>
      <c r="B10090" s="1" t="n">
        <v>45918.47267361111</v>
      </c>
      <c r="C10090" s="1" t="n">
        <v>45932</v>
      </c>
      <c r="D10090" t="inlineStr">
        <is>
          <t>VÄRMLANDS LÄN</t>
        </is>
      </c>
      <c r="E10090" t="inlineStr">
        <is>
          <t>HAGFORS</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7297-2023</t>
        </is>
      </c>
      <c r="B10091" s="1" t="n">
        <v>44970</v>
      </c>
      <c r="C10091" s="1" t="n">
        <v>45932</v>
      </c>
      <c r="D10091" t="inlineStr">
        <is>
          <t>VÄRMLANDS LÄN</t>
        </is>
      </c>
      <c r="E10091" t="inlineStr">
        <is>
          <t>FORSHAGA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44877-2025</t>
        </is>
      </c>
      <c r="B10092" s="1" t="n">
        <v>45918.47600694445</v>
      </c>
      <c r="C10092" s="1" t="n">
        <v>45932</v>
      </c>
      <c r="D10092" t="inlineStr">
        <is>
          <t>VÄRMLANDS LÄN</t>
        </is>
      </c>
      <c r="E10092" t="inlineStr">
        <is>
          <t>HAGFORS</t>
        </is>
      </c>
      <c r="F10092" t="inlineStr">
        <is>
          <t>Bergvik skog väst AB</t>
        </is>
      </c>
      <c r="G10092" t="n">
        <v>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13309-2023</t>
        </is>
      </c>
      <c r="B10093" s="1" t="n">
        <v>45005</v>
      </c>
      <c r="C10093" s="1" t="n">
        <v>45932</v>
      </c>
      <c r="D10093" t="inlineStr">
        <is>
          <t>VÄRMLANDS LÄN</t>
        </is>
      </c>
      <c r="E10093" t="inlineStr">
        <is>
          <t>SÄFFLE</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39633-2023</t>
        </is>
      </c>
      <c r="B10094" s="1" t="n">
        <v>45167.52358796296</v>
      </c>
      <c r="C10094" s="1" t="n">
        <v>45932</v>
      </c>
      <c r="D10094" t="inlineStr">
        <is>
          <t>VÄRMLANDS LÄN</t>
        </is>
      </c>
      <c r="E10094" t="inlineStr">
        <is>
          <t>FILIPSTAD</t>
        </is>
      </c>
      <c r="F10094" t="inlineStr">
        <is>
          <t>Bergvik skog väst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8557-2023</t>
        </is>
      </c>
      <c r="B10095" s="1" t="n">
        <v>44972</v>
      </c>
      <c r="C10095" s="1" t="n">
        <v>45932</v>
      </c>
      <c r="D10095" t="inlineStr">
        <is>
          <t>VÄRMLANDS LÄN</t>
        </is>
      </c>
      <c r="E10095" t="inlineStr">
        <is>
          <t>KRISTINEHAMN</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33227-2023</t>
        </is>
      </c>
      <c r="B10096" s="1" t="n">
        <v>45127</v>
      </c>
      <c r="C10096" s="1" t="n">
        <v>45932</v>
      </c>
      <c r="D10096" t="inlineStr">
        <is>
          <t>VÄRMLANDS LÄN</t>
        </is>
      </c>
      <c r="E10096" t="inlineStr">
        <is>
          <t>FORSHAGA</t>
        </is>
      </c>
      <c r="F10096" t="inlineStr">
        <is>
          <t>Kommuner</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44887-2025</t>
        </is>
      </c>
      <c r="B10097" s="1" t="n">
        <v>45918</v>
      </c>
      <c r="C10097" s="1" t="n">
        <v>45932</v>
      </c>
      <c r="D10097" t="inlineStr">
        <is>
          <t>VÄRMLANDS LÄN</t>
        </is>
      </c>
      <c r="E10097" t="inlineStr">
        <is>
          <t>ARVIKA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44901-2025</t>
        </is>
      </c>
      <c r="B10098" s="1" t="n">
        <v>45918</v>
      </c>
      <c r="C10098" s="1" t="n">
        <v>45932</v>
      </c>
      <c r="D10098" t="inlineStr">
        <is>
          <t>VÄRMLANDS LÄN</t>
        </is>
      </c>
      <c r="E10098" t="inlineStr">
        <is>
          <t>TORSBY</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9076-2023</t>
        </is>
      </c>
      <c r="B10099" s="1" t="n">
        <v>44979.91328703704</v>
      </c>
      <c r="C10099" s="1" t="n">
        <v>45932</v>
      </c>
      <c r="D10099" t="inlineStr">
        <is>
          <t>VÄRMLANDS LÄN</t>
        </is>
      </c>
      <c r="E10099" t="inlineStr">
        <is>
          <t>SUNNE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37515-2025</t>
        </is>
      </c>
      <c r="B10100" s="1" t="n">
        <v>45877</v>
      </c>
      <c r="C10100" s="1" t="n">
        <v>45932</v>
      </c>
      <c r="D10100" t="inlineStr">
        <is>
          <t>VÄRMLANDS LÄN</t>
        </is>
      </c>
      <c r="E10100" t="inlineStr">
        <is>
          <t>GRUMS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37399-2025</t>
        </is>
      </c>
      <c r="B10101" s="1" t="n">
        <v>45877</v>
      </c>
      <c r="C10101" s="1" t="n">
        <v>45932</v>
      </c>
      <c r="D10101" t="inlineStr">
        <is>
          <t>VÄRMLANDS LÄN</t>
        </is>
      </c>
      <c r="E10101" t="inlineStr">
        <is>
          <t>ARVIKA</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37402-2025</t>
        </is>
      </c>
      <c r="B10102" s="1" t="n">
        <v>45877</v>
      </c>
      <c r="C10102" s="1" t="n">
        <v>45932</v>
      </c>
      <c r="D10102" t="inlineStr">
        <is>
          <t>VÄRMLANDS LÄN</t>
        </is>
      </c>
      <c r="E10102" t="inlineStr">
        <is>
          <t>ÅRJÄNG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37418-2025</t>
        </is>
      </c>
      <c r="B10103" s="1" t="n">
        <v>45877</v>
      </c>
      <c r="C10103" s="1" t="n">
        <v>45932</v>
      </c>
      <c r="D10103" t="inlineStr">
        <is>
          <t>VÄRMLANDS LÄN</t>
        </is>
      </c>
      <c r="E10103" t="inlineStr">
        <is>
          <t>ÅRJÄNG</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37420-2025</t>
        </is>
      </c>
      <c r="B10104" s="1" t="n">
        <v>45877</v>
      </c>
      <c r="C10104" s="1" t="n">
        <v>45932</v>
      </c>
      <c r="D10104" t="inlineStr">
        <is>
          <t>VÄRMLANDS LÄN</t>
        </is>
      </c>
      <c r="E10104" t="inlineStr">
        <is>
          <t>ÅRJÄNG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52800-2024</t>
        </is>
      </c>
      <c r="B10105" s="1" t="n">
        <v>45610.56782407407</v>
      </c>
      <c r="C10105" s="1" t="n">
        <v>45932</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45125-2025</t>
        </is>
      </c>
      <c r="B10106" s="1" t="n">
        <v>45919.43240740741</v>
      </c>
      <c r="C10106" s="1" t="n">
        <v>45932</v>
      </c>
      <c r="D10106" t="inlineStr">
        <is>
          <t>VÄRMLANDS LÄN</t>
        </is>
      </c>
      <c r="E10106" t="inlineStr">
        <is>
          <t>ARVIKA</t>
        </is>
      </c>
      <c r="F10106" t="inlineStr">
        <is>
          <t>Bergvik skog väst AB</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57159-2024</t>
        </is>
      </c>
      <c r="B10107" s="1" t="n">
        <v>45629.40383101852</v>
      </c>
      <c r="C10107" s="1" t="n">
        <v>45932</v>
      </c>
      <c r="D10107" t="inlineStr">
        <is>
          <t>VÄRMLANDS LÄN</t>
        </is>
      </c>
      <c r="E10107" t="inlineStr">
        <is>
          <t>HAGFORS</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57161-2024</t>
        </is>
      </c>
      <c r="B10108" s="1" t="n">
        <v>45628</v>
      </c>
      <c r="C10108" s="1" t="n">
        <v>45932</v>
      </c>
      <c r="D10108" t="inlineStr">
        <is>
          <t>VÄRMLANDS LÄN</t>
        </is>
      </c>
      <c r="E10108" t="inlineStr">
        <is>
          <t>ÅRJÄNG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11872-2025</t>
        </is>
      </c>
      <c r="B10109" s="1" t="n">
        <v>45728.43021990741</v>
      </c>
      <c r="C10109" s="1" t="n">
        <v>45932</v>
      </c>
      <c r="D10109" t="inlineStr">
        <is>
          <t>VÄRMLANDS LÄN</t>
        </is>
      </c>
      <c r="E10109" t="inlineStr">
        <is>
          <t>TORSBY</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45111-2025</t>
        </is>
      </c>
      <c r="B10110" s="1" t="n">
        <v>45919.42002314814</v>
      </c>
      <c r="C10110" s="1" t="n">
        <v>45932</v>
      </c>
      <c r="D10110" t="inlineStr">
        <is>
          <t>VÄRMLANDS LÄN</t>
        </is>
      </c>
      <c r="E10110" t="inlineStr">
        <is>
          <t>ARVIKA</t>
        </is>
      </c>
      <c r="F10110" t="inlineStr">
        <is>
          <t>Bergvik skog väst AB</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8138-2025</t>
        </is>
      </c>
      <c r="B10111" s="1" t="n">
        <v>45707</v>
      </c>
      <c r="C10111" s="1" t="n">
        <v>45932</v>
      </c>
      <c r="D10111" t="inlineStr">
        <is>
          <t>VÄRMLANDS LÄN</t>
        </is>
      </c>
      <c r="E10111" t="inlineStr">
        <is>
          <t>SÄFFLE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33455-2022</t>
        </is>
      </c>
      <c r="B10112" s="1" t="n">
        <v>44788</v>
      </c>
      <c r="C10112" s="1" t="n">
        <v>45932</v>
      </c>
      <c r="D10112" t="inlineStr">
        <is>
          <t>VÄRMLANDS LÄN</t>
        </is>
      </c>
      <c r="E10112" t="inlineStr">
        <is>
          <t>SUNNE</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49244-2022</t>
        </is>
      </c>
      <c r="B10113" s="1" t="n">
        <v>44861.38337962963</v>
      </c>
      <c r="C10113" s="1" t="n">
        <v>45932</v>
      </c>
      <c r="D10113" t="inlineStr">
        <is>
          <t>VÄRMLANDS LÄN</t>
        </is>
      </c>
      <c r="E10113" t="inlineStr">
        <is>
          <t>SUNNE</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52580-2023</t>
        </is>
      </c>
      <c r="B10114" s="1" t="n">
        <v>45225.59354166667</v>
      </c>
      <c r="C10114" s="1" t="n">
        <v>45932</v>
      </c>
      <c r="D10114" t="inlineStr">
        <is>
          <t>VÄRMLANDS LÄN</t>
        </is>
      </c>
      <c r="E10114" t="inlineStr">
        <is>
          <t>TORSBY</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52591-2023</t>
        </is>
      </c>
      <c r="B10115" s="1" t="n">
        <v>45225</v>
      </c>
      <c r="C10115" s="1" t="n">
        <v>45932</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44284-2023</t>
        </is>
      </c>
      <c r="B10116" s="1" t="n">
        <v>45188</v>
      </c>
      <c r="C10116" s="1" t="n">
        <v>45932</v>
      </c>
      <c r="D10116" t="inlineStr">
        <is>
          <t>VÄRMLANDS LÄN</t>
        </is>
      </c>
      <c r="E10116" t="inlineStr">
        <is>
          <t>SUNNE</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9900-2023</t>
        </is>
      </c>
      <c r="B10117" s="1" t="n">
        <v>44985.37166666667</v>
      </c>
      <c r="C10117" s="1" t="n">
        <v>45932</v>
      </c>
      <c r="D10117" t="inlineStr">
        <is>
          <t>VÄRMLANDS LÄN</t>
        </is>
      </c>
      <c r="E10117" t="inlineStr">
        <is>
          <t>SUNNE</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32752-2024</t>
        </is>
      </c>
      <c r="B10118" s="1" t="n">
        <v>45516</v>
      </c>
      <c r="C10118" s="1" t="n">
        <v>45932</v>
      </c>
      <c r="D10118" t="inlineStr">
        <is>
          <t>VÄRMLANDS LÄN</t>
        </is>
      </c>
      <c r="E10118" t="inlineStr">
        <is>
          <t>SÄFFLE</t>
        </is>
      </c>
      <c r="F10118" t="inlineStr">
        <is>
          <t>Kyrkan</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29550-2023</t>
        </is>
      </c>
      <c r="B10119" s="1" t="n">
        <v>45098</v>
      </c>
      <c r="C10119" s="1" t="n">
        <v>45932</v>
      </c>
      <c r="D10119" t="inlineStr">
        <is>
          <t>VÄRMLANDS LÄN</t>
        </is>
      </c>
      <c r="E10119" t="inlineStr">
        <is>
          <t>KARLSTAD</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9203-2024</t>
        </is>
      </c>
      <c r="B10120" s="1" t="n">
        <v>45358</v>
      </c>
      <c r="C10120" s="1" t="n">
        <v>45932</v>
      </c>
      <c r="D10120" t="inlineStr">
        <is>
          <t>VÄRMLANDS LÄN</t>
        </is>
      </c>
      <c r="E10120" t="inlineStr">
        <is>
          <t>TORSBY</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32786-2024</t>
        </is>
      </c>
      <c r="B10121" s="1" t="n">
        <v>45516</v>
      </c>
      <c r="C10121" s="1" t="n">
        <v>45932</v>
      </c>
      <c r="D10121" t="inlineStr">
        <is>
          <t>VÄRMLANDS LÄN</t>
        </is>
      </c>
      <c r="E10121" t="inlineStr">
        <is>
          <t>FILIPSTAD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27446-2021</t>
        </is>
      </c>
      <c r="B10122" s="1" t="n">
        <v>44351</v>
      </c>
      <c r="C10122" s="1" t="n">
        <v>45932</v>
      </c>
      <c r="D10122" t="inlineStr">
        <is>
          <t>VÄRMLANDS LÄN</t>
        </is>
      </c>
      <c r="E10122" t="inlineStr">
        <is>
          <t>TORSBY</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2945-2024</t>
        </is>
      </c>
      <c r="B10123" s="1" t="n">
        <v>45315.62259259259</v>
      </c>
      <c r="C10123" s="1" t="n">
        <v>45932</v>
      </c>
      <c r="D10123" t="inlineStr">
        <is>
          <t>VÄRMLANDS LÄN</t>
        </is>
      </c>
      <c r="E10123" t="inlineStr">
        <is>
          <t>KRISTINEHAMN</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33807-2024</t>
        </is>
      </c>
      <c r="B10124" s="1" t="n">
        <v>45520</v>
      </c>
      <c r="C10124" s="1" t="n">
        <v>45932</v>
      </c>
      <c r="D10124" t="inlineStr">
        <is>
          <t>VÄRMLANDS LÄN</t>
        </is>
      </c>
      <c r="E10124" t="inlineStr">
        <is>
          <t>KARLSTAD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11026-2023</t>
        </is>
      </c>
      <c r="B10125" s="1" t="n">
        <v>44991</v>
      </c>
      <c r="C10125" s="1" t="n">
        <v>45932</v>
      </c>
      <c r="D10125" t="inlineStr">
        <is>
          <t>VÄRMLANDS LÄN</t>
        </is>
      </c>
      <c r="E10125" t="inlineStr">
        <is>
          <t>ÅRJÄNG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14356-2021</t>
        </is>
      </c>
      <c r="B10126" s="1" t="n">
        <v>44279.35021990741</v>
      </c>
      <c r="C10126" s="1" t="n">
        <v>45932</v>
      </c>
      <c r="D10126" t="inlineStr">
        <is>
          <t>VÄRMLANDS LÄN</t>
        </is>
      </c>
      <c r="E10126" t="inlineStr">
        <is>
          <t>STORFORS</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11562-2025</t>
        </is>
      </c>
      <c r="B10127" s="1" t="n">
        <v>45727.37107638889</v>
      </c>
      <c r="C10127" s="1" t="n">
        <v>45932</v>
      </c>
      <c r="D10127" t="inlineStr">
        <is>
          <t>VÄRMLANDS LÄN</t>
        </is>
      </c>
      <c r="E10127" t="inlineStr">
        <is>
          <t>ARVIKA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11137-2025</t>
        </is>
      </c>
      <c r="B10128" s="1" t="n">
        <v>45723.6612037037</v>
      </c>
      <c r="C10128" s="1" t="n">
        <v>45932</v>
      </c>
      <c r="D10128" t="inlineStr">
        <is>
          <t>VÄRMLANDS LÄN</t>
        </is>
      </c>
      <c r="E10128" t="inlineStr">
        <is>
          <t>FILIPSTAD</t>
        </is>
      </c>
      <c r="F10128" t="inlineStr">
        <is>
          <t>Bergvik skog väst AB</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63919-2021</t>
        </is>
      </c>
      <c r="B10129" s="1" t="n">
        <v>44509</v>
      </c>
      <c r="C10129" s="1" t="n">
        <v>45932</v>
      </c>
      <c r="D10129" t="inlineStr">
        <is>
          <t>VÄRMLANDS LÄN</t>
        </is>
      </c>
      <c r="E10129" t="inlineStr">
        <is>
          <t>GRUMS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50037-2020</t>
        </is>
      </c>
      <c r="B10130" s="1" t="n">
        <v>44109</v>
      </c>
      <c r="C10130" s="1" t="n">
        <v>45932</v>
      </c>
      <c r="D10130" t="inlineStr">
        <is>
          <t>VÄRMLANDS LÄN</t>
        </is>
      </c>
      <c r="E10130" t="inlineStr">
        <is>
          <t>SUNNE</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52982-2023</t>
        </is>
      </c>
      <c r="B10131" s="1" t="n">
        <v>45226.61299768519</v>
      </c>
      <c r="C10131" s="1" t="n">
        <v>45932</v>
      </c>
      <c r="D10131" t="inlineStr">
        <is>
          <t>VÄRMLANDS LÄN</t>
        </is>
      </c>
      <c r="E10131" t="inlineStr">
        <is>
          <t>TORSBY</t>
        </is>
      </c>
      <c r="G10131" t="n">
        <v>35.5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36721-2024</t>
        </is>
      </c>
      <c r="B10132" s="1" t="n">
        <v>45537</v>
      </c>
      <c r="C10132" s="1" t="n">
        <v>45932</v>
      </c>
      <c r="D10132" t="inlineStr">
        <is>
          <t>VÄRMLANDS LÄN</t>
        </is>
      </c>
      <c r="E10132" t="inlineStr">
        <is>
          <t>SÄFFLE</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58976-2024</t>
        </is>
      </c>
      <c r="B10133" s="1" t="n">
        <v>45636.6081712963</v>
      </c>
      <c r="C10133" s="1" t="n">
        <v>45932</v>
      </c>
      <c r="D10133" t="inlineStr">
        <is>
          <t>VÄRMLANDS LÄN</t>
        </is>
      </c>
      <c r="E10133" t="inlineStr">
        <is>
          <t>TORSBY</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59613-2024</t>
        </is>
      </c>
      <c r="B10134" s="1" t="n">
        <v>45638</v>
      </c>
      <c r="C10134" s="1" t="n">
        <v>45932</v>
      </c>
      <c r="D10134" t="inlineStr">
        <is>
          <t>VÄRMLANDS LÄN</t>
        </is>
      </c>
      <c r="E10134" t="inlineStr">
        <is>
          <t>TORSBY</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8830-2024</t>
        </is>
      </c>
      <c r="B10135" s="1" t="n">
        <v>45356</v>
      </c>
      <c r="C10135" s="1" t="n">
        <v>45932</v>
      </c>
      <c r="D10135" t="inlineStr">
        <is>
          <t>VÄRMLANDS LÄN</t>
        </is>
      </c>
      <c r="E10135" t="inlineStr">
        <is>
          <t>HAGFORS</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6015-2023</t>
        </is>
      </c>
      <c r="B10136" s="1" t="n">
        <v>44964.41993055555</v>
      </c>
      <c r="C10136" s="1" t="n">
        <v>45932</v>
      </c>
      <c r="D10136" t="inlineStr">
        <is>
          <t>VÄRMLANDS LÄN</t>
        </is>
      </c>
      <c r="E10136" t="inlineStr">
        <is>
          <t>KIL</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19323-2023</t>
        </is>
      </c>
      <c r="B10137" s="1" t="n">
        <v>45049.555625</v>
      </c>
      <c r="C10137" s="1" t="n">
        <v>45932</v>
      </c>
      <c r="D10137" t="inlineStr">
        <is>
          <t>VÄRMLANDS LÄN</t>
        </is>
      </c>
      <c r="E10137" t="inlineStr">
        <is>
          <t>FORSHAGA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37267-2025</t>
        </is>
      </c>
      <c r="B10138" s="1" t="n">
        <v>45876.46565972222</v>
      </c>
      <c r="C10138" s="1" t="n">
        <v>45932</v>
      </c>
      <c r="D10138" t="inlineStr">
        <is>
          <t>VÄRMLANDS LÄN</t>
        </is>
      </c>
      <c r="E10138" t="inlineStr">
        <is>
          <t>KRISTINEHAMN</t>
        </is>
      </c>
      <c r="F10138" t="inlineStr">
        <is>
          <t>Sveaskog</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44881-2025</t>
        </is>
      </c>
      <c r="B10139" s="1" t="n">
        <v>45918</v>
      </c>
      <c r="C10139" s="1" t="n">
        <v>45932</v>
      </c>
      <c r="D10139" t="inlineStr">
        <is>
          <t>VÄRMLANDS LÄN</t>
        </is>
      </c>
      <c r="E10139" t="inlineStr">
        <is>
          <t>FILIPSTAD</t>
        </is>
      </c>
      <c r="F10139" t="inlineStr">
        <is>
          <t>Bergvik skog väst AB</t>
        </is>
      </c>
      <c r="G10139" t="n">
        <v>43.2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7413-2021</t>
        </is>
      </c>
      <c r="B10140" s="1" t="n">
        <v>44239</v>
      </c>
      <c r="C10140" s="1" t="n">
        <v>45932</v>
      </c>
      <c r="D10140" t="inlineStr">
        <is>
          <t>VÄRMLANDS LÄN</t>
        </is>
      </c>
      <c r="E10140" t="inlineStr">
        <is>
          <t>SUNNE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44924-2025</t>
        </is>
      </c>
      <c r="B10141" s="1" t="n">
        <v>45918</v>
      </c>
      <c r="C10141" s="1" t="n">
        <v>45932</v>
      </c>
      <c r="D10141" t="inlineStr">
        <is>
          <t>VÄRMLANDS LÄN</t>
        </is>
      </c>
      <c r="E10141" t="inlineStr">
        <is>
          <t>ÅRJÄNG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27090-2024</t>
        </is>
      </c>
      <c r="B10142" s="1" t="n">
        <v>45471</v>
      </c>
      <c r="C10142" s="1" t="n">
        <v>45932</v>
      </c>
      <c r="D10142" t="inlineStr">
        <is>
          <t>VÄRMLANDS LÄN</t>
        </is>
      </c>
      <c r="E10142" t="inlineStr">
        <is>
          <t>TORSBY</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37859-2025</t>
        </is>
      </c>
      <c r="B10143" s="1" t="n">
        <v>45880</v>
      </c>
      <c r="C10143" s="1" t="n">
        <v>45932</v>
      </c>
      <c r="D10143" t="inlineStr">
        <is>
          <t>VÄRMLANDS LÄN</t>
        </is>
      </c>
      <c r="E10143" t="inlineStr">
        <is>
          <t>SÄFFLE</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58540-2024</t>
        </is>
      </c>
      <c r="B10144" s="1" t="n">
        <v>45635</v>
      </c>
      <c r="C10144" s="1" t="n">
        <v>45932</v>
      </c>
      <c r="D10144" t="inlineStr">
        <is>
          <t>VÄRMLANDS LÄN</t>
        </is>
      </c>
      <c r="E10144" t="inlineStr">
        <is>
          <t>ÅRJÄNG</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17300-2025</t>
        </is>
      </c>
      <c r="B10145" s="1" t="n">
        <v>45756.59615740741</v>
      </c>
      <c r="C10145" s="1" t="n">
        <v>45932</v>
      </c>
      <c r="D10145" t="inlineStr">
        <is>
          <t>VÄRMLANDS LÄN</t>
        </is>
      </c>
      <c r="E10145" t="inlineStr">
        <is>
          <t>KRISTINEHAMN</t>
        </is>
      </c>
      <c r="F10145" t="inlineStr">
        <is>
          <t>Sveaskog</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45740-2021</t>
        </is>
      </c>
      <c r="B10146" s="1" t="n">
        <v>44435</v>
      </c>
      <c r="C10146" s="1" t="n">
        <v>45932</v>
      </c>
      <c r="D10146" t="inlineStr">
        <is>
          <t>VÄRMLANDS LÄN</t>
        </is>
      </c>
      <c r="E10146" t="inlineStr">
        <is>
          <t>ARVIKA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54033-2021</t>
        </is>
      </c>
      <c r="B10147" s="1" t="n">
        <v>44470.38454861111</v>
      </c>
      <c r="C10147" s="1" t="n">
        <v>45932</v>
      </c>
      <c r="D10147" t="inlineStr">
        <is>
          <t>VÄRMLANDS LÄN</t>
        </is>
      </c>
      <c r="E10147" t="inlineStr">
        <is>
          <t>TORSBY</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58062-2021</t>
        </is>
      </c>
      <c r="B10148" s="1" t="n">
        <v>44487</v>
      </c>
      <c r="C10148" s="1" t="n">
        <v>45932</v>
      </c>
      <c r="D10148" t="inlineStr">
        <is>
          <t>VÄRMLANDS LÄN</t>
        </is>
      </c>
      <c r="E10148" t="inlineStr">
        <is>
          <t>TORSBY</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3582-2022</t>
        </is>
      </c>
      <c r="B10149" s="1" t="n">
        <v>44586</v>
      </c>
      <c r="C10149" s="1" t="n">
        <v>45932</v>
      </c>
      <c r="D10149" t="inlineStr">
        <is>
          <t>VÄRMLANDS LÄN</t>
        </is>
      </c>
      <c r="E10149" t="inlineStr">
        <is>
          <t>SUNNE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4089-2022</t>
        </is>
      </c>
      <c r="B10150" s="1" t="n">
        <v>44588.40491898148</v>
      </c>
      <c r="C10150" s="1" t="n">
        <v>45932</v>
      </c>
      <c r="D10150" t="inlineStr">
        <is>
          <t>VÄRMLANDS LÄN</t>
        </is>
      </c>
      <c r="E10150" t="inlineStr">
        <is>
          <t>SUNNE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13399-2022</t>
        </is>
      </c>
      <c r="B10151" s="1" t="n">
        <v>44645</v>
      </c>
      <c r="C10151" s="1" t="n">
        <v>45932</v>
      </c>
      <c r="D10151" t="inlineStr">
        <is>
          <t>VÄRMLANDS LÄN</t>
        </is>
      </c>
      <c r="E10151" t="inlineStr">
        <is>
          <t>ARVIKA</t>
        </is>
      </c>
      <c r="F10151" t="inlineStr">
        <is>
          <t>Bergvik skog väst AB</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19523-2022</t>
        </is>
      </c>
      <c r="B10152" s="1" t="n">
        <v>44693.59369212963</v>
      </c>
      <c r="C10152" s="1" t="n">
        <v>45932</v>
      </c>
      <c r="D10152" t="inlineStr">
        <is>
          <t>VÄRMLANDS LÄN</t>
        </is>
      </c>
      <c r="E10152" t="inlineStr">
        <is>
          <t>SUNNE</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19526-2022</t>
        </is>
      </c>
      <c r="B10153" s="1" t="n">
        <v>44693.59880787037</v>
      </c>
      <c r="C10153" s="1" t="n">
        <v>45932</v>
      </c>
      <c r="D10153" t="inlineStr">
        <is>
          <t>VÄRMLANDS LÄN</t>
        </is>
      </c>
      <c r="E10153" t="inlineStr">
        <is>
          <t>SUNNE</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18220-2023</t>
        </is>
      </c>
      <c r="B10154" s="1" t="n">
        <v>45041</v>
      </c>
      <c r="C10154" s="1" t="n">
        <v>45932</v>
      </c>
      <c r="D10154" t="inlineStr">
        <is>
          <t>VÄRMLANDS LÄN</t>
        </is>
      </c>
      <c r="E10154" t="inlineStr">
        <is>
          <t>SUNNE</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18228-2023</t>
        </is>
      </c>
      <c r="B10155" s="1" t="n">
        <v>45040</v>
      </c>
      <c r="C10155" s="1" t="n">
        <v>45932</v>
      </c>
      <c r="D10155" t="inlineStr">
        <is>
          <t>VÄRMLANDS LÄN</t>
        </is>
      </c>
      <c r="E10155" t="inlineStr">
        <is>
          <t>SÄFFLE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6641-2025</t>
        </is>
      </c>
      <c r="B10156" s="1" t="n">
        <v>45700.38412037037</v>
      </c>
      <c r="C10156" s="1" t="n">
        <v>45932</v>
      </c>
      <c r="D10156" t="inlineStr">
        <is>
          <t>VÄRMLANDS LÄN</t>
        </is>
      </c>
      <c r="E10156" t="inlineStr">
        <is>
          <t>KARLSTAD</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6642-2025</t>
        </is>
      </c>
      <c r="B10157" s="1" t="n">
        <v>45700.38554398148</v>
      </c>
      <c r="C10157" s="1" t="n">
        <v>45932</v>
      </c>
      <c r="D10157" t="inlineStr">
        <is>
          <t>VÄRMLANDS LÄN</t>
        </is>
      </c>
      <c r="E10157" t="inlineStr">
        <is>
          <t>KARLSTAD</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6646-2025</t>
        </is>
      </c>
      <c r="B10158" s="1" t="n">
        <v>45700</v>
      </c>
      <c r="C10158" s="1" t="n">
        <v>45932</v>
      </c>
      <c r="D10158" t="inlineStr">
        <is>
          <t>VÄRMLANDS LÄN</t>
        </is>
      </c>
      <c r="E10158" t="inlineStr">
        <is>
          <t>ÅRJÄNG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6661-2025</t>
        </is>
      </c>
      <c r="B10159" s="1" t="n">
        <v>45700.44770833333</v>
      </c>
      <c r="C10159" s="1" t="n">
        <v>45932</v>
      </c>
      <c r="D10159" t="inlineStr">
        <is>
          <t>VÄRMLANDS LÄN</t>
        </is>
      </c>
      <c r="E10159" t="inlineStr">
        <is>
          <t>FILIPSTAD</t>
        </is>
      </c>
      <c r="G10159" t="n">
        <v>10.6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59941-2023</t>
        </is>
      </c>
      <c r="B10160" s="1" t="n">
        <v>45257.67721064815</v>
      </c>
      <c r="C10160" s="1" t="n">
        <v>45932</v>
      </c>
      <c r="D10160" t="inlineStr">
        <is>
          <t>VÄRMLANDS LÄN</t>
        </is>
      </c>
      <c r="E10160" t="inlineStr">
        <is>
          <t>TORSBY</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26901-2023</t>
        </is>
      </c>
      <c r="B10161" s="1" t="n">
        <v>45093</v>
      </c>
      <c r="C10161" s="1" t="n">
        <v>45932</v>
      </c>
      <c r="D10161" t="inlineStr">
        <is>
          <t>VÄRMLANDS LÄN</t>
        </is>
      </c>
      <c r="E10161" t="inlineStr">
        <is>
          <t>SUNNE</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49840-2024</t>
        </is>
      </c>
      <c r="B10162" s="1" t="n">
        <v>45597</v>
      </c>
      <c r="C10162" s="1" t="n">
        <v>45932</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33756-2022</t>
        </is>
      </c>
      <c r="B10163" s="1" t="n">
        <v>44790</v>
      </c>
      <c r="C10163" s="1" t="n">
        <v>45932</v>
      </c>
      <c r="D10163" t="inlineStr">
        <is>
          <t>VÄRMLANDS LÄN</t>
        </is>
      </c>
      <c r="E10163" t="inlineStr">
        <is>
          <t>SUNNE</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13561-2023</t>
        </is>
      </c>
      <c r="B10164" s="1" t="n">
        <v>45006.47429398148</v>
      </c>
      <c r="C10164" s="1" t="n">
        <v>45932</v>
      </c>
      <c r="D10164" t="inlineStr">
        <is>
          <t>VÄRMLANDS LÄN</t>
        </is>
      </c>
      <c r="E10164" t="inlineStr">
        <is>
          <t>TORSBY</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18411-2023</t>
        </is>
      </c>
      <c r="B10165" s="1" t="n">
        <v>45042</v>
      </c>
      <c r="C10165" s="1" t="n">
        <v>45932</v>
      </c>
      <c r="D10165" t="inlineStr">
        <is>
          <t>VÄRMLANDS LÄN</t>
        </is>
      </c>
      <c r="E10165" t="inlineStr">
        <is>
          <t>TORSBY</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19675-2023</t>
        </is>
      </c>
      <c r="B10166" s="1" t="n">
        <v>45051</v>
      </c>
      <c r="C10166" s="1" t="n">
        <v>45932</v>
      </c>
      <c r="D10166" t="inlineStr">
        <is>
          <t>VÄRMLANDS LÄN</t>
        </is>
      </c>
      <c r="E10166" t="inlineStr">
        <is>
          <t>TORSBY</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37487-2025</t>
        </is>
      </c>
      <c r="B10167" s="1" t="n">
        <v>45877.63131944444</v>
      </c>
      <c r="C10167" s="1" t="n">
        <v>45932</v>
      </c>
      <c r="D10167" t="inlineStr">
        <is>
          <t>VÄRMLANDS LÄN</t>
        </is>
      </c>
      <c r="E10167" t="inlineStr">
        <is>
          <t>KARLSTAD</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30808-2024</t>
        </is>
      </c>
      <c r="B10168" s="1" t="n">
        <v>45497</v>
      </c>
      <c r="C10168" s="1" t="n">
        <v>45932</v>
      </c>
      <c r="D10168" t="inlineStr">
        <is>
          <t>VÄRMLANDS LÄN</t>
        </is>
      </c>
      <c r="E10168" t="inlineStr">
        <is>
          <t>SÄFFLE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9703-2023</t>
        </is>
      </c>
      <c r="B10169" s="1" t="n">
        <v>44984.47314814815</v>
      </c>
      <c r="C10169" s="1" t="n">
        <v>45932</v>
      </c>
      <c r="D10169" t="inlineStr">
        <is>
          <t>VÄRMLANDS LÄN</t>
        </is>
      </c>
      <c r="E10169" t="inlineStr">
        <is>
          <t>SUNNE</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10307-2024</t>
        </is>
      </c>
      <c r="B10170" s="1" t="n">
        <v>45365.52074074074</v>
      </c>
      <c r="C10170" s="1" t="n">
        <v>45932</v>
      </c>
      <c r="D10170" t="inlineStr">
        <is>
          <t>VÄRMLANDS LÄN</t>
        </is>
      </c>
      <c r="E10170" t="inlineStr">
        <is>
          <t>SUNNE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5839-2021</t>
        </is>
      </c>
      <c r="B10171" s="1" t="n">
        <v>44231</v>
      </c>
      <c r="C10171" s="1" t="n">
        <v>45932</v>
      </c>
      <c r="D10171" t="inlineStr">
        <is>
          <t>VÄRMLANDS LÄN</t>
        </is>
      </c>
      <c r="E10171" t="inlineStr">
        <is>
          <t>TORSBY</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57216-2023</t>
        </is>
      </c>
      <c r="B10172" s="1" t="n">
        <v>45245</v>
      </c>
      <c r="C10172" s="1" t="n">
        <v>45932</v>
      </c>
      <c r="D10172" t="inlineStr">
        <is>
          <t>VÄRMLANDS LÄN</t>
        </is>
      </c>
      <c r="E10172" t="inlineStr">
        <is>
          <t>TORSBY</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18392-2023</t>
        </is>
      </c>
      <c r="B10173" s="1" t="n">
        <v>45042.35525462963</v>
      </c>
      <c r="C10173" s="1" t="n">
        <v>45932</v>
      </c>
      <c r="D10173" t="inlineStr">
        <is>
          <t>VÄRMLANDS LÄN</t>
        </is>
      </c>
      <c r="E10173" t="inlineStr">
        <is>
          <t>SUNNE</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6653-2025</t>
        </is>
      </c>
      <c r="B10174" s="1" t="n">
        <v>45700.42601851852</v>
      </c>
      <c r="C10174" s="1" t="n">
        <v>45932</v>
      </c>
      <c r="D10174" t="inlineStr">
        <is>
          <t>VÄRMLANDS LÄN</t>
        </is>
      </c>
      <c r="E10174" t="inlineStr">
        <is>
          <t>TORSBY</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61565-2024</t>
        </is>
      </c>
      <c r="B10175" s="1" t="n">
        <v>45646</v>
      </c>
      <c r="C10175" s="1" t="n">
        <v>45932</v>
      </c>
      <c r="D10175" t="inlineStr">
        <is>
          <t>VÄRMLANDS LÄN</t>
        </is>
      </c>
      <c r="E10175" t="inlineStr">
        <is>
          <t>TORSBY</t>
        </is>
      </c>
      <c r="F10175" t="inlineStr">
        <is>
          <t>Bergvik skog väst AB</t>
        </is>
      </c>
      <c r="G10175" t="n">
        <v>14.4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12528-2025</t>
        </is>
      </c>
      <c r="B10176" s="1" t="n">
        <v>45730</v>
      </c>
      <c r="C10176" s="1" t="n">
        <v>45932</v>
      </c>
      <c r="D10176" t="inlineStr">
        <is>
          <t>VÄRMLANDS LÄN</t>
        </is>
      </c>
      <c r="E10176" t="inlineStr">
        <is>
          <t>TORSBY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61741-2022</t>
        </is>
      </c>
      <c r="B10177" s="1" t="n">
        <v>44911</v>
      </c>
      <c r="C10177" s="1" t="n">
        <v>45932</v>
      </c>
      <c r="D10177" t="inlineStr">
        <is>
          <t>VÄRMLANDS LÄN</t>
        </is>
      </c>
      <c r="E10177" t="inlineStr">
        <is>
          <t>FILIPSTAD</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10322-2024</t>
        </is>
      </c>
      <c r="B10178" s="1" t="n">
        <v>45365</v>
      </c>
      <c r="C10178" s="1" t="n">
        <v>45932</v>
      </c>
      <c r="D10178" t="inlineStr">
        <is>
          <t>VÄRMLANDS LÄN</t>
        </is>
      </c>
      <c r="E10178" t="inlineStr">
        <is>
          <t>SÄFFLE</t>
        </is>
      </c>
      <c r="G10178" t="n">
        <v>20.7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12554-2025</t>
        </is>
      </c>
      <c r="B10179" s="1" t="n">
        <v>45731</v>
      </c>
      <c r="C10179" s="1" t="n">
        <v>45932</v>
      </c>
      <c r="D10179" t="inlineStr">
        <is>
          <t>VÄRMLANDS LÄN</t>
        </is>
      </c>
      <c r="E10179" t="inlineStr">
        <is>
          <t>TORSBY</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15860-2023</t>
        </is>
      </c>
      <c r="B10180" s="1" t="n">
        <v>45022.37618055556</v>
      </c>
      <c r="C10180" s="1" t="n">
        <v>45932</v>
      </c>
      <c r="D10180" t="inlineStr">
        <is>
          <t>VÄRMLANDS LÄN</t>
        </is>
      </c>
      <c r="E10180" t="inlineStr">
        <is>
          <t>KRISTINEHAMN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10427-2024</t>
        </is>
      </c>
      <c r="B10181" s="1" t="n">
        <v>45365</v>
      </c>
      <c r="C10181" s="1" t="n">
        <v>45932</v>
      </c>
      <c r="D10181" t="inlineStr">
        <is>
          <t>VÄRMLANDS LÄN</t>
        </is>
      </c>
      <c r="E10181" t="inlineStr">
        <is>
          <t>ARVIKA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2389-2025</t>
        </is>
      </c>
      <c r="B10182" s="1" t="n">
        <v>45674</v>
      </c>
      <c r="C10182" s="1" t="n">
        <v>45932</v>
      </c>
      <c r="D10182" t="inlineStr">
        <is>
          <t>VÄRMLANDS LÄN</t>
        </is>
      </c>
      <c r="E10182" t="inlineStr">
        <is>
          <t>EDA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37300-2025</t>
        </is>
      </c>
      <c r="B10183" s="1" t="n">
        <v>45876</v>
      </c>
      <c r="C10183" s="1" t="n">
        <v>45932</v>
      </c>
      <c r="D10183" t="inlineStr">
        <is>
          <t>VÄRMLANDS LÄN</t>
        </is>
      </c>
      <c r="E10183" t="inlineStr">
        <is>
          <t>TORSBY</t>
        </is>
      </c>
      <c r="F10183" t="inlineStr">
        <is>
          <t>Bergvik skog väst AB</t>
        </is>
      </c>
      <c r="G10183" t="n">
        <v>33.6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41651-2025</t>
        </is>
      </c>
      <c r="B10184" s="1" t="n">
        <v>45902</v>
      </c>
      <c r="C10184" s="1" t="n">
        <v>45932</v>
      </c>
      <c r="D10184" t="inlineStr">
        <is>
          <t>VÄRMLANDS LÄN</t>
        </is>
      </c>
      <c r="E10184" t="inlineStr">
        <is>
          <t>ARVIKA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39587-2025</t>
        </is>
      </c>
      <c r="B10185" s="1" t="n">
        <v>45890</v>
      </c>
      <c r="C10185" s="1" t="n">
        <v>45932</v>
      </c>
      <c r="D10185" t="inlineStr">
        <is>
          <t>VÄRMLANDS LÄN</t>
        </is>
      </c>
      <c r="E10185" t="inlineStr">
        <is>
          <t>SÄFFLE</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2116-2025</t>
        </is>
      </c>
      <c r="B10186" s="1" t="n">
        <v>45672</v>
      </c>
      <c r="C10186" s="1" t="n">
        <v>45932</v>
      </c>
      <c r="D10186" t="inlineStr">
        <is>
          <t>VÄRMLANDS LÄN</t>
        </is>
      </c>
      <c r="E10186" t="inlineStr">
        <is>
          <t>ÅRJÄNG</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44794-2025</t>
        </is>
      </c>
      <c r="B10187" s="1" t="n">
        <v>45918.34465277778</v>
      </c>
      <c r="C10187" s="1" t="n">
        <v>45932</v>
      </c>
      <c r="D10187" t="inlineStr">
        <is>
          <t>VÄRMLANDS LÄN</t>
        </is>
      </c>
      <c r="E10187" t="inlineStr">
        <is>
          <t>TORSBY</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36782-2024</t>
        </is>
      </c>
      <c r="B10188" s="1" t="n">
        <v>45538</v>
      </c>
      <c r="C10188" s="1" t="n">
        <v>45932</v>
      </c>
      <c r="D10188" t="inlineStr">
        <is>
          <t>VÄRMLANDS LÄN</t>
        </is>
      </c>
      <c r="E10188" t="inlineStr">
        <is>
          <t>TORSBY</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36790-2024</t>
        </is>
      </c>
      <c r="B10189" s="1" t="n">
        <v>45538.43484953704</v>
      </c>
      <c r="C10189" s="1" t="n">
        <v>45932</v>
      </c>
      <c r="D10189" t="inlineStr">
        <is>
          <t>VÄRMLANDS LÄN</t>
        </is>
      </c>
      <c r="E10189" t="inlineStr">
        <is>
          <t>TORSBY</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50372-2024</t>
        </is>
      </c>
      <c r="B10190" s="1" t="n">
        <v>45601.25935185186</v>
      </c>
      <c r="C10190" s="1" t="n">
        <v>45932</v>
      </c>
      <c r="D10190" t="inlineStr">
        <is>
          <t>VÄRMLANDS LÄN</t>
        </is>
      </c>
      <c r="E10190" t="inlineStr">
        <is>
          <t>TORSBY</t>
        </is>
      </c>
      <c r="F10190" t="inlineStr">
        <is>
          <t>Övriga Aktiebolag</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44815-2024</t>
        </is>
      </c>
      <c r="B10191" s="1" t="n">
        <v>45574.65931712963</v>
      </c>
      <c r="C10191" s="1" t="n">
        <v>45932</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49845-2024</t>
        </is>
      </c>
      <c r="B10192" s="1" t="n">
        <v>45597</v>
      </c>
      <c r="C10192" s="1" t="n">
        <v>45932</v>
      </c>
      <c r="D10192" t="inlineStr">
        <is>
          <t>VÄRMLANDS LÄN</t>
        </is>
      </c>
      <c r="E10192" t="inlineStr">
        <is>
          <t>TORSBY</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25264-2024</t>
        </is>
      </c>
      <c r="B10193" s="1" t="n">
        <v>45462.61859953704</v>
      </c>
      <c r="C10193" s="1" t="n">
        <v>45932</v>
      </c>
      <c r="D10193" t="inlineStr">
        <is>
          <t>VÄRMLANDS LÄN</t>
        </is>
      </c>
      <c r="E10193" t="inlineStr">
        <is>
          <t>TORSBY</t>
        </is>
      </c>
      <c r="G10193" t="n">
        <v>10.7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40135-2023</t>
        </is>
      </c>
      <c r="B10194" s="1" t="n">
        <v>45169</v>
      </c>
      <c r="C10194" s="1" t="n">
        <v>45932</v>
      </c>
      <c r="D10194" t="inlineStr">
        <is>
          <t>VÄRMLANDS LÄN</t>
        </is>
      </c>
      <c r="E10194" t="inlineStr">
        <is>
          <t>ARVIKA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64824-2023</t>
        </is>
      </c>
      <c r="B10195" s="1" t="n">
        <v>45281</v>
      </c>
      <c r="C10195" s="1" t="n">
        <v>45932</v>
      </c>
      <c r="D10195" t="inlineStr">
        <is>
          <t>VÄRMLANDS LÄN</t>
        </is>
      </c>
      <c r="E10195" t="inlineStr">
        <is>
          <t>SÄFFLE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54668-2024</t>
        </is>
      </c>
      <c r="B10196" s="1" t="n">
        <v>45618.32447916667</v>
      </c>
      <c r="C10196" s="1" t="n">
        <v>45932</v>
      </c>
      <c r="D10196" t="inlineStr">
        <is>
          <t>VÄRMLANDS LÄN</t>
        </is>
      </c>
      <c r="E10196" t="inlineStr">
        <is>
          <t>KARLSTAD</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40033-2023</t>
        </is>
      </c>
      <c r="B10197" s="1" t="n">
        <v>45168</v>
      </c>
      <c r="C10197" s="1" t="n">
        <v>45932</v>
      </c>
      <c r="D10197" t="inlineStr">
        <is>
          <t>VÄRMLANDS LÄN</t>
        </is>
      </c>
      <c r="E10197" t="inlineStr">
        <is>
          <t>ARVIKA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30266-2025</t>
        </is>
      </c>
      <c r="B10198" s="1" t="n">
        <v>45827</v>
      </c>
      <c r="C10198" s="1" t="n">
        <v>45932</v>
      </c>
      <c r="D10198" t="inlineStr">
        <is>
          <t>VÄRMLANDS LÄN</t>
        </is>
      </c>
      <c r="E10198" t="inlineStr">
        <is>
          <t>STORFORS</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37273-2025</t>
        </is>
      </c>
      <c r="B10199" s="1" t="n">
        <v>45876</v>
      </c>
      <c r="C10199" s="1" t="n">
        <v>45932</v>
      </c>
      <c r="D10199" t="inlineStr">
        <is>
          <t>VÄRMLANDS LÄN</t>
        </is>
      </c>
      <c r="E10199" t="inlineStr">
        <is>
          <t>TORSBY</t>
        </is>
      </c>
      <c r="F10199" t="inlineStr">
        <is>
          <t>Bergvik skog väst AB</t>
        </is>
      </c>
      <c r="G10199" t="n">
        <v>10.4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37379-2025</t>
        </is>
      </c>
      <c r="B10200" s="1" t="n">
        <v>45877</v>
      </c>
      <c r="C10200" s="1" t="n">
        <v>45932</v>
      </c>
      <c r="D10200" t="inlineStr">
        <is>
          <t>VÄRMLANDS LÄN</t>
        </is>
      </c>
      <c r="E10200" t="inlineStr">
        <is>
          <t>EDA</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37414-2025</t>
        </is>
      </c>
      <c r="B10201" s="1" t="n">
        <v>45877</v>
      </c>
      <c r="C10201" s="1" t="n">
        <v>45932</v>
      </c>
      <c r="D10201" t="inlineStr">
        <is>
          <t>VÄRMLANDS LÄN</t>
        </is>
      </c>
      <c r="E10201" t="inlineStr">
        <is>
          <t>FILIPSTAD</t>
        </is>
      </c>
      <c r="F10201" t="inlineStr">
        <is>
          <t>Bergvik skog väst AB</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4870-2024</t>
        </is>
      </c>
      <c r="B10202" s="1" t="n">
        <v>45329</v>
      </c>
      <c r="C10202" s="1" t="n">
        <v>45932</v>
      </c>
      <c r="D10202" t="inlineStr">
        <is>
          <t>VÄRMLANDS LÄN</t>
        </is>
      </c>
      <c r="E10202" t="inlineStr">
        <is>
          <t>GRUMS</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36646-2023</t>
        </is>
      </c>
      <c r="B10203" s="1" t="n">
        <v>45153.55540509259</v>
      </c>
      <c r="C10203" s="1" t="n">
        <v>45932</v>
      </c>
      <c r="D10203" t="inlineStr">
        <is>
          <t>VÄRMLANDS LÄN</t>
        </is>
      </c>
      <c r="E10203" t="inlineStr">
        <is>
          <t>GRUMS</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6505-2021</t>
        </is>
      </c>
      <c r="B10204" s="1" t="n">
        <v>44236</v>
      </c>
      <c r="C10204" s="1" t="n">
        <v>45932</v>
      </c>
      <c r="D10204" t="inlineStr">
        <is>
          <t>VÄRMLANDS LÄN</t>
        </is>
      </c>
      <c r="E10204" t="inlineStr">
        <is>
          <t>KRISTINEHAMN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37334-2025</t>
        </is>
      </c>
      <c r="B10205" s="1" t="n">
        <v>45876.66663194444</v>
      </c>
      <c r="C10205" s="1" t="n">
        <v>45932</v>
      </c>
      <c r="D10205" t="inlineStr">
        <is>
          <t>VÄRMLANDS LÄN</t>
        </is>
      </c>
      <c r="E10205" t="inlineStr">
        <is>
          <t>TORSBY</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37339-2025</t>
        </is>
      </c>
      <c r="B10206" s="1" t="n">
        <v>45876.68457175926</v>
      </c>
      <c r="C10206" s="1" t="n">
        <v>45932</v>
      </c>
      <c r="D10206" t="inlineStr">
        <is>
          <t>VÄRMLANDS LÄN</t>
        </is>
      </c>
      <c r="E10206" t="inlineStr">
        <is>
          <t>TORSBY</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37360-2025</t>
        </is>
      </c>
      <c r="B10207" s="1" t="n">
        <v>45877</v>
      </c>
      <c r="C10207" s="1" t="n">
        <v>45932</v>
      </c>
      <c r="D10207" t="inlineStr">
        <is>
          <t>VÄRMLANDS LÄN</t>
        </is>
      </c>
      <c r="E10207" t="inlineStr">
        <is>
          <t>KIL</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6539-2021</t>
        </is>
      </c>
      <c r="B10208" s="1" t="n">
        <v>44235</v>
      </c>
      <c r="C10208" s="1" t="n">
        <v>45932</v>
      </c>
      <c r="D10208" t="inlineStr">
        <is>
          <t>VÄRMLANDS LÄN</t>
        </is>
      </c>
      <c r="E10208" t="inlineStr">
        <is>
          <t>FILIPSTAD</t>
        </is>
      </c>
      <c r="F10208" t="inlineStr">
        <is>
          <t>Bergvik skog väst AB</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37266-2025</t>
        </is>
      </c>
      <c r="B10209" s="1" t="n">
        <v>45876.4650925926</v>
      </c>
      <c r="C10209" s="1" t="n">
        <v>45932</v>
      </c>
      <c r="D10209" t="inlineStr">
        <is>
          <t>VÄRMLANDS LÄN</t>
        </is>
      </c>
      <c r="E10209" t="inlineStr">
        <is>
          <t>KRISTINEHAMN</t>
        </is>
      </c>
      <c r="F10209" t="inlineStr">
        <is>
          <t>Sveaskog</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43067-2023</t>
        </is>
      </c>
      <c r="B10210" s="1" t="n">
        <v>45182</v>
      </c>
      <c r="C10210" s="1" t="n">
        <v>45932</v>
      </c>
      <c r="D10210" t="inlineStr">
        <is>
          <t>VÄRMLANDS LÄN</t>
        </is>
      </c>
      <c r="E10210" t="inlineStr">
        <is>
          <t>SUNNE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44995-2025</t>
        </is>
      </c>
      <c r="B10211" s="1" t="n">
        <v>45918</v>
      </c>
      <c r="C10211" s="1" t="n">
        <v>45932</v>
      </c>
      <c r="D10211" t="inlineStr">
        <is>
          <t>VÄRMLANDS LÄN</t>
        </is>
      </c>
      <c r="E10211" t="inlineStr">
        <is>
          <t>TORSBY</t>
        </is>
      </c>
      <c r="F10211" t="inlineStr">
        <is>
          <t>Bergvik skog väst AB</t>
        </is>
      </c>
      <c r="G10211" t="n">
        <v>18.7</v>
      </c>
      <c r="H10211" t="n">
        <v>0</v>
      </c>
      <c r="I10211" t="n">
        <v>0</v>
      </c>
      <c r="J10211" t="n">
        <v>0</v>
      </c>
      <c r="K10211" t="n">
        <v>0</v>
      </c>
      <c r="L10211" t="n">
        <v>0</v>
      </c>
      <c r="M10211" t="n">
        <v>0</v>
      </c>
      <c r="N10211" t="n">
        <v>0</v>
      </c>
      <c r="O10211" t="n">
        <v>0</v>
      </c>
      <c r="P10211" t="n">
        <v>0</v>
      </c>
      <c r="Q10211" t="n">
        <v>0</v>
      </c>
      <c r="R10211" s="2" t="inlineStr"/>
      <c r="U10211">
        <f>HYPERLINK("https://klasma.github.io/Logging_1737/knärot/A 44995-2025 karta knärot.png", "A 44995-2025")</f>
        <v/>
      </c>
      <c r="V10211">
        <f>HYPERLINK("https://klasma.github.io/Logging_1737/klagomål/A 44995-2025 FSC-klagomål.docx", "A 44995-2025")</f>
        <v/>
      </c>
      <c r="W10211">
        <f>HYPERLINK("https://klasma.github.io/Logging_1737/klagomålsmail/A 44995-2025 FSC-klagomål mail.docx", "A 44995-2025")</f>
        <v/>
      </c>
      <c r="X10211">
        <f>HYPERLINK("https://klasma.github.io/Logging_1737/tillsyn/A 44995-2025 tillsynsbegäran.docx", "A 44995-2025")</f>
        <v/>
      </c>
      <c r="Y10211">
        <f>HYPERLINK("https://klasma.github.io/Logging_1737/tillsynsmail/A 44995-2025 tillsynsbegäran mail.docx", "A 44995-2025")</f>
        <v/>
      </c>
    </row>
    <row r="10212" ht="15" customHeight="1">
      <c r="A10212" t="inlineStr">
        <is>
          <t>A 45203-2025</t>
        </is>
      </c>
      <c r="B10212" s="1" t="n">
        <v>45919</v>
      </c>
      <c r="C10212" s="1" t="n">
        <v>45932</v>
      </c>
      <c r="D10212" t="inlineStr">
        <is>
          <t>VÄRMLANDS LÄN</t>
        </is>
      </c>
      <c r="E10212" t="inlineStr">
        <is>
          <t>ÅRJÄNG</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45269-2025</t>
        </is>
      </c>
      <c r="B10213" s="1" t="n">
        <v>45919.67443287037</v>
      </c>
      <c r="C10213" s="1" t="n">
        <v>45932</v>
      </c>
      <c r="D10213" t="inlineStr">
        <is>
          <t>VÄRMLANDS LÄN</t>
        </is>
      </c>
      <c r="E10213" t="inlineStr">
        <is>
          <t>TORSBY</t>
        </is>
      </c>
      <c r="F10213" t="inlineStr">
        <is>
          <t>Bergvik skog väst AB</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6023-2025</t>
        </is>
      </c>
      <c r="B10214" s="1" t="n">
        <v>45695</v>
      </c>
      <c r="C10214" s="1" t="n">
        <v>45932</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45152-2025</t>
        </is>
      </c>
      <c r="B10215" s="1" t="n">
        <v>45919.4736574074</v>
      </c>
      <c r="C10215" s="1" t="n">
        <v>45932</v>
      </c>
      <c r="D10215" t="inlineStr">
        <is>
          <t>VÄRMLANDS LÄN</t>
        </is>
      </c>
      <c r="E10215" t="inlineStr">
        <is>
          <t>FILIPSTAD</t>
        </is>
      </c>
      <c r="F10215" t="inlineStr">
        <is>
          <t>Bergvik skog väst AB</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28314-2025</t>
        </is>
      </c>
      <c r="B10216" s="1" t="n">
        <v>45818.62592592592</v>
      </c>
      <c r="C10216" s="1" t="n">
        <v>45932</v>
      </c>
      <c r="D10216" t="inlineStr">
        <is>
          <t>VÄRMLANDS LÄN</t>
        </is>
      </c>
      <c r="E10216" t="inlineStr">
        <is>
          <t>ÅRJÄNG</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47432-2024</t>
        </is>
      </c>
      <c r="B10217" s="1" t="n">
        <v>45587</v>
      </c>
      <c r="C10217" s="1" t="n">
        <v>45932</v>
      </c>
      <c r="D10217" t="inlineStr">
        <is>
          <t>VÄRMLANDS LÄN</t>
        </is>
      </c>
      <c r="E10217" t="inlineStr">
        <is>
          <t>ARVIKA</t>
        </is>
      </c>
      <c r="F10217" t="inlineStr">
        <is>
          <t>Bergvik skog väst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3148-2024</t>
        </is>
      </c>
      <c r="B10218" s="1" t="n">
        <v>45316.59310185185</v>
      </c>
      <c r="C10218" s="1" t="n">
        <v>45932</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37495-2025</t>
        </is>
      </c>
      <c r="B10219" s="1" t="n">
        <v>45877</v>
      </c>
      <c r="C10219" s="1" t="n">
        <v>45932</v>
      </c>
      <c r="D10219" t="inlineStr">
        <is>
          <t>VÄRMLANDS LÄN</t>
        </is>
      </c>
      <c r="E10219" t="inlineStr">
        <is>
          <t>GRUMS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18534-2025</t>
        </is>
      </c>
      <c r="B10220" s="1" t="n">
        <v>45763</v>
      </c>
      <c r="C10220" s="1" t="n">
        <v>45932</v>
      </c>
      <c r="D10220" t="inlineStr">
        <is>
          <t>VÄRMLANDS LÄN</t>
        </is>
      </c>
      <c r="E10220" t="inlineStr">
        <is>
          <t>FILIPSTAD</t>
        </is>
      </c>
      <c r="F10220" t="inlineStr">
        <is>
          <t>Bergvik skog väst AB</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46319-2024</t>
        </is>
      </c>
      <c r="B10221" s="1" t="n">
        <v>45581.760625</v>
      </c>
      <c r="C10221" s="1" t="n">
        <v>45932</v>
      </c>
      <c r="D10221" t="inlineStr">
        <is>
          <t>VÄRMLANDS LÄN</t>
        </is>
      </c>
      <c r="E10221" t="inlineStr">
        <is>
          <t>ÅRJÄNG</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33806-2024</t>
        </is>
      </c>
      <c r="B10222" s="1" t="n">
        <v>45520.60313657407</v>
      </c>
      <c r="C10222" s="1" t="n">
        <v>45932</v>
      </c>
      <c r="D10222" t="inlineStr">
        <is>
          <t>VÄRMLANDS LÄN</t>
        </is>
      </c>
      <c r="E10222" t="inlineStr">
        <is>
          <t>STORFORS</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33809-2024</t>
        </is>
      </c>
      <c r="B10223" s="1" t="n">
        <v>45520.60563657407</v>
      </c>
      <c r="C10223" s="1" t="n">
        <v>45932</v>
      </c>
      <c r="D10223" t="inlineStr">
        <is>
          <t>VÄRMLANDS LÄN</t>
        </is>
      </c>
      <c r="E10223" t="inlineStr">
        <is>
          <t>KARLSTAD</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59196-2022</t>
        </is>
      </c>
      <c r="B10224" s="1" t="n">
        <v>44904.49831018518</v>
      </c>
      <c r="C10224" s="1" t="n">
        <v>45932</v>
      </c>
      <c r="D10224" t="inlineStr">
        <is>
          <t>VÄRMLANDS LÄN</t>
        </is>
      </c>
      <c r="E10224" t="inlineStr">
        <is>
          <t>FILIPSTAD</t>
        </is>
      </c>
      <c r="F10224" t="inlineStr">
        <is>
          <t>Bergvik skog väst AB</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37312-2025</t>
        </is>
      </c>
      <c r="B10225" s="1" t="n">
        <v>45876</v>
      </c>
      <c r="C10225" s="1" t="n">
        <v>45932</v>
      </c>
      <c r="D10225" t="inlineStr">
        <is>
          <t>VÄRMLANDS LÄN</t>
        </is>
      </c>
      <c r="E10225" t="inlineStr">
        <is>
          <t>SUNNE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37314-2025</t>
        </is>
      </c>
      <c r="B10226" s="1" t="n">
        <v>45876.61037037037</v>
      </c>
      <c r="C10226" s="1" t="n">
        <v>45932</v>
      </c>
      <c r="D10226" t="inlineStr">
        <is>
          <t>VÄRMLANDS LÄN</t>
        </is>
      </c>
      <c r="E10226" t="inlineStr">
        <is>
          <t>SUNNE</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44273-2025</t>
        </is>
      </c>
      <c r="B10227" s="1" t="n">
        <v>45916</v>
      </c>
      <c r="C10227" s="1" t="n">
        <v>45932</v>
      </c>
      <c r="D10227" t="inlineStr">
        <is>
          <t>VÄRMLANDS LÄN</t>
        </is>
      </c>
      <c r="E10227" t="inlineStr">
        <is>
          <t>TORSBY</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44292-2025</t>
        </is>
      </c>
      <c r="B10228" s="1" t="n">
        <v>45915</v>
      </c>
      <c r="C10228" s="1" t="n">
        <v>45932</v>
      </c>
      <c r="D10228" t="inlineStr">
        <is>
          <t>VÄRMLANDS LÄN</t>
        </is>
      </c>
      <c r="E10228" t="inlineStr">
        <is>
          <t>TORSBY</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45597-2023</t>
        </is>
      </c>
      <c r="B10229" s="1" t="n">
        <v>45194.64109953704</v>
      </c>
      <c r="C10229" s="1" t="n">
        <v>45932</v>
      </c>
      <c r="D10229" t="inlineStr">
        <is>
          <t>VÄRMLANDS LÄN</t>
        </is>
      </c>
      <c r="E10229" t="inlineStr">
        <is>
          <t>SUNNE</t>
        </is>
      </c>
      <c r="F10229" t="inlineStr">
        <is>
          <t>Bergvik skog väst AB</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44816-2025</t>
        </is>
      </c>
      <c r="B10230" s="1" t="n">
        <v>45918.37515046296</v>
      </c>
      <c r="C10230" s="1" t="n">
        <v>45932</v>
      </c>
      <c r="D10230" t="inlineStr">
        <is>
          <t>VÄRMLANDS LÄN</t>
        </is>
      </c>
      <c r="E10230" t="inlineStr">
        <is>
          <t>SUNNE</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44817-2025</t>
        </is>
      </c>
      <c r="B10231" s="1" t="n">
        <v>45918</v>
      </c>
      <c r="C10231" s="1" t="n">
        <v>45932</v>
      </c>
      <c r="D10231" t="inlineStr">
        <is>
          <t>VÄRMLANDS LÄN</t>
        </is>
      </c>
      <c r="E10231" t="inlineStr">
        <is>
          <t>TORSBY</t>
        </is>
      </c>
      <c r="F10231" t="inlineStr">
        <is>
          <t>Bergvik skog väst AB</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44845-2025</t>
        </is>
      </c>
      <c r="B10232" s="1" t="n">
        <v>45918</v>
      </c>
      <c r="C10232" s="1" t="n">
        <v>45932</v>
      </c>
      <c r="D10232" t="inlineStr">
        <is>
          <t>VÄRMLANDS LÄN</t>
        </is>
      </c>
      <c r="E10232" t="inlineStr">
        <is>
          <t>EDA</t>
        </is>
      </c>
      <c r="F10232" t="inlineStr">
        <is>
          <t>Bergvik skog väst AB</t>
        </is>
      </c>
      <c r="G10232" t="n">
        <v>12.6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37381-2025</t>
        </is>
      </c>
      <c r="B10233" s="1" t="n">
        <v>45877</v>
      </c>
      <c r="C10233" s="1" t="n">
        <v>45932</v>
      </c>
      <c r="D10233" t="inlineStr">
        <is>
          <t>VÄRMLANDS LÄN</t>
        </is>
      </c>
      <c r="E10233" t="inlineStr">
        <is>
          <t>TORSBY</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37385-2025</t>
        </is>
      </c>
      <c r="B10234" s="1" t="n">
        <v>45877</v>
      </c>
      <c r="C10234" s="1" t="n">
        <v>45932</v>
      </c>
      <c r="D10234" t="inlineStr">
        <is>
          <t>VÄRMLANDS LÄN</t>
        </is>
      </c>
      <c r="E10234" t="inlineStr">
        <is>
          <t>ARVIKA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18269-2025</t>
        </is>
      </c>
      <c r="B10235" s="1" t="n">
        <v>45762</v>
      </c>
      <c r="C10235" s="1" t="n">
        <v>45932</v>
      </c>
      <c r="D10235" t="inlineStr">
        <is>
          <t>VÄRMLANDS LÄN</t>
        </is>
      </c>
      <c r="E10235" t="inlineStr">
        <is>
          <t>ARVIKA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62770-2023</t>
        </is>
      </c>
      <c r="B10236" s="1" t="n">
        <v>45268</v>
      </c>
      <c r="C10236" s="1" t="n">
        <v>45932</v>
      </c>
      <c r="D10236" t="inlineStr">
        <is>
          <t>VÄRMLANDS LÄN</t>
        </is>
      </c>
      <c r="E10236" t="inlineStr">
        <is>
          <t>KRISTINEHAMN</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45161-2025</t>
        </is>
      </c>
      <c r="B10237" s="1" t="n">
        <v>45919</v>
      </c>
      <c r="C10237" s="1" t="n">
        <v>45932</v>
      </c>
      <c r="D10237" t="inlineStr">
        <is>
          <t>VÄRMLANDS LÄN</t>
        </is>
      </c>
      <c r="E10237" t="inlineStr">
        <is>
          <t>ÅRJÄNG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44859-2025</t>
        </is>
      </c>
      <c r="B10238" s="1" t="n">
        <v>45918</v>
      </c>
      <c r="C10238" s="1" t="n">
        <v>45932</v>
      </c>
      <c r="D10238" t="inlineStr">
        <is>
          <t>VÄRMLANDS LÄN</t>
        </is>
      </c>
      <c r="E10238" t="inlineStr">
        <is>
          <t>ARVIKA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44867-2025</t>
        </is>
      </c>
      <c r="B10239" s="1" t="n">
        <v>45918</v>
      </c>
      <c r="C10239" s="1" t="n">
        <v>45932</v>
      </c>
      <c r="D10239" t="inlineStr">
        <is>
          <t>VÄRMLANDS LÄN</t>
        </is>
      </c>
      <c r="E10239" t="inlineStr">
        <is>
          <t>ARVIKA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44894-2025</t>
        </is>
      </c>
      <c r="B10240" s="1" t="n">
        <v>45918</v>
      </c>
      <c r="C10240" s="1" t="n">
        <v>45932</v>
      </c>
      <c r="D10240" t="inlineStr">
        <is>
          <t>VÄRMLANDS LÄN</t>
        </is>
      </c>
      <c r="E10240" t="inlineStr">
        <is>
          <t>SUNNE</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37611-2022</t>
        </is>
      </c>
      <c r="B10241" s="1" t="n">
        <v>44809</v>
      </c>
      <c r="C10241" s="1" t="n">
        <v>45932</v>
      </c>
      <c r="D10241" t="inlineStr">
        <is>
          <t>VÄRMLANDS LÄN</t>
        </is>
      </c>
      <c r="E10241" t="inlineStr">
        <is>
          <t>FILIPSTAD</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45178-2025</t>
        </is>
      </c>
      <c r="B10242" s="1" t="n">
        <v>45919.52542824074</v>
      </c>
      <c r="C10242" s="1" t="n">
        <v>45932</v>
      </c>
      <c r="D10242" t="inlineStr">
        <is>
          <t>VÄRMLANDS LÄN</t>
        </is>
      </c>
      <c r="E10242" t="inlineStr">
        <is>
          <t>SUNNE</t>
        </is>
      </c>
      <c r="F10242" t="inlineStr">
        <is>
          <t>Kommuner</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67193-2021</t>
        </is>
      </c>
      <c r="B10243" s="1" t="n">
        <v>44523.45299768518</v>
      </c>
      <c r="C10243" s="1" t="n">
        <v>45932</v>
      </c>
      <c r="D10243" t="inlineStr">
        <is>
          <t>VÄRMLANDS LÄN</t>
        </is>
      </c>
      <c r="E10243" t="inlineStr">
        <is>
          <t>SUNNE</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54029-2021</t>
        </is>
      </c>
      <c r="B10244" s="1" t="n">
        <v>44470.37834490741</v>
      </c>
      <c r="C10244" s="1" t="n">
        <v>45932</v>
      </c>
      <c r="D10244" t="inlineStr">
        <is>
          <t>VÄRMLANDS LÄN</t>
        </is>
      </c>
      <c r="E10244" t="inlineStr">
        <is>
          <t>TORSBY</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51956-2020</t>
        </is>
      </c>
      <c r="B10245" s="1" t="n">
        <v>44110</v>
      </c>
      <c r="C10245" s="1" t="n">
        <v>45932</v>
      </c>
      <c r="D10245" t="inlineStr">
        <is>
          <t>VÄRMLANDS LÄN</t>
        </is>
      </c>
      <c r="E10245" t="inlineStr">
        <is>
          <t>KARLSTAD</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45137-2025</t>
        </is>
      </c>
      <c r="B10246" s="1" t="n">
        <v>45919</v>
      </c>
      <c r="C10246" s="1" t="n">
        <v>45932</v>
      </c>
      <c r="D10246" t="inlineStr">
        <is>
          <t>VÄRMLANDS LÄN</t>
        </is>
      </c>
      <c r="E10246" t="inlineStr">
        <is>
          <t>ÅRJÄNG</t>
        </is>
      </c>
      <c r="F10246" t="inlineStr">
        <is>
          <t>Övriga Aktiebolag</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45147-2025</t>
        </is>
      </c>
      <c r="B10247" s="1" t="n">
        <v>45919.46777777778</v>
      </c>
      <c r="C10247" s="1" t="n">
        <v>45932</v>
      </c>
      <c r="D10247" t="inlineStr">
        <is>
          <t>VÄRMLANDS LÄN</t>
        </is>
      </c>
      <c r="E10247" t="inlineStr">
        <is>
          <t>HAGFORS</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54160-2022</t>
        </is>
      </c>
      <c r="B10248" s="1" t="n">
        <v>44881</v>
      </c>
      <c r="C10248" s="1" t="n">
        <v>45932</v>
      </c>
      <c r="D10248" t="inlineStr">
        <is>
          <t>VÄRMLANDS LÄN</t>
        </is>
      </c>
      <c r="E10248" t="inlineStr">
        <is>
          <t>TORSBY</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47068-2022</t>
        </is>
      </c>
      <c r="B10249" s="1" t="n">
        <v>44852.42949074074</v>
      </c>
      <c r="C10249" s="1" t="n">
        <v>45932</v>
      </c>
      <c r="D10249" t="inlineStr">
        <is>
          <t>VÄRMLANDS LÄN</t>
        </is>
      </c>
      <c r="E10249" t="inlineStr">
        <is>
          <t>SUNNE</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41315-2022</t>
        </is>
      </c>
      <c r="B10250" s="1" t="n">
        <v>44826</v>
      </c>
      <c r="C10250" s="1" t="n">
        <v>45932</v>
      </c>
      <c r="D10250" t="inlineStr">
        <is>
          <t>VÄRMLANDS LÄN</t>
        </is>
      </c>
      <c r="E10250" t="inlineStr">
        <is>
          <t>TORSBY</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41322-2022</t>
        </is>
      </c>
      <c r="B10251" s="1" t="n">
        <v>44826</v>
      </c>
      <c r="C10251" s="1" t="n">
        <v>45932</v>
      </c>
      <c r="D10251" t="inlineStr">
        <is>
          <t>VÄRMLANDS LÄN</t>
        </is>
      </c>
      <c r="E10251" t="inlineStr">
        <is>
          <t>TORSBY</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42537-2022</t>
        </is>
      </c>
      <c r="B10252" s="1" t="n">
        <v>44831.62577546296</v>
      </c>
      <c r="C10252" s="1" t="n">
        <v>45932</v>
      </c>
      <c r="D10252" t="inlineStr">
        <is>
          <t>VÄRMLANDS LÄN</t>
        </is>
      </c>
      <c r="E10252" t="inlineStr">
        <is>
          <t>SUNNE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8692-2023</t>
        </is>
      </c>
      <c r="B10253" s="1" t="n">
        <v>44978.33378472222</v>
      </c>
      <c r="C10253" s="1" t="n">
        <v>45932</v>
      </c>
      <c r="D10253" t="inlineStr">
        <is>
          <t>VÄRMLANDS LÄN</t>
        </is>
      </c>
      <c r="E10253" t="inlineStr">
        <is>
          <t>SUNNE</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9133-2023</t>
        </is>
      </c>
      <c r="B10254" s="1" t="n">
        <v>44980.3475</v>
      </c>
      <c r="C10254" s="1" t="n">
        <v>45932</v>
      </c>
      <c r="D10254" t="inlineStr">
        <is>
          <t>VÄRMLANDS LÄN</t>
        </is>
      </c>
      <c r="E10254" t="inlineStr">
        <is>
          <t>SUNNE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40447-2022</t>
        </is>
      </c>
      <c r="B10255" s="1" t="n">
        <v>44823</v>
      </c>
      <c r="C10255" s="1" t="n">
        <v>45932</v>
      </c>
      <c r="D10255" t="inlineStr">
        <is>
          <t>VÄRMLANDS LÄN</t>
        </is>
      </c>
      <c r="E10255" t="inlineStr">
        <is>
          <t>ÅRJÄNG</t>
        </is>
      </c>
      <c r="G10255" t="n">
        <v>10.4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5214-2025</t>
        </is>
      </c>
      <c r="B10256" s="1" t="n">
        <v>45691</v>
      </c>
      <c r="C10256" s="1" t="n">
        <v>45932</v>
      </c>
      <c r="D10256" t="inlineStr">
        <is>
          <t>VÄRMLANDS LÄN</t>
        </is>
      </c>
      <c r="E10256" t="inlineStr">
        <is>
          <t>GRUMS</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11126-2024</t>
        </is>
      </c>
      <c r="B10257" s="1" t="n">
        <v>45371.42046296296</v>
      </c>
      <c r="C10257" s="1" t="n">
        <v>45932</v>
      </c>
      <c r="D10257" t="inlineStr">
        <is>
          <t>VÄRMLANDS LÄN</t>
        </is>
      </c>
      <c r="E10257" t="inlineStr">
        <is>
          <t>HAGFORS</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50138-2023</t>
        </is>
      </c>
      <c r="B10258" s="1" t="n">
        <v>45215.66738425926</v>
      </c>
      <c r="C10258" s="1" t="n">
        <v>45932</v>
      </c>
      <c r="D10258" t="inlineStr">
        <is>
          <t>VÄRMLANDS LÄN</t>
        </is>
      </c>
      <c r="E10258" t="inlineStr">
        <is>
          <t>TORSBY</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63799-2023</t>
        </is>
      </c>
      <c r="B10259" s="1" t="n">
        <v>45278</v>
      </c>
      <c r="C10259" s="1" t="n">
        <v>45932</v>
      </c>
      <c r="D10259" t="inlineStr">
        <is>
          <t>VÄRMLANDS LÄN</t>
        </is>
      </c>
      <c r="E10259" t="inlineStr">
        <is>
          <t>FORSHAGA</t>
        </is>
      </c>
      <c r="F10259" t="inlineStr">
        <is>
          <t>Bergvik skog väst AB</t>
        </is>
      </c>
      <c r="G10259" t="n">
        <v>10.5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7927-2024</t>
        </is>
      </c>
      <c r="B10260" s="1" t="n">
        <v>45350</v>
      </c>
      <c r="C10260" s="1" t="n">
        <v>45932</v>
      </c>
      <c r="D10260" t="inlineStr">
        <is>
          <t>VÄRMLANDS LÄN</t>
        </is>
      </c>
      <c r="E10260" t="inlineStr">
        <is>
          <t>TORSBY</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37230-2025</t>
        </is>
      </c>
      <c r="B10261" s="1" t="n">
        <v>45876</v>
      </c>
      <c r="C10261" s="1" t="n">
        <v>45932</v>
      </c>
      <c r="D10261" t="inlineStr">
        <is>
          <t>VÄRMLANDS LÄN</t>
        </is>
      </c>
      <c r="E10261" t="inlineStr">
        <is>
          <t>TORSBY</t>
        </is>
      </c>
      <c r="F10261" t="inlineStr">
        <is>
          <t>Bergvik skog väst AB</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31493-2021</t>
        </is>
      </c>
      <c r="B10262" s="1" t="n">
        <v>44369</v>
      </c>
      <c r="C10262" s="1" t="n">
        <v>45932</v>
      </c>
      <c r="D10262" t="inlineStr">
        <is>
          <t>VÄRMLANDS LÄN</t>
        </is>
      </c>
      <c r="E10262" t="inlineStr">
        <is>
          <t>TORSBY</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19109-2024</t>
        </is>
      </c>
      <c r="B10263" s="1" t="n">
        <v>45428</v>
      </c>
      <c r="C10263" s="1" t="n">
        <v>45932</v>
      </c>
      <c r="D10263" t="inlineStr">
        <is>
          <t>VÄRMLANDS LÄN</t>
        </is>
      </c>
      <c r="E10263" t="inlineStr">
        <is>
          <t>ARVIKA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55810-2024</t>
        </is>
      </c>
      <c r="B10264" s="1" t="n">
        <v>45623</v>
      </c>
      <c r="C10264" s="1" t="n">
        <v>45932</v>
      </c>
      <c r="D10264" t="inlineStr">
        <is>
          <t>VÄRMLANDS LÄN</t>
        </is>
      </c>
      <c r="E10264" t="inlineStr">
        <is>
          <t>EDA</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13274-2025</t>
        </is>
      </c>
      <c r="B10265" s="1" t="n">
        <v>45735</v>
      </c>
      <c r="C10265" s="1" t="n">
        <v>45932</v>
      </c>
      <c r="D10265" t="inlineStr">
        <is>
          <t>VÄRMLANDS LÄN</t>
        </is>
      </c>
      <c r="E10265" t="inlineStr">
        <is>
          <t>SÄFFLE</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6609-2023</t>
        </is>
      </c>
      <c r="B10266" s="1" t="n">
        <v>44966</v>
      </c>
      <c r="C10266" s="1" t="n">
        <v>45932</v>
      </c>
      <c r="D10266" t="inlineStr">
        <is>
          <t>VÄRMLANDS LÄN</t>
        </is>
      </c>
      <c r="E10266" t="inlineStr">
        <is>
          <t>EDA</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44335-2024</t>
        </is>
      </c>
      <c r="B10267" s="1" t="n">
        <v>45573.61053240741</v>
      </c>
      <c r="C10267" s="1" t="n">
        <v>45932</v>
      </c>
      <c r="D10267" t="inlineStr">
        <is>
          <t>VÄRMLANDS LÄN</t>
        </is>
      </c>
      <c r="E10267" t="inlineStr">
        <is>
          <t>EDA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13325-2025</t>
        </is>
      </c>
      <c r="B10268" s="1" t="n">
        <v>45735.60184027778</v>
      </c>
      <c r="C10268" s="1" t="n">
        <v>45932</v>
      </c>
      <c r="D10268" t="inlineStr">
        <is>
          <t>VÄRMLANDS LÄN</t>
        </is>
      </c>
      <c r="E10268" t="inlineStr">
        <is>
          <t>SUNNE</t>
        </is>
      </c>
      <c r="F10268" t="inlineStr">
        <is>
          <t>Bergvik skog väst AB</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14735-2023</t>
        </is>
      </c>
      <c r="B10269" s="1" t="n">
        <v>45013</v>
      </c>
      <c r="C10269" s="1" t="n">
        <v>45932</v>
      </c>
      <c r="D10269" t="inlineStr">
        <is>
          <t>VÄRMLANDS LÄN</t>
        </is>
      </c>
      <c r="E10269" t="inlineStr">
        <is>
          <t>ARVIKA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8911-2025</t>
        </is>
      </c>
      <c r="B10270" s="1" t="n">
        <v>45713</v>
      </c>
      <c r="C10270" s="1" t="n">
        <v>45932</v>
      </c>
      <c r="D10270" t="inlineStr">
        <is>
          <t>VÄRMLANDS LÄN</t>
        </is>
      </c>
      <c r="E10270" t="inlineStr">
        <is>
          <t>KIL</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52579-2024</t>
        </is>
      </c>
      <c r="B10271" s="1" t="n">
        <v>45609</v>
      </c>
      <c r="C10271" s="1" t="n">
        <v>45932</v>
      </c>
      <c r="D10271" t="inlineStr">
        <is>
          <t>VÄRMLANDS LÄN</t>
        </is>
      </c>
      <c r="E10271" t="inlineStr">
        <is>
          <t>ÅRJÄNG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28559-2021</t>
        </is>
      </c>
      <c r="B10272" s="1" t="n">
        <v>44356</v>
      </c>
      <c r="C10272" s="1" t="n">
        <v>45932</v>
      </c>
      <c r="D10272" t="inlineStr">
        <is>
          <t>VÄRMLANDS LÄN</t>
        </is>
      </c>
      <c r="E10272" t="inlineStr">
        <is>
          <t>TORSBY</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51980-2024</t>
        </is>
      </c>
      <c r="B10273" s="1" t="n">
        <v>45607</v>
      </c>
      <c r="C10273" s="1" t="n">
        <v>45932</v>
      </c>
      <c r="D10273" t="inlineStr">
        <is>
          <t>VÄRMLANDS LÄN</t>
        </is>
      </c>
      <c r="E10273" t="inlineStr">
        <is>
          <t>FILIPSTAD</t>
        </is>
      </c>
      <c r="F10273" t="inlineStr">
        <is>
          <t>Bergvik skog väst AB</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21757-2024</t>
        </is>
      </c>
      <c r="B10274" s="1" t="n">
        <v>45442</v>
      </c>
      <c r="C10274" s="1" t="n">
        <v>45932</v>
      </c>
      <c r="D10274" t="inlineStr">
        <is>
          <t>VÄRMLANDS LÄN</t>
        </is>
      </c>
      <c r="E10274" t="inlineStr">
        <is>
          <t>TORSBY</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16591-2022</t>
        </is>
      </c>
      <c r="B10275" s="1" t="n">
        <v>44672</v>
      </c>
      <c r="C10275" s="1" t="n">
        <v>45932</v>
      </c>
      <c r="D10275" t="inlineStr">
        <is>
          <t>VÄRMLANDS LÄN</t>
        </is>
      </c>
      <c r="E10275" t="inlineStr">
        <is>
          <t>FILIPSTAD</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47713-2024</t>
        </is>
      </c>
      <c r="B10276" s="1" t="n">
        <v>45588</v>
      </c>
      <c r="C10276" s="1" t="n">
        <v>45932</v>
      </c>
      <c r="D10276" t="inlineStr">
        <is>
          <t>VÄRMLANDS LÄN</t>
        </is>
      </c>
      <c r="E10276" t="inlineStr">
        <is>
          <t>STORFORS</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53748-2024</t>
        </is>
      </c>
      <c r="B10277" s="1" t="n">
        <v>45615.48322916667</v>
      </c>
      <c r="C10277" s="1" t="n">
        <v>45932</v>
      </c>
      <c r="D10277" t="inlineStr">
        <is>
          <t>VÄRMLANDS LÄN</t>
        </is>
      </c>
      <c r="E10277" t="inlineStr">
        <is>
          <t>TORSBY</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34404-2023</t>
        </is>
      </c>
      <c r="B10278" s="1" t="n">
        <v>45132</v>
      </c>
      <c r="C10278" s="1" t="n">
        <v>45932</v>
      </c>
      <c r="D10278" t="inlineStr">
        <is>
          <t>VÄRMLANDS LÄN</t>
        </is>
      </c>
      <c r="E10278" t="inlineStr">
        <is>
          <t>HAGFORS</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34430-2023</t>
        </is>
      </c>
      <c r="B10279" s="1" t="n">
        <v>45139.62216435185</v>
      </c>
      <c r="C10279" s="1" t="n">
        <v>45932</v>
      </c>
      <c r="D10279" t="inlineStr">
        <is>
          <t>VÄRMLANDS LÄN</t>
        </is>
      </c>
      <c r="E10279" t="inlineStr">
        <is>
          <t>TORSBY</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37419-2025</t>
        </is>
      </c>
      <c r="B10280" s="1" t="n">
        <v>45877</v>
      </c>
      <c r="C10280" s="1" t="n">
        <v>45932</v>
      </c>
      <c r="D10280" t="inlineStr">
        <is>
          <t>VÄRMLANDS LÄN</t>
        </is>
      </c>
      <c r="E10280" t="inlineStr">
        <is>
          <t>ÅRJÄNG</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32851-2022</t>
        </is>
      </c>
      <c r="B10281" s="1" t="n">
        <v>44784.46863425926</v>
      </c>
      <c r="C10281" s="1" t="n">
        <v>45932</v>
      </c>
      <c r="D10281" t="inlineStr">
        <is>
          <t>VÄRMLANDS LÄN</t>
        </is>
      </c>
      <c r="E10281" t="inlineStr">
        <is>
          <t>SUNNE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40718-2022</t>
        </is>
      </c>
      <c r="B10282" s="1" t="n">
        <v>44824.49635416667</v>
      </c>
      <c r="C10282" s="1" t="n">
        <v>45932</v>
      </c>
      <c r="D10282" t="inlineStr">
        <is>
          <t>VÄRMLANDS LÄN</t>
        </is>
      </c>
      <c r="E10282" t="inlineStr">
        <is>
          <t>TORSBY</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73382-2021</t>
        </is>
      </c>
      <c r="B10283" s="1" t="n">
        <v>44550</v>
      </c>
      <c r="C10283" s="1" t="n">
        <v>45932</v>
      </c>
      <c r="D10283" t="inlineStr">
        <is>
          <t>VÄRMLANDS LÄN</t>
        </is>
      </c>
      <c r="E10283" t="inlineStr">
        <is>
          <t>SÄFFLE</t>
        </is>
      </c>
      <c r="G10283" t="n">
        <v>11.7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11160-2025</t>
        </is>
      </c>
      <c r="B10284" s="1" t="n">
        <v>45723.86552083334</v>
      </c>
      <c r="C10284" s="1" t="n">
        <v>45932</v>
      </c>
      <c r="D10284" t="inlineStr">
        <is>
          <t>VÄRMLANDS LÄN</t>
        </is>
      </c>
      <c r="E10284" t="inlineStr">
        <is>
          <t>HAGFORS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53358-2024</t>
        </is>
      </c>
      <c r="B10285" s="1" t="n">
        <v>45614</v>
      </c>
      <c r="C10285" s="1" t="n">
        <v>45932</v>
      </c>
      <c r="D10285" t="inlineStr">
        <is>
          <t>VÄRMLANDS LÄN</t>
        </is>
      </c>
      <c r="E10285" t="inlineStr">
        <is>
          <t>TORSBY</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7222-2024</t>
        </is>
      </c>
      <c r="B10286" s="1" t="n">
        <v>45344.64137731482</v>
      </c>
      <c r="C10286" s="1" t="n">
        <v>45932</v>
      </c>
      <c r="D10286" t="inlineStr">
        <is>
          <t>VÄRMLANDS LÄN</t>
        </is>
      </c>
      <c r="E10286" t="inlineStr">
        <is>
          <t>KRISTINEHAMN</t>
        </is>
      </c>
      <c r="F10286" t="inlineStr">
        <is>
          <t>Naturvårdsverket</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45268-2025</t>
        </is>
      </c>
      <c r="B10287" s="1" t="n">
        <v>45919.66782407407</v>
      </c>
      <c r="C10287" s="1" t="n">
        <v>45932</v>
      </c>
      <c r="D10287" t="inlineStr">
        <is>
          <t>VÄRMLANDS LÄN</t>
        </is>
      </c>
      <c r="E10287" t="inlineStr">
        <is>
          <t>TORSBY</t>
        </is>
      </c>
      <c r="F10287" t="inlineStr">
        <is>
          <t>Bergvik skog väst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12402-2025</t>
        </is>
      </c>
      <c r="B10288" s="1" t="n">
        <v>45730.4228125</v>
      </c>
      <c r="C10288" s="1" t="n">
        <v>45932</v>
      </c>
      <c r="D10288" t="inlineStr">
        <is>
          <t>VÄRMLANDS LÄN</t>
        </is>
      </c>
      <c r="E10288" t="inlineStr">
        <is>
          <t>TORSBY</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20743-2024</t>
        </is>
      </c>
      <c r="B10289" s="1" t="n">
        <v>45436</v>
      </c>
      <c r="C10289" s="1" t="n">
        <v>45932</v>
      </c>
      <c r="D10289" t="inlineStr">
        <is>
          <t>VÄRMLANDS LÄN</t>
        </is>
      </c>
      <c r="E10289" t="inlineStr">
        <is>
          <t>KIL</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19218-2025</t>
        </is>
      </c>
      <c r="B10290" s="1" t="n">
        <v>45769.44701388889</v>
      </c>
      <c r="C10290" s="1" t="n">
        <v>45932</v>
      </c>
      <c r="D10290" t="inlineStr">
        <is>
          <t>VÄRMLANDS LÄN</t>
        </is>
      </c>
      <c r="E10290" t="inlineStr">
        <is>
          <t>SÄFFLE</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22386-2025</t>
        </is>
      </c>
      <c r="B10291" s="1" t="n">
        <v>45786.50703703704</v>
      </c>
      <c r="C10291" s="1" t="n">
        <v>45932</v>
      </c>
      <c r="D10291" t="inlineStr">
        <is>
          <t>VÄRMLANDS LÄN</t>
        </is>
      </c>
      <c r="E10291" t="inlineStr">
        <is>
          <t>TORSBY</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30299-2025</t>
        </is>
      </c>
      <c r="B10292" s="1" t="n">
        <v>45827</v>
      </c>
      <c r="C10292" s="1" t="n">
        <v>45932</v>
      </c>
      <c r="D10292" t="inlineStr">
        <is>
          <t>VÄRMLANDS LÄN</t>
        </is>
      </c>
      <c r="E10292" t="inlineStr">
        <is>
          <t>TORSBY</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30787-2025</t>
        </is>
      </c>
      <c r="B10293" s="1" t="n">
        <v>45831</v>
      </c>
      <c r="C10293" s="1" t="n">
        <v>45932</v>
      </c>
      <c r="D10293" t="inlineStr">
        <is>
          <t>VÄRMLANDS LÄN</t>
        </is>
      </c>
      <c r="E10293" t="inlineStr">
        <is>
          <t>ARVIKA</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41740-2025</t>
        </is>
      </c>
      <c r="B10294" s="1" t="n">
        <v>45902</v>
      </c>
      <c r="C10294" s="1" t="n">
        <v>45932</v>
      </c>
      <c r="D10294" t="inlineStr">
        <is>
          <t>VÄRMLANDS LÄN</t>
        </is>
      </c>
      <c r="E10294" t="inlineStr">
        <is>
          <t>TORSBY</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41744-2025</t>
        </is>
      </c>
      <c r="B10295" s="1" t="n">
        <v>45902</v>
      </c>
      <c r="C10295" s="1" t="n">
        <v>45932</v>
      </c>
      <c r="D10295" t="inlineStr">
        <is>
          <t>VÄRMLANDS LÄN</t>
        </is>
      </c>
      <c r="E10295" t="inlineStr">
        <is>
          <t>TORSBY</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53369-2024</t>
        </is>
      </c>
      <c r="B10296" s="1" t="n">
        <v>45614</v>
      </c>
      <c r="C10296" s="1" t="n">
        <v>45932</v>
      </c>
      <c r="D10296" t="inlineStr">
        <is>
          <t>VÄRMLANDS LÄN</t>
        </is>
      </c>
      <c r="E10296" t="inlineStr">
        <is>
          <t>HAMMARÖ</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53401-2024</t>
        </is>
      </c>
      <c r="B10297" s="1" t="n">
        <v>45614</v>
      </c>
      <c r="C10297" s="1" t="n">
        <v>45932</v>
      </c>
      <c r="D10297" t="inlineStr">
        <is>
          <t>VÄRMLANDS LÄN</t>
        </is>
      </c>
      <c r="E10297" t="inlineStr">
        <is>
          <t>EDA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43968-2024</t>
        </is>
      </c>
      <c r="B10298" s="1" t="n">
        <v>45572</v>
      </c>
      <c r="C10298" s="1" t="n">
        <v>45932</v>
      </c>
      <c r="D10298" t="inlineStr">
        <is>
          <t>VÄRMLANDS LÄN</t>
        </is>
      </c>
      <c r="E10298" t="inlineStr">
        <is>
          <t>ARVIKA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43988-2024</t>
        </is>
      </c>
      <c r="B10299" s="1" t="n">
        <v>45572</v>
      </c>
      <c r="C10299" s="1" t="n">
        <v>45932</v>
      </c>
      <c r="D10299" t="inlineStr">
        <is>
          <t>VÄRMLANDS LÄN</t>
        </is>
      </c>
      <c r="E10299" t="inlineStr">
        <is>
          <t>TORSBY</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43998-2024</t>
        </is>
      </c>
      <c r="B10300" s="1" t="n">
        <v>45572</v>
      </c>
      <c r="C10300" s="1" t="n">
        <v>45932</v>
      </c>
      <c r="D10300" t="inlineStr">
        <is>
          <t>VÄRMLANDS LÄN</t>
        </is>
      </c>
      <c r="E10300" t="inlineStr">
        <is>
          <t>HAGFORS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41525-2021</t>
        </is>
      </c>
      <c r="B10301" s="1" t="n">
        <v>44425</v>
      </c>
      <c r="C10301" s="1" t="n">
        <v>45932</v>
      </c>
      <c r="D10301" t="inlineStr">
        <is>
          <t>VÄRMLANDS LÄN</t>
        </is>
      </c>
      <c r="E10301" t="inlineStr">
        <is>
          <t>SUNNE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28545-2025</t>
        </is>
      </c>
      <c r="B10302" s="1" t="n">
        <v>45818</v>
      </c>
      <c r="C10302" s="1" t="n">
        <v>45932</v>
      </c>
      <c r="D10302" t="inlineStr">
        <is>
          <t>VÄRMLANDS LÄN</t>
        </is>
      </c>
      <c r="E10302" t="inlineStr">
        <is>
          <t>KARLSTAD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45133-2025</t>
        </is>
      </c>
      <c r="B10303" s="1" t="n">
        <v>45919.4447337963</v>
      </c>
      <c r="C10303" s="1" t="n">
        <v>45932</v>
      </c>
      <c r="D10303" t="inlineStr">
        <is>
          <t>VÄRMLANDS LÄN</t>
        </is>
      </c>
      <c r="E10303" t="inlineStr">
        <is>
          <t>TORSBY</t>
        </is>
      </c>
      <c r="F10303" t="inlineStr">
        <is>
          <t>Bergvik skog väst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18331-2025</t>
        </is>
      </c>
      <c r="B10304" s="1" t="n">
        <v>45762</v>
      </c>
      <c r="C10304" s="1" t="n">
        <v>45932</v>
      </c>
      <c r="D10304" t="inlineStr">
        <is>
          <t>VÄRMLANDS LÄN</t>
        </is>
      </c>
      <c r="E10304" t="inlineStr">
        <is>
          <t>TORSBY</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18342-2025</t>
        </is>
      </c>
      <c r="B10305" s="1" t="n">
        <v>45762.51891203703</v>
      </c>
      <c r="C10305" s="1" t="n">
        <v>45932</v>
      </c>
      <c r="D10305" t="inlineStr">
        <is>
          <t>VÄRMLANDS LÄN</t>
        </is>
      </c>
      <c r="E10305" t="inlineStr">
        <is>
          <t>KARLSTAD</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37348-2025</t>
        </is>
      </c>
      <c r="B10306" s="1" t="n">
        <v>45876.71136574074</v>
      </c>
      <c r="C10306" s="1" t="n">
        <v>45932</v>
      </c>
      <c r="D10306" t="inlineStr">
        <is>
          <t>VÄRMLANDS LÄN</t>
        </is>
      </c>
      <c r="E10306" t="inlineStr">
        <is>
          <t>TORSBY</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44976-2025</t>
        </is>
      </c>
      <c r="B10307" s="1" t="n">
        <v>45918</v>
      </c>
      <c r="C10307" s="1" t="n">
        <v>45932</v>
      </c>
      <c r="D10307" t="inlineStr">
        <is>
          <t>VÄRMLANDS LÄN</t>
        </is>
      </c>
      <c r="E10307" t="inlineStr">
        <is>
          <t>TORSBY</t>
        </is>
      </c>
      <c r="F10307" t="inlineStr">
        <is>
          <t>Bergvik skog väst AB</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55153-2024</t>
        </is>
      </c>
      <c r="B10308" s="1" t="n">
        <v>45621</v>
      </c>
      <c r="C10308" s="1" t="n">
        <v>45932</v>
      </c>
      <c r="D10308" t="inlineStr">
        <is>
          <t>VÄRMLANDS LÄN</t>
        </is>
      </c>
      <c r="E10308" t="inlineStr">
        <is>
          <t>SUNNE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34711-2022</t>
        </is>
      </c>
      <c r="B10309" s="1" t="n">
        <v>44795.58136574074</v>
      </c>
      <c r="C10309" s="1" t="n">
        <v>45932</v>
      </c>
      <c r="D10309" t="inlineStr">
        <is>
          <t>VÄRMLANDS LÄN</t>
        </is>
      </c>
      <c r="E10309" t="inlineStr">
        <is>
          <t>SUNNE</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37378-2025</t>
        </is>
      </c>
      <c r="B10310" s="1" t="n">
        <v>45877</v>
      </c>
      <c r="C10310" s="1" t="n">
        <v>45932</v>
      </c>
      <c r="D10310" t="inlineStr">
        <is>
          <t>VÄRMLANDS LÄN</t>
        </is>
      </c>
      <c r="E10310" t="inlineStr">
        <is>
          <t>EDA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44170-2024</t>
        </is>
      </c>
      <c r="B10311" s="1" t="n">
        <v>45572.7378125</v>
      </c>
      <c r="C10311" s="1" t="n">
        <v>45932</v>
      </c>
      <c r="D10311" t="inlineStr">
        <is>
          <t>VÄRMLANDS LÄN</t>
        </is>
      </c>
      <c r="E10311" t="inlineStr">
        <is>
          <t>SUNNE</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45304-2023</t>
        </is>
      </c>
      <c r="B10312" s="1" t="n">
        <v>45191</v>
      </c>
      <c r="C10312" s="1" t="n">
        <v>45932</v>
      </c>
      <c r="D10312" t="inlineStr">
        <is>
          <t>VÄRMLANDS LÄN</t>
        </is>
      </c>
      <c r="E10312" t="inlineStr">
        <is>
          <t>SUNNE</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16153-2025</t>
        </is>
      </c>
      <c r="B10313" s="1" t="n">
        <v>45750.48366898148</v>
      </c>
      <c r="C10313" s="1" t="n">
        <v>45932</v>
      </c>
      <c r="D10313" t="inlineStr">
        <is>
          <t>VÄRMLANDS LÄN</t>
        </is>
      </c>
      <c r="E10313" t="inlineStr">
        <is>
          <t>HAGFORS</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65314-2020</t>
        </is>
      </c>
      <c r="B10314" s="1" t="n">
        <v>44173</v>
      </c>
      <c r="C10314" s="1" t="n">
        <v>45932</v>
      </c>
      <c r="D10314" t="inlineStr">
        <is>
          <t>VÄRMLANDS LÄN</t>
        </is>
      </c>
      <c r="E10314" t="inlineStr">
        <is>
          <t>SUNNE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37510-2025</t>
        </is>
      </c>
      <c r="B10315" s="1" t="n">
        <v>45877</v>
      </c>
      <c r="C10315" s="1" t="n">
        <v>45932</v>
      </c>
      <c r="D10315" t="inlineStr">
        <is>
          <t>VÄRMLANDS LÄN</t>
        </is>
      </c>
      <c r="E10315" t="inlineStr">
        <is>
          <t>ÅRJÄNG</t>
        </is>
      </c>
      <c r="G10315" t="n">
        <v>10.4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37516-2025</t>
        </is>
      </c>
      <c r="B10316" s="1" t="n">
        <v>45877</v>
      </c>
      <c r="C10316" s="1" t="n">
        <v>45932</v>
      </c>
      <c r="D10316" t="inlineStr">
        <is>
          <t>VÄRMLANDS LÄN</t>
        </is>
      </c>
      <c r="E10316" t="inlineStr">
        <is>
          <t>KRISTINEHAMN</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37517-2025</t>
        </is>
      </c>
      <c r="B10317" s="1" t="n">
        <v>45877</v>
      </c>
      <c r="C10317" s="1" t="n">
        <v>45932</v>
      </c>
      <c r="D10317" t="inlineStr">
        <is>
          <t>VÄRMLANDS LÄN</t>
        </is>
      </c>
      <c r="E10317" t="inlineStr">
        <is>
          <t>GRUMS</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17879-2024</t>
        </is>
      </c>
      <c r="B10318" s="1" t="n">
        <v>45419</v>
      </c>
      <c r="C10318" s="1" t="n">
        <v>45932</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36674-2023</t>
        </is>
      </c>
      <c r="B10319" s="1" t="n">
        <v>45153.5908912037</v>
      </c>
      <c r="C10319" s="1" t="n">
        <v>45932</v>
      </c>
      <c r="D10319" t="inlineStr">
        <is>
          <t>VÄRMLANDS LÄN</t>
        </is>
      </c>
      <c r="E10319" t="inlineStr">
        <is>
          <t>TORSBY</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63471-2020</t>
        </is>
      </c>
      <c r="B10320" s="1" t="n">
        <v>44165.61076388889</v>
      </c>
      <c r="C10320" s="1" t="n">
        <v>45932</v>
      </c>
      <c r="D10320" t="inlineStr">
        <is>
          <t>VÄRMLANDS LÄN</t>
        </is>
      </c>
      <c r="E10320" t="inlineStr">
        <is>
          <t>SUNNE</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28005-2024</t>
        </is>
      </c>
      <c r="B10321" s="1" t="n">
        <v>45476</v>
      </c>
      <c r="C10321" s="1" t="n">
        <v>45932</v>
      </c>
      <c r="D10321" t="inlineStr">
        <is>
          <t>VÄRMLANDS LÄN</t>
        </is>
      </c>
      <c r="E10321" t="inlineStr">
        <is>
          <t>TORSBY</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44646-2024</t>
        </is>
      </c>
      <c r="B10322" s="1" t="n">
        <v>45574</v>
      </c>
      <c r="C10322" s="1" t="n">
        <v>45932</v>
      </c>
      <c r="D10322" t="inlineStr">
        <is>
          <t>VÄRMLANDS LÄN</t>
        </is>
      </c>
      <c r="E10322" t="inlineStr">
        <is>
          <t>KIL</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66459-2020</t>
        </is>
      </c>
      <c r="B10323" s="1" t="n">
        <v>44176</v>
      </c>
      <c r="C10323" s="1" t="n">
        <v>45932</v>
      </c>
      <c r="D10323" t="inlineStr">
        <is>
          <t>VÄRMLANDS LÄN</t>
        </is>
      </c>
      <c r="E10323" t="inlineStr">
        <is>
          <t>TORSBY</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44257-2025</t>
        </is>
      </c>
      <c r="B10324" s="1" t="n">
        <v>45915</v>
      </c>
      <c r="C10324" s="1" t="n">
        <v>45932</v>
      </c>
      <c r="D10324" t="inlineStr">
        <is>
          <t>VÄRMLANDS LÄN</t>
        </is>
      </c>
      <c r="E10324" t="inlineStr">
        <is>
          <t>ÅRJÄNG</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67035-2020</t>
        </is>
      </c>
      <c r="B10325" s="1" t="n">
        <v>44180</v>
      </c>
      <c r="C10325" s="1" t="n">
        <v>45932</v>
      </c>
      <c r="D10325" t="inlineStr">
        <is>
          <t>VÄRMLANDS LÄN</t>
        </is>
      </c>
      <c r="E10325" t="inlineStr">
        <is>
          <t>ARVIKA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27815-2023</t>
        </is>
      </c>
      <c r="B10326" s="1" t="n">
        <v>45098.49775462963</v>
      </c>
      <c r="C10326" s="1" t="n">
        <v>45932</v>
      </c>
      <c r="D10326" t="inlineStr">
        <is>
          <t>VÄRMLANDS LÄN</t>
        </is>
      </c>
      <c r="E10326" t="inlineStr">
        <is>
          <t>SÄFFLE</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27821-2023</t>
        </is>
      </c>
      <c r="B10327" s="1" t="n">
        <v>45098</v>
      </c>
      <c r="C10327" s="1" t="n">
        <v>45932</v>
      </c>
      <c r="D10327" t="inlineStr">
        <is>
          <t>VÄRMLANDS LÄN</t>
        </is>
      </c>
      <c r="E10327" t="inlineStr">
        <is>
          <t>SÄFFLE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17733-2025</t>
        </is>
      </c>
      <c r="B10328" s="1" t="n">
        <v>45758</v>
      </c>
      <c r="C10328" s="1" t="n">
        <v>45932</v>
      </c>
      <c r="D10328" t="inlineStr">
        <is>
          <t>VÄRMLANDS LÄN</t>
        </is>
      </c>
      <c r="E10328" t="inlineStr">
        <is>
          <t>HAGFORS</t>
        </is>
      </c>
      <c r="F10328" t="inlineStr">
        <is>
          <t>Bergvik skog väst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45108-2025</t>
        </is>
      </c>
      <c r="B10329" s="1" t="n">
        <v>45919.41467592592</v>
      </c>
      <c r="C10329" s="1" t="n">
        <v>45932</v>
      </c>
      <c r="D10329" t="inlineStr">
        <is>
          <t>VÄRMLANDS LÄN</t>
        </is>
      </c>
      <c r="E10329" t="inlineStr">
        <is>
          <t>TORSBY</t>
        </is>
      </c>
      <c r="F10329" t="inlineStr">
        <is>
          <t>Bergvik skog väst AB</t>
        </is>
      </c>
      <c r="G10329" t="n">
        <v>24.4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45245-2025</t>
        </is>
      </c>
      <c r="B10330" s="1" t="n">
        <v>45919.60621527778</v>
      </c>
      <c r="C10330" s="1" t="n">
        <v>45932</v>
      </c>
      <c r="D10330" t="inlineStr">
        <is>
          <t>VÄRMLANDS LÄN</t>
        </is>
      </c>
      <c r="E10330" t="inlineStr">
        <is>
          <t>TORSBY</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45093-2025</t>
        </is>
      </c>
      <c r="B10331" s="1" t="n">
        <v>45919.38398148148</v>
      </c>
      <c r="C10331" s="1" t="n">
        <v>45932</v>
      </c>
      <c r="D10331" t="inlineStr">
        <is>
          <t>VÄRMLANDS LÄN</t>
        </is>
      </c>
      <c r="E10331" t="inlineStr">
        <is>
          <t>TORSBY</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59617-2022</t>
        </is>
      </c>
      <c r="B10332" s="1" t="n">
        <v>44907</v>
      </c>
      <c r="C10332" s="1" t="n">
        <v>45932</v>
      </c>
      <c r="D10332" t="inlineStr">
        <is>
          <t>VÄRMLANDS LÄN</t>
        </is>
      </c>
      <c r="E10332" t="inlineStr">
        <is>
          <t>ÅRJÄNG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37382-2025</t>
        </is>
      </c>
      <c r="B10333" s="1" t="n">
        <v>45877.37577546296</v>
      </c>
      <c r="C10333" s="1" t="n">
        <v>45932</v>
      </c>
      <c r="D10333" t="inlineStr">
        <is>
          <t>VÄRMLANDS LÄN</t>
        </is>
      </c>
      <c r="E10333" t="inlineStr">
        <is>
          <t>SUNNE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37416-2025</t>
        </is>
      </c>
      <c r="B10334" s="1" t="n">
        <v>45877</v>
      </c>
      <c r="C10334" s="1" t="n">
        <v>45932</v>
      </c>
      <c r="D10334" t="inlineStr">
        <is>
          <t>VÄRMLANDS LÄN</t>
        </is>
      </c>
      <c r="E10334" t="inlineStr">
        <is>
          <t>ÅRJÄNG</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37483-2025</t>
        </is>
      </c>
      <c r="B10335" s="1" t="n">
        <v>45877.61876157407</v>
      </c>
      <c r="C10335" s="1" t="n">
        <v>45932</v>
      </c>
      <c r="D10335" t="inlineStr">
        <is>
          <t>VÄRMLANDS LÄN</t>
        </is>
      </c>
      <c r="E10335" t="inlineStr">
        <is>
          <t>SUNNE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73355-2021</t>
        </is>
      </c>
      <c r="B10336" s="1" t="n">
        <v>44550</v>
      </c>
      <c r="C10336" s="1" t="n">
        <v>45932</v>
      </c>
      <c r="D10336" t="inlineStr">
        <is>
          <t>VÄRMLANDS LÄN</t>
        </is>
      </c>
      <c r="E10336" t="inlineStr">
        <is>
          <t>SÄFFLE</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73363-2021</t>
        </is>
      </c>
      <c r="B10337" s="1" t="n">
        <v>44550</v>
      </c>
      <c r="C10337" s="1" t="n">
        <v>45932</v>
      </c>
      <c r="D10337" t="inlineStr">
        <is>
          <t>VÄRMLANDS LÄN</t>
        </is>
      </c>
      <c r="E10337" t="inlineStr">
        <is>
          <t>ÅRJÄNG</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44956-2025</t>
        </is>
      </c>
      <c r="B10338" s="1" t="n">
        <v>45918.61452546297</v>
      </c>
      <c r="C10338" s="1" t="n">
        <v>45932</v>
      </c>
      <c r="D10338" t="inlineStr">
        <is>
          <t>VÄRMLANDS LÄN</t>
        </is>
      </c>
      <c r="E10338" t="inlineStr">
        <is>
          <t>ÅRJÄNG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44963-2025</t>
        </is>
      </c>
      <c r="B10339" s="1" t="n">
        <v>45918</v>
      </c>
      <c r="C10339" s="1" t="n">
        <v>45932</v>
      </c>
      <c r="D10339" t="inlineStr">
        <is>
          <t>VÄRMLANDS LÄN</t>
        </is>
      </c>
      <c r="E10339" t="inlineStr">
        <is>
          <t>FILIPSTAD</t>
        </is>
      </c>
      <c r="F10339" t="inlineStr">
        <is>
          <t>Bergvik skog väst AB</t>
        </is>
      </c>
      <c r="G10339" t="n">
        <v>12.3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38238-2022</t>
        </is>
      </c>
      <c r="B10340" s="1" t="n">
        <v>44812.47114583333</v>
      </c>
      <c r="C10340" s="1" t="n">
        <v>45932</v>
      </c>
      <c r="D10340" t="inlineStr">
        <is>
          <t>VÄRMLANDS LÄN</t>
        </is>
      </c>
      <c r="E10340" t="inlineStr">
        <is>
          <t>MUNKFORS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61009-2023</t>
        </is>
      </c>
      <c r="B10341" s="1" t="n">
        <v>45261.52961805555</v>
      </c>
      <c r="C10341" s="1" t="n">
        <v>45932</v>
      </c>
      <c r="D10341" t="inlineStr">
        <is>
          <t>VÄRMLANDS LÄN</t>
        </is>
      </c>
      <c r="E10341" t="inlineStr">
        <is>
          <t>KARLSTAD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15663-2024</t>
        </is>
      </c>
      <c r="B10342" s="1" t="n">
        <v>45404</v>
      </c>
      <c r="C10342" s="1" t="n">
        <v>45932</v>
      </c>
      <c r="D10342" t="inlineStr">
        <is>
          <t>VÄRMLANDS LÄN</t>
        </is>
      </c>
      <c r="E10342" t="inlineStr">
        <is>
          <t>FORSHAGA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414-2024</t>
        </is>
      </c>
      <c r="B10343" s="1" t="n">
        <v>45296.4865625</v>
      </c>
      <c r="C10343" s="1" t="n">
        <v>45932</v>
      </c>
      <c r="D10343" t="inlineStr">
        <is>
          <t>VÄRMLANDS LÄN</t>
        </is>
      </c>
      <c r="E10343" t="inlineStr">
        <is>
          <t>ARVIKA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37236-2025</t>
        </is>
      </c>
      <c r="B10344" s="1" t="n">
        <v>45876.36116898148</v>
      </c>
      <c r="C10344" s="1" t="n">
        <v>45932</v>
      </c>
      <c r="D10344" t="inlineStr">
        <is>
          <t>VÄRMLANDS LÄN</t>
        </is>
      </c>
      <c r="E10344" t="inlineStr">
        <is>
          <t>TORSBY</t>
        </is>
      </c>
      <c r="F10344" t="inlineStr">
        <is>
          <t>Bergvik skog väst AB</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9394-2024</t>
        </is>
      </c>
      <c r="B10345" s="1" t="n">
        <v>45359</v>
      </c>
      <c r="C10345" s="1" t="n">
        <v>45932</v>
      </c>
      <c r="D10345" t="inlineStr">
        <is>
          <t>VÄRMLANDS LÄN</t>
        </is>
      </c>
      <c r="E10345" t="inlineStr">
        <is>
          <t>KRISTINEHAMN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13282-2024</t>
        </is>
      </c>
      <c r="B10346" s="1" t="n">
        <v>45386.6375</v>
      </c>
      <c r="C10346" s="1" t="n">
        <v>45932</v>
      </c>
      <c r="D10346" t="inlineStr">
        <is>
          <t>VÄRMLANDS LÄN</t>
        </is>
      </c>
      <c r="E10346" t="inlineStr">
        <is>
          <t>HAGFORS</t>
        </is>
      </c>
      <c r="F10346" t="inlineStr">
        <is>
          <t>Kommuner</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45971-2024</t>
        </is>
      </c>
      <c r="B10347" s="1" t="n">
        <v>45580</v>
      </c>
      <c r="C10347" s="1" t="n">
        <v>45932</v>
      </c>
      <c r="D10347" t="inlineStr">
        <is>
          <t>VÄRMLANDS LÄN</t>
        </is>
      </c>
      <c r="E10347" t="inlineStr">
        <is>
          <t>ARVIKA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13291-2024</t>
        </is>
      </c>
      <c r="B10348" s="1" t="n">
        <v>45386</v>
      </c>
      <c r="C10348" s="1" t="n">
        <v>45932</v>
      </c>
      <c r="D10348" t="inlineStr">
        <is>
          <t>VÄRMLANDS LÄN</t>
        </is>
      </c>
      <c r="E10348" t="inlineStr">
        <is>
          <t>KARLSTAD</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13292-2024</t>
        </is>
      </c>
      <c r="B10349" s="1" t="n">
        <v>45386.64910879629</v>
      </c>
      <c r="C10349" s="1" t="n">
        <v>45932</v>
      </c>
      <c r="D10349" t="inlineStr">
        <is>
          <t>VÄRMLANDS LÄN</t>
        </is>
      </c>
      <c r="E10349" t="inlineStr">
        <is>
          <t>SÄFFLE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44927-2025</t>
        </is>
      </c>
      <c r="B10350" s="1" t="n">
        <v>45918</v>
      </c>
      <c r="C10350" s="1" t="n">
        <v>45932</v>
      </c>
      <c r="D10350" t="inlineStr">
        <is>
          <t>VÄRMLANDS LÄN</t>
        </is>
      </c>
      <c r="E10350" t="inlineStr">
        <is>
          <t>FILIPSTAD</t>
        </is>
      </c>
      <c r="F10350" t="inlineStr">
        <is>
          <t>Bergvik skog väst AB</t>
        </is>
      </c>
      <c r="G10350" t="n">
        <v>7.6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45152-2023</t>
        </is>
      </c>
      <c r="B10351" s="1" t="n">
        <v>45191</v>
      </c>
      <c r="C10351" s="1" t="n">
        <v>45932</v>
      </c>
      <c r="D10351" t="inlineStr">
        <is>
          <t>VÄRMLANDS LÄN</t>
        </is>
      </c>
      <c r="E10351" t="inlineStr">
        <is>
          <t>TORSBY</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42701-2022</t>
        </is>
      </c>
      <c r="B10352" s="1" t="n">
        <v>44832</v>
      </c>
      <c r="C10352" s="1" t="n">
        <v>45932</v>
      </c>
      <c r="D10352" t="inlineStr">
        <is>
          <t>VÄRMLANDS LÄN</t>
        </is>
      </c>
      <c r="E10352" t="inlineStr">
        <is>
          <t>TORSBY</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24150-2021</t>
        </is>
      </c>
      <c r="B10353" s="1" t="n">
        <v>44336</v>
      </c>
      <c r="C10353" s="1" t="n">
        <v>45932</v>
      </c>
      <c r="D10353" t="inlineStr">
        <is>
          <t>VÄRMLANDS LÄN</t>
        </is>
      </c>
      <c r="E10353" t="inlineStr">
        <is>
          <t>TORSBY</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28144-2021</t>
        </is>
      </c>
      <c r="B10354" s="1" t="n">
        <v>44355.54136574074</v>
      </c>
      <c r="C10354" s="1" t="n">
        <v>45932</v>
      </c>
      <c r="D10354" t="inlineStr">
        <is>
          <t>VÄRMLANDS LÄN</t>
        </is>
      </c>
      <c r="E10354" t="inlineStr">
        <is>
          <t>SUNNE</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52750-2021</t>
        </is>
      </c>
      <c r="B10355" s="1" t="n">
        <v>44466</v>
      </c>
      <c r="C10355" s="1" t="n">
        <v>45932</v>
      </c>
      <c r="D10355" t="inlineStr">
        <is>
          <t>VÄRMLANDS LÄN</t>
        </is>
      </c>
      <c r="E10355" t="inlineStr">
        <is>
          <t>KRISTINEHAMN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37347-2025</t>
        </is>
      </c>
      <c r="B10356" s="1" t="n">
        <v>45876</v>
      </c>
      <c r="C10356" s="1" t="n">
        <v>45932</v>
      </c>
      <c r="D10356" t="inlineStr">
        <is>
          <t>VÄRMLANDS LÄN</t>
        </is>
      </c>
      <c r="E10356" t="inlineStr">
        <is>
          <t>ARVIKA</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47271-2021</t>
        </is>
      </c>
      <c r="B10357" s="1" t="n">
        <v>44447</v>
      </c>
      <c r="C10357" s="1" t="n">
        <v>45932</v>
      </c>
      <c r="D10357" t="inlineStr">
        <is>
          <t>VÄRMLANDS LÄN</t>
        </is>
      </c>
      <c r="E10357" t="inlineStr">
        <is>
          <t>TORSBY</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8831-2025</t>
        </is>
      </c>
      <c r="B10358" s="1" t="n">
        <v>45712.90697916667</v>
      </c>
      <c r="C10358" s="1" t="n">
        <v>45932</v>
      </c>
      <c r="D10358" t="inlineStr">
        <is>
          <t>VÄRMLANDS LÄN</t>
        </is>
      </c>
      <c r="E10358" t="inlineStr">
        <is>
          <t>ÅRJÄNG</t>
        </is>
      </c>
      <c r="G10358" t="n">
        <v>32.9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8834-2025</t>
        </is>
      </c>
      <c r="B10359" s="1" t="n">
        <v>45712.921875</v>
      </c>
      <c r="C10359" s="1" t="n">
        <v>45932</v>
      </c>
      <c r="D10359" t="inlineStr">
        <is>
          <t>VÄRMLANDS LÄN</t>
        </is>
      </c>
      <c r="E10359" t="inlineStr">
        <is>
          <t>ÅRJÄNG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8842-2025</t>
        </is>
      </c>
      <c r="B10360" s="1" t="n">
        <v>45713</v>
      </c>
      <c r="C10360" s="1" t="n">
        <v>45932</v>
      </c>
      <c r="D10360" t="inlineStr">
        <is>
          <t>VÄRMLANDS LÄN</t>
        </is>
      </c>
      <c r="E10360" t="inlineStr">
        <is>
          <t>HAGFORS</t>
        </is>
      </c>
      <c r="F10360" t="inlineStr">
        <is>
          <t>Bergvik skog väst AB</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50837-2024</t>
        </is>
      </c>
      <c r="B10361" s="1" t="n">
        <v>45602</v>
      </c>
      <c r="C10361" s="1" t="n">
        <v>45932</v>
      </c>
      <c r="D10361" t="inlineStr">
        <is>
          <t>VÄRMLANDS LÄN</t>
        </is>
      </c>
      <c r="E10361" t="inlineStr">
        <is>
          <t>SUNNE</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47223-2021</t>
        </is>
      </c>
      <c r="B10362" s="1" t="n">
        <v>44446</v>
      </c>
      <c r="C10362" s="1" t="n">
        <v>45932</v>
      </c>
      <c r="D10362" t="inlineStr">
        <is>
          <t>VÄRMLANDS LÄN</t>
        </is>
      </c>
      <c r="E10362" t="inlineStr">
        <is>
          <t>ÅRJÄNG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50680-2023</t>
        </is>
      </c>
      <c r="B10363" s="1" t="n">
        <v>45217.5165625</v>
      </c>
      <c r="C10363" s="1" t="n">
        <v>45932</v>
      </c>
      <c r="D10363" t="inlineStr">
        <is>
          <t>VÄRMLANDS LÄN</t>
        </is>
      </c>
      <c r="E10363" t="inlineStr">
        <is>
          <t>TORSBY</t>
        </is>
      </c>
      <c r="F10363" t="inlineStr">
        <is>
          <t>Bergvik skog väst AB</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21409-2023</t>
        </is>
      </c>
      <c r="B10364" s="1" t="n">
        <v>45063</v>
      </c>
      <c r="C10364" s="1" t="n">
        <v>45932</v>
      </c>
      <c r="D10364" t="inlineStr">
        <is>
          <t>VÄRMLANDS LÄN</t>
        </is>
      </c>
      <c r="E10364" t="inlineStr">
        <is>
          <t>TORSBY</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15939-2021</t>
        </is>
      </c>
      <c r="B10365" s="1" t="n">
        <v>44287</v>
      </c>
      <c r="C10365" s="1" t="n">
        <v>45932</v>
      </c>
      <c r="D10365" t="inlineStr">
        <is>
          <t>VÄRMLANDS LÄN</t>
        </is>
      </c>
      <c r="E10365" t="inlineStr">
        <is>
          <t>TORSBY</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64061-2021</t>
        </is>
      </c>
      <c r="B10366" s="1" t="n">
        <v>44509</v>
      </c>
      <c r="C10366" s="1" t="n">
        <v>45932</v>
      </c>
      <c r="D10366" t="inlineStr">
        <is>
          <t>VÄRMLANDS LÄN</t>
        </is>
      </c>
      <c r="E10366" t="inlineStr">
        <is>
          <t>SÄFFLE</t>
        </is>
      </c>
      <c r="F10366" t="inlineStr">
        <is>
          <t>Bergvik skog väst AB</t>
        </is>
      </c>
      <c r="G10366" t="n">
        <v>12.6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12214-2025</t>
        </is>
      </c>
      <c r="B10367" s="1" t="n">
        <v>45729.53502314815</v>
      </c>
      <c r="C10367" s="1" t="n">
        <v>45932</v>
      </c>
      <c r="D10367" t="inlineStr">
        <is>
          <t>VÄRMLANDS LÄN</t>
        </is>
      </c>
      <c r="E10367" t="inlineStr">
        <is>
          <t>KARLSTAD</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12111-2023</t>
        </is>
      </c>
      <c r="B10368" s="1" t="n">
        <v>44998</v>
      </c>
      <c r="C10368" s="1" t="n">
        <v>45932</v>
      </c>
      <c r="D10368" t="inlineStr">
        <is>
          <t>VÄRMLANDS LÄN</t>
        </is>
      </c>
      <c r="E10368" t="inlineStr">
        <is>
          <t>EDA</t>
        </is>
      </c>
      <c r="G10368" t="n">
        <v>13.6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12128-2023</t>
        </is>
      </c>
      <c r="B10369" s="1" t="n">
        <v>44998.45219907408</v>
      </c>
      <c r="C10369" s="1" t="n">
        <v>45932</v>
      </c>
      <c r="D10369" t="inlineStr">
        <is>
          <t>VÄRMLANDS LÄN</t>
        </is>
      </c>
      <c r="E10369" t="inlineStr">
        <is>
          <t>KRISTINEHAMN</t>
        </is>
      </c>
      <c r="F10369" t="inlineStr">
        <is>
          <t>Naturvårdsverket</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12134-2023</t>
        </is>
      </c>
      <c r="B10370" s="1" t="n">
        <v>44998.46248842592</v>
      </c>
      <c r="C10370" s="1" t="n">
        <v>45932</v>
      </c>
      <c r="D10370" t="inlineStr">
        <is>
          <t>VÄRMLANDS LÄN</t>
        </is>
      </c>
      <c r="E10370" t="inlineStr">
        <is>
          <t>SÄFFLE</t>
        </is>
      </c>
      <c r="G10370" t="n">
        <v>11.1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44423-2024</t>
        </is>
      </c>
      <c r="B10371" s="1" t="n">
        <v>45573</v>
      </c>
      <c r="C10371" s="1" t="n">
        <v>45932</v>
      </c>
      <c r="D10371" t="inlineStr">
        <is>
          <t>VÄRMLANDS LÄN</t>
        </is>
      </c>
      <c r="E10371" t="inlineStr">
        <is>
          <t>TORSBY</t>
        </is>
      </c>
      <c r="G10371" t="n">
        <v>34.1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14741-2023</t>
        </is>
      </c>
      <c r="B10372" s="1" t="n">
        <v>45014.49001157407</v>
      </c>
      <c r="C10372" s="1" t="n">
        <v>45932</v>
      </c>
      <c r="D10372" t="inlineStr">
        <is>
          <t>VÄRMLANDS LÄN</t>
        </is>
      </c>
      <c r="E10372" t="inlineStr">
        <is>
          <t>SUNNE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12160-2023</t>
        </is>
      </c>
      <c r="B10373" s="1" t="n">
        <v>44998</v>
      </c>
      <c r="C10373" s="1" t="n">
        <v>45932</v>
      </c>
      <c r="D10373" t="inlineStr">
        <is>
          <t>VÄRMLANDS LÄN</t>
        </is>
      </c>
      <c r="E10373" t="inlineStr">
        <is>
          <t>FILIPSTAD</t>
        </is>
      </c>
      <c r="F10373" t="inlineStr">
        <is>
          <t>Bergvik skog väst AB</t>
        </is>
      </c>
      <c r="G10373" t="n">
        <v>11.2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32856-2023</t>
        </is>
      </c>
      <c r="B10374" s="1" t="n">
        <v>45124</v>
      </c>
      <c r="C10374" s="1" t="n">
        <v>45932</v>
      </c>
      <c r="D10374" t="inlineStr">
        <is>
          <t>VÄRMLANDS LÄN</t>
        </is>
      </c>
      <c r="E10374" t="inlineStr">
        <is>
          <t>ARVIKA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25579-2023</t>
        </is>
      </c>
      <c r="B10375" s="1" t="n">
        <v>45089.62266203704</v>
      </c>
      <c r="C10375" s="1" t="n">
        <v>45932</v>
      </c>
      <c r="D10375" t="inlineStr">
        <is>
          <t>VÄRMLANDS LÄN</t>
        </is>
      </c>
      <c r="E10375" t="inlineStr">
        <is>
          <t>TORSBY</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37558-2025</t>
        </is>
      </c>
      <c r="B10376" s="1" t="n">
        <v>45880</v>
      </c>
      <c r="C10376" s="1" t="n">
        <v>45932</v>
      </c>
      <c r="D10376" t="inlineStr">
        <is>
          <t>VÄRMLANDS LÄN</t>
        </is>
      </c>
      <c r="E10376" t="inlineStr">
        <is>
          <t>ARVIKA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45490-2025</t>
        </is>
      </c>
      <c r="B10377" s="1" t="n">
        <v>45921</v>
      </c>
      <c r="C10377" s="1" t="n">
        <v>45932</v>
      </c>
      <c r="D10377" t="inlineStr">
        <is>
          <t>VÄRMLANDS LÄN</t>
        </is>
      </c>
      <c r="E10377" t="inlineStr">
        <is>
          <t>TORSBY</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7283-2023</t>
        </is>
      </c>
      <c r="B10378" s="1" t="n">
        <v>44970</v>
      </c>
      <c r="C10378" s="1" t="n">
        <v>45932</v>
      </c>
      <c r="D10378" t="inlineStr">
        <is>
          <t>VÄRMLANDS LÄN</t>
        </is>
      </c>
      <c r="E10378" t="inlineStr">
        <is>
          <t>TORSBY</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37583-2025</t>
        </is>
      </c>
      <c r="B10379" s="1" t="n">
        <v>45880</v>
      </c>
      <c r="C10379" s="1" t="n">
        <v>45932</v>
      </c>
      <c r="D10379" t="inlineStr">
        <is>
          <t>VÄRMLANDS LÄN</t>
        </is>
      </c>
      <c r="E10379" t="inlineStr">
        <is>
          <t>TORSBY</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46978-2023</t>
        </is>
      </c>
      <c r="B10380" s="1" t="n">
        <v>45195</v>
      </c>
      <c r="C10380" s="1" t="n">
        <v>45932</v>
      </c>
      <c r="D10380" t="inlineStr">
        <is>
          <t>VÄRMLANDS LÄN</t>
        </is>
      </c>
      <c r="E10380" t="inlineStr">
        <is>
          <t>FILIPSTAD</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37624-2025</t>
        </is>
      </c>
      <c r="B10381" s="1" t="n">
        <v>45880.45831018518</v>
      </c>
      <c r="C10381" s="1" t="n">
        <v>45932</v>
      </c>
      <c r="D10381" t="inlineStr">
        <is>
          <t>VÄRMLANDS LÄN</t>
        </is>
      </c>
      <c r="E10381" t="inlineStr">
        <is>
          <t>KARLSTAD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37629-2025</t>
        </is>
      </c>
      <c r="B10382" s="1" t="n">
        <v>45880.46224537037</v>
      </c>
      <c r="C10382" s="1" t="n">
        <v>45932</v>
      </c>
      <c r="D10382" t="inlineStr">
        <is>
          <t>VÄRMLANDS LÄN</t>
        </is>
      </c>
      <c r="E10382" t="inlineStr">
        <is>
          <t>SUNNE</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37838-2025</t>
        </is>
      </c>
      <c r="B10383" s="1" t="n">
        <v>45881</v>
      </c>
      <c r="C10383" s="1" t="n">
        <v>45932</v>
      </c>
      <c r="D10383" t="inlineStr">
        <is>
          <t>VÄRMLANDS LÄN</t>
        </is>
      </c>
      <c r="E10383" t="inlineStr">
        <is>
          <t>ARVIKA</t>
        </is>
      </c>
      <c r="F10383" t="inlineStr">
        <is>
          <t>Bergvik skog väst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14025-2025</t>
        </is>
      </c>
      <c r="B10384" s="1" t="n">
        <v>45740</v>
      </c>
      <c r="C10384" s="1" t="n">
        <v>45932</v>
      </c>
      <c r="D10384" t="inlineStr">
        <is>
          <t>VÄRMLANDS LÄN</t>
        </is>
      </c>
      <c r="E10384" t="inlineStr">
        <is>
          <t>TORSBY</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45515-2025</t>
        </is>
      </c>
      <c r="B10385" s="1" t="n">
        <v>45922</v>
      </c>
      <c r="C10385" s="1" t="n">
        <v>45932</v>
      </c>
      <c r="D10385" t="inlineStr">
        <is>
          <t>VÄRMLANDS LÄN</t>
        </is>
      </c>
      <c r="E10385" t="inlineStr">
        <is>
          <t>ÅRJÄNG</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10104-2021</t>
        </is>
      </c>
      <c r="B10386" s="1" t="n">
        <v>44256</v>
      </c>
      <c r="C10386" s="1" t="n">
        <v>45932</v>
      </c>
      <c r="D10386" t="inlineStr">
        <is>
          <t>VÄRMLANDS LÄN</t>
        </is>
      </c>
      <c r="E10386" t="inlineStr">
        <is>
          <t>KRISTINEHAMN</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10107-2021</t>
        </is>
      </c>
      <c r="B10387" s="1" t="n">
        <v>44256</v>
      </c>
      <c r="C10387" s="1" t="n">
        <v>45932</v>
      </c>
      <c r="D10387" t="inlineStr">
        <is>
          <t>VÄRMLANDS LÄN</t>
        </is>
      </c>
      <c r="E10387" t="inlineStr">
        <is>
          <t>KRISTINEHAMN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22714-2024</t>
        </is>
      </c>
      <c r="B10388" s="1" t="n">
        <v>45448.36056712963</v>
      </c>
      <c r="C10388" s="1" t="n">
        <v>45932</v>
      </c>
      <c r="D10388" t="inlineStr">
        <is>
          <t>VÄRMLANDS LÄN</t>
        </is>
      </c>
      <c r="E10388" t="inlineStr">
        <is>
          <t>ARVIKA</t>
        </is>
      </c>
      <c r="F10388" t="inlineStr">
        <is>
          <t>Bergvik skog väst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45784-2025</t>
        </is>
      </c>
      <c r="B10389" s="1" t="n">
        <v>45923.55923611111</v>
      </c>
      <c r="C10389" s="1" t="n">
        <v>45932</v>
      </c>
      <c r="D10389" t="inlineStr">
        <is>
          <t>VÄRMLANDS LÄN</t>
        </is>
      </c>
      <c r="E10389" t="inlineStr">
        <is>
          <t>GRUMS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45786-2025</t>
        </is>
      </c>
      <c r="B10390" s="1" t="n">
        <v>45923.56116898148</v>
      </c>
      <c r="C10390" s="1" t="n">
        <v>45932</v>
      </c>
      <c r="D10390" t="inlineStr">
        <is>
          <t>VÄRMLANDS LÄN</t>
        </is>
      </c>
      <c r="E10390" t="inlineStr">
        <is>
          <t>KIL</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42945-2024</t>
        </is>
      </c>
      <c r="B10391" s="1" t="n">
        <v>45567</v>
      </c>
      <c r="C10391" s="1" t="n">
        <v>45932</v>
      </c>
      <c r="D10391" t="inlineStr">
        <is>
          <t>VÄRMLANDS LÄN</t>
        </is>
      </c>
      <c r="E10391" t="inlineStr">
        <is>
          <t>TORSBY</t>
        </is>
      </c>
      <c r="F10391" t="inlineStr">
        <is>
          <t>Bergvik skog väst AB</t>
        </is>
      </c>
      <c r="G10391" t="n">
        <v>8.300000000000001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35322-2023</t>
        </is>
      </c>
      <c r="B10392" s="1" t="n">
        <v>45146.40916666666</v>
      </c>
      <c r="C10392" s="1" t="n">
        <v>45932</v>
      </c>
      <c r="D10392" t="inlineStr">
        <is>
          <t>VÄRMLANDS LÄN</t>
        </is>
      </c>
      <c r="E10392" t="inlineStr">
        <is>
          <t>SUNNE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37716-2025</t>
        </is>
      </c>
      <c r="B10393" s="1" t="n">
        <v>45881</v>
      </c>
      <c r="C10393" s="1" t="n">
        <v>45932</v>
      </c>
      <c r="D10393" t="inlineStr">
        <is>
          <t>VÄRMLANDS LÄN</t>
        </is>
      </c>
      <c r="E10393" t="inlineStr">
        <is>
          <t>STORFORS</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1783-2022</t>
        </is>
      </c>
      <c r="B10394" s="1" t="n">
        <v>44574</v>
      </c>
      <c r="C10394" s="1" t="n">
        <v>45932</v>
      </c>
      <c r="D10394" t="inlineStr">
        <is>
          <t>VÄRMLANDS LÄN</t>
        </is>
      </c>
      <c r="E10394" t="inlineStr">
        <is>
          <t>SÄFFLE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54532-2023</t>
        </is>
      </c>
      <c r="B10395" s="1" t="n">
        <v>45233</v>
      </c>
      <c r="C10395" s="1" t="n">
        <v>45932</v>
      </c>
      <c r="D10395" t="inlineStr">
        <is>
          <t>VÄRMLANDS LÄN</t>
        </is>
      </c>
      <c r="E10395" t="inlineStr">
        <is>
          <t>TORSBY</t>
        </is>
      </c>
      <c r="F10395" t="inlineStr">
        <is>
          <t>Bergvik skog väst AB</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37627-2025</t>
        </is>
      </c>
      <c r="B10396" s="1" t="n">
        <v>45880.46190972222</v>
      </c>
      <c r="C10396" s="1" t="n">
        <v>45932</v>
      </c>
      <c r="D10396" t="inlineStr">
        <is>
          <t>VÄRMLANDS LÄN</t>
        </is>
      </c>
      <c r="E10396" t="inlineStr">
        <is>
          <t>KARLSTAD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45677-2025</t>
        </is>
      </c>
      <c r="B10397" s="1" t="n">
        <v>45923.36524305555</v>
      </c>
      <c r="C10397" s="1" t="n">
        <v>45932</v>
      </c>
      <c r="D10397" t="inlineStr">
        <is>
          <t>VÄRMLANDS LÄN</t>
        </is>
      </c>
      <c r="E10397" t="inlineStr">
        <is>
          <t>SUNNE</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20725-2024</t>
        </is>
      </c>
      <c r="B10398" s="1" t="n">
        <v>45436.65284722222</v>
      </c>
      <c r="C10398" s="1" t="n">
        <v>45932</v>
      </c>
      <c r="D10398" t="inlineStr">
        <is>
          <t>VÄRMLANDS LÄN</t>
        </is>
      </c>
      <c r="E10398" t="inlineStr">
        <is>
          <t>TORSBY</t>
        </is>
      </c>
      <c r="F10398" t="inlineStr">
        <is>
          <t>Bergvik skog väst AB</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45728-2025</t>
        </is>
      </c>
      <c r="B10399" s="1" t="n">
        <v>45923.45925925926</v>
      </c>
      <c r="C10399" s="1" t="n">
        <v>45932</v>
      </c>
      <c r="D10399" t="inlineStr">
        <is>
          <t>VÄRMLANDS LÄN</t>
        </is>
      </c>
      <c r="E10399" t="inlineStr">
        <is>
          <t>GRUMS</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48054-2023</t>
        </is>
      </c>
      <c r="B10400" s="1" t="n">
        <v>45204</v>
      </c>
      <c r="C10400" s="1" t="n">
        <v>45932</v>
      </c>
      <c r="D10400" t="inlineStr">
        <is>
          <t>VÄRMLANDS LÄN</t>
        </is>
      </c>
      <c r="E10400" t="inlineStr">
        <is>
          <t>SUNNE</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9612-2024</t>
        </is>
      </c>
      <c r="B10401" s="1" t="n">
        <v>45361.64986111111</v>
      </c>
      <c r="C10401" s="1" t="n">
        <v>45932</v>
      </c>
      <c r="D10401" t="inlineStr">
        <is>
          <t>VÄRMLANDS LÄN</t>
        </is>
      </c>
      <c r="E10401" t="inlineStr">
        <is>
          <t>SÄFFLE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45357-2025</t>
        </is>
      </c>
      <c r="B10402" s="1" t="n">
        <v>45922.36716435185</v>
      </c>
      <c r="C10402" s="1" t="n">
        <v>45932</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45360-2025</t>
        </is>
      </c>
      <c r="B10403" s="1" t="n">
        <v>45922.37266203704</v>
      </c>
      <c r="C10403" s="1" t="n">
        <v>45932</v>
      </c>
      <c r="D10403" t="inlineStr">
        <is>
          <t>VÄRMLANDS LÄN</t>
        </is>
      </c>
      <c r="E10403" t="inlineStr">
        <is>
          <t>TORSBY</t>
        </is>
      </c>
      <c r="F10403" t="inlineStr">
        <is>
          <t>Kommuner</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57311-2022</t>
        </is>
      </c>
      <c r="B10404" s="1" t="n">
        <v>44896.31075231481</v>
      </c>
      <c r="C10404" s="1" t="n">
        <v>45932</v>
      </c>
      <c r="D10404" t="inlineStr">
        <is>
          <t>VÄRMLANDS LÄN</t>
        </is>
      </c>
      <c r="E10404" t="inlineStr">
        <is>
          <t>EDA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1648-2024</t>
        </is>
      </c>
      <c r="B10405" s="1" t="n">
        <v>45306</v>
      </c>
      <c r="C10405" s="1" t="n">
        <v>45932</v>
      </c>
      <c r="D10405" t="inlineStr">
        <is>
          <t>VÄRMLANDS LÄN</t>
        </is>
      </c>
      <c r="E10405" t="inlineStr">
        <is>
          <t>KARLSTAD</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1652-2024</t>
        </is>
      </c>
      <c r="B10406" s="1" t="n">
        <v>45306</v>
      </c>
      <c r="C10406" s="1" t="n">
        <v>45932</v>
      </c>
      <c r="D10406" t="inlineStr">
        <is>
          <t>VÄRMLANDS LÄN</t>
        </is>
      </c>
      <c r="E10406" t="inlineStr">
        <is>
          <t>EDA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45361-2025</t>
        </is>
      </c>
      <c r="B10407" s="1" t="n">
        <v>45922.37290509259</v>
      </c>
      <c r="C10407" s="1" t="n">
        <v>45932</v>
      </c>
      <c r="D10407" t="inlineStr">
        <is>
          <t>VÄRMLANDS LÄN</t>
        </is>
      </c>
      <c r="E10407" t="inlineStr">
        <is>
          <t>HAGFORS</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45372-2025</t>
        </is>
      </c>
      <c r="B10408" s="1" t="n">
        <v>45922.39185185185</v>
      </c>
      <c r="C10408" s="1" t="n">
        <v>45932</v>
      </c>
      <c r="D10408" t="inlineStr">
        <is>
          <t>VÄRMLANDS LÄN</t>
        </is>
      </c>
      <c r="E10408" t="inlineStr">
        <is>
          <t>ARVIKA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2633-2024</t>
        </is>
      </c>
      <c r="B10409" s="1" t="n">
        <v>45314</v>
      </c>
      <c r="C10409" s="1" t="n">
        <v>45932</v>
      </c>
      <c r="D10409" t="inlineStr">
        <is>
          <t>VÄRMLANDS LÄN</t>
        </is>
      </c>
      <c r="E10409" t="inlineStr">
        <is>
          <t>SÄFFLE</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45962-2021</t>
        </is>
      </c>
      <c r="B10410" s="1" t="n">
        <v>44441</v>
      </c>
      <c r="C10410" s="1" t="n">
        <v>45932</v>
      </c>
      <c r="D10410" t="inlineStr">
        <is>
          <t>VÄRMLANDS LÄN</t>
        </is>
      </c>
      <c r="E10410" t="inlineStr">
        <is>
          <t>ÅRJÄNG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65050-2023</t>
        </is>
      </c>
      <c r="B10411" s="1" t="n">
        <v>45282</v>
      </c>
      <c r="C10411" s="1" t="n">
        <v>45932</v>
      </c>
      <c r="D10411" t="inlineStr">
        <is>
          <t>VÄRMLANDS LÄN</t>
        </is>
      </c>
      <c r="E10411" t="inlineStr">
        <is>
          <t>KRISTINEHAMN</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45425-2025</t>
        </is>
      </c>
      <c r="B10412" s="1" t="n">
        <v>45922.45195601852</v>
      </c>
      <c r="C10412" s="1" t="n">
        <v>45932</v>
      </c>
      <c r="D10412" t="inlineStr">
        <is>
          <t>VÄRMLANDS LÄN</t>
        </is>
      </c>
      <c r="E10412" t="inlineStr">
        <is>
          <t>TORSBY</t>
        </is>
      </c>
      <c r="F10412" t="inlineStr">
        <is>
          <t>Bergvik skog väst AB</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45452-2025</t>
        </is>
      </c>
      <c r="B10413" s="1" t="n">
        <v>45922.48622685186</v>
      </c>
      <c r="C10413" s="1" t="n">
        <v>45932</v>
      </c>
      <c r="D10413" t="inlineStr">
        <is>
          <t>VÄRMLANDS LÄN</t>
        </is>
      </c>
      <c r="E10413" t="inlineStr">
        <is>
          <t>SUNNE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45581-2025</t>
        </is>
      </c>
      <c r="B10414" s="1" t="n">
        <v>45922</v>
      </c>
      <c r="C10414" s="1" t="n">
        <v>45932</v>
      </c>
      <c r="D10414" t="inlineStr">
        <is>
          <t>VÄRMLANDS LÄN</t>
        </is>
      </c>
      <c r="E10414" t="inlineStr">
        <is>
          <t>ÅRJÄNG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44728-2023</t>
        </is>
      </c>
      <c r="B10415" s="1" t="n">
        <v>45190.36746527778</v>
      </c>
      <c r="C10415" s="1" t="n">
        <v>45932</v>
      </c>
      <c r="D10415" t="inlineStr">
        <is>
          <t>VÄRMLANDS LÄN</t>
        </is>
      </c>
      <c r="E10415" t="inlineStr">
        <is>
          <t>HAGFORS</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45479-2025</t>
        </is>
      </c>
      <c r="B10416" s="1" t="n">
        <v>45922.53091435185</v>
      </c>
      <c r="C10416" s="1" t="n">
        <v>45932</v>
      </c>
      <c r="D10416" t="inlineStr">
        <is>
          <t>VÄRMLANDS LÄN</t>
        </is>
      </c>
      <c r="E10416" t="inlineStr">
        <is>
          <t>STORFORS</t>
        </is>
      </c>
      <c r="F10416" t="inlineStr">
        <is>
          <t>Kyrkan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37655-2025</t>
        </is>
      </c>
      <c r="B10417" s="1" t="n">
        <v>45880</v>
      </c>
      <c r="C10417" s="1" t="n">
        <v>45932</v>
      </c>
      <c r="D10417" t="inlineStr">
        <is>
          <t>VÄRMLANDS LÄN</t>
        </is>
      </c>
      <c r="E10417" t="inlineStr">
        <is>
          <t>ÅRJÄNG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12137-2025</t>
        </is>
      </c>
      <c r="B10418" s="1" t="n">
        <v>45729.39879629629</v>
      </c>
      <c r="C10418" s="1" t="n">
        <v>45932</v>
      </c>
      <c r="D10418" t="inlineStr">
        <is>
          <t>VÄRMLANDS LÄN</t>
        </is>
      </c>
      <c r="E10418" t="inlineStr">
        <is>
          <t>ÅRJÄNG</t>
        </is>
      </c>
      <c r="G10418" t="n">
        <v>12.6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2646-2025</t>
        </is>
      </c>
      <c r="B10419" s="1" t="n">
        <v>45676</v>
      </c>
      <c r="C10419" s="1" t="n">
        <v>45932</v>
      </c>
      <c r="D10419" t="inlineStr">
        <is>
          <t>VÄRMLANDS LÄN</t>
        </is>
      </c>
      <c r="E10419" t="inlineStr">
        <is>
          <t>SUNNE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2650-2025</t>
        </is>
      </c>
      <c r="B10420" s="1" t="n">
        <v>45676</v>
      </c>
      <c r="C10420" s="1" t="n">
        <v>45932</v>
      </c>
      <c r="D10420" t="inlineStr">
        <is>
          <t>VÄRMLANDS LÄN</t>
        </is>
      </c>
      <c r="E10420" t="inlineStr">
        <is>
          <t>EDA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35083-2024</t>
        </is>
      </c>
      <c r="B10421" s="1" t="n">
        <v>45527.68989583333</v>
      </c>
      <c r="C10421" s="1" t="n">
        <v>45932</v>
      </c>
      <c r="D10421" t="inlineStr">
        <is>
          <t>VÄRMLANDS LÄN</t>
        </is>
      </c>
      <c r="E10421" t="inlineStr">
        <is>
          <t>KIL</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13063-2025</t>
        </is>
      </c>
      <c r="B10422" s="1" t="n">
        <v>45734.60262731482</v>
      </c>
      <c r="C10422" s="1" t="n">
        <v>45932</v>
      </c>
      <c r="D10422" t="inlineStr">
        <is>
          <t>VÄRMLANDS LÄN</t>
        </is>
      </c>
      <c r="E10422" t="inlineStr">
        <is>
          <t>KARLSTAD</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20461-2025</t>
        </is>
      </c>
      <c r="B10423" s="1" t="n">
        <v>45775.53158564815</v>
      </c>
      <c r="C10423" s="1" t="n">
        <v>45932</v>
      </c>
      <c r="D10423" t="inlineStr">
        <is>
          <t>VÄRMLANDS LÄN</t>
        </is>
      </c>
      <c r="E10423" t="inlineStr">
        <is>
          <t>TORSBY</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37566-2025</t>
        </is>
      </c>
      <c r="B10424" s="1" t="n">
        <v>45880</v>
      </c>
      <c r="C10424" s="1" t="n">
        <v>45932</v>
      </c>
      <c r="D10424" t="inlineStr">
        <is>
          <t>VÄRMLANDS LÄN</t>
        </is>
      </c>
      <c r="E10424" t="inlineStr">
        <is>
          <t>TORSBY</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20498-2025</t>
        </is>
      </c>
      <c r="B10425" s="1" t="n">
        <v>45775.57571759259</v>
      </c>
      <c r="C10425" s="1" t="n">
        <v>45932</v>
      </c>
      <c r="D10425" t="inlineStr">
        <is>
          <t>VÄRMLANDS LÄN</t>
        </is>
      </c>
      <c r="E10425" t="inlineStr">
        <is>
          <t>ARVIKA</t>
        </is>
      </c>
      <c r="F10425" t="inlineStr">
        <is>
          <t>Bergvik skog väst AB</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20509-2025</t>
        </is>
      </c>
      <c r="B10426" s="1" t="n">
        <v>45775.5934837963</v>
      </c>
      <c r="C10426" s="1" t="n">
        <v>45932</v>
      </c>
      <c r="D10426" t="inlineStr">
        <is>
          <t>VÄRMLANDS LÄN</t>
        </is>
      </c>
      <c r="E10426" t="inlineStr">
        <is>
          <t>KARLSTAD</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45747-2025</t>
        </is>
      </c>
      <c r="B10427" s="1" t="n">
        <v>45923.47888888889</v>
      </c>
      <c r="C10427" s="1" t="n">
        <v>45932</v>
      </c>
      <c r="D10427" t="inlineStr">
        <is>
          <t>VÄRMLANDS LÄN</t>
        </is>
      </c>
      <c r="E10427" t="inlineStr">
        <is>
          <t>SUNNE</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45750-2025</t>
        </is>
      </c>
      <c r="B10428" s="1" t="n">
        <v>45923.48400462963</v>
      </c>
      <c r="C10428" s="1" t="n">
        <v>45932</v>
      </c>
      <c r="D10428" t="inlineStr">
        <is>
          <t>VÄRMLANDS LÄN</t>
        </is>
      </c>
      <c r="E10428" t="inlineStr">
        <is>
          <t>GRUMS</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37710-2025</t>
        </is>
      </c>
      <c r="B10429" s="1" t="n">
        <v>45880</v>
      </c>
      <c r="C10429" s="1" t="n">
        <v>45932</v>
      </c>
      <c r="D10429" t="inlineStr">
        <is>
          <t>VÄRMLANDS LÄN</t>
        </is>
      </c>
      <c r="E10429" t="inlineStr">
        <is>
          <t>SÄFFLE</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35084-2024</t>
        </is>
      </c>
      <c r="B10430" s="1" t="n">
        <v>45527.69265046297</v>
      </c>
      <c r="C10430" s="1" t="n">
        <v>45932</v>
      </c>
      <c r="D10430" t="inlineStr">
        <is>
          <t>VÄRMLANDS LÄN</t>
        </is>
      </c>
      <c r="E10430" t="inlineStr">
        <is>
          <t>KIL</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35106-2024</t>
        </is>
      </c>
      <c r="B10431" s="1" t="n">
        <v>45529</v>
      </c>
      <c r="C10431" s="1" t="n">
        <v>45932</v>
      </c>
      <c r="D10431" t="inlineStr">
        <is>
          <t>VÄRMLANDS LÄN</t>
        </is>
      </c>
      <c r="E10431" t="inlineStr">
        <is>
          <t>FILIPSTAD</t>
        </is>
      </c>
      <c r="F10431" t="inlineStr">
        <is>
          <t>Bergvik skog väst AB</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35116-2024</t>
        </is>
      </c>
      <c r="B10432" s="1" t="n">
        <v>45527</v>
      </c>
      <c r="C10432" s="1" t="n">
        <v>45932</v>
      </c>
      <c r="D10432" t="inlineStr">
        <is>
          <t>VÄRMLANDS LÄN</t>
        </is>
      </c>
      <c r="E10432" t="inlineStr">
        <is>
          <t>SÄFFLE</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37782-2025</t>
        </is>
      </c>
      <c r="B10433" s="1" t="n">
        <v>45880.93476851852</v>
      </c>
      <c r="C10433" s="1" t="n">
        <v>45932</v>
      </c>
      <c r="D10433" t="inlineStr">
        <is>
          <t>VÄRMLANDS LÄN</t>
        </is>
      </c>
      <c r="E10433" t="inlineStr">
        <is>
          <t>SUNNE</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35133-2024</t>
        </is>
      </c>
      <c r="B10434" s="1" t="n">
        <v>45529</v>
      </c>
      <c r="C10434" s="1" t="n">
        <v>45932</v>
      </c>
      <c r="D10434" t="inlineStr">
        <is>
          <t>VÄRMLANDS LÄN</t>
        </is>
      </c>
      <c r="E10434" t="inlineStr">
        <is>
          <t>ÅRJÄNG</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37937-2025</t>
        </is>
      </c>
      <c r="B10435" s="1" t="n">
        <v>45881</v>
      </c>
      <c r="C10435" s="1" t="n">
        <v>45932</v>
      </c>
      <c r="D10435" t="inlineStr">
        <is>
          <t>VÄRMLANDS LÄN</t>
        </is>
      </c>
      <c r="E10435" t="inlineStr">
        <is>
          <t>TORSBY</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37951-2025</t>
        </is>
      </c>
      <c r="B10436" s="1" t="n">
        <v>45881</v>
      </c>
      <c r="C10436" s="1" t="n">
        <v>45932</v>
      </c>
      <c r="D10436" t="inlineStr">
        <is>
          <t>VÄRMLANDS LÄN</t>
        </is>
      </c>
      <c r="E10436" t="inlineStr">
        <is>
          <t>ARVIKA</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11153-2024</t>
        </is>
      </c>
      <c r="B10437" s="1" t="n">
        <v>45371.4759837963</v>
      </c>
      <c r="C10437" s="1" t="n">
        <v>45932</v>
      </c>
      <c r="D10437" t="inlineStr">
        <is>
          <t>VÄRMLANDS LÄN</t>
        </is>
      </c>
      <c r="E10437" t="inlineStr">
        <is>
          <t>TORSBY</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11154-2024</t>
        </is>
      </c>
      <c r="B10438" s="1" t="n">
        <v>45371.47601851852</v>
      </c>
      <c r="C10438" s="1" t="n">
        <v>45932</v>
      </c>
      <c r="D10438" t="inlineStr">
        <is>
          <t>VÄRMLANDS LÄN</t>
        </is>
      </c>
      <c r="E10438" t="inlineStr">
        <is>
          <t>ARVIKA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11196-2024</t>
        </is>
      </c>
      <c r="B10439" s="1" t="n">
        <v>45371.55340277778</v>
      </c>
      <c r="C10439" s="1" t="n">
        <v>45932</v>
      </c>
      <c r="D10439" t="inlineStr">
        <is>
          <t>VÄRMLANDS LÄN</t>
        </is>
      </c>
      <c r="E10439" t="inlineStr">
        <is>
          <t>FORSHAGA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45587-2025</t>
        </is>
      </c>
      <c r="B10440" s="1" t="n">
        <v>45922.67131944445</v>
      </c>
      <c r="C10440" s="1" t="n">
        <v>45932</v>
      </c>
      <c r="D10440" t="inlineStr">
        <is>
          <t>VÄRMLANDS LÄN</t>
        </is>
      </c>
      <c r="E10440" t="inlineStr">
        <is>
          <t>FILIPSTAD</t>
        </is>
      </c>
      <c r="F10440" t="inlineStr">
        <is>
          <t>Bergvik skog väst AB</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58092-2022</t>
        </is>
      </c>
      <c r="B10441" s="1" t="n">
        <v>44900.63076388889</v>
      </c>
      <c r="C10441" s="1" t="n">
        <v>45932</v>
      </c>
      <c r="D10441" t="inlineStr">
        <is>
          <t>VÄRMLANDS LÄN</t>
        </is>
      </c>
      <c r="E10441" t="inlineStr">
        <is>
          <t>SUNNE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11211-2024</t>
        </is>
      </c>
      <c r="B10442" s="1" t="n">
        <v>45371</v>
      </c>
      <c r="C10442" s="1" t="n">
        <v>45932</v>
      </c>
      <c r="D10442" t="inlineStr">
        <is>
          <t>VÄRMLANDS LÄN</t>
        </is>
      </c>
      <c r="E10442" t="inlineStr">
        <is>
          <t>TORSBY</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37546-2025</t>
        </is>
      </c>
      <c r="B10443" s="1" t="n">
        <v>45879</v>
      </c>
      <c r="C10443" s="1" t="n">
        <v>45932</v>
      </c>
      <c r="D10443" t="inlineStr">
        <is>
          <t>VÄRMLANDS LÄN</t>
        </is>
      </c>
      <c r="E10443" t="inlineStr">
        <is>
          <t>TORSBY</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37685-2025</t>
        </is>
      </c>
      <c r="B10444" s="1" t="n">
        <v>45880.5540625</v>
      </c>
      <c r="C10444" s="1" t="n">
        <v>45932</v>
      </c>
      <c r="D10444" t="inlineStr">
        <is>
          <t>VÄRMLANDS LÄN</t>
        </is>
      </c>
      <c r="E10444" t="inlineStr">
        <is>
          <t>ARVIKA</t>
        </is>
      </c>
      <c r="F10444" t="inlineStr">
        <is>
          <t>Bergvik skog väst AB</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37696-2025</t>
        </is>
      </c>
      <c r="B10445" s="1" t="n">
        <v>45880</v>
      </c>
      <c r="C10445" s="1" t="n">
        <v>45932</v>
      </c>
      <c r="D10445" t="inlineStr">
        <is>
          <t>VÄRMLANDS LÄN</t>
        </is>
      </c>
      <c r="E10445" t="inlineStr">
        <is>
          <t>GRUMS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58153-2022</t>
        </is>
      </c>
      <c r="B10446" s="1" t="n">
        <v>44900.79802083333</v>
      </c>
      <c r="C10446" s="1" t="n">
        <v>45932</v>
      </c>
      <c r="D10446" t="inlineStr">
        <is>
          <t>VÄRMLANDS LÄN</t>
        </is>
      </c>
      <c r="E10446" t="inlineStr">
        <is>
          <t>ARVIKA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53192-2022</t>
        </is>
      </c>
      <c r="B10447" s="1" t="n">
        <v>44876.58167824074</v>
      </c>
      <c r="C10447" s="1" t="n">
        <v>45932</v>
      </c>
      <c r="D10447" t="inlineStr">
        <is>
          <t>VÄRMLANDS LÄN</t>
        </is>
      </c>
      <c r="E10447" t="inlineStr">
        <is>
          <t>HAGFORS</t>
        </is>
      </c>
      <c r="F10447" t="inlineStr">
        <is>
          <t>Bergvik skog väst AB</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37705-2025</t>
        </is>
      </c>
      <c r="B10448" s="1" t="n">
        <v>45880.59276620371</v>
      </c>
      <c r="C10448" s="1" t="n">
        <v>45932</v>
      </c>
      <c r="D10448" t="inlineStr">
        <is>
          <t>VÄRMLANDS LÄN</t>
        </is>
      </c>
      <c r="E10448" t="inlineStr">
        <is>
          <t>SUNNE</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56661-2023</t>
        </is>
      </c>
      <c r="B10449" s="1" t="n">
        <v>45243.86091435186</v>
      </c>
      <c r="C10449" s="1" t="n">
        <v>45932</v>
      </c>
      <c r="D10449" t="inlineStr">
        <is>
          <t>VÄRMLANDS LÄN</t>
        </is>
      </c>
      <c r="E10449" t="inlineStr">
        <is>
          <t>KRISTINEHAMN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56664-2023</t>
        </is>
      </c>
      <c r="B10450" s="1" t="n">
        <v>45243.86578703704</v>
      </c>
      <c r="C10450" s="1" t="n">
        <v>45932</v>
      </c>
      <c r="D10450" t="inlineStr">
        <is>
          <t>VÄRMLANDS LÄN</t>
        </is>
      </c>
      <c r="E10450" t="inlineStr">
        <is>
          <t>KRISTINEHAMN</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51468-2023</t>
        </is>
      </c>
      <c r="B10451" s="1" t="n">
        <v>45221.77943287037</v>
      </c>
      <c r="C10451" s="1" t="n">
        <v>45932</v>
      </c>
      <c r="D10451" t="inlineStr">
        <is>
          <t>VÄRMLANDS LÄN</t>
        </is>
      </c>
      <c r="E10451" t="inlineStr">
        <is>
          <t>EDA</t>
        </is>
      </c>
      <c r="F10451" t="inlineStr">
        <is>
          <t>Kommuner</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51469-2023</t>
        </is>
      </c>
      <c r="B10452" s="1" t="n">
        <v>45221.79</v>
      </c>
      <c r="C10452" s="1" t="n">
        <v>45932</v>
      </c>
      <c r="D10452" t="inlineStr">
        <is>
          <t>VÄRMLANDS LÄN</t>
        </is>
      </c>
      <c r="E10452" t="inlineStr">
        <is>
          <t>EDA</t>
        </is>
      </c>
      <c r="F10452" t="inlineStr">
        <is>
          <t>Kommuner</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53030-2024</t>
        </is>
      </c>
      <c r="B10453" s="1" t="n">
        <v>45611.42474537037</v>
      </c>
      <c r="C10453" s="1" t="n">
        <v>45932</v>
      </c>
      <c r="D10453" t="inlineStr">
        <is>
          <t>VÄRMLANDS LÄN</t>
        </is>
      </c>
      <c r="E10453" t="inlineStr">
        <is>
          <t>EDA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54158-2024</t>
        </is>
      </c>
      <c r="B10454" s="1" t="n">
        <v>45616.61067129629</v>
      </c>
      <c r="C10454" s="1" t="n">
        <v>45932</v>
      </c>
      <c r="D10454" t="inlineStr">
        <is>
          <t>VÄRMLANDS LÄN</t>
        </is>
      </c>
      <c r="E10454" t="inlineStr">
        <is>
          <t>ARVIKA</t>
        </is>
      </c>
      <c r="F10454" t="inlineStr">
        <is>
          <t>Bergvik skog väst AB</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45423-2025</t>
        </is>
      </c>
      <c r="B10455" s="1" t="n">
        <v>45922.45137731481</v>
      </c>
      <c r="C10455" s="1" t="n">
        <v>45932</v>
      </c>
      <c r="D10455" t="inlineStr">
        <is>
          <t>VÄRMLANDS LÄN</t>
        </is>
      </c>
      <c r="E10455" t="inlineStr">
        <is>
          <t>HAMMARÖ</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45825-2025</t>
        </is>
      </c>
      <c r="B10456" s="1" t="n">
        <v>45923.59983796296</v>
      </c>
      <c r="C10456" s="1" t="n">
        <v>45932</v>
      </c>
      <c r="D10456" t="inlineStr">
        <is>
          <t>VÄRMLANDS LÄN</t>
        </is>
      </c>
      <c r="E10456" t="inlineStr">
        <is>
          <t>TORSBY</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18948-2024</t>
        </is>
      </c>
      <c r="B10457" s="1" t="n">
        <v>45427.49891203704</v>
      </c>
      <c r="C10457" s="1" t="n">
        <v>45932</v>
      </c>
      <c r="D10457" t="inlineStr">
        <is>
          <t>VÄRMLANDS LÄN</t>
        </is>
      </c>
      <c r="E10457" t="inlineStr">
        <is>
          <t>KIL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37950-2025</t>
        </is>
      </c>
      <c r="B10458" s="1" t="n">
        <v>45881.61653935185</v>
      </c>
      <c r="C10458" s="1" t="n">
        <v>45932</v>
      </c>
      <c r="D10458" t="inlineStr">
        <is>
          <t>VÄRMLANDS LÄN</t>
        </is>
      </c>
      <c r="E10458" t="inlineStr">
        <is>
          <t>SÄFFLE</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31547-2023</t>
        </is>
      </c>
      <c r="B10459" s="1" t="n">
        <v>45117</v>
      </c>
      <c r="C10459" s="1" t="n">
        <v>45932</v>
      </c>
      <c r="D10459" t="inlineStr">
        <is>
          <t>VÄRMLANDS LÄN</t>
        </is>
      </c>
      <c r="E10459" t="inlineStr">
        <is>
          <t>TORSBY</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31602-2023</t>
        </is>
      </c>
      <c r="B10460" s="1" t="n">
        <v>45117</v>
      </c>
      <c r="C10460" s="1" t="n">
        <v>45932</v>
      </c>
      <c r="D10460" t="inlineStr">
        <is>
          <t>VÄRMLANDS LÄN</t>
        </is>
      </c>
      <c r="E10460" t="inlineStr">
        <is>
          <t>SUNNE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37542-2025</t>
        </is>
      </c>
      <c r="B10461" s="1" t="n">
        <v>45879</v>
      </c>
      <c r="C10461" s="1" t="n">
        <v>45932</v>
      </c>
      <c r="D10461" t="inlineStr">
        <is>
          <t>VÄRMLANDS LÄN</t>
        </is>
      </c>
      <c r="E10461" t="inlineStr">
        <is>
          <t>HAGFORS</t>
        </is>
      </c>
      <c r="F10461" t="inlineStr">
        <is>
          <t>Bergvik skog väst AB</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51608-2021</t>
        </is>
      </c>
      <c r="B10462" s="1" t="n">
        <v>44461</v>
      </c>
      <c r="C10462" s="1" t="n">
        <v>45932</v>
      </c>
      <c r="D10462" t="inlineStr">
        <is>
          <t>VÄRMLANDS LÄN</t>
        </is>
      </c>
      <c r="E10462" t="inlineStr">
        <is>
          <t>ARVIKA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43336-2025</t>
        </is>
      </c>
      <c r="B10463" s="1" t="n">
        <v>45910</v>
      </c>
      <c r="C10463" s="1" t="n">
        <v>45932</v>
      </c>
      <c r="D10463" t="inlineStr">
        <is>
          <t>VÄRMLANDS LÄN</t>
        </is>
      </c>
      <c r="E10463" t="inlineStr">
        <is>
          <t>EDA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45812-2025</t>
        </is>
      </c>
      <c r="B10464" s="1" t="n">
        <v>45923.58844907407</v>
      </c>
      <c r="C10464" s="1" t="n">
        <v>45932</v>
      </c>
      <c r="D10464" t="inlineStr">
        <is>
          <t>VÄRMLANDS LÄN</t>
        </is>
      </c>
      <c r="E10464" t="inlineStr">
        <is>
          <t>GRUMS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37547-2025</t>
        </is>
      </c>
      <c r="B10465" s="1" t="n">
        <v>45879</v>
      </c>
      <c r="C10465" s="1" t="n">
        <v>45932</v>
      </c>
      <c r="D10465" t="inlineStr">
        <is>
          <t>VÄRMLANDS LÄN</t>
        </is>
      </c>
      <c r="E10465" t="inlineStr">
        <is>
          <t>TORSBY</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60296-2023</t>
        </is>
      </c>
      <c r="B10466" s="1" t="n">
        <v>45257</v>
      </c>
      <c r="C10466" s="1" t="n">
        <v>45932</v>
      </c>
      <c r="D10466" t="inlineStr">
        <is>
          <t>VÄRMLANDS LÄN</t>
        </is>
      </c>
      <c r="E10466" t="inlineStr">
        <is>
          <t>FILIPSTAD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37724-2025</t>
        </is>
      </c>
      <c r="B10467" s="1" t="n">
        <v>45880.61798611111</v>
      </c>
      <c r="C10467" s="1" t="n">
        <v>45932</v>
      </c>
      <c r="D10467" t="inlineStr">
        <is>
          <t>VÄRMLANDS LÄN</t>
        </is>
      </c>
      <c r="E10467" t="inlineStr">
        <is>
          <t>KARLSTAD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37733-2025</t>
        </is>
      </c>
      <c r="B10468" s="1" t="n">
        <v>45880.63378472222</v>
      </c>
      <c r="C10468" s="1" t="n">
        <v>45932</v>
      </c>
      <c r="D10468" t="inlineStr">
        <is>
          <t>VÄRMLANDS LÄN</t>
        </is>
      </c>
      <c r="E10468" t="inlineStr">
        <is>
          <t>FILIPSTAD</t>
        </is>
      </c>
      <c r="F10468" t="inlineStr">
        <is>
          <t>Bergvik skog väst AB</t>
        </is>
      </c>
      <c r="G10468" t="n">
        <v>7.6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45298-2025</t>
        </is>
      </c>
      <c r="B10469" s="1" t="n">
        <v>45920</v>
      </c>
      <c r="C10469" s="1" t="n">
        <v>45932</v>
      </c>
      <c r="D10469" t="inlineStr">
        <is>
          <t>VÄRMLANDS LÄN</t>
        </is>
      </c>
      <c r="E10469" t="inlineStr">
        <is>
          <t>EDA</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45744-2025</t>
        </is>
      </c>
      <c r="B10470" s="1" t="n">
        <v>45923.47619212963</v>
      </c>
      <c r="C10470" s="1" t="n">
        <v>45932</v>
      </c>
      <c r="D10470" t="inlineStr">
        <is>
          <t>VÄRMLANDS LÄN</t>
        </is>
      </c>
      <c r="E10470" t="inlineStr">
        <is>
          <t>GRUMS</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45599-2025</t>
        </is>
      </c>
      <c r="B10471" s="1" t="n">
        <v>45922</v>
      </c>
      <c r="C10471" s="1" t="n">
        <v>45932</v>
      </c>
      <c r="D10471" t="inlineStr">
        <is>
          <t>VÄRMLANDS LÄN</t>
        </is>
      </c>
      <c r="E10471" t="inlineStr">
        <is>
          <t>ÅRJÄNG</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60897-2024</t>
        </is>
      </c>
      <c r="B10472" s="1" t="n">
        <v>45645.27269675926</v>
      </c>
      <c r="C10472" s="1" t="n">
        <v>45932</v>
      </c>
      <c r="D10472" t="inlineStr">
        <is>
          <t>VÄRMLANDS LÄN</t>
        </is>
      </c>
      <c r="E10472" t="inlineStr">
        <is>
          <t>KARLSTAD</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7688-2023</t>
        </is>
      </c>
      <c r="B10473" s="1" t="n">
        <v>44972</v>
      </c>
      <c r="C10473" s="1" t="n">
        <v>45932</v>
      </c>
      <c r="D10473" t="inlineStr">
        <is>
          <t>VÄRMLANDS LÄN</t>
        </is>
      </c>
      <c r="E10473" t="inlineStr">
        <is>
          <t>MUNKFORS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39068-2021</t>
        </is>
      </c>
      <c r="B10474" s="1" t="n">
        <v>44412</v>
      </c>
      <c r="C10474" s="1" t="n">
        <v>45932</v>
      </c>
      <c r="D10474" t="inlineStr">
        <is>
          <t>VÄRMLANDS LÄN</t>
        </is>
      </c>
      <c r="E10474" t="inlineStr">
        <is>
          <t>SUNNE</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54852-2024</t>
        </is>
      </c>
      <c r="B10475" s="1" t="n">
        <v>45618.57760416667</v>
      </c>
      <c r="C10475" s="1" t="n">
        <v>45932</v>
      </c>
      <c r="D10475" t="inlineStr">
        <is>
          <t>VÄRMLANDS LÄN</t>
        </is>
      </c>
      <c r="E10475" t="inlineStr">
        <is>
          <t>ARVIKA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23823-2021</t>
        </is>
      </c>
      <c r="B10476" s="1" t="n">
        <v>44335</v>
      </c>
      <c r="C10476" s="1" t="n">
        <v>45932</v>
      </c>
      <c r="D10476" t="inlineStr">
        <is>
          <t>VÄRMLANDS LÄN</t>
        </is>
      </c>
      <c r="E10476" t="inlineStr">
        <is>
          <t>TORSBY</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15899-2024</t>
        </is>
      </c>
      <c r="B10477" s="1" t="n">
        <v>45405.4034837963</v>
      </c>
      <c r="C10477" s="1" t="n">
        <v>45932</v>
      </c>
      <c r="D10477" t="inlineStr">
        <is>
          <t>VÄRMLANDS LÄN</t>
        </is>
      </c>
      <c r="E10477" t="inlineStr">
        <is>
          <t>TORSBY</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20369-2025</t>
        </is>
      </c>
      <c r="B10478" s="1" t="n">
        <v>45775</v>
      </c>
      <c r="C10478" s="1" t="n">
        <v>45932</v>
      </c>
      <c r="D10478" t="inlineStr">
        <is>
          <t>VÄRMLANDS LÄN</t>
        </is>
      </c>
      <c r="E10478" t="inlineStr">
        <is>
          <t>HAGFORS</t>
        </is>
      </c>
      <c r="F10478" t="inlineStr">
        <is>
          <t>Bergvik skog väst AB</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24626-2023</t>
        </is>
      </c>
      <c r="B10479" s="1" t="n">
        <v>45084</v>
      </c>
      <c r="C10479" s="1" t="n">
        <v>45932</v>
      </c>
      <c r="D10479" t="inlineStr">
        <is>
          <t>VÄRMLANDS LÄN</t>
        </is>
      </c>
      <c r="E10479" t="inlineStr">
        <is>
          <t>SUNNE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24638-2023</t>
        </is>
      </c>
      <c r="B10480" s="1" t="n">
        <v>45084.42386574074</v>
      </c>
      <c r="C10480" s="1" t="n">
        <v>45932</v>
      </c>
      <c r="D10480" t="inlineStr">
        <is>
          <t>VÄRMLANDS LÄN</t>
        </is>
      </c>
      <c r="E10480" t="inlineStr">
        <is>
          <t>HAGFORS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20375-2025</t>
        </is>
      </c>
      <c r="B10481" s="1" t="n">
        <v>45775</v>
      </c>
      <c r="C10481" s="1" t="n">
        <v>45932</v>
      </c>
      <c r="D10481" t="inlineStr">
        <is>
          <t>VÄRMLANDS LÄN</t>
        </is>
      </c>
      <c r="E10481" t="inlineStr">
        <is>
          <t>ARVIKA</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53396-2023</t>
        </is>
      </c>
      <c r="B10482" s="1" t="n">
        <v>45229</v>
      </c>
      <c r="C10482" s="1" t="n">
        <v>45932</v>
      </c>
      <c r="D10482" t="inlineStr">
        <is>
          <t>VÄRMLANDS LÄN</t>
        </is>
      </c>
      <c r="E10482" t="inlineStr">
        <is>
          <t>EDA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28161-2023</t>
        </is>
      </c>
      <c r="B10483" s="1" t="n">
        <v>45093</v>
      </c>
      <c r="C10483" s="1" t="n">
        <v>45932</v>
      </c>
      <c r="D10483" t="inlineStr">
        <is>
          <t>VÄRMLANDS LÄN</t>
        </is>
      </c>
      <c r="E10483" t="inlineStr">
        <is>
          <t>FILIPSTAD</t>
        </is>
      </c>
      <c r="F10483" t="inlineStr">
        <is>
          <t>Kommuner</t>
        </is>
      </c>
      <c r="G10483" t="n">
        <v>15.4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37836-2025</t>
        </is>
      </c>
      <c r="B10484" s="1" t="n">
        <v>45881</v>
      </c>
      <c r="C10484" s="1" t="n">
        <v>45932</v>
      </c>
      <c r="D10484" t="inlineStr">
        <is>
          <t>VÄRMLANDS LÄN</t>
        </is>
      </c>
      <c r="E10484" t="inlineStr">
        <is>
          <t>ARVIKA</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28201-2023</t>
        </is>
      </c>
      <c r="B10485" s="1" t="n">
        <v>45099.55622685186</v>
      </c>
      <c r="C10485" s="1" t="n">
        <v>45932</v>
      </c>
      <c r="D10485" t="inlineStr">
        <is>
          <t>VÄRMLANDS LÄN</t>
        </is>
      </c>
      <c r="E10485" t="inlineStr">
        <is>
          <t>KARLSTAD</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7840-2023</t>
        </is>
      </c>
      <c r="B10486" s="1" t="n">
        <v>44973</v>
      </c>
      <c r="C10486" s="1" t="n">
        <v>45932</v>
      </c>
      <c r="D10486" t="inlineStr">
        <is>
          <t>VÄRMLANDS LÄN</t>
        </is>
      </c>
      <c r="E10486" t="inlineStr">
        <is>
          <t>KARLSTAD</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37966-2025</t>
        </is>
      </c>
      <c r="B10487" s="1" t="n">
        <v>45881</v>
      </c>
      <c r="C10487" s="1" t="n">
        <v>45932</v>
      </c>
      <c r="D10487" t="inlineStr">
        <is>
          <t>VÄRMLANDS LÄN</t>
        </is>
      </c>
      <c r="E10487" t="inlineStr">
        <is>
          <t>SÄFFLE</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37872-2025</t>
        </is>
      </c>
      <c r="B10488" s="1" t="n">
        <v>45881</v>
      </c>
      <c r="C10488" s="1" t="n">
        <v>45932</v>
      </c>
      <c r="D10488" t="inlineStr">
        <is>
          <t>VÄRMLANDS LÄN</t>
        </is>
      </c>
      <c r="E10488" t="inlineStr">
        <is>
          <t>ARVIKA</t>
        </is>
      </c>
      <c r="G10488" t="n">
        <v>10.8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37993-2025</t>
        </is>
      </c>
      <c r="B10489" s="1" t="n">
        <v>45881.72263888889</v>
      </c>
      <c r="C10489" s="1" t="n">
        <v>45932</v>
      </c>
      <c r="D10489" t="inlineStr">
        <is>
          <t>VÄRMLANDS LÄN</t>
        </is>
      </c>
      <c r="E10489" t="inlineStr">
        <is>
          <t>SUNNE</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37904-2025</t>
        </is>
      </c>
      <c r="B10490" s="1" t="n">
        <v>45881</v>
      </c>
      <c r="C10490" s="1" t="n">
        <v>45932</v>
      </c>
      <c r="D10490" t="inlineStr">
        <is>
          <t>VÄRMLANDS LÄN</t>
        </is>
      </c>
      <c r="E10490" t="inlineStr">
        <is>
          <t>TORSBY</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37932-2025</t>
        </is>
      </c>
      <c r="B10491" s="1" t="n">
        <v>45881</v>
      </c>
      <c r="C10491" s="1" t="n">
        <v>45932</v>
      </c>
      <c r="D10491" t="inlineStr">
        <is>
          <t>VÄRMLANDS LÄN</t>
        </is>
      </c>
      <c r="E10491" t="inlineStr">
        <is>
          <t>KARLSTAD</t>
        </is>
      </c>
      <c r="F10491" t="inlineStr">
        <is>
          <t>Bergvik skog väst AB</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61902-2021</t>
        </is>
      </c>
      <c r="B10492" s="1" t="n">
        <v>44502</v>
      </c>
      <c r="C10492" s="1" t="n">
        <v>45932</v>
      </c>
      <c r="D10492" t="inlineStr">
        <is>
          <t>VÄRMLANDS LÄN</t>
        </is>
      </c>
      <c r="E10492" t="inlineStr">
        <is>
          <t>HAGFORS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42168-2024</t>
        </is>
      </c>
      <c r="B10493" s="1" t="n">
        <v>45562.46678240741</v>
      </c>
      <c r="C10493" s="1" t="n">
        <v>45932</v>
      </c>
      <c r="D10493" t="inlineStr">
        <is>
          <t>VÄRMLANDS LÄN</t>
        </is>
      </c>
      <c r="E10493" t="inlineStr">
        <is>
          <t>HAGFORS</t>
        </is>
      </c>
      <c r="F10493" t="inlineStr">
        <is>
          <t>Bergvik skog väst AB</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42170-2024</t>
        </is>
      </c>
      <c r="B10494" s="1" t="n">
        <v>45562.46758101852</v>
      </c>
      <c r="C10494" s="1" t="n">
        <v>45932</v>
      </c>
      <c r="D10494" t="inlineStr">
        <is>
          <t>VÄRMLANDS LÄN</t>
        </is>
      </c>
      <c r="E10494" t="inlineStr">
        <is>
          <t>HAGFORS</t>
        </is>
      </c>
      <c r="F10494" t="inlineStr">
        <is>
          <t>Bergvik skog väst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42171-2024</t>
        </is>
      </c>
      <c r="B10495" s="1" t="n">
        <v>45562.4684837963</v>
      </c>
      <c r="C10495" s="1" t="n">
        <v>45932</v>
      </c>
      <c r="D10495" t="inlineStr">
        <is>
          <t>VÄRMLANDS LÄN</t>
        </is>
      </c>
      <c r="E10495" t="inlineStr">
        <is>
          <t>HAGFORS</t>
        </is>
      </c>
      <c r="F10495" t="inlineStr">
        <is>
          <t>Bergvik skog väst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42233-2024</t>
        </is>
      </c>
      <c r="B10496" s="1" t="n">
        <v>45562</v>
      </c>
      <c r="C10496" s="1" t="n">
        <v>45932</v>
      </c>
      <c r="D10496" t="inlineStr">
        <is>
          <t>VÄRMLANDS LÄN</t>
        </is>
      </c>
      <c r="E10496" t="inlineStr">
        <is>
          <t>ÅRJÄNG</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42243-2024</t>
        </is>
      </c>
      <c r="B10497" s="1" t="n">
        <v>45562</v>
      </c>
      <c r="C10497" s="1" t="n">
        <v>45932</v>
      </c>
      <c r="D10497" t="inlineStr">
        <is>
          <t>VÄRMLANDS LÄN</t>
        </is>
      </c>
      <c r="E10497" t="inlineStr">
        <is>
          <t>HAGFORS</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14874-2025</t>
        </is>
      </c>
      <c r="B10498" s="1" t="n">
        <v>45743.45596064815</v>
      </c>
      <c r="C10498" s="1" t="n">
        <v>45932</v>
      </c>
      <c r="D10498" t="inlineStr">
        <is>
          <t>VÄRMLANDS LÄN</t>
        </is>
      </c>
      <c r="E10498" t="inlineStr">
        <is>
          <t>SUNNE</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14884-2025</t>
        </is>
      </c>
      <c r="B10499" s="1" t="n">
        <v>45743.46674768518</v>
      </c>
      <c r="C10499" s="1" t="n">
        <v>45932</v>
      </c>
      <c r="D10499" t="inlineStr">
        <is>
          <t>VÄRMLANDS LÄN</t>
        </is>
      </c>
      <c r="E10499" t="inlineStr">
        <is>
          <t>SUNNE</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14910-2025</t>
        </is>
      </c>
      <c r="B10500" s="1" t="n">
        <v>45743.52327546296</v>
      </c>
      <c r="C10500" s="1" t="n">
        <v>45932</v>
      </c>
      <c r="D10500" t="inlineStr">
        <is>
          <t>VÄRMLANDS LÄN</t>
        </is>
      </c>
      <c r="E10500" t="inlineStr">
        <is>
          <t>ÅRJÄNG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37638-2025</t>
        </is>
      </c>
      <c r="B10501" s="1" t="n">
        <v>45880.4733449074</v>
      </c>
      <c r="C10501" s="1" t="n">
        <v>45932</v>
      </c>
      <c r="D10501" t="inlineStr">
        <is>
          <t>VÄRMLANDS LÄN</t>
        </is>
      </c>
      <c r="E10501" t="inlineStr">
        <is>
          <t>ARVIKA</t>
        </is>
      </c>
      <c r="F10501" t="inlineStr">
        <is>
          <t>Bergvik skog väst AB</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37758-2025</t>
        </is>
      </c>
      <c r="B10502" s="1" t="n">
        <v>45880</v>
      </c>
      <c r="C10502" s="1" t="n">
        <v>45932</v>
      </c>
      <c r="D10502" t="inlineStr">
        <is>
          <t>VÄRMLANDS LÄN</t>
        </is>
      </c>
      <c r="E10502" t="inlineStr">
        <is>
          <t>KARLSTAD</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37776-2025</t>
        </is>
      </c>
      <c r="B10503" s="1" t="n">
        <v>45880</v>
      </c>
      <c r="C10503" s="1" t="n">
        <v>45932</v>
      </c>
      <c r="D10503" t="inlineStr">
        <is>
          <t>VÄRMLANDS LÄN</t>
        </is>
      </c>
      <c r="E10503" t="inlineStr">
        <is>
          <t>ARVIKA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51634-2024</t>
        </is>
      </c>
      <c r="B10504" s="1" t="n">
        <v>45605.61619212963</v>
      </c>
      <c r="C10504" s="1" t="n">
        <v>45932</v>
      </c>
      <c r="D10504" t="inlineStr">
        <is>
          <t>VÄRMLANDS LÄN</t>
        </is>
      </c>
      <c r="E10504" t="inlineStr">
        <is>
          <t>SUNNE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17178-2021</t>
        </is>
      </c>
      <c r="B10505" s="1" t="n">
        <v>44298.46592592593</v>
      </c>
      <c r="C10505" s="1" t="n">
        <v>45932</v>
      </c>
      <c r="D10505" t="inlineStr">
        <is>
          <t>VÄRMLANDS LÄN</t>
        </is>
      </c>
      <c r="E10505" t="inlineStr">
        <is>
          <t>ÅRJÄNG</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61362-2021</t>
        </is>
      </c>
      <c r="B10506" s="1" t="n">
        <v>44499</v>
      </c>
      <c r="C10506" s="1" t="n">
        <v>45932</v>
      </c>
      <c r="D10506" t="inlineStr">
        <is>
          <t>VÄRMLANDS LÄN</t>
        </is>
      </c>
      <c r="E10506" t="inlineStr">
        <is>
          <t>SÄFFLE</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44647-2021</t>
        </is>
      </c>
      <c r="B10507" s="1" t="n">
        <v>44437.83967592593</v>
      </c>
      <c r="C10507" s="1" t="n">
        <v>45932</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34299-2021</t>
        </is>
      </c>
      <c r="B10508" s="1" t="n">
        <v>44379</v>
      </c>
      <c r="C10508" s="1" t="n">
        <v>45932</v>
      </c>
      <c r="D10508" t="inlineStr">
        <is>
          <t>VÄRMLANDS LÄN</t>
        </is>
      </c>
      <c r="E10508" t="inlineStr">
        <is>
          <t>KRISTINEHAMN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15733-2023</t>
        </is>
      </c>
      <c r="B10509" s="1" t="n">
        <v>45020</v>
      </c>
      <c r="C10509" s="1" t="n">
        <v>45932</v>
      </c>
      <c r="D10509" t="inlineStr">
        <is>
          <t>VÄRMLANDS LÄN</t>
        </is>
      </c>
      <c r="E10509" t="inlineStr">
        <is>
          <t>KARLSTAD</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37840-2025</t>
        </is>
      </c>
      <c r="B10510" s="1" t="n">
        <v>45881</v>
      </c>
      <c r="C10510" s="1" t="n">
        <v>45932</v>
      </c>
      <c r="D10510" t="inlineStr">
        <is>
          <t>VÄRMLANDS LÄN</t>
        </is>
      </c>
      <c r="E10510" t="inlineStr">
        <is>
          <t>ARVIKA</t>
        </is>
      </c>
      <c r="F10510" t="inlineStr">
        <is>
          <t>Bergvik skog väst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37908-2025</t>
        </is>
      </c>
      <c r="B10511" s="1" t="n">
        <v>45881.5732175926</v>
      </c>
      <c r="C10511" s="1" t="n">
        <v>45932</v>
      </c>
      <c r="D10511" t="inlineStr">
        <is>
          <t>VÄRMLANDS LÄN</t>
        </is>
      </c>
      <c r="E10511" t="inlineStr">
        <is>
          <t>TORSBY</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6980-2022</t>
        </is>
      </c>
      <c r="B10512" s="1" t="n">
        <v>44603</v>
      </c>
      <c r="C10512" s="1" t="n">
        <v>45932</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58399-2023</t>
        </is>
      </c>
      <c r="B10513" s="1" t="n">
        <v>45245</v>
      </c>
      <c r="C10513" s="1" t="n">
        <v>45932</v>
      </c>
      <c r="D10513" t="inlineStr">
        <is>
          <t>VÄRMLANDS LÄN</t>
        </is>
      </c>
      <c r="E10513" t="inlineStr">
        <is>
          <t>ARVIKA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36177-2023</t>
        </is>
      </c>
      <c r="B10514" s="1" t="n">
        <v>45149</v>
      </c>
      <c r="C10514" s="1" t="n">
        <v>45932</v>
      </c>
      <c r="D10514" t="inlineStr">
        <is>
          <t>VÄRMLANDS LÄN</t>
        </is>
      </c>
      <c r="E10514" t="inlineStr">
        <is>
          <t>SUNNE</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43995-2024</t>
        </is>
      </c>
      <c r="B10515" s="1" t="n">
        <v>45572.53379629629</v>
      </c>
      <c r="C10515" s="1" t="n">
        <v>45932</v>
      </c>
      <c r="D10515" t="inlineStr">
        <is>
          <t>VÄRMLANDS LÄN</t>
        </is>
      </c>
      <c r="E10515" t="inlineStr">
        <is>
          <t>SÄFFLE</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20520-2023</t>
        </is>
      </c>
      <c r="B10516" s="1" t="n">
        <v>45057</v>
      </c>
      <c r="C10516" s="1" t="n">
        <v>45932</v>
      </c>
      <c r="D10516" t="inlineStr">
        <is>
          <t>VÄRMLANDS LÄN</t>
        </is>
      </c>
      <c r="E10516" t="inlineStr">
        <is>
          <t>SÄFFLE</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12252-2024</t>
        </is>
      </c>
      <c r="B10517" s="1" t="n">
        <v>45378</v>
      </c>
      <c r="C10517" s="1" t="n">
        <v>45932</v>
      </c>
      <c r="D10517" t="inlineStr">
        <is>
          <t>VÄRMLANDS LÄN</t>
        </is>
      </c>
      <c r="E10517" t="inlineStr">
        <is>
          <t>KIL</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47619-2023</t>
        </is>
      </c>
      <c r="B10518" s="1" t="n">
        <v>45203.50714120371</v>
      </c>
      <c r="C10518" s="1" t="n">
        <v>45932</v>
      </c>
      <c r="D10518" t="inlineStr">
        <is>
          <t>VÄRMLANDS LÄN</t>
        </is>
      </c>
      <c r="E10518" t="inlineStr">
        <is>
          <t>EDA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47624-2023</t>
        </is>
      </c>
      <c r="B10519" s="1" t="n">
        <v>45203.51826388889</v>
      </c>
      <c r="C10519" s="1" t="n">
        <v>45932</v>
      </c>
      <c r="D10519" t="inlineStr">
        <is>
          <t>VÄRMLANDS LÄN</t>
        </is>
      </c>
      <c r="E10519" t="inlineStr">
        <is>
          <t>STORFORS</t>
        </is>
      </c>
      <c r="F10519" t="inlineStr">
        <is>
          <t>Kyrkan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33847-2024</t>
        </is>
      </c>
      <c r="B10520" s="1" t="n">
        <v>45520.63628472222</v>
      </c>
      <c r="C10520" s="1" t="n">
        <v>45932</v>
      </c>
      <c r="D10520" t="inlineStr">
        <is>
          <t>VÄRMLANDS LÄN</t>
        </is>
      </c>
      <c r="E10520" t="inlineStr">
        <is>
          <t>EDA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33885-2024</t>
        </is>
      </c>
      <c r="B10521" s="1" t="n">
        <v>45523</v>
      </c>
      <c r="C10521" s="1" t="n">
        <v>45932</v>
      </c>
      <c r="D10521" t="inlineStr">
        <is>
          <t>VÄRMLANDS LÄN</t>
        </is>
      </c>
      <c r="E10521" t="inlineStr">
        <is>
          <t>ARVIKA</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13586-2023</t>
        </is>
      </c>
      <c r="B10522" s="1" t="n">
        <v>45006</v>
      </c>
      <c r="C10522" s="1" t="n">
        <v>45932</v>
      </c>
      <c r="D10522" t="inlineStr">
        <is>
          <t>VÄRMLANDS LÄN</t>
        </is>
      </c>
      <c r="E10522" t="inlineStr">
        <is>
          <t>TORSBY</t>
        </is>
      </c>
      <c r="F10522" t="inlineStr">
        <is>
          <t>Kommuner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13657-2023</t>
        </is>
      </c>
      <c r="B10523" s="1" t="n">
        <v>45006.70236111111</v>
      </c>
      <c r="C10523" s="1" t="n">
        <v>45932</v>
      </c>
      <c r="D10523" t="inlineStr">
        <is>
          <t>VÄRMLANDS LÄN</t>
        </is>
      </c>
      <c r="E10523" t="inlineStr">
        <is>
          <t>HAGFORS</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37945-2025</t>
        </is>
      </c>
      <c r="B10524" s="1" t="n">
        <v>45881</v>
      </c>
      <c r="C10524" s="1" t="n">
        <v>45932</v>
      </c>
      <c r="D10524" t="inlineStr">
        <is>
          <t>VÄRMLANDS LÄN</t>
        </is>
      </c>
      <c r="E10524" t="inlineStr">
        <is>
          <t>TORSBY</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45719-2025</t>
        </is>
      </c>
      <c r="B10525" s="1" t="n">
        <v>45923.44331018518</v>
      </c>
      <c r="C10525" s="1" t="n">
        <v>45932</v>
      </c>
      <c r="D10525" t="inlineStr">
        <is>
          <t>VÄRMLANDS LÄN</t>
        </is>
      </c>
      <c r="E10525" t="inlineStr">
        <is>
          <t>SUNNE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22822-2024</t>
        </is>
      </c>
      <c r="B10526" s="1" t="n">
        <v>45448</v>
      </c>
      <c r="C10526" s="1" t="n">
        <v>45932</v>
      </c>
      <c r="D10526" t="inlineStr">
        <is>
          <t>VÄRMLANDS LÄN</t>
        </is>
      </c>
      <c r="E10526" t="inlineStr">
        <is>
          <t>GRUMS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51052-2022</t>
        </is>
      </c>
      <c r="B10527" s="1" t="n">
        <v>44868</v>
      </c>
      <c r="C10527" s="1" t="n">
        <v>45932</v>
      </c>
      <c r="D10527" t="inlineStr">
        <is>
          <t>VÄRMLANDS LÄN</t>
        </is>
      </c>
      <c r="E10527" t="inlineStr">
        <is>
          <t>SÄFFLE</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45725-2025</t>
        </is>
      </c>
      <c r="B10528" s="1" t="n">
        <v>45923.45702546297</v>
      </c>
      <c r="C10528" s="1" t="n">
        <v>45932</v>
      </c>
      <c r="D10528" t="inlineStr">
        <is>
          <t>VÄRMLANDS LÄN</t>
        </is>
      </c>
      <c r="E10528" t="inlineStr">
        <is>
          <t>SUNNE</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62510-2023</t>
        </is>
      </c>
      <c r="B10529" s="1" t="n">
        <v>45268.61853009259</v>
      </c>
      <c r="C10529" s="1" t="n">
        <v>45932</v>
      </c>
      <c r="D10529" t="inlineStr">
        <is>
          <t>VÄRMLANDS LÄN</t>
        </is>
      </c>
      <c r="E10529" t="inlineStr">
        <is>
          <t>TORSBY</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13765-2025</t>
        </is>
      </c>
      <c r="B10530" s="1" t="n">
        <v>45737.43209490741</v>
      </c>
      <c r="C10530" s="1" t="n">
        <v>45932</v>
      </c>
      <c r="D10530" t="inlineStr">
        <is>
          <t>VÄRMLANDS LÄN</t>
        </is>
      </c>
      <c r="E10530" t="inlineStr">
        <is>
          <t>EDA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45433-2025</t>
        </is>
      </c>
      <c r="B10531" s="1" t="n">
        <v>45922.46289351852</v>
      </c>
      <c r="C10531" s="1" t="n">
        <v>45932</v>
      </c>
      <c r="D10531" t="inlineStr">
        <is>
          <t>VÄRMLANDS LÄN</t>
        </is>
      </c>
      <c r="E10531" t="inlineStr">
        <is>
          <t>ARVIKA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37981-2025</t>
        </is>
      </c>
      <c r="B10532" s="1" t="n">
        <v>45881</v>
      </c>
      <c r="C10532" s="1" t="n">
        <v>45932</v>
      </c>
      <c r="D10532" t="inlineStr">
        <is>
          <t>VÄRMLANDS LÄN</t>
        </is>
      </c>
      <c r="E10532" t="inlineStr">
        <is>
          <t>SÄFFLE</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43611-2025</t>
        </is>
      </c>
      <c r="B10533" s="1" t="n">
        <v>45911</v>
      </c>
      <c r="C10533" s="1" t="n">
        <v>45932</v>
      </c>
      <c r="D10533" t="inlineStr">
        <is>
          <t>VÄRMLANDS LÄN</t>
        </is>
      </c>
      <c r="E10533" t="inlineStr">
        <is>
          <t>SUNNE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15148-2025</t>
        </is>
      </c>
      <c r="B10534" s="1" t="n">
        <v>45744.45298611111</v>
      </c>
      <c r="C10534" s="1" t="n">
        <v>45932</v>
      </c>
      <c r="D10534" t="inlineStr">
        <is>
          <t>VÄRMLANDS LÄN</t>
        </is>
      </c>
      <c r="E10534" t="inlineStr">
        <is>
          <t>ÅRJÄNG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15149-2025</t>
        </is>
      </c>
      <c r="B10535" s="1" t="n">
        <v>45744</v>
      </c>
      <c r="C10535" s="1" t="n">
        <v>45932</v>
      </c>
      <c r="D10535" t="inlineStr">
        <is>
          <t>VÄRMLANDS LÄN</t>
        </is>
      </c>
      <c r="E10535" t="inlineStr">
        <is>
          <t>FORSHAGA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19034-2024</t>
        </is>
      </c>
      <c r="B10536" s="1" t="n">
        <v>45427</v>
      </c>
      <c r="C10536" s="1" t="n">
        <v>45932</v>
      </c>
      <c r="D10536" t="inlineStr">
        <is>
          <t>VÄRMLANDS LÄN</t>
        </is>
      </c>
      <c r="E10536" t="inlineStr">
        <is>
          <t>FILIPSTAD</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19035-2024</t>
        </is>
      </c>
      <c r="B10537" s="1" t="n">
        <v>45427</v>
      </c>
      <c r="C10537" s="1" t="n">
        <v>45932</v>
      </c>
      <c r="D10537" t="inlineStr">
        <is>
          <t>VÄRMLANDS LÄN</t>
        </is>
      </c>
      <c r="E10537" t="inlineStr">
        <is>
          <t>FILIPSTAD</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55493-2024</t>
        </is>
      </c>
      <c r="B10538" s="1" t="n">
        <v>45622</v>
      </c>
      <c r="C10538" s="1" t="n">
        <v>45932</v>
      </c>
      <c r="D10538" t="inlineStr">
        <is>
          <t>VÄRMLANDS LÄN</t>
        </is>
      </c>
      <c r="E10538" t="inlineStr">
        <is>
          <t>KRISTINEHAMN</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55495-2024</t>
        </is>
      </c>
      <c r="B10539" s="1" t="n">
        <v>45622</v>
      </c>
      <c r="C10539" s="1" t="n">
        <v>45932</v>
      </c>
      <c r="D10539" t="inlineStr">
        <is>
          <t>VÄRMLANDS LÄN</t>
        </is>
      </c>
      <c r="E10539" t="inlineStr">
        <is>
          <t>SUNNE</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55504-2024</t>
        </is>
      </c>
      <c r="B10540" s="1" t="n">
        <v>45621</v>
      </c>
      <c r="C10540" s="1" t="n">
        <v>45932</v>
      </c>
      <c r="D10540" t="inlineStr">
        <is>
          <t>VÄRMLANDS LÄN</t>
        </is>
      </c>
      <c r="E10540" t="inlineStr">
        <is>
          <t>SUNNE</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14560-2022</t>
        </is>
      </c>
      <c r="B10541" s="1" t="n">
        <v>44655</v>
      </c>
      <c r="C10541" s="1" t="n">
        <v>45932</v>
      </c>
      <c r="D10541" t="inlineStr">
        <is>
          <t>VÄRMLANDS LÄN</t>
        </is>
      </c>
      <c r="E10541" t="inlineStr">
        <is>
          <t>EDA</t>
        </is>
      </c>
      <c r="F10541" t="inlineStr">
        <is>
          <t>Kommuner</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19053-2024</t>
        </is>
      </c>
      <c r="B10542" s="1" t="n">
        <v>45427</v>
      </c>
      <c r="C10542" s="1" t="n">
        <v>45932</v>
      </c>
      <c r="D10542" t="inlineStr">
        <is>
          <t>VÄRMLANDS LÄN</t>
        </is>
      </c>
      <c r="E10542" t="inlineStr">
        <is>
          <t>GRUMS</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54286-2024</t>
        </is>
      </c>
      <c r="B10543" s="1" t="n">
        <v>45616.90453703704</v>
      </c>
      <c r="C10543" s="1" t="n">
        <v>45932</v>
      </c>
      <c r="D10543" t="inlineStr">
        <is>
          <t>VÄRMLANDS LÄN</t>
        </is>
      </c>
      <c r="E10543" t="inlineStr">
        <is>
          <t>SUNNE</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19737-2022</t>
        </is>
      </c>
      <c r="B10544" s="1" t="n">
        <v>44694</v>
      </c>
      <c r="C10544" s="1" t="n">
        <v>45932</v>
      </c>
      <c r="D10544" t="inlineStr">
        <is>
          <t>VÄRMLANDS LÄN</t>
        </is>
      </c>
      <c r="E10544" t="inlineStr">
        <is>
          <t>SUNNE</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15255-2022</t>
        </is>
      </c>
      <c r="B10545" s="1" t="n">
        <v>44659.33950231481</v>
      </c>
      <c r="C10545" s="1" t="n">
        <v>45932</v>
      </c>
      <c r="D10545" t="inlineStr">
        <is>
          <t>VÄRMLANDS LÄN</t>
        </is>
      </c>
      <c r="E10545" t="inlineStr">
        <is>
          <t>SUNNE</t>
        </is>
      </c>
      <c r="G10545" t="n">
        <v>16.4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15258-2022</t>
        </is>
      </c>
      <c r="B10546" s="1" t="n">
        <v>44659</v>
      </c>
      <c r="C10546" s="1" t="n">
        <v>45932</v>
      </c>
      <c r="D10546" t="inlineStr">
        <is>
          <t>VÄRMLANDS LÄN</t>
        </is>
      </c>
      <c r="E10546" t="inlineStr">
        <is>
          <t>EDA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44286-2025</t>
        </is>
      </c>
      <c r="B10547" s="1" t="n">
        <v>45916</v>
      </c>
      <c r="C10547" s="1" t="n">
        <v>45932</v>
      </c>
      <c r="D10547" t="inlineStr">
        <is>
          <t>VÄRMLANDS LÄN</t>
        </is>
      </c>
      <c r="E10547" t="inlineStr">
        <is>
          <t>TORSBY</t>
        </is>
      </c>
      <c r="F10547" t="inlineStr">
        <is>
          <t>Bergvik skog väst AB</t>
        </is>
      </c>
      <c r="G10547" t="n">
        <v>13.8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4295-2021</t>
        </is>
      </c>
      <c r="B10548" s="1" t="n">
        <v>44222</v>
      </c>
      <c r="C10548" s="1" t="n">
        <v>45932</v>
      </c>
      <c r="D10548" t="inlineStr">
        <is>
          <t>VÄRMLANDS LÄN</t>
        </is>
      </c>
      <c r="E10548" t="inlineStr">
        <is>
          <t>SUNNE</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37575-2025</t>
        </is>
      </c>
      <c r="B10549" s="1" t="n">
        <v>45880.38028935185</v>
      </c>
      <c r="C10549" s="1" t="n">
        <v>45932</v>
      </c>
      <c r="D10549" t="inlineStr">
        <is>
          <t>VÄRMLANDS LÄN</t>
        </is>
      </c>
      <c r="E10549" t="inlineStr">
        <is>
          <t>TORSBY</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4353-2021</t>
        </is>
      </c>
      <c r="B10550" s="1" t="n">
        <v>44221</v>
      </c>
      <c r="C10550" s="1" t="n">
        <v>45932</v>
      </c>
      <c r="D10550" t="inlineStr">
        <is>
          <t>VÄRMLANDS LÄN</t>
        </is>
      </c>
      <c r="E10550" t="inlineStr">
        <is>
          <t>SÄFFLE</t>
        </is>
      </c>
      <c r="G10550" t="n">
        <v>9.6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2841-2024</t>
        </is>
      </c>
      <c r="B10551" s="1" t="n">
        <v>45315.33327546297</v>
      </c>
      <c r="C10551" s="1" t="n">
        <v>45932</v>
      </c>
      <c r="D10551" t="inlineStr">
        <is>
          <t>VÄRMLANDS LÄN</t>
        </is>
      </c>
      <c r="E10551" t="inlineStr">
        <is>
          <t>EDA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37662-2025</t>
        </is>
      </c>
      <c r="B10552" s="1" t="n">
        <v>45880</v>
      </c>
      <c r="C10552" s="1" t="n">
        <v>45932</v>
      </c>
      <c r="D10552" t="inlineStr">
        <is>
          <t>VÄRMLANDS LÄN</t>
        </is>
      </c>
      <c r="E10552" t="inlineStr">
        <is>
          <t>ÅRJÄNG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37344-2025</t>
        </is>
      </c>
      <c r="B10553" s="1" t="n">
        <v>45876</v>
      </c>
      <c r="C10553" s="1" t="n">
        <v>45932</v>
      </c>
      <c r="D10553" t="inlineStr">
        <is>
          <t>VÄRMLANDS LÄN</t>
        </is>
      </c>
      <c r="E10553" t="inlineStr">
        <is>
          <t>ARVIKA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45508-2025</t>
        </is>
      </c>
      <c r="B10554" s="1" t="n">
        <v>45922</v>
      </c>
      <c r="C10554" s="1" t="n">
        <v>45932</v>
      </c>
      <c r="D10554" t="inlineStr">
        <is>
          <t>VÄRMLANDS LÄN</t>
        </is>
      </c>
      <c r="E10554" t="inlineStr">
        <is>
          <t>TORSBY</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45906-2025</t>
        </is>
      </c>
      <c r="B10555" s="1" t="n">
        <v>45923.70627314815</v>
      </c>
      <c r="C10555" s="1" t="n">
        <v>45932</v>
      </c>
      <c r="D10555" t="inlineStr">
        <is>
          <t>VÄRMLANDS LÄN</t>
        </is>
      </c>
      <c r="E10555" t="inlineStr">
        <is>
          <t>ÅRJÄNG</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41960-2023</t>
        </is>
      </c>
      <c r="B10556" s="1" t="n">
        <v>45177.35716435185</v>
      </c>
      <c r="C10556" s="1" t="n">
        <v>45932</v>
      </c>
      <c r="D10556" t="inlineStr">
        <is>
          <t>VÄRMLANDS LÄN</t>
        </is>
      </c>
      <c r="E10556" t="inlineStr">
        <is>
          <t>KARLSTAD</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37760-2025</t>
        </is>
      </c>
      <c r="B10557" s="1" t="n">
        <v>45880</v>
      </c>
      <c r="C10557" s="1" t="n">
        <v>45932</v>
      </c>
      <c r="D10557" t="inlineStr">
        <is>
          <t>VÄRMLANDS LÄN</t>
        </is>
      </c>
      <c r="E10557" t="inlineStr">
        <is>
          <t>TORSBY</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37992-2025</t>
        </is>
      </c>
      <c r="B10558" s="1" t="n">
        <v>45881.71462962963</v>
      </c>
      <c r="C10558" s="1" t="n">
        <v>45932</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45590-2025</t>
        </is>
      </c>
      <c r="B10559" s="1" t="n">
        <v>45922</v>
      </c>
      <c r="C10559" s="1" t="n">
        <v>45932</v>
      </c>
      <c r="D10559" t="inlineStr">
        <is>
          <t>VÄRMLANDS LÄN</t>
        </is>
      </c>
      <c r="E10559" t="inlineStr">
        <is>
          <t>ÅRJÄNG</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38104-2023</t>
        </is>
      </c>
      <c r="B10560" s="1" t="n">
        <v>45161.30986111111</v>
      </c>
      <c r="C10560" s="1" t="n">
        <v>45932</v>
      </c>
      <c r="D10560" t="inlineStr">
        <is>
          <t>VÄRMLANDS LÄN</t>
        </is>
      </c>
      <c r="E10560" t="inlineStr">
        <is>
          <t>EDA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22301-2023</t>
        </is>
      </c>
      <c r="B10561" s="1" t="n">
        <v>45070</v>
      </c>
      <c r="C10561" s="1" t="n">
        <v>45932</v>
      </c>
      <c r="D10561" t="inlineStr">
        <is>
          <t>VÄRMLANDS LÄN</t>
        </is>
      </c>
      <c r="E10561" t="inlineStr">
        <is>
          <t>TORSBY</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42299-2023</t>
        </is>
      </c>
      <c r="B10562" s="1" t="n">
        <v>45180.44866898148</v>
      </c>
      <c r="C10562" s="1" t="n">
        <v>45932</v>
      </c>
      <c r="D10562" t="inlineStr">
        <is>
          <t>VÄRMLANDS LÄN</t>
        </is>
      </c>
      <c r="E10562" t="inlineStr">
        <is>
          <t>ARVIKA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45355-2025</t>
        </is>
      </c>
      <c r="B10563" s="1" t="n">
        <v>45922.36545138889</v>
      </c>
      <c r="C10563" s="1" t="n">
        <v>45932</v>
      </c>
      <c r="D10563" t="inlineStr">
        <is>
          <t>VÄRMLANDS LÄN</t>
        </is>
      </c>
      <c r="E10563" t="inlineStr">
        <is>
          <t>HAGFORS</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15083-2024</t>
        </is>
      </c>
      <c r="B10564" s="1" t="n">
        <v>45399.63163194444</v>
      </c>
      <c r="C10564" s="1" t="n">
        <v>45932</v>
      </c>
      <c r="D10564" t="inlineStr">
        <is>
          <t>VÄRMLANDS LÄN</t>
        </is>
      </c>
      <c r="E10564" t="inlineStr">
        <is>
          <t>TORSBY</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60886-2023</t>
        </is>
      </c>
      <c r="B10565" s="1" t="n">
        <v>45261</v>
      </c>
      <c r="C10565" s="1" t="n">
        <v>45932</v>
      </c>
      <c r="D10565" t="inlineStr">
        <is>
          <t>VÄRMLANDS LÄN</t>
        </is>
      </c>
      <c r="E10565" t="inlineStr">
        <is>
          <t>ÅRJÄNG</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37990-2025</t>
        </is>
      </c>
      <c r="B10566" s="1" t="n">
        <v>45881.70932870371</v>
      </c>
      <c r="C10566" s="1" t="n">
        <v>45932</v>
      </c>
      <c r="D10566" t="inlineStr">
        <is>
          <t>VÄRMLANDS LÄN</t>
        </is>
      </c>
      <c r="E10566" t="inlineStr">
        <is>
          <t>SUNNE</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45192-2025</t>
        </is>
      </c>
      <c r="B10567" s="1" t="n">
        <v>45919</v>
      </c>
      <c r="C10567" s="1" t="n">
        <v>45932</v>
      </c>
      <c r="D10567" t="inlineStr">
        <is>
          <t>VÄRMLANDS LÄN</t>
        </is>
      </c>
      <c r="E10567" t="inlineStr">
        <is>
          <t>ÅRJÄNG</t>
        </is>
      </c>
      <c r="F10567" t="inlineStr">
        <is>
          <t>Bergvik skog väst AB</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36826-2025</t>
        </is>
      </c>
      <c r="B10568" s="1" t="n">
        <v>45874</v>
      </c>
      <c r="C10568" s="1" t="n">
        <v>45932</v>
      </c>
      <c r="D10568" t="inlineStr">
        <is>
          <t>VÄRMLANDS LÄN</t>
        </is>
      </c>
      <c r="E10568" t="inlineStr">
        <is>
          <t>ARVIKA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37555-2025</t>
        </is>
      </c>
      <c r="B10569" s="1" t="n">
        <v>45880</v>
      </c>
      <c r="C10569" s="1" t="n">
        <v>45932</v>
      </c>
      <c r="D10569" t="inlineStr">
        <is>
          <t>VÄRMLANDS LÄN</t>
        </is>
      </c>
      <c r="E10569" t="inlineStr">
        <is>
          <t>ÅRJÄNG</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2317-2021</t>
        </is>
      </c>
      <c r="B10570" s="1" t="n">
        <v>44214</v>
      </c>
      <c r="C10570" s="1" t="n">
        <v>45932</v>
      </c>
      <c r="D10570" t="inlineStr">
        <is>
          <t>VÄRMLANDS LÄN</t>
        </is>
      </c>
      <c r="E10570" t="inlineStr">
        <is>
          <t>SUNNE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55277-2021</t>
        </is>
      </c>
      <c r="B10571" s="1" t="n">
        <v>44475</v>
      </c>
      <c r="C10571" s="1" t="n">
        <v>45932</v>
      </c>
      <c r="D10571" t="inlineStr">
        <is>
          <t>VÄRMLANDS LÄN</t>
        </is>
      </c>
      <c r="E10571" t="inlineStr">
        <is>
          <t>KARLSTAD</t>
        </is>
      </c>
      <c r="F10571" t="inlineStr">
        <is>
          <t>Kommuner</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14709-2023</t>
        </is>
      </c>
      <c r="B10572" s="1" t="n">
        <v>45014.41900462963</v>
      </c>
      <c r="C10572" s="1" t="n">
        <v>45932</v>
      </c>
      <c r="D10572" t="inlineStr">
        <is>
          <t>VÄRMLANDS LÄN</t>
        </is>
      </c>
      <c r="E10572" t="inlineStr">
        <is>
          <t>TORSBY</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45679-2025</t>
        </is>
      </c>
      <c r="B10573" s="1" t="n">
        <v>45923.36864583333</v>
      </c>
      <c r="C10573" s="1" t="n">
        <v>45932</v>
      </c>
      <c r="D10573" t="inlineStr">
        <is>
          <t>VÄRMLANDS LÄN</t>
        </is>
      </c>
      <c r="E10573" t="inlineStr">
        <is>
          <t>TORSBY</t>
        </is>
      </c>
      <c r="F10573" t="inlineStr">
        <is>
          <t>Bergvik skog väst AB</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45380-2025</t>
        </is>
      </c>
      <c r="B10574" s="1" t="n">
        <v>45922</v>
      </c>
      <c r="C10574" s="1" t="n">
        <v>45932</v>
      </c>
      <c r="D10574" t="inlineStr">
        <is>
          <t>VÄRMLANDS LÄN</t>
        </is>
      </c>
      <c r="E10574" t="inlineStr">
        <is>
          <t>TORSBY</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19489-2022</t>
        </is>
      </c>
      <c r="B10575" s="1" t="n">
        <v>44693</v>
      </c>
      <c r="C10575" s="1" t="n">
        <v>45932</v>
      </c>
      <c r="D10575" t="inlineStr">
        <is>
          <t>VÄRMLANDS LÄN</t>
        </is>
      </c>
      <c r="E10575" t="inlineStr">
        <is>
          <t>TORSBY</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41417-2023</t>
        </is>
      </c>
      <c r="B10576" s="1" t="n">
        <v>45175.32085648148</v>
      </c>
      <c r="C10576" s="1" t="n">
        <v>45932</v>
      </c>
      <c r="D10576" t="inlineStr">
        <is>
          <t>VÄRMLANDS LÄN</t>
        </is>
      </c>
      <c r="E10576" t="inlineStr">
        <is>
          <t>EDA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45524-2025</t>
        </is>
      </c>
      <c r="B10577" s="1" t="n">
        <v>45922</v>
      </c>
      <c r="C10577" s="1" t="n">
        <v>45932</v>
      </c>
      <c r="D10577" t="inlineStr">
        <is>
          <t>VÄRMLANDS LÄN</t>
        </is>
      </c>
      <c r="E10577" t="inlineStr">
        <is>
          <t>ÅRJÄNG</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33187-2022</t>
        </is>
      </c>
      <c r="B10578" s="1" t="n">
        <v>44785.63153935185</v>
      </c>
      <c r="C10578" s="1" t="n">
        <v>45932</v>
      </c>
      <c r="D10578" t="inlineStr">
        <is>
          <t>VÄRMLANDS LÄN</t>
        </is>
      </c>
      <c r="E10578" t="inlineStr">
        <is>
          <t>ARVIKA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33464-2023</t>
        </is>
      </c>
      <c r="B10579" s="1" t="n">
        <v>45118</v>
      </c>
      <c r="C10579" s="1" t="n">
        <v>45932</v>
      </c>
      <c r="D10579" t="inlineStr">
        <is>
          <t>VÄRMLANDS LÄN</t>
        </is>
      </c>
      <c r="E10579" t="inlineStr">
        <is>
          <t>KRISTINEHAMN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19273-2025</t>
        </is>
      </c>
      <c r="B10580" s="1" t="n">
        <v>45769</v>
      </c>
      <c r="C10580" s="1" t="n">
        <v>45932</v>
      </c>
      <c r="D10580" t="inlineStr">
        <is>
          <t>VÄRMLANDS LÄN</t>
        </is>
      </c>
      <c r="E10580" t="inlineStr">
        <is>
          <t>SÄFFLE</t>
        </is>
      </c>
      <c r="F10580" t="inlineStr">
        <is>
          <t>Bergvik skog väst AB</t>
        </is>
      </c>
      <c r="G10580" t="n">
        <v>11.6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19292-2025</t>
        </is>
      </c>
      <c r="B10581" s="1" t="n">
        <v>45769.55885416667</v>
      </c>
      <c r="C10581" s="1" t="n">
        <v>45932</v>
      </c>
      <c r="D10581" t="inlineStr">
        <is>
          <t>VÄRMLANDS LÄN</t>
        </is>
      </c>
      <c r="E10581" t="inlineStr">
        <is>
          <t>KRISTINEHAMN</t>
        </is>
      </c>
      <c r="F10581" t="inlineStr">
        <is>
          <t>Kyrkan</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45898-2025</t>
        </is>
      </c>
      <c r="B10582" s="1" t="n">
        <v>45923.67954861111</v>
      </c>
      <c r="C10582" s="1" t="n">
        <v>45932</v>
      </c>
      <c r="D10582" t="inlineStr">
        <is>
          <t>VÄRMLANDS LÄN</t>
        </is>
      </c>
      <c r="E10582" t="inlineStr">
        <is>
          <t>GRUMS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45907-2025</t>
        </is>
      </c>
      <c r="B10583" s="1" t="n">
        <v>45923.70748842593</v>
      </c>
      <c r="C10583" s="1" t="n">
        <v>45932</v>
      </c>
      <c r="D10583" t="inlineStr">
        <is>
          <t>VÄRMLANDS LÄN</t>
        </is>
      </c>
      <c r="E10583" t="inlineStr">
        <is>
          <t>ÅRJÄNG</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37681-2025</t>
        </is>
      </c>
      <c r="B10584" s="1" t="n">
        <v>45880</v>
      </c>
      <c r="C10584" s="1" t="n">
        <v>45932</v>
      </c>
      <c r="D10584" t="inlineStr">
        <is>
          <t>VÄRMLANDS LÄN</t>
        </is>
      </c>
      <c r="E10584" t="inlineStr">
        <is>
          <t>ÅRJÄNG</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37927-2025</t>
        </is>
      </c>
      <c r="B10585" s="1" t="n">
        <v>45881.58063657407</v>
      </c>
      <c r="C10585" s="1" t="n">
        <v>45932</v>
      </c>
      <c r="D10585" t="inlineStr">
        <is>
          <t>VÄRMLANDS LÄN</t>
        </is>
      </c>
      <c r="E10585" t="inlineStr">
        <is>
          <t>TORSBY</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37736-2025</t>
        </is>
      </c>
      <c r="B10586" s="1" t="n">
        <v>45880</v>
      </c>
      <c r="C10586" s="1" t="n">
        <v>45932</v>
      </c>
      <c r="D10586" t="inlineStr">
        <is>
          <t>VÄRMLANDS LÄN</t>
        </is>
      </c>
      <c r="E10586" t="inlineStr">
        <is>
          <t>TORSBY</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44507-2025</t>
        </is>
      </c>
      <c r="B10587" s="1" t="n">
        <v>45916</v>
      </c>
      <c r="C10587" s="1" t="n">
        <v>45932</v>
      </c>
      <c r="D10587" t="inlineStr">
        <is>
          <t>VÄRMLANDS LÄN</t>
        </is>
      </c>
      <c r="E10587" t="inlineStr">
        <is>
          <t>TORSBY</t>
        </is>
      </c>
      <c r="F10587" t="inlineStr">
        <is>
          <t>Bergvik skog väst AB</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37680-2025</t>
        </is>
      </c>
      <c r="B10588" s="1" t="n">
        <v>45880.54208333333</v>
      </c>
      <c r="C10588" s="1" t="n">
        <v>45932</v>
      </c>
      <c r="D10588" t="inlineStr">
        <is>
          <t>VÄRMLANDS LÄN</t>
        </is>
      </c>
      <c r="E10588" t="inlineStr">
        <is>
          <t>ÅRJÄNG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37687-2025</t>
        </is>
      </c>
      <c r="B10589" s="1" t="n">
        <v>45880.56207175926</v>
      </c>
      <c r="C10589" s="1" t="n">
        <v>45932</v>
      </c>
      <c r="D10589" t="inlineStr">
        <is>
          <t>VÄRMLANDS LÄN</t>
        </is>
      </c>
      <c r="E10589" t="inlineStr">
        <is>
          <t>ARVIKA</t>
        </is>
      </c>
      <c r="F10589" t="inlineStr">
        <is>
          <t>Bergvik skog väst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45159-2025</t>
        </is>
      </c>
      <c r="B10590" s="1" t="n">
        <v>45919</v>
      </c>
      <c r="C10590" s="1" t="n">
        <v>45932</v>
      </c>
      <c r="D10590" t="inlineStr">
        <is>
          <t>VÄRMLANDS LÄN</t>
        </is>
      </c>
      <c r="E10590" t="inlineStr">
        <is>
          <t>ÅRJÄNG</t>
        </is>
      </c>
      <c r="F10590" t="inlineStr">
        <is>
          <t>Bergvik skog väst AB</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10115-2025</t>
        </is>
      </c>
      <c r="B10591" s="1" t="n">
        <v>45719</v>
      </c>
      <c r="C10591" s="1" t="n">
        <v>45932</v>
      </c>
      <c r="D10591" t="inlineStr">
        <is>
          <t>VÄRMLANDS LÄN</t>
        </is>
      </c>
      <c r="E10591" t="inlineStr">
        <is>
          <t>SÄFFLE</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18821-2024</t>
        </is>
      </c>
      <c r="B10592" s="1" t="n">
        <v>45426.62637731482</v>
      </c>
      <c r="C10592" s="1" t="n">
        <v>45932</v>
      </c>
      <c r="D10592" t="inlineStr">
        <is>
          <t>VÄRMLANDS LÄN</t>
        </is>
      </c>
      <c r="E10592" t="inlineStr">
        <is>
          <t>SUNNE</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45615-2025</t>
        </is>
      </c>
      <c r="B10593" s="1" t="n">
        <v>45921</v>
      </c>
      <c r="C10593" s="1" t="n">
        <v>45932</v>
      </c>
      <c r="D10593" t="inlineStr">
        <is>
          <t>VÄRMLANDS LÄN</t>
        </is>
      </c>
      <c r="E10593" t="inlineStr">
        <is>
          <t>TORSBY</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45868-2025</t>
        </is>
      </c>
      <c r="B10594" s="1" t="n">
        <v>45923.65232638889</v>
      </c>
      <c r="C10594" s="1" t="n">
        <v>45932</v>
      </c>
      <c r="D10594" t="inlineStr">
        <is>
          <t>VÄRMLANDS LÄN</t>
        </is>
      </c>
      <c r="E10594" t="inlineStr">
        <is>
          <t>GRUMS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45446-2025</t>
        </is>
      </c>
      <c r="B10595" s="1" t="n">
        <v>45922.4808449074</v>
      </c>
      <c r="C10595" s="1" t="n">
        <v>45932</v>
      </c>
      <c r="D10595" t="inlineStr">
        <is>
          <t>VÄRMLANDS LÄN</t>
        </is>
      </c>
      <c r="E10595" t="inlineStr">
        <is>
          <t>ARVIKA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45489-2025</t>
        </is>
      </c>
      <c r="B10596" s="1" t="n">
        <v>45921</v>
      </c>
      <c r="C10596" s="1" t="n">
        <v>45932</v>
      </c>
      <c r="D10596" t="inlineStr">
        <is>
          <t>VÄRMLANDS LÄN</t>
        </is>
      </c>
      <c r="E10596" t="inlineStr">
        <is>
          <t>TORSBY</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7133-2025</t>
        </is>
      </c>
      <c r="B10597" s="1" t="n">
        <v>45702</v>
      </c>
      <c r="C10597" s="1" t="n">
        <v>45932</v>
      </c>
      <c r="D10597" t="inlineStr">
        <is>
          <t>VÄRMLANDS LÄN</t>
        </is>
      </c>
      <c r="E10597" t="inlineStr">
        <is>
          <t>KARLSTAD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92-2022</t>
        </is>
      </c>
      <c r="B10598" s="1" t="n">
        <v>44564</v>
      </c>
      <c r="C10598" s="1" t="n">
        <v>45932</v>
      </c>
      <c r="D10598" t="inlineStr">
        <is>
          <t>VÄRMLANDS LÄN</t>
        </is>
      </c>
      <c r="E10598" t="inlineStr">
        <is>
          <t>ÅRJÄNG</t>
        </is>
      </c>
      <c r="G10598" t="n">
        <v>10.4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41022-2023</t>
        </is>
      </c>
      <c r="B10599" s="1" t="n">
        <v>45173</v>
      </c>
      <c r="C10599" s="1" t="n">
        <v>45932</v>
      </c>
      <c r="D10599" t="inlineStr">
        <is>
          <t>VÄRMLANDS LÄN</t>
        </is>
      </c>
      <c r="E10599" t="inlineStr">
        <is>
          <t>TORSBY</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27061-2024</t>
        </is>
      </c>
      <c r="B10600" s="1" t="n">
        <v>45471</v>
      </c>
      <c r="C10600" s="1" t="n">
        <v>45932</v>
      </c>
      <c r="D10600" t="inlineStr">
        <is>
          <t>VÄRMLANDS LÄN</t>
        </is>
      </c>
      <c r="E10600" t="inlineStr">
        <is>
          <t>SUNNE</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17659-2025</t>
        </is>
      </c>
      <c r="B10601" s="1" t="n">
        <v>45758</v>
      </c>
      <c r="C10601" s="1" t="n">
        <v>45932</v>
      </c>
      <c r="D10601" t="inlineStr">
        <is>
          <t>VÄRMLANDS LÄN</t>
        </is>
      </c>
      <c r="E10601" t="inlineStr">
        <is>
          <t>HAGFORS</t>
        </is>
      </c>
      <c r="F10601" t="inlineStr">
        <is>
          <t>Bergvik skog väst AB</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45641-2025</t>
        </is>
      </c>
      <c r="B10602" s="1" t="n">
        <v>45922.98969907407</v>
      </c>
      <c r="C10602" s="1" t="n">
        <v>45932</v>
      </c>
      <c r="D10602" t="inlineStr">
        <is>
          <t>VÄRMLANDS LÄN</t>
        </is>
      </c>
      <c r="E10602" t="inlineStr">
        <is>
          <t>HAGFORS</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41321-2023</t>
        </is>
      </c>
      <c r="B10603" s="1" t="n">
        <v>45174</v>
      </c>
      <c r="C10603" s="1" t="n">
        <v>45932</v>
      </c>
      <c r="D10603" t="inlineStr">
        <is>
          <t>VÄRMLANDS LÄN</t>
        </is>
      </c>
      <c r="E10603" t="inlineStr">
        <is>
          <t>KARLSTAD</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30710-2023</t>
        </is>
      </c>
      <c r="B10604" s="1" t="n">
        <v>45112.59900462963</v>
      </c>
      <c r="C10604" s="1" t="n">
        <v>45932</v>
      </c>
      <c r="D10604" t="inlineStr">
        <is>
          <t>VÄRMLANDS LÄN</t>
        </is>
      </c>
      <c r="E10604" t="inlineStr">
        <is>
          <t>ÅRJÄNG</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41223-2025</t>
        </is>
      </c>
      <c r="B10605" s="1" t="n">
        <v>45898.58835648148</v>
      </c>
      <c r="C10605" s="1" t="n">
        <v>45932</v>
      </c>
      <c r="D10605" t="inlineStr">
        <is>
          <t>VÄRMLANDS LÄN</t>
        </is>
      </c>
      <c r="E10605" t="inlineStr">
        <is>
          <t>HAGFORS</t>
        </is>
      </c>
      <c r="F10605" t="inlineStr">
        <is>
          <t>Bergvik skog väst AB</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27115-2024</t>
        </is>
      </c>
      <c r="B10606" s="1" t="n">
        <v>45471</v>
      </c>
      <c r="C10606" s="1" t="n">
        <v>45932</v>
      </c>
      <c r="D10606" t="inlineStr">
        <is>
          <t>VÄRMLANDS LÄN</t>
        </is>
      </c>
      <c r="E10606" t="inlineStr">
        <is>
          <t>TORSBY</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27153-2024</t>
        </is>
      </c>
      <c r="B10607" s="1" t="n">
        <v>45471</v>
      </c>
      <c r="C10607" s="1" t="n">
        <v>45932</v>
      </c>
      <c r="D10607" t="inlineStr">
        <is>
          <t>VÄRMLANDS LÄN</t>
        </is>
      </c>
      <c r="E10607" t="inlineStr">
        <is>
          <t>ARVIKA</t>
        </is>
      </c>
      <c r="F10607" t="inlineStr">
        <is>
          <t>Bergvik skog väst AB</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23808-2021</t>
        </is>
      </c>
      <c r="B10608" s="1" t="n">
        <v>44335.37674768519</v>
      </c>
      <c r="C10608" s="1" t="n">
        <v>45932</v>
      </c>
      <c r="D10608" t="inlineStr">
        <is>
          <t>VÄRMLANDS LÄN</t>
        </is>
      </c>
      <c r="E10608" t="inlineStr">
        <is>
          <t>STORFORS</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37858-2025</t>
        </is>
      </c>
      <c r="B10609" s="1" t="n">
        <v>45880</v>
      </c>
      <c r="C10609" s="1" t="n">
        <v>45932</v>
      </c>
      <c r="D10609" t="inlineStr">
        <is>
          <t>VÄRMLANDS LÄN</t>
        </is>
      </c>
      <c r="E10609" t="inlineStr">
        <is>
          <t>SÄFFLE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5095-2022</t>
        </is>
      </c>
      <c r="B10610" s="1" t="n">
        <v>44593.86192129629</v>
      </c>
      <c r="C10610" s="1" t="n">
        <v>45932</v>
      </c>
      <c r="D10610" t="inlineStr">
        <is>
          <t>VÄRMLANDS LÄN</t>
        </is>
      </c>
      <c r="E10610" t="inlineStr">
        <is>
          <t>ÅRJÄNG</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44231-2023</t>
        </is>
      </c>
      <c r="B10611" s="1" t="n">
        <v>45188</v>
      </c>
      <c r="C10611" s="1" t="n">
        <v>45932</v>
      </c>
      <c r="D10611" t="inlineStr">
        <is>
          <t>VÄRMLANDS LÄN</t>
        </is>
      </c>
      <c r="E10611" t="inlineStr">
        <is>
          <t>SUNNE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387-2021</t>
        </is>
      </c>
      <c r="B10612" s="1" t="n">
        <v>44201</v>
      </c>
      <c r="C10612" s="1" t="n">
        <v>45932</v>
      </c>
      <c r="D10612" t="inlineStr">
        <is>
          <t>VÄRMLANDS LÄN</t>
        </is>
      </c>
      <c r="E10612" t="inlineStr">
        <is>
          <t>ÅRJÄNG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53742-2024</t>
        </is>
      </c>
      <c r="B10613" s="1" t="n">
        <v>45615.47130787037</v>
      </c>
      <c r="C10613" s="1" t="n">
        <v>45932</v>
      </c>
      <c r="D10613" t="inlineStr">
        <is>
          <t>VÄRMLANDS LÄN</t>
        </is>
      </c>
      <c r="E10613" t="inlineStr">
        <is>
          <t>ÅRJÄNG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45324-2025</t>
        </is>
      </c>
      <c r="B10614" s="1" t="n">
        <v>45922.31569444444</v>
      </c>
      <c r="C10614" s="1" t="n">
        <v>45932</v>
      </c>
      <c r="D10614" t="inlineStr">
        <is>
          <t>VÄRMLANDS LÄN</t>
        </is>
      </c>
      <c r="E10614" t="inlineStr">
        <is>
          <t>ARVIKA</t>
        </is>
      </c>
      <c r="F10614" t="inlineStr">
        <is>
          <t>Bergvik skog väst AB</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45332-2025</t>
        </is>
      </c>
      <c r="B10615" s="1" t="n">
        <v>45922</v>
      </c>
      <c r="C10615" s="1" t="n">
        <v>45932</v>
      </c>
      <c r="D10615" t="inlineStr">
        <is>
          <t>VÄRMLANDS LÄN</t>
        </is>
      </c>
      <c r="E10615" t="inlineStr">
        <is>
          <t>ÅRJÄNG</t>
        </is>
      </c>
      <c r="F10615" t="inlineStr">
        <is>
          <t>Bergvik skog väst AB</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36558-2024</t>
        </is>
      </c>
      <c r="B10616" s="1" t="n">
        <v>45537</v>
      </c>
      <c r="C10616" s="1" t="n">
        <v>45932</v>
      </c>
      <c r="D10616" t="inlineStr">
        <is>
          <t>VÄRMLANDS LÄN</t>
        </is>
      </c>
      <c r="E10616" t="inlineStr">
        <is>
          <t>TORSBY</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18407-2025</t>
        </is>
      </c>
      <c r="B10617" s="1" t="n">
        <v>45762.61038194445</v>
      </c>
      <c r="C10617" s="1" t="n">
        <v>45932</v>
      </c>
      <c r="D10617" t="inlineStr">
        <is>
          <t>VÄRMLANDS LÄN</t>
        </is>
      </c>
      <c r="E10617" t="inlineStr">
        <is>
          <t>SUNNE</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58399-2022</t>
        </is>
      </c>
      <c r="B10618" s="1" t="n">
        <v>44901.6680324074</v>
      </c>
      <c r="C10618" s="1" t="n">
        <v>45932</v>
      </c>
      <c r="D10618" t="inlineStr">
        <is>
          <t>VÄRMLANDS LÄN</t>
        </is>
      </c>
      <c r="E10618" t="inlineStr">
        <is>
          <t>ARVIKA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45313-2025</t>
        </is>
      </c>
      <c r="B10619" s="1" t="n">
        <v>45921.80666666666</v>
      </c>
      <c r="C10619" s="1" t="n">
        <v>45932</v>
      </c>
      <c r="D10619" t="inlineStr">
        <is>
          <t>VÄRMLANDS LÄN</t>
        </is>
      </c>
      <c r="E10619" t="inlineStr">
        <is>
          <t>ARVIKA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45329-2025</t>
        </is>
      </c>
      <c r="B10620" s="1" t="n">
        <v>45922</v>
      </c>
      <c r="C10620" s="1" t="n">
        <v>45932</v>
      </c>
      <c r="D10620" t="inlineStr">
        <is>
          <t>VÄRMLANDS LÄN</t>
        </is>
      </c>
      <c r="E10620" t="inlineStr">
        <is>
          <t>ÅRJÄNG</t>
        </is>
      </c>
      <c r="F10620" t="inlineStr">
        <is>
          <t>Bergvik skog väst AB</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4582-2025</t>
        </is>
      </c>
      <c r="B10621" s="1" t="n">
        <v>45687</v>
      </c>
      <c r="C10621" s="1" t="n">
        <v>45932</v>
      </c>
      <c r="D10621" t="inlineStr">
        <is>
          <t>VÄRMLANDS LÄN</t>
        </is>
      </c>
      <c r="E10621" t="inlineStr">
        <is>
          <t>ÅRJÄNG</t>
        </is>
      </c>
      <c r="F10621" t="inlineStr">
        <is>
          <t>Övriga Aktiebolag</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4592-2025</t>
        </is>
      </c>
      <c r="B10622" s="1" t="n">
        <v>45687.54270833333</v>
      </c>
      <c r="C10622" s="1" t="n">
        <v>45932</v>
      </c>
      <c r="D10622" t="inlineStr">
        <is>
          <t>VÄRMLANDS LÄN</t>
        </is>
      </c>
      <c r="E10622" t="inlineStr">
        <is>
          <t>ARVIKA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4603-2025</t>
        </is>
      </c>
      <c r="B10623" s="1" t="n">
        <v>45687</v>
      </c>
      <c r="C10623" s="1" t="n">
        <v>45932</v>
      </c>
      <c r="D10623" t="inlineStr">
        <is>
          <t>VÄRMLANDS LÄN</t>
        </is>
      </c>
      <c r="E10623" t="inlineStr">
        <is>
          <t>GRUMS</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36001-2023</t>
        </is>
      </c>
      <c r="B10624" s="1" t="n">
        <v>45149.34829861111</v>
      </c>
      <c r="C10624" s="1" t="n">
        <v>45932</v>
      </c>
      <c r="D10624" t="inlineStr">
        <is>
          <t>VÄRMLANDS LÄN</t>
        </is>
      </c>
      <c r="E10624" t="inlineStr">
        <is>
          <t>SÄFFLE</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36013-2023</t>
        </is>
      </c>
      <c r="B10625" s="1" t="n">
        <v>45149.36230324074</v>
      </c>
      <c r="C10625" s="1" t="n">
        <v>45932</v>
      </c>
      <c r="D10625" t="inlineStr">
        <is>
          <t>VÄRMLANDS LÄN</t>
        </is>
      </c>
      <c r="E10625" t="inlineStr">
        <is>
          <t>HAGFORS</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17580-2024</t>
        </is>
      </c>
      <c r="B10626" s="1" t="n">
        <v>45415</v>
      </c>
      <c r="C10626" s="1" t="n">
        <v>45932</v>
      </c>
      <c r="D10626" t="inlineStr">
        <is>
          <t>VÄRMLANDS LÄN</t>
        </is>
      </c>
      <c r="E10626" t="inlineStr">
        <is>
          <t>SUNNE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4088-2025</t>
        </is>
      </c>
      <c r="B10627" s="1" t="n">
        <v>45684.66329861111</v>
      </c>
      <c r="C10627" s="1" t="n">
        <v>45932</v>
      </c>
      <c r="D10627" t="inlineStr">
        <is>
          <t>VÄRMLANDS LÄN</t>
        </is>
      </c>
      <c r="E10627" t="inlineStr">
        <is>
          <t>ÅRJÄNG</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43773-2025</t>
        </is>
      </c>
      <c r="B10628" s="1" t="n">
        <v>45912</v>
      </c>
      <c r="C10628" s="1" t="n">
        <v>45932</v>
      </c>
      <c r="D10628" t="inlineStr">
        <is>
          <t>VÄRMLANDS LÄN</t>
        </is>
      </c>
      <c r="E10628" t="inlineStr">
        <is>
          <t>ARVIKA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38001-2025</t>
        </is>
      </c>
      <c r="B10629" s="1" t="n">
        <v>45881.88849537037</v>
      </c>
      <c r="C10629" s="1" t="n">
        <v>45932</v>
      </c>
      <c r="D10629" t="inlineStr">
        <is>
          <t>VÄRMLANDS LÄN</t>
        </is>
      </c>
      <c r="E10629" t="inlineStr">
        <is>
          <t>SÄFFLE</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38011-2025</t>
        </is>
      </c>
      <c r="B10630" s="1" t="n">
        <v>45882.30717592593</v>
      </c>
      <c r="C10630" s="1" t="n">
        <v>45932</v>
      </c>
      <c r="D10630" t="inlineStr">
        <is>
          <t>VÄRMLANDS LÄN</t>
        </is>
      </c>
      <c r="E10630" t="inlineStr">
        <is>
          <t>SUNNE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18082-2024</t>
        </is>
      </c>
      <c r="B10631" s="1" t="n">
        <v>45420.44766203704</v>
      </c>
      <c r="C10631" s="1" t="n">
        <v>45932</v>
      </c>
      <c r="D10631" t="inlineStr">
        <is>
          <t>VÄRMLANDS LÄN</t>
        </is>
      </c>
      <c r="E10631" t="inlineStr">
        <is>
          <t>ARVIKA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65849-2021</t>
        </is>
      </c>
      <c r="B10632" s="1" t="n">
        <v>44517</v>
      </c>
      <c r="C10632" s="1" t="n">
        <v>45932</v>
      </c>
      <c r="D10632" t="inlineStr">
        <is>
          <t>VÄRMLANDS LÄN</t>
        </is>
      </c>
      <c r="E10632" t="inlineStr">
        <is>
          <t>ÅRJÄNG</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38468-2025</t>
        </is>
      </c>
      <c r="B10633" s="1" t="n">
        <v>45883</v>
      </c>
      <c r="C10633" s="1" t="n">
        <v>45932</v>
      </c>
      <c r="D10633" t="inlineStr">
        <is>
          <t>VÄRMLANDS LÄN</t>
        </is>
      </c>
      <c r="E10633" t="inlineStr">
        <is>
          <t>ARVIKA</t>
        </is>
      </c>
      <c r="G10633" t="n">
        <v>10.1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11581-2025</t>
        </is>
      </c>
      <c r="B10634" s="1" t="n">
        <v>45727</v>
      </c>
      <c r="C10634" s="1" t="n">
        <v>45932</v>
      </c>
      <c r="D10634" t="inlineStr">
        <is>
          <t>VÄRMLANDS LÄN</t>
        </is>
      </c>
      <c r="E10634" t="inlineStr">
        <is>
          <t>TORSBY</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11601-2025</t>
        </is>
      </c>
      <c r="B10635" s="1" t="n">
        <v>45727</v>
      </c>
      <c r="C10635" s="1" t="n">
        <v>45932</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37742-2023</t>
        </is>
      </c>
      <c r="B10636" s="1" t="n">
        <v>45159.62949074074</v>
      </c>
      <c r="C10636" s="1" t="n">
        <v>45932</v>
      </c>
      <c r="D10636" t="inlineStr">
        <is>
          <t>VÄRMLANDS LÄN</t>
        </is>
      </c>
      <c r="E10636" t="inlineStr">
        <is>
          <t>KRISTINEHAMN</t>
        </is>
      </c>
      <c r="F10636" t="inlineStr">
        <is>
          <t>Sveaskog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56697-2022</t>
        </is>
      </c>
      <c r="B10637" s="1" t="n">
        <v>44888</v>
      </c>
      <c r="C10637" s="1" t="n">
        <v>45932</v>
      </c>
      <c r="D10637" t="inlineStr">
        <is>
          <t>VÄRMLANDS LÄN</t>
        </is>
      </c>
      <c r="E10637" t="inlineStr">
        <is>
          <t>KRISTINEHAMN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23073-2023</t>
        </is>
      </c>
      <c r="B10638" s="1" t="n">
        <v>45070</v>
      </c>
      <c r="C10638" s="1" t="n">
        <v>45932</v>
      </c>
      <c r="D10638" t="inlineStr">
        <is>
          <t>VÄRMLANDS LÄN</t>
        </is>
      </c>
      <c r="E10638" t="inlineStr">
        <is>
          <t>TORSBY</t>
        </is>
      </c>
      <c r="G10638" t="n">
        <v>15.1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59938-2024</t>
        </is>
      </c>
      <c r="B10639" s="1" t="n">
        <v>45642.32818287037</v>
      </c>
      <c r="C10639" s="1" t="n">
        <v>45932</v>
      </c>
      <c r="D10639" t="inlineStr">
        <is>
          <t>VÄRMLANDS LÄN</t>
        </is>
      </c>
      <c r="E10639" t="inlineStr">
        <is>
          <t>KIL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63080-2023</t>
        </is>
      </c>
      <c r="B10640" s="1" t="n">
        <v>45273.33925925926</v>
      </c>
      <c r="C10640" s="1" t="n">
        <v>45932</v>
      </c>
      <c r="D10640" t="inlineStr">
        <is>
          <t>VÄRMLANDS LÄN</t>
        </is>
      </c>
      <c r="E10640" t="inlineStr">
        <is>
          <t>SÄFFLE</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63083-2023</t>
        </is>
      </c>
      <c r="B10641" s="1" t="n">
        <v>45273.348125</v>
      </c>
      <c r="C10641" s="1" t="n">
        <v>45932</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14551-2023</t>
        </is>
      </c>
      <c r="B10642" s="1" t="n">
        <v>45013.42649305556</v>
      </c>
      <c r="C10642" s="1" t="n">
        <v>45932</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14564-2023</t>
        </is>
      </c>
      <c r="B10643" s="1" t="n">
        <v>45013</v>
      </c>
      <c r="C10643" s="1" t="n">
        <v>45932</v>
      </c>
      <c r="D10643" t="inlineStr">
        <is>
          <t>VÄRMLANDS LÄN</t>
        </is>
      </c>
      <c r="E10643" t="inlineStr">
        <is>
          <t>SUNNE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56030-2024</t>
        </is>
      </c>
      <c r="B10644" s="1" t="n">
        <v>45624.31178240741</v>
      </c>
      <c r="C10644" s="1" t="n">
        <v>45932</v>
      </c>
      <c r="D10644" t="inlineStr">
        <is>
          <t>VÄRMLANDS LÄN</t>
        </is>
      </c>
      <c r="E10644" t="inlineStr">
        <is>
          <t>ÅRJÄNG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4982-2024</t>
        </is>
      </c>
      <c r="B10645" s="1" t="n">
        <v>45329</v>
      </c>
      <c r="C10645" s="1" t="n">
        <v>45932</v>
      </c>
      <c r="D10645" t="inlineStr">
        <is>
          <t>VÄRMLANDS LÄN</t>
        </is>
      </c>
      <c r="E10645" t="inlineStr">
        <is>
          <t>GRUMS</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38311-2025</t>
        </is>
      </c>
      <c r="B10646" s="1" t="n">
        <v>45883</v>
      </c>
      <c r="C10646" s="1" t="n">
        <v>45932</v>
      </c>
      <c r="D10646" t="inlineStr">
        <is>
          <t>VÄRMLANDS LÄN</t>
        </is>
      </c>
      <c r="E10646" t="inlineStr">
        <is>
          <t>ARVIKA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14432-2025</t>
        </is>
      </c>
      <c r="B10647" s="1" t="n">
        <v>45741.50583333334</v>
      </c>
      <c r="C10647" s="1" t="n">
        <v>45932</v>
      </c>
      <c r="D10647" t="inlineStr">
        <is>
          <t>VÄRMLANDS LÄN</t>
        </is>
      </c>
      <c r="E10647" t="inlineStr">
        <is>
          <t>FILIPSTAD</t>
        </is>
      </c>
      <c r="F10647" t="inlineStr">
        <is>
          <t>Bergvik skog väst AB</t>
        </is>
      </c>
      <c r="G10647" t="n">
        <v>10.4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14434-2025</t>
        </is>
      </c>
      <c r="B10648" s="1" t="n">
        <v>45741</v>
      </c>
      <c r="C10648" s="1" t="n">
        <v>45932</v>
      </c>
      <c r="D10648" t="inlineStr">
        <is>
          <t>VÄRMLANDS LÄN</t>
        </is>
      </c>
      <c r="E10648" t="inlineStr">
        <is>
          <t>ÅRJÄNG</t>
        </is>
      </c>
      <c r="F10648" t="inlineStr">
        <is>
          <t>Övriga Aktiebolag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51760-2023</t>
        </is>
      </c>
      <c r="B10649" s="1" t="n">
        <v>45222.69689814815</v>
      </c>
      <c r="C10649" s="1" t="n">
        <v>45932</v>
      </c>
      <c r="D10649" t="inlineStr">
        <is>
          <t>VÄRMLANDS LÄN</t>
        </is>
      </c>
      <c r="E10649" t="inlineStr">
        <is>
          <t>KARLSTAD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292-2024</t>
        </is>
      </c>
      <c r="B10650" s="1" t="n">
        <v>45295.4290625</v>
      </c>
      <c r="C10650" s="1" t="n">
        <v>45932</v>
      </c>
      <c r="D10650" t="inlineStr">
        <is>
          <t>VÄRMLANDS LÄN</t>
        </is>
      </c>
      <c r="E10650" t="inlineStr">
        <is>
          <t>SÄFFLE</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45967-2025</t>
        </is>
      </c>
      <c r="B10651" s="1" t="n">
        <v>45924</v>
      </c>
      <c r="C10651" s="1" t="n">
        <v>45932</v>
      </c>
      <c r="D10651" t="inlineStr">
        <is>
          <t>VÄRMLANDS LÄN</t>
        </is>
      </c>
      <c r="E10651" t="inlineStr">
        <is>
          <t>TORSBY</t>
        </is>
      </c>
      <c r="F10651" t="inlineStr">
        <is>
          <t>Övriga Aktiebolag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13500-2025</t>
        </is>
      </c>
      <c r="B10652" s="1" t="n">
        <v>45736.45195601852</v>
      </c>
      <c r="C10652" s="1" t="n">
        <v>45932</v>
      </c>
      <c r="D10652" t="inlineStr">
        <is>
          <t>VÄRMLANDS LÄN</t>
        </is>
      </c>
      <c r="E10652" t="inlineStr">
        <is>
          <t>EDA</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5221-2024</t>
        </is>
      </c>
      <c r="B10653" s="1" t="n">
        <v>45330</v>
      </c>
      <c r="C10653" s="1" t="n">
        <v>45932</v>
      </c>
      <c r="D10653" t="inlineStr">
        <is>
          <t>VÄRMLANDS LÄN</t>
        </is>
      </c>
      <c r="E10653" t="inlineStr">
        <is>
          <t>SÄFFLE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38292-2025</t>
        </is>
      </c>
      <c r="B10654" s="1" t="n">
        <v>45883</v>
      </c>
      <c r="C10654" s="1" t="n">
        <v>45932</v>
      </c>
      <c r="D10654" t="inlineStr">
        <is>
          <t>VÄRMLANDS LÄN</t>
        </is>
      </c>
      <c r="E10654" t="inlineStr">
        <is>
          <t>EDA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32408-2022</t>
        </is>
      </c>
      <c r="B10655" s="1" t="n">
        <v>44782</v>
      </c>
      <c r="C10655" s="1" t="n">
        <v>45932</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54609-2024</t>
        </is>
      </c>
      <c r="B10656" s="1" t="n">
        <v>45617</v>
      </c>
      <c r="C10656" s="1" t="n">
        <v>45932</v>
      </c>
      <c r="D10656" t="inlineStr">
        <is>
          <t>VÄRMLANDS LÄN</t>
        </is>
      </c>
      <c r="E10656" t="inlineStr">
        <is>
          <t>TORSBY</t>
        </is>
      </c>
      <c r="F10656" t="inlineStr">
        <is>
          <t>Kommuner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13543-2025</t>
        </is>
      </c>
      <c r="B10657" s="1" t="n">
        <v>45736</v>
      </c>
      <c r="C10657" s="1" t="n">
        <v>45932</v>
      </c>
      <c r="D10657" t="inlineStr">
        <is>
          <t>VÄRMLANDS LÄN</t>
        </is>
      </c>
      <c r="E10657" t="inlineStr">
        <is>
          <t>KARLSTAD</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12175-2024</t>
        </is>
      </c>
      <c r="B10658" s="1" t="n">
        <v>45377</v>
      </c>
      <c r="C10658" s="1" t="n">
        <v>45932</v>
      </c>
      <c r="D10658" t="inlineStr">
        <is>
          <t>VÄRMLANDS LÄN</t>
        </is>
      </c>
      <c r="E10658" t="inlineStr">
        <is>
          <t>GRUMS</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53956-2024</t>
        </is>
      </c>
      <c r="B10659" s="1" t="n">
        <v>45616</v>
      </c>
      <c r="C10659" s="1" t="n">
        <v>45932</v>
      </c>
      <c r="D10659" t="inlineStr">
        <is>
          <t>VÄRMLANDS LÄN</t>
        </is>
      </c>
      <c r="E10659" t="inlineStr">
        <is>
          <t>KIL</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53964-2024</t>
        </is>
      </c>
      <c r="B10660" s="1" t="n">
        <v>45616.31475694444</v>
      </c>
      <c r="C10660" s="1" t="n">
        <v>45932</v>
      </c>
      <c r="D10660" t="inlineStr">
        <is>
          <t>VÄRMLANDS LÄN</t>
        </is>
      </c>
      <c r="E10660" t="inlineStr">
        <is>
          <t>ARVIKA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53965-2024</t>
        </is>
      </c>
      <c r="B10661" s="1" t="n">
        <v>45616.31659722222</v>
      </c>
      <c r="C10661" s="1" t="n">
        <v>45932</v>
      </c>
      <c r="D10661" t="inlineStr">
        <is>
          <t>VÄRMLANDS LÄN</t>
        </is>
      </c>
      <c r="E10661" t="inlineStr">
        <is>
          <t>EDA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21145-2022</t>
        </is>
      </c>
      <c r="B10662" s="1" t="n">
        <v>44704</v>
      </c>
      <c r="C10662" s="1" t="n">
        <v>45932</v>
      </c>
      <c r="D10662" t="inlineStr">
        <is>
          <t>VÄRMLANDS LÄN</t>
        </is>
      </c>
      <c r="E10662" t="inlineStr">
        <is>
          <t>ÅRJÄNG</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54004-2024</t>
        </is>
      </c>
      <c r="B10663" s="1" t="n">
        <v>45616.36659722222</v>
      </c>
      <c r="C10663" s="1" t="n">
        <v>45932</v>
      </c>
      <c r="D10663" t="inlineStr">
        <is>
          <t>VÄRMLANDS LÄN</t>
        </is>
      </c>
      <c r="E10663" t="inlineStr">
        <is>
          <t>TORSBY</t>
        </is>
      </c>
      <c r="F10663" t="inlineStr">
        <is>
          <t>Kommuner</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20674-2023</t>
        </is>
      </c>
      <c r="B10664" s="1" t="n">
        <v>45058</v>
      </c>
      <c r="C10664" s="1" t="n">
        <v>45932</v>
      </c>
      <c r="D10664" t="inlineStr">
        <is>
          <t>VÄRMLANDS LÄN</t>
        </is>
      </c>
      <c r="E10664" t="inlineStr">
        <is>
          <t>ÅRJÄNG</t>
        </is>
      </c>
      <c r="G10664" t="n">
        <v>11.1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46280-2025</t>
        </is>
      </c>
      <c r="B10665" s="1" t="n">
        <v>45925.37614583333</v>
      </c>
      <c r="C10665" s="1" t="n">
        <v>45932</v>
      </c>
      <c r="D10665" t="inlineStr">
        <is>
          <t>VÄRMLANDS LÄN</t>
        </is>
      </c>
      <c r="E10665" t="inlineStr">
        <is>
          <t>HAGFORS</t>
        </is>
      </c>
      <c r="F10665" t="inlineStr">
        <is>
          <t>Bergvik skog väst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53305-2023</t>
        </is>
      </c>
      <c r="B10666" s="1" t="n">
        <v>45229</v>
      </c>
      <c r="C10666" s="1" t="n">
        <v>45932</v>
      </c>
      <c r="D10666" t="inlineStr">
        <is>
          <t>VÄRMLANDS LÄN</t>
        </is>
      </c>
      <c r="E10666" t="inlineStr">
        <is>
          <t>KARLSTAD</t>
        </is>
      </c>
      <c r="F10666" t="inlineStr">
        <is>
          <t>Övriga Aktiebolag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11965-2025</t>
        </is>
      </c>
      <c r="B10667" s="1" t="n">
        <v>45728</v>
      </c>
      <c r="C10667" s="1" t="n">
        <v>45932</v>
      </c>
      <c r="D10667" t="inlineStr">
        <is>
          <t>VÄRMLANDS LÄN</t>
        </is>
      </c>
      <c r="E10667" t="inlineStr">
        <is>
          <t>SÄFFLE</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11999-2025</t>
        </is>
      </c>
      <c r="B10668" s="1" t="n">
        <v>45728</v>
      </c>
      <c r="C10668" s="1" t="n">
        <v>45932</v>
      </c>
      <c r="D10668" t="inlineStr">
        <is>
          <t>VÄRMLANDS LÄN</t>
        </is>
      </c>
      <c r="E10668" t="inlineStr">
        <is>
          <t>KRISTINEHAMN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8789-2023</t>
        </is>
      </c>
      <c r="B10669" s="1" t="n">
        <v>44978</v>
      </c>
      <c r="C10669" s="1" t="n">
        <v>45932</v>
      </c>
      <c r="D10669" t="inlineStr">
        <is>
          <t>VÄRMLANDS LÄN</t>
        </is>
      </c>
      <c r="E10669" t="inlineStr">
        <is>
          <t>ARVIKA</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20931-2021</t>
        </is>
      </c>
      <c r="B10670" s="1" t="n">
        <v>44319</v>
      </c>
      <c r="C10670" s="1" t="n">
        <v>45932</v>
      </c>
      <c r="D10670" t="inlineStr">
        <is>
          <t>VÄRMLANDS LÄN</t>
        </is>
      </c>
      <c r="E10670" t="inlineStr">
        <is>
          <t>SÄFFLE</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31621-2022</t>
        </is>
      </c>
      <c r="B10671" s="1" t="n">
        <v>44775</v>
      </c>
      <c r="C10671" s="1" t="n">
        <v>45932</v>
      </c>
      <c r="D10671" t="inlineStr">
        <is>
          <t>VÄRMLANDS LÄN</t>
        </is>
      </c>
      <c r="E10671" t="inlineStr">
        <is>
          <t>KIL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2551-2025</t>
        </is>
      </c>
      <c r="B10672" s="1" t="n">
        <v>45674.63969907408</v>
      </c>
      <c r="C10672" s="1" t="n">
        <v>45932</v>
      </c>
      <c r="D10672" t="inlineStr">
        <is>
          <t>VÄRMLANDS LÄN</t>
        </is>
      </c>
      <c r="E10672" t="inlineStr">
        <is>
          <t>ÅRJÄNG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16731-2024</t>
        </is>
      </c>
      <c r="B10673" s="1" t="n">
        <v>45410.73828703703</v>
      </c>
      <c r="C10673" s="1" t="n">
        <v>45932</v>
      </c>
      <c r="D10673" t="inlineStr">
        <is>
          <t>VÄRMLANDS LÄN</t>
        </is>
      </c>
      <c r="E10673" t="inlineStr">
        <is>
          <t>ARVIKA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16739-2024</t>
        </is>
      </c>
      <c r="B10674" s="1" t="n">
        <v>45410.86518518518</v>
      </c>
      <c r="C10674" s="1" t="n">
        <v>45932</v>
      </c>
      <c r="D10674" t="inlineStr">
        <is>
          <t>VÄRMLANDS LÄN</t>
        </is>
      </c>
      <c r="E10674" t="inlineStr">
        <is>
          <t>ARVIKA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16757-2024</t>
        </is>
      </c>
      <c r="B10675" s="1" t="n">
        <v>45411</v>
      </c>
      <c r="C10675" s="1" t="n">
        <v>45932</v>
      </c>
      <c r="D10675" t="inlineStr">
        <is>
          <t>VÄRMLANDS LÄN</t>
        </is>
      </c>
      <c r="E10675" t="inlineStr">
        <is>
          <t>KARLSTAD</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38056-2025</t>
        </is>
      </c>
      <c r="B10676" s="1" t="n">
        <v>45882</v>
      </c>
      <c r="C10676" s="1" t="n">
        <v>45932</v>
      </c>
      <c r="D10676" t="inlineStr">
        <is>
          <t>VÄRMLANDS LÄN</t>
        </is>
      </c>
      <c r="E10676" t="inlineStr">
        <is>
          <t>TORSBY</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31678-2022</t>
        </is>
      </c>
      <c r="B10677" s="1" t="n">
        <v>44776</v>
      </c>
      <c r="C10677" s="1" t="n">
        <v>45932</v>
      </c>
      <c r="D10677" t="inlineStr">
        <is>
          <t>VÄRMLANDS LÄN</t>
        </is>
      </c>
      <c r="E10677" t="inlineStr">
        <is>
          <t>EDA</t>
        </is>
      </c>
      <c r="F10677" t="inlineStr">
        <is>
          <t>Kommuner</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44421-2023</t>
        </is>
      </c>
      <c r="B10678" s="1" t="n">
        <v>45189.32615740741</v>
      </c>
      <c r="C10678" s="1" t="n">
        <v>45932</v>
      </c>
      <c r="D10678" t="inlineStr">
        <is>
          <t>VÄRMLANDS LÄN</t>
        </is>
      </c>
      <c r="E10678" t="inlineStr">
        <is>
          <t>SUNNE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45776-2025</t>
        </is>
      </c>
      <c r="B10679" s="1" t="n">
        <v>45923</v>
      </c>
      <c r="C10679" s="1" t="n">
        <v>45932</v>
      </c>
      <c r="D10679" t="inlineStr">
        <is>
          <t>VÄRMLANDS LÄN</t>
        </is>
      </c>
      <c r="E10679" t="inlineStr">
        <is>
          <t>KIL</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44422-2023</t>
        </is>
      </c>
      <c r="B10680" s="1" t="n">
        <v>45189.32945601852</v>
      </c>
      <c r="C10680" s="1" t="n">
        <v>45932</v>
      </c>
      <c r="D10680" t="inlineStr">
        <is>
          <t>VÄRMLANDS LÄN</t>
        </is>
      </c>
      <c r="E10680" t="inlineStr">
        <is>
          <t>SUNNE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19683-2025</t>
        </is>
      </c>
      <c r="B10681" s="1" t="n">
        <v>45770.86015046296</v>
      </c>
      <c r="C10681" s="1" t="n">
        <v>45932</v>
      </c>
      <c r="D10681" t="inlineStr">
        <is>
          <t>VÄRMLANDS LÄN</t>
        </is>
      </c>
      <c r="E10681" t="inlineStr">
        <is>
          <t>ARVIKA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38013-2025</t>
        </is>
      </c>
      <c r="B10682" s="1" t="n">
        <v>45882</v>
      </c>
      <c r="C10682" s="1" t="n">
        <v>45932</v>
      </c>
      <c r="D10682" t="inlineStr">
        <is>
          <t>VÄRMLANDS LÄN</t>
        </is>
      </c>
      <c r="E10682" t="inlineStr">
        <is>
          <t>EDA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38014-2025</t>
        </is>
      </c>
      <c r="B10683" s="1" t="n">
        <v>45882</v>
      </c>
      <c r="C10683" s="1" t="n">
        <v>45932</v>
      </c>
      <c r="D10683" t="inlineStr">
        <is>
          <t>VÄRMLANDS LÄN</t>
        </is>
      </c>
      <c r="E10683" t="inlineStr">
        <is>
          <t>EDA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41534-2023</t>
        </is>
      </c>
      <c r="B10684" s="1" t="n">
        <v>45175</v>
      </c>
      <c r="C10684" s="1" t="n">
        <v>45932</v>
      </c>
      <c r="D10684" t="inlineStr">
        <is>
          <t>VÄRMLANDS LÄN</t>
        </is>
      </c>
      <c r="E10684" t="inlineStr">
        <is>
          <t>KARLSTAD</t>
        </is>
      </c>
      <c r="F10684" t="inlineStr">
        <is>
          <t>Övriga Aktiebolag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33862-2024</t>
        </is>
      </c>
      <c r="B10685" s="1" t="n">
        <v>45520.69163194444</v>
      </c>
      <c r="C10685" s="1" t="n">
        <v>45932</v>
      </c>
      <c r="D10685" t="inlineStr">
        <is>
          <t>VÄRMLANDS LÄN</t>
        </is>
      </c>
      <c r="E10685" t="inlineStr">
        <is>
          <t>TORSBY</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5127-2025</t>
        </is>
      </c>
      <c r="B10686" s="1" t="n">
        <v>45691.56623842593</v>
      </c>
      <c r="C10686" s="1" t="n">
        <v>45932</v>
      </c>
      <c r="D10686" t="inlineStr">
        <is>
          <t>VÄRMLANDS LÄN</t>
        </is>
      </c>
      <c r="E10686" t="inlineStr">
        <is>
          <t>ÅRJÄNG</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46282-2025</t>
        </is>
      </c>
      <c r="B10687" s="1" t="n">
        <v>45925.37945601852</v>
      </c>
      <c r="C10687" s="1" t="n">
        <v>45932</v>
      </c>
      <c r="D10687" t="inlineStr">
        <is>
          <t>VÄRMLANDS LÄN</t>
        </is>
      </c>
      <c r="E10687" t="inlineStr">
        <is>
          <t>FILIPSTAD</t>
        </is>
      </c>
      <c r="F10687" t="inlineStr">
        <is>
          <t>Bergvik skog väst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46293-2025</t>
        </is>
      </c>
      <c r="B10688" s="1" t="n">
        <v>45925.39297453704</v>
      </c>
      <c r="C10688" s="1" t="n">
        <v>45932</v>
      </c>
      <c r="D10688" t="inlineStr">
        <is>
          <t>VÄRMLANDS LÄN</t>
        </is>
      </c>
      <c r="E10688" t="inlineStr">
        <is>
          <t>TORSBY</t>
        </is>
      </c>
      <c r="G10688" t="n">
        <v>24.3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47292-2021</t>
        </is>
      </c>
      <c r="B10689" s="1" t="n">
        <v>44439</v>
      </c>
      <c r="C10689" s="1" t="n">
        <v>45932</v>
      </c>
      <c r="D10689" t="inlineStr">
        <is>
          <t>VÄRMLANDS LÄN</t>
        </is>
      </c>
      <c r="E10689" t="inlineStr">
        <is>
          <t>SÄFFLE</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28650-2024</t>
        </is>
      </c>
      <c r="B10690" s="1" t="n">
        <v>45478</v>
      </c>
      <c r="C10690" s="1" t="n">
        <v>45932</v>
      </c>
      <c r="D10690" t="inlineStr">
        <is>
          <t>VÄRMLANDS LÄN</t>
        </is>
      </c>
      <c r="E10690" t="inlineStr">
        <is>
          <t>SUNNE</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22721-2022</t>
        </is>
      </c>
      <c r="B10691" s="1" t="n">
        <v>44714.6340625</v>
      </c>
      <c r="C10691" s="1" t="n">
        <v>45932</v>
      </c>
      <c r="D10691" t="inlineStr">
        <is>
          <t>VÄRMLANDS LÄN</t>
        </is>
      </c>
      <c r="E10691" t="inlineStr">
        <is>
          <t>EDA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10145-2023</t>
        </is>
      </c>
      <c r="B10692" s="1" t="n">
        <v>44986</v>
      </c>
      <c r="C10692" s="1" t="n">
        <v>45932</v>
      </c>
      <c r="D10692" t="inlineStr">
        <is>
          <t>VÄRMLANDS LÄN</t>
        </is>
      </c>
      <c r="E10692" t="inlineStr">
        <is>
          <t>EDA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28115-2025</t>
        </is>
      </c>
      <c r="B10693" s="1" t="n">
        <v>45818</v>
      </c>
      <c r="C10693" s="1" t="n">
        <v>45932</v>
      </c>
      <c r="D10693" t="inlineStr">
        <is>
          <t>VÄRMLANDS LÄN</t>
        </is>
      </c>
      <c r="E10693" t="inlineStr">
        <is>
          <t>ÅRJÄNG</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27185-2025</t>
        </is>
      </c>
      <c r="B10694" s="1" t="n">
        <v>45812</v>
      </c>
      <c r="C10694" s="1" t="n">
        <v>45932</v>
      </c>
      <c r="D10694" t="inlineStr">
        <is>
          <t>VÄRMLANDS LÄN</t>
        </is>
      </c>
      <c r="E10694" t="inlineStr">
        <is>
          <t>HAGFORS</t>
        </is>
      </c>
      <c r="F10694" t="inlineStr">
        <is>
          <t>Bergvik skog väst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19877-2025</t>
        </is>
      </c>
      <c r="B10695" s="1" t="n">
        <v>45771.55351851852</v>
      </c>
      <c r="C10695" s="1" t="n">
        <v>45932</v>
      </c>
      <c r="D10695" t="inlineStr">
        <is>
          <t>VÄRMLANDS LÄN</t>
        </is>
      </c>
      <c r="E10695" t="inlineStr">
        <is>
          <t>ÅRJÄNG</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4993-2024</t>
        </is>
      </c>
      <c r="B10696" s="1" t="n">
        <v>45329</v>
      </c>
      <c r="C10696" s="1" t="n">
        <v>45932</v>
      </c>
      <c r="D10696" t="inlineStr">
        <is>
          <t>VÄRMLANDS LÄN</t>
        </is>
      </c>
      <c r="E10696" t="inlineStr">
        <is>
          <t>ARVIKA</t>
        </is>
      </c>
      <c r="F10696" t="inlineStr">
        <is>
          <t>Bergvik skog väst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28004-2025</t>
        </is>
      </c>
      <c r="B10697" s="1" t="n">
        <v>45817</v>
      </c>
      <c r="C10697" s="1" t="n">
        <v>45932</v>
      </c>
      <c r="D10697" t="inlineStr">
        <is>
          <t>VÄRMLANDS LÄN</t>
        </is>
      </c>
      <c r="E10697" t="inlineStr">
        <is>
          <t>SÄFFLE</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61311-2023</t>
        </is>
      </c>
      <c r="B10698" s="1" t="n">
        <v>45264</v>
      </c>
      <c r="C10698" s="1" t="n">
        <v>45932</v>
      </c>
      <c r="D10698" t="inlineStr">
        <is>
          <t>VÄRMLANDS LÄN</t>
        </is>
      </c>
      <c r="E10698" t="inlineStr">
        <is>
          <t>HAGFORS</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15878-2025</t>
        </is>
      </c>
      <c r="B10699" s="1" t="n">
        <v>45749.38857638889</v>
      </c>
      <c r="C10699" s="1" t="n">
        <v>45932</v>
      </c>
      <c r="D10699" t="inlineStr">
        <is>
          <t>VÄRMLANDS LÄN</t>
        </is>
      </c>
      <c r="E10699" t="inlineStr">
        <is>
          <t>ARVIKA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15949-2025</t>
        </is>
      </c>
      <c r="B10700" s="1" t="n">
        <v>45749</v>
      </c>
      <c r="C10700" s="1" t="n">
        <v>45932</v>
      </c>
      <c r="D10700" t="inlineStr">
        <is>
          <t>VÄRMLANDS LÄN</t>
        </is>
      </c>
      <c r="E10700" t="inlineStr">
        <is>
          <t>ÅRJÄNG</t>
        </is>
      </c>
      <c r="F10700" t="inlineStr">
        <is>
          <t>Bergvik skog väst AB</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67933-2021</t>
        </is>
      </c>
      <c r="B10701" s="1" t="n">
        <v>44525</v>
      </c>
      <c r="C10701" s="1" t="n">
        <v>45932</v>
      </c>
      <c r="D10701" t="inlineStr">
        <is>
          <t>VÄRMLANDS LÄN</t>
        </is>
      </c>
      <c r="E10701" t="inlineStr">
        <is>
          <t>TORSBY</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61315-2023</t>
        </is>
      </c>
      <c r="B10702" s="1" t="n">
        <v>45264</v>
      </c>
      <c r="C10702" s="1" t="n">
        <v>45932</v>
      </c>
      <c r="D10702" t="inlineStr">
        <is>
          <t>VÄRMLANDS LÄN</t>
        </is>
      </c>
      <c r="E10702" t="inlineStr">
        <is>
          <t>HAGFORS</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13001-2025</t>
        </is>
      </c>
      <c r="B10703" s="1" t="n">
        <v>45734.49777777777</v>
      </c>
      <c r="C10703" s="1" t="n">
        <v>45932</v>
      </c>
      <c r="D10703" t="inlineStr">
        <is>
          <t>VÄRMLANDS LÄN</t>
        </is>
      </c>
      <c r="E10703" t="inlineStr">
        <is>
          <t>ÅRJÄNG</t>
        </is>
      </c>
      <c r="G10703" t="n">
        <v>15.8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13002-2025</t>
        </is>
      </c>
      <c r="B10704" s="1" t="n">
        <v>45734.50288194444</v>
      </c>
      <c r="C10704" s="1" t="n">
        <v>45932</v>
      </c>
      <c r="D10704" t="inlineStr">
        <is>
          <t>VÄRMLANDS LÄN</t>
        </is>
      </c>
      <c r="E10704" t="inlineStr">
        <is>
          <t>ÅRJÄNG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15997-2025</t>
        </is>
      </c>
      <c r="B10705" s="1" t="n">
        <v>45749</v>
      </c>
      <c r="C10705" s="1" t="n">
        <v>45932</v>
      </c>
      <c r="D10705" t="inlineStr">
        <is>
          <t>VÄRMLANDS LÄN</t>
        </is>
      </c>
      <c r="E10705" t="inlineStr">
        <is>
          <t>STORFORS</t>
        </is>
      </c>
      <c r="F10705" t="inlineStr">
        <is>
          <t>Bergvik skog väst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16007-2025</t>
        </is>
      </c>
      <c r="B10706" s="1" t="n">
        <v>45749</v>
      </c>
      <c r="C10706" s="1" t="n">
        <v>45932</v>
      </c>
      <c r="D10706" t="inlineStr">
        <is>
          <t>VÄRMLANDS LÄN</t>
        </is>
      </c>
      <c r="E10706" t="inlineStr">
        <is>
          <t>SUNNE</t>
        </is>
      </c>
      <c r="F10706" t="inlineStr">
        <is>
          <t>Bergvik skog väst AB</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15574-2025</t>
        </is>
      </c>
      <c r="B10707" s="1" t="n">
        <v>45747</v>
      </c>
      <c r="C10707" s="1" t="n">
        <v>45932</v>
      </c>
      <c r="D10707" t="inlineStr">
        <is>
          <t>VÄRMLANDS LÄN</t>
        </is>
      </c>
      <c r="E10707" t="inlineStr">
        <is>
          <t>ÅRJÄNG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37494-2025</t>
        </is>
      </c>
      <c r="B10708" s="1" t="n">
        <v>45877</v>
      </c>
      <c r="C10708" s="1" t="n">
        <v>45932</v>
      </c>
      <c r="D10708" t="inlineStr">
        <is>
          <t>VÄRMLANDS LÄN</t>
        </is>
      </c>
      <c r="E10708" t="inlineStr">
        <is>
          <t>SÄFFLE</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1409-2025</t>
        </is>
      </c>
      <c r="B10709" s="1" t="n">
        <v>45667</v>
      </c>
      <c r="C10709" s="1" t="n">
        <v>45932</v>
      </c>
      <c r="D10709" t="inlineStr">
        <is>
          <t>VÄRMLANDS LÄN</t>
        </is>
      </c>
      <c r="E10709" t="inlineStr">
        <is>
          <t>FORSHAGA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6194-2021</t>
        </is>
      </c>
      <c r="B10710" s="1" t="n">
        <v>44234</v>
      </c>
      <c r="C10710" s="1" t="n">
        <v>45932</v>
      </c>
      <c r="D10710" t="inlineStr">
        <is>
          <t>VÄRMLANDS LÄN</t>
        </is>
      </c>
      <c r="E10710" t="inlineStr">
        <is>
          <t>KRISTINEHAMN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61527-2022</t>
        </is>
      </c>
      <c r="B10711" s="1" t="n">
        <v>44916</v>
      </c>
      <c r="C10711" s="1" t="n">
        <v>45932</v>
      </c>
      <c r="D10711" t="inlineStr">
        <is>
          <t>VÄRMLANDS LÄN</t>
        </is>
      </c>
      <c r="E10711" t="inlineStr">
        <is>
          <t>EDA</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57536-2024</t>
        </is>
      </c>
      <c r="B10712" s="1" t="n">
        <v>45630.43023148148</v>
      </c>
      <c r="C10712" s="1" t="n">
        <v>45932</v>
      </c>
      <c r="D10712" t="inlineStr">
        <is>
          <t>VÄRMLANDS LÄN</t>
        </is>
      </c>
      <c r="E10712" t="inlineStr">
        <is>
          <t>TORSBY</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38315-2025</t>
        </is>
      </c>
      <c r="B10713" s="1" t="n">
        <v>45883.47824074074</v>
      </c>
      <c r="C10713" s="1" t="n">
        <v>45932</v>
      </c>
      <c r="D10713" t="inlineStr">
        <is>
          <t>VÄRMLANDS LÄN</t>
        </is>
      </c>
      <c r="E10713" t="inlineStr">
        <is>
          <t>TORSBY</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20182-2021</t>
        </is>
      </c>
      <c r="B10714" s="1" t="n">
        <v>44312</v>
      </c>
      <c r="C10714" s="1" t="n">
        <v>45932</v>
      </c>
      <c r="D10714" t="inlineStr">
        <is>
          <t>VÄRMLANDS LÄN</t>
        </is>
      </c>
      <c r="E10714" t="inlineStr">
        <is>
          <t>TORSBY</t>
        </is>
      </c>
      <c r="G10714" t="n">
        <v>14.4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36794-2021</t>
        </is>
      </c>
      <c r="B10715" s="1" t="n">
        <v>44392</v>
      </c>
      <c r="C10715" s="1" t="n">
        <v>45932</v>
      </c>
      <c r="D10715" t="inlineStr">
        <is>
          <t>VÄRMLANDS LÄN</t>
        </is>
      </c>
      <c r="E10715" t="inlineStr">
        <is>
          <t>SÄFFLE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2885-2025</t>
        </is>
      </c>
      <c r="B10716" s="1" t="n">
        <v>45677.70292824074</v>
      </c>
      <c r="C10716" s="1" t="n">
        <v>45932</v>
      </c>
      <c r="D10716" t="inlineStr">
        <is>
          <t>VÄRMLANDS LÄN</t>
        </is>
      </c>
      <c r="E10716" t="inlineStr">
        <is>
          <t>SÄFFLE</t>
        </is>
      </c>
      <c r="G10716" t="n">
        <v>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12087-2022</t>
        </is>
      </c>
      <c r="B10717" s="1" t="n">
        <v>44636</v>
      </c>
      <c r="C10717" s="1" t="n">
        <v>45932</v>
      </c>
      <c r="D10717" t="inlineStr">
        <is>
          <t>VÄRMLANDS LÄN</t>
        </is>
      </c>
      <c r="E10717" t="inlineStr">
        <is>
          <t>EDA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20663-2024</t>
        </is>
      </c>
      <c r="B10718" s="1" t="n">
        <v>45436</v>
      </c>
      <c r="C10718" s="1" t="n">
        <v>45932</v>
      </c>
      <c r="D10718" t="inlineStr">
        <is>
          <t>VÄRMLANDS LÄN</t>
        </is>
      </c>
      <c r="E10718" t="inlineStr">
        <is>
          <t>FILIPSTAD</t>
        </is>
      </c>
      <c r="F10718" t="inlineStr">
        <is>
          <t>Bergvik skog väst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12113-2022</t>
        </is>
      </c>
      <c r="B10719" s="1" t="n">
        <v>44636</v>
      </c>
      <c r="C10719" s="1" t="n">
        <v>45932</v>
      </c>
      <c r="D10719" t="inlineStr">
        <is>
          <t>VÄRMLANDS LÄN</t>
        </is>
      </c>
      <c r="E10719" t="inlineStr">
        <is>
          <t>EDA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12114-2022</t>
        </is>
      </c>
      <c r="B10720" s="1" t="n">
        <v>44636.56490740741</v>
      </c>
      <c r="C10720" s="1" t="n">
        <v>45932</v>
      </c>
      <c r="D10720" t="inlineStr">
        <is>
          <t>VÄRMLANDS LÄN</t>
        </is>
      </c>
      <c r="E10720" t="inlineStr">
        <is>
          <t>MUNKFORS</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26086-2024</t>
        </is>
      </c>
      <c r="B10721" s="1" t="n">
        <v>45468</v>
      </c>
      <c r="C10721" s="1" t="n">
        <v>45932</v>
      </c>
      <c r="D10721" t="inlineStr">
        <is>
          <t>VÄRMLANDS LÄN</t>
        </is>
      </c>
      <c r="E10721" t="inlineStr">
        <is>
          <t>TORSBY</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22536-2024</t>
        </is>
      </c>
      <c r="B10722" s="1" t="n">
        <v>45447</v>
      </c>
      <c r="C10722" s="1" t="n">
        <v>45932</v>
      </c>
      <c r="D10722" t="inlineStr">
        <is>
          <t>VÄRMLANDS LÄN</t>
        </is>
      </c>
      <c r="E10722" t="inlineStr">
        <is>
          <t>TORSBY</t>
        </is>
      </c>
      <c r="G10722" t="n">
        <v>25.2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34164-2024</t>
        </is>
      </c>
      <c r="B10723" s="1" t="n">
        <v>45524.41924768518</v>
      </c>
      <c r="C10723" s="1" t="n">
        <v>45932</v>
      </c>
      <c r="D10723" t="inlineStr">
        <is>
          <t>VÄRMLANDS LÄN</t>
        </is>
      </c>
      <c r="E10723" t="inlineStr">
        <is>
          <t>TORSBY</t>
        </is>
      </c>
      <c r="F10723" t="inlineStr">
        <is>
          <t>Bergvik skog väst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4404-2025</t>
        </is>
      </c>
      <c r="B10724" s="1" t="n">
        <v>45686</v>
      </c>
      <c r="C10724" s="1" t="n">
        <v>45932</v>
      </c>
      <c r="D10724" t="inlineStr">
        <is>
          <t>VÄRMLANDS LÄN</t>
        </is>
      </c>
      <c r="E10724" t="inlineStr">
        <is>
          <t>ÅRJÄNG</t>
        </is>
      </c>
      <c r="F10724" t="inlineStr">
        <is>
          <t>Kyrkan</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45966-2025</t>
        </is>
      </c>
      <c r="B10725" s="1" t="n">
        <v>45924</v>
      </c>
      <c r="C10725" s="1" t="n">
        <v>45932</v>
      </c>
      <c r="D10725" t="inlineStr">
        <is>
          <t>VÄRMLANDS LÄN</t>
        </is>
      </c>
      <c r="E10725" t="inlineStr">
        <is>
          <t>TORSBY</t>
        </is>
      </c>
      <c r="F10725" t="inlineStr">
        <is>
          <t>Övriga Aktiebolag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43522-2023</t>
        </is>
      </c>
      <c r="B10726" s="1" t="n">
        <v>45184.50127314815</v>
      </c>
      <c r="C10726" s="1" t="n">
        <v>45932</v>
      </c>
      <c r="D10726" t="inlineStr">
        <is>
          <t>VÄRMLANDS LÄN</t>
        </is>
      </c>
      <c r="E10726" t="inlineStr">
        <is>
          <t>EDA</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43524-2023</t>
        </is>
      </c>
      <c r="B10727" s="1" t="n">
        <v>45184.50607638889</v>
      </c>
      <c r="C10727" s="1" t="n">
        <v>45932</v>
      </c>
      <c r="D10727" t="inlineStr">
        <is>
          <t>VÄRMLANDS LÄN</t>
        </is>
      </c>
      <c r="E10727" t="inlineStr">
        <is>
          <t>EDA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54339-2022</t>
        </is>
      </c>
      <c r="B10728" s="1" t="n">
        <v>44882</v>
      </c>
      <c r="C10728" s="1" t="n">
        <v>45932</v>
      </c>
      <c r="D10728" t="inlineStr">
        <is>
          <t>VÄRMLANDS LÄN</t>
        </is>
      </c>
      <c r="E10728" t="inlineStr">
        <is>
          <t>SUNNE</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23707-2022</t>
        </is>
      </c>
      <c r="B10729" s="1" t="n">
        <v>44722</v>
      </c>
      <c r="C10729" s="1" t="n">
        <v>45932</v>
      </c>
      <c r="D10729" t="inlineStr">
        <is>
          <t>VÄRMLANDS LÄN</t>
        </is>
      </c>
      <c r="E10729" t="inlineStr">
        <is>
          <t>KRISTINEHAMN</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19865-2025</t>
        </is>
      </c>
      <c r="B10730" s="1" t="n">
        <v>45771</v>
      </c>
      <c r="C10730" s="1" t="n">
        <v>45932</v>
      </c>
      <c r="D10730" t="inlineStr">
        <is>
          <t>VÄRMLANDS LÄN</t>
        </is>
      </c>
      <c r="E10730" t="inlineStr">
        <is>
          <t>SÄFFLE</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38075-2025</t>
        </is>
      </c>
      <c r="B10731" s="1" t="n">
        <v>45882</v>
      </c>
      <c r="C10731" s="1" t="n">
        <v>45932</v>
      </c>
      <c r="D10731" t="inlineStr">
        <is>
          <t>VÄRMLANDS LÄN</t>
        </is>
      </c>
      <c r="E10731" t="inlineStr">
        <is>
          <t>FILIPSTAD</t>
        </is>
      </c>
      <c r="F10731" t="inlineStr">
        <is>
          <t>Bergvik skog väst AB</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38076-2025</t>
        </is>
      </c>
      <c r="B10732" s="1" t="n">
        <v>45882</v>
      </c>
      <c r="C10732" s="1" t="n">
        <v>45932</v>
      </c>
      <c r="D10732" t="inlineStr">
        <is>
          <t>VÄRMLANDS LÄN</t>
        </is>
      </c>
      <c r="E10732" t="inlineStr">
        <is>
          <t>FILIPSTAD</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17795-2024</t>
        </is>
      </c>
      <c r="B10733" s="1" t="n">
        <v>45418</v>
      </c>
      <c r="C10733" s="1" t="n">
        <v>45932</v>
      </c>
      <c r="D10733" t="inlineStr">
        <is>
          <t>VÄRMLANDS LÄN</t>
        </is>
      </c>
      <c r="E10733" t="inlineStr">
        <is>
          <t>FILIPSTAD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18907-2025</t>
        </is>
      </c>
      <c r="B10734" s="1" t="n">
        <v>45764</v>
      </c>
      <c r="C10734" s="1" t="n">
        <v>45932</v>
      </c>
      <c r="D10734" t="inlineStr">
        <is>
          <t>VÄRMLANDS LÄN</t>
        </is>
      </c>
      <c r="E10734" t="inlineStr">
        <is>
          <t>HAGFORS</t>
        </is>
      </c>
      <c r="F10734" t="inlineStr">
        <is>
          <t>Bergvik skog väst AB</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46310-2025</t>
        </is>
      </c>
      <c r="B10735" s="1" t="n">
        <v>45925</v>
      </c>
      <c r="C10735" s="1" t="n">
        <v>45932</v>
      </c>
      <c r="D10735" t="inlineStr">
        <is>
          <t>VÄRMLANDS LÄN</t>
        </is>
      </c>
      <c r="E10735" t="inlineStr">
        <is>
          <t>FILIPSTAD</t>
        </is>
      </c>
      <c r="F10735" t="inlineStr">
        <is>
          <t>Bergvik skog väst AB</t>
        </is>
      </c>
      <c r="G10735" t="n">
        <v>32.2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17364-2025</t>
        </is>
      </c>
      <c r="B10736" s="1" t="n">
        <v>45756</v>
      </c>
      <c r="C10736" s="1" t="n">
        <v>45932</v>
      </c>
      <c r="D10736" t="inlineStr">
        <is>
          <t>VÄRMLANDS LÄN</t>
        </is>
      </c>
      <c r="E10736" t="inlineStr">
        <is>
          <t>EDA</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46326-2025</t>
        </is>
      </c>
      <c r="B10737" s="1" t="n">
        <v>45925.45237268518</v>
      </c>
      <c r="C10737" s="1" t="n">
        <v>45932</v>
      </c>
      <c r="D10737" t="inlineStr">
        <is>
          <t>VÄRMLANDS LÄN</t>
        </is>
      </c>
      <c r="E10737" t="inlineStr">
        <is>
          <t>TORSBY</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4219-2024</t>
        </is>
      </c>
      <c r="B10738" s="1" t="n">
        <v>45324</v>
      </c>
      <c r="C10738" s="1" t="n">
        <v>45932</v>
      </c>
      <c r="D10738" t="inlineStr">
        <is>
          <t>VÄRMLANDS LÄN</t>
        </is>
      </c>
      <c r="E10738" t="inlineStr">
        <is>
          <t>TORSBY</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4754-2024</t>
        </is>
      </c>
      <c r="B10739" s="1" t="n">
        <v>45328</v>
      </c>
      <c r="C10739" s="1" t="n">
        <v>45932</v>
      </c>
      <c r="D10739" t="inlineStr">
        <is>
          <t>VÄRMLANDS LÄN</t>
        </is>
      </c>
      <c r="E10739" t="inlineStr">
        <is>
          <t>ARVIKA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13155-2024</t>
        </is>
      </c>
      <c r="B10740" s="1" t="n">
        <v>45386</v>
      </c>
      <c r="C10740" s="1" t="n">
        <v>45932</v>
      </c>
      <c r="D10740" t="inlineStr">
        <is>
          <t>VÄRMLANDS LÄN</t>
        </is>
      </c>
      <c r="E10740" t="inlineStr">
        <is>
          <t>ÅRJÄNG</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4796-2024</t>
        </is>
      </c>
      <c r="B10741" s="1" t="n">
        <v>45328</v>
      </c>
      <c r="C10741" s="1" t="n">
        <v>45932</v>
      </c>
      <c r="D10741" t="inlineStr">
        <is>
          <t>VÄRMLANDS LÄN</t>
        </is>
      </c>
      <c r="E10741" t="inlineStr">
        <is>
          <t>KRISTINEHAMN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46150-2025</t>
        </is>
      </c>
      <c r="B10742" s="1" t="n">
        <v>45924.61424768518</v>
      </c>
      <c r="C10742" s="1" t="n">
        <v>45932</v>
      </c>
      <c r="D10742" t="inlineStr">
        <is>
          <t>VÄRMLANDS LÄN</t>
        </is>
      </c>
      <c r="E10742" t="inlineStr">
        <is>
          <t>SÄFFLE</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13262-2024</t>
        </is>
      </c>
      <c r="B10743" s="1" t="n">
        <v>45386.59236111111</v>
      </c>
      <c r="C10743" s="1" t="n">
        <v>45932</v>
      </c>
      <c r="D10743" t="inlineStr">
        <is>
          <t>VÄRMLANDS LÄN</t>
        </is>
      </c>
      <c r="E10743" t="inlineStr">
        <is>
          <t>TORSBY</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11687-2025</t>
        </is>
      </c>
      <c r="B10744" s="1" t="n">
        <v>45726</v>
      </c>
      <c r="C10744" s="1" t="n">
        <v>45932</v>
      </c>
      <c r="D10744" t="inlineStr">
        <is>
          <t>VÄRMLANDS LÄN</t>
        </is>
      </c>
      <c r="E10744" t="inlineStr">
        <is>
          <t>SUNNE</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43668-2025</t>
        </is>
      </c>
      <c r="B10745" s="1" t="n">
        <v>45912</v>
      </c>
      <c r="C10745" s="1" t="n">
        <v>45932</v>
      </c>
      <c r="D10745" t="inlineStr">
        <is>
          <t>VÄRMLANDS LÄN</t>
        </is>
      </c>
      <c r="E10745" t="inlineStr">
        <is>
          <t>SÄFFLE</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40987-2024</t>
        </is>
      </c>
      <c r="B10746" s="1" t="n">
        <v>45558</v>
      </c>
      <c r="C10746" s="1" t="n">
        <v>45932</v>
      </c>
      <c r="D10746" t="inlineStr">
        <is>
          <t>VÄRMLANDS LÄN</t>
        </is>
      </c>
      <c r="E10746" t="inlineStr">
        <is>
          <t>TORSBY</t>
        </is>
      </c>
      <c r="G10746" t="n">
        <v>11.6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3223-2025</t>
        </is>
      </c>
      <c r="B10747" s="1" t="n">
        <v>45679</v>
      </c>
      <c r="C10747" s="1" t="n">
        <v>45932</v>
      </c>
      <c r="D10747" t="inlineStr">
        <is>
          <t>VÄRMLANDS LÄN</t>
        </is>
      </c>
      <c r="E10747" t="inlineStr">
        <is>
          <t>TORSBY</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3226-2025</t>
        </is>
      </c>
      <c r="B10748" s="1" t="n">
        <v>45679.48003472222</v>
      </c>
      <c r="C10748" s="1" t="n">
        <v>45932</v>
      </c>
      <c r="D10748" t="inlineStr">
        <is>
          <t>VÄRMLANDS LÄN</t>
        </is>
      </c>
      <c r="E10748" t="inlineStr">
        <is>
          <t>TORSBY</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52994-2021</t>
        </is>
      </c>
      <c r="B10749" s="1" t="n">
        <v>44467</v>
      </c>
      <c r="C10749" s="1" t="n">
        <v>45932</v>
      </c>
      <c r="D10749" t="inlineStr">
        <is>
          <t>VÄRMLANDS LÄN</t>
        </is>
      </c>
      <c r="E10749" t="inlineStr">
        <is>
          <t>SUNNE</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19144-2025</t>
        </is>
      </c>
      <c r="B10750" s="1" t="n">
        <v>45769.33960648148</v>
      </c>
      <c r="C10750" s="1" t="n">
        <v>45932</v>
      </c>
      <c r="D10750" t="inlineStr">
        <is>
          <t>VÄRMLANDS LÄN</t>
        </is>
      </c>
      <c r="E10750" t="inlineStr">
        <is>
          <t>SUNNE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52577-2020</t>
        </is>
      </c>
      <c r="B10751" s="1" t="n">
        <v>44118</v>
      </c>
      <c r="C10751" s="1" t="n">
        <v>45932</v>
      </c>
      <c r="D10751" t="inlineStr">
        <is>
          <t>VÄRMLANDS LÄN</t>
        </is>
      </c>
      <c r="E10751" t="inlineStr">
        <is>
          <t>KRISTINEHAMN</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38289-2025</t>
        </is>
      </c>
      <c r="B10752" s="1" t="n">
        <v>45883.43831018519</v>
      </c>
      <c r="C10752" s="1" t="n">
        <v>45932</v>
      </c>
      <c r="D10752" t="inlineStr">
        <is>
          <t>VÄRMLANDS LÄN</t>
        </is>
      </c>
      <c r="E10752" t="inlineStr">
        <is>
          <t>SUNNE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38140-2025</t>
        </is>
      </c>
      <c r="B10753" s="1" t="n">
        <v>45882.5735300926</v>
      </c>
      <c r="C10753" s="1" t="n">
        <v>45932</v>
      </c>
      <c r="D10753" t="inlineStr">
        <is>
          <t>VÄRMLANDS LÄN</t>
        </is>
      </c>
      <c r="E10753" t="inlineStr">
        <is>
          <t>ARVIKA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62574-2022</t>
        </is>
      </c>
      <c r="B10754" s="1" t="n">
        <v>44924.85943287037</v>
      </c>
      <c r="C10754" s="1" t="n">
        <v>45932</v>
      </c>
      <c r="D10754" t="inlineStr">
        <is>
          <t>VÄRMLANDS LÄN</t>
        </is>
      </c>
      <c r="E10754" t="inlineStr">
        <is>
          <t>TORSBY</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7053-2023</t>
        </is>
      </c>
      <c r="B10755" s="1" t="n">
        <v>44969</v>
      </c>
      <c r="C10755" s="1" t="n">
        <v>45932</v>
      </c>
      <c r="D10755" t="inlineStr">
        <is>
          <t>VÄRMLANDS LÄN</t>
        </is>
      </c>
      <c r="E10755" t="inlineStr">
        <is>
          <t>SUNNE</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60133-2023</t>
        </is>
      </c>
      <c r="B10756" s="1" t="n">
        <v>45258</v>
      </c>
      <c r="C10756" s="1" t="n">
        <v>45932</v>
      </c>
      <c r="D10756" t="inlineStr">
        <is>
          <t>VÄRMLANDS LÄN</t>
        </is>
      </c>
      <c r="E10756" t="inlineStr">
        <is>
          <t>TORSBY</t>
        </is>
      </c>
      <c r="F10756" t="inlineStr">
        <is>
          <t>Bergvik skog väst AB</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19137-2022</t>
        </is>
      </c>
      <c r="B10757" s="1" t="n">
        <v>44691.61575231481</v>
      </c>
      <c r="C10757" s="1" t="n">
        <v>45932</v>
      </c>
      <c r="D10757" t="inlineStr">
        <is>
          <t>VÄRMLANDS LÄN</t>
        </is>
      </c>
      <c r="E10757" t="inlineStr">
        <is>
          <t>ARVIKA</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4763-2023</t>
        </is>
      </c>
      <c r="B10758" s="1" t="n">
        <v>44957.57651620371</v>
      </c>
      <c r="C10758" s="1" t="n">
        <v>45932</v>
      </c>
      <c r="D10758" t="inlineStr">
        <is>
          <t>VÄRMLANDS LÄN</t>
        </is>
      </c>
      <c r="E10758" t="inlineStr">
        <is>
          <t>ÅRJÄNG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62164-2023</t>
        </is>
      </c>
      <c r="B10759" s="1" t="n">
        <v>45267</v>
      </c>
      <c r="C10759" s="1" t="n">
        <v>45932</v>
      </c>
      <c r="D10759" t="inlineStr">
        <is>
          <t>VÄRMLANDS LÄN</t>
        </is>
      </c>
      <c r="E10759" t="inlineStr">
        <is>
          <t>SUNNE</t>
        </is>
      </c>
      <c r="F10759" t="inlineStr">
        <is>
          <t>Kommuner</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38164-2025</t>
        </is>
      </c>
      <c r="B10760" s="1" t="n">
        <v>45882.6293287037</v>
      </c>
      <c r="C10760" s="1" t="n">
        <v>45932</v>
      </c>
      <c r="D10760" t="inlineStr">
        <is>
          <t>VÄRMLANDS LÄN</t>
        </is>
      </c>
      <c r="E10760" t="inlineStr">
        <is>
          <t>HAGFORS</t>
        </is>
      </c>
      <c r="F10760" t="inlineStr">
        <is>
          <t>Bergvik skog väst AB</t>
        </is>
      </c>
      <c r="G10760" t="n">
        <v>10.7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18106-2023</t>
        </is>
      </c>
      <c r="B10761" s="1" t="n">
        <v>45040</v>
      </c>
      <c r="C10761" s="1" t="n">
        <v>45932</v>
      </c>
      <c r="D10761" t="inlineStr">
        <is>
          <t>VÄRMLANDS LÄN</t>
        </is>
      </c>
      <c r="E10761" t="inlineStr">
        <is>
          <t>SÄFFLE</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38397-2025</t>
        </is>
      </c>
      <c r="B10762" s="1" t="n">
        <v>45883</v>
      </c>
      <c r="C10762" s="1" t="n">
        <v>45932</v>
      </c>
      <c r="D10762" t="inlineStr">
        <is>
          <t>VÄRMLANDS LÄN</t>
        </is>
      </c>
      <c r="E10762" t="inlineStr">
        <is>
          <t>TORSBY</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46371-2025</t>
        </is>
      </c>
      <c r="B10763" s="1" t="n">
        <v>45925.50539351852</v>
      </c>
      <c r="C10763" s="1" t="n">
        <v>45932</v>
      </c>
      <c r="D10763" t="inlineStr">
        <is>
          <t>VÄRMLANDS LÄN</t>
        </is>
      </c>
      <c r="E10763" t="inlineStr">
        <is>
          <t>HAGFORS</t>
        </is>
      </c>
      <c r="F10763" t="inlineStr">
        <is>
          <t>Bergvik skog väst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38448-2025</t>
        </is>
      </c>
      <c r="B10764" s="1" t="n">
        <v>45883.66013888889</v>
      </c>
      <c r="C10764" s="1" t="n">
        <v>45932</v>
      </c>
      <c r="D10764" t="inlineStr">
        <is>
          <t>VÄRMLANDS LÄN</t>
        </is>
      </c>
      <c r="E10764" t="inlineStr">
        <is>
          <t>SÄFFLE</t>
        </is>
      </c>
      <c r="F10764" t="inlineStr">
        <is>
          <t>Kyrkan</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62904-2023</t>
        </is>
      </c>
      <c r="B10765" s="1" t="n">
        <v>45272</v>
      </c>
      <c r="C10765" s="1" t="n">
        <v>45932</v>
      </c>
      <c r="D10765" t="inlineStr">
        <is>
          <t>VÄRMLANDS LÄN</t>
        </is>
      </c>
      <c r="E10765" t="inlineStr">
        <is>
          <t>SUNNE</t>
        </is>
      </c>
      <c r="F10765" t="inlineStr">
        <is>
          <t>Kommuner</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7133-2023</t>
        </is>
      </c>
      <c r="B10766" s="1" t="n">
        <v>44970.43622685185</v>
      </c>
      <c r="C10766" s="1" t="n">
        <v>45932</v>
      </c>
      <c r="D10766" t="inlineStr">
        <is>
          <t>VÄRMLANDS LÄN</t>
        </is>
      </c>
      <c r="E10766" t="inlineStr">
        <is>
          <t>TORSBY</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62947-2023</t>
        </is>
      </c>
      <c r="B10767" s="1" t="n">
        <v>45272.54398148148</v>
      </c>
      <c r="C10767" s="1" t="n">
        <v>45932</v>
      </c>
      <c r="D10767" t="inlineStr">
        <is>
          <t>VÄRMLANDS LÄN</t>
        </is>
      </c>
      <c r="E10767" t="inlineStr">
        <is>
          <t>GRUMS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51895-2024</t>
        </is>
      </c>
      <c r="B10768" s="1" t="n">
        <v>45607</v>
      </c>
      <c r="C10768" s="1" t="n">
        <v>45932</v>
      </c>
      <c r="D10768" t="inlineStr">
        <is>
          <t>VÄRMLANDS LÄN</t>
        </is>
      </c>
      <c r="E10768" t="inlineStr">
        <is>
          <t>KARLSTAD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8892-2025</t>
        </is>
      </c>
      <c r="B10769" s="1" t="n">
        <v>45713</v>
      </c>
      <c r="C10769" s="1" t="n">
        <v>45932</v>
      </c>
      <c r="D10769" t="inlineStr">
        <is>
          <t>VÄRMLANDS LÄN</t>
        </is>
      </c>
      <c r="E10769" t="inlineStr">
        <is>
          <t>KARLSTAD</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61609-2023</t>
        </is>
      </c>
      <c r="B10770" s="1" t="n">
        <v>45265</v>
      </c>
      <c r="C10770" s="1" t="n">
        <v>45932</v>
      </c>
      <c r="D10770" t="inlineStr">
        <is>
          <t>VÄRMLANDS LÄN</t>
        </is>
      </c>
      <c r="E10770" t="inlineStr">
        <is>
          <t>SUNNE</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12395-2024</t>
        </is>
      </c>
      <c r="B10771" s="1" t="n">
        <v>45379</v>
      </c>
      <c r="C10771" s="1" t="n">
        <v>45932</v>
      </c>
      <c r="D10771" t="inlineStr">
        <is>
          <t>VÄRMLANDS LÄN</t>
        </is>
      </c>
      <c r="E10771" t="inlineStr">
        <is>
          <t>KRISTINEHAMN</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12399-2024</t>
        </is>
      </c>
      <c r="B10772" s="1" t="n">
        <v>45379</v>
      </c>
      <c r="C10772" s="1" t="n">
        <v>45932</v>
      </c>
      <c r="D10772" t="inlineStr">
        <is>
          <t>VÄRMLANDS LÄN</t>
        </is>
      </c>
      <c r="E10772" t="inlineStr">
        <is>
          <t>KARLSTAD</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32343-2024</t>
        </is>
      </c>
      <c r="B10773" s="1" t="n">
        <v>45512.520625</v>
      </c>
      <c r="C10773" s="1" t="n">
        <v>45932</v>
      </c>
      <c r="D10773" t="inlineStr">
        <is>
          <t>VÄRMLANDS LÄN</t>
        </is>
      </c>
      <c r="E10773" t="inlineStr">
        <is>
          <t>TORSBY</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14314-2024</t>
        </is>
      </c>
      <c r="B10774" s="1" t="n">
        <v>45393.67927083333</v>
      </c>
      <c r="C10774" s="1" t="n">
        <v>45932</v>
      </c>
      <c r="D10774" t="inlineStr">
        <is>
          <t>VÄRMLANDS LÄN</t>
        </is>
      </c>
      <c r="E10774" t="inlineStr">
        <is>
          <t>SÄFFLE</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56769-2024</t>
        </is>
      </c>
      <c r="B10775" s="1" t="n">
        <v>45628.41550925926</v>
      </c>
      <c r="C10775" s="1" t="n">
        <v>45932</v>
      </c>
      <c r="D10775" t="inlineStr">
        <is>
          <t>VÄRMLANDS LÄN</t>
        </is>
      </c>
      <c r="E10775" t="inlineStr">
        <is>
          <t>ÅRJÄNG</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56776-2024</t>
        </is>
      </c>
      <c r="B10776" s="1" t="n">
        <v>45628.43709490741</v>
      </c>
      <c r="C10776" s="1" t="n">
        <v>45932</v>
      </c>
      <c r="D10776" t="inlineStr">
        <is>
          <t>VÄRMLANDS LÄN</t>
        </is>
      </c>
      <c r="E10776" t="inlineStr">
        <is>
          <t>MUNKFORS</t>
        </is>
      </c>
      <c r="F10776" t="inlineStr">
        <is>
          <t>Bergvik skog väst AB</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38002-2025</t>
        </is>
      </c>
      <c r="B10777" s="1" t="n">
        <v>45881.89586805556</v>
      </c>
      <c r="C10777" s="1" t="n">
        <v>45932</v>
      </c>
      <c r="D10777" t="inlineStr">
        <is>
          <t>VÄRMLANDS LÄN</t>
        </is>
      </c>
      <c r="E10777" t="inlineStr">
        <is>
          <t>GRUMS</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15575-2025</t>
        </is>
      </c>
      <c r="B10778" s="1" t="n">
        <v>45747</v>
      </c>
      <c r="C10778" s="1" t="n">
        <v>45932</v>
      </c>
      <c r="D10778" t="inlineStr">
        <is>
          <t>VÄRMLANDS LÄN</t>
        </is>
      </c>
      <c r="E10778" t="inlineStr">
        <is>
          <t>ÅRJÄNG</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15577-2025</t>
        </is>
      </c>
      <c r="B10779" s="1" t="n">
        <v>45747</v>
      </c>
      <c r="C10779" s="1" t="n">
        <v>45932</v>
      </c>
      <c r="D10779" t="inlineStr">
        <is>
          <t>VÄRMLANDS LÄN</t>
        </is>
      </c>
      <c r="E10779" t="inlineStr">
        <is>
          <t>ÅRJÄNG</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10379-2022</t>
        </is>
      </c>
      <c r="B10780" s="1" t="n">
        <v>44623</v>
      </c>
      <c r="C10780" s="1" t="n">
        <v>45932</v>
      </c>
      <c r="D10780" t="inlineStr">
        <is>
          <t>VÄRMLANDS LÄN</t>
        </is>
      </c>
      <c r="E10780" t="inlineStr">
        <is>
          <t>SÄFFLE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45099-2025</t>
        </is>
      </c>
      <c r="B10781" s="1" t="n">
        <v>45919</v>
      </c>
      <c r="C10781" s="1" t="n">
        <v>45932</v>
      </c>
      <c r="D10781" t="inlineStr">
        <is>
          <t>VÄRMLANDS LÄN</t>
        </is>
      </c>
      <c r="E10781" t="inlineStr">
        <is>
          <t>ÅRJÄNG</t>
        </is>
      </c>
      <c r="F10781" t="inlineStr">
        <is>
          <t>Övriga Aktiebolag</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37832-2025</t>
        </is>
      </c>
      <c r="B10782" s="1" t="n">
        <v>45881.42045138889</v>
      </c>
      <c r="C10782" s="1" t="n">
        <v>45932</v>
      </c>
      <c r="D10782" t="inlineStr">
        <is>
          <t>VÄRMLANDS LÄN</t>
        </is>
      </c>
      <c r="E10782" t="inlineStr">
        <is>
          <t>SUNNE</t>
        </is>
      </c>
      <c r="F10782" t="inlineStr">
        <is>
          <t>Bergvik skog väst AB</t>
        </is>
      </c>
      <c r="G10782" t="n">
        <v>15.7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53353-2024</t>
        </is>
      </c>
      <c r="B10783" s="1" t="n">
        <v>45614.45392361111</v>
      </c>
      <c r="C10783" s="1" t="n">
        <v>45932</v>
      </c>
      <c r="D10783" t="inlineStr">
        <is>
          <t>VÄRMLANDS LÄN</t>
        </is>
      </c>
      <c r="E10783" t="inlineStr">
        <is>
          <t>STORFORS</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39027-2024</t>
        </is>
      </c>
      <c r="B10784" s="1" t="n">
        <v>45548</v>
      </c>
      <c r="C10784" s="1" t="n">
        <v>45932</v>
      </c>
      <c r="D10784" t="inlineStr">
        <is>
          <t>VÄRMLANDS LÄN</t>
        </is>
      </c>
      <c r="E10784" t="inlineStr">
        <is>
          <t>ÅRJÄNG</t>
        </is>
      </c>
      <c r="F10784" t="inlineStr">
        <is>
          <t>Kyrkan</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38175-2025</t>
        </is>
      </c>
      <c r="B10785" s="1" t="n">
        <v>45882</v>
      </c>
      <c r="C10785" s="1" t="n">
        <v>45932</v>
      </c>
      <c r="D10785" t="inlineStr">
        <is>
          <t>VÄRMLANDS LÄN</t>
        </is>
      </c>
      <c r="E10785" t="inlineStr">
        <is>
          <t>FILIPSTAD</t>
        </is>
      </c>
      <c r="F10785" t="inlineStr">
        <is>
          <t>Bergvik skog väst AB</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39028-2024</t>
        </is>
      </c>
      <c r="B10786" s="1" t="n">
        <v>45548.46097222222</v>
      </c>
      <c r="C10786" s="1" t="n">
        <v>45932</v>
      </c>
      <c r="D10786" t="inlineStr">
        <is>
          <t>VÄRMLANDS LÄN</t>
        </is>
      </c>
      <c r="E10786" t="inlineStr">
        <is>
          <t>SUNNE</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38249-2025</t>
        </is>
      </c>
      <c r="B10787" s="1" t="n">
        <v>45883</v>
      </c>
      <c r="C10787" s="1" t="n">
        <v>45932</v>
      </c>
      <c r="D10787" t="inlineStr">
        <is>
          <t>VÄRMLANDS LÄN</t>
        </is>
      </c>
      <c r="E10787" t="inlineStr">
        <is>
          <t>TORSBY</t>
        </is>
      </c>
      <c r="F10787" t="inlineStr">
        <is>
          <t>Bergvik skog väst AB</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36018-2024</t>
        </is>
      </c>
      <c r="B10788" s="1" t="n">
        <v>45533</v>
      </c>
      <c r="C10788" s="1" t="n">
        <v>45932</v>
      </c>
      <c r="D10788" t="inlineStr">
        <is>
          <t>VÄRMLANDS LÄN</t>
        </is>
      </c>
      <c r="E10788" t="inlineStr">
        <is>
          <t>ÅRJÄNG</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52149-2021</t>
        </is>
      </c>
      <c r="B10789" s="1" t="n">
        <v>44463</v>
      </c>
      <c r="C10789" s="1" t="n">
        <v>45932</v>
      </c>
      <c r="D10789" t="inlineStr">
        <is>
          <t>VÄRMLANDS LÄN</t>
        </is>
      </c>
      <c r="E10789" t="inlineStr">
        <is>
          <t>SUNNE</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36035-2024</t>
        </is>
      </c>
      <c r="B10790" s="1" t="n">
        <v>45533.59534722222</v>
      </c>
      <c r="C10790" s="1" t="n">
        <v>45932</v>
      </c>
      <c r="D10790" t="inlineStr">
        <is>
          <t>VÄRMLANDS LÄN</t>
        </is>
      </c>
      <c r="E10790" t="inlineStr">
        <is>
          <t>ÅRJÄNG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42230-2024</t>
        </is>
      </c>
      <c r="B10791" s="1" t="n">
        <v>45562</v>
      </c>
      <c r="C10791" s="1" t="n">
        <v>45932</v>
      </c>
      <c r="D10791" t="inlineStr">
        <is>
          <t>VÄRMLANDS LÄN</t>
        </is>
      </c>
      <c r="E10791" t="inlineStr">
        <is>
          <t>ÅRJÄNG</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62610-2022</t>
        </is>
      </c>
      <c r="B10792" s="1" t="n">
        <v>44917</v>
      </c>
      <c r="C10792" s="1" t="n">
        <v>45932</v>
      </c>
      <c r="D10792" t="inlineStr">
        <is>
          <t>VÄRMLANDS LÄN</t>
        </is>
      </c>
      <c r="E10792" t="inlineStr">
        <is>
          <t>ARVIKA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62619-2022</t>
        </is>
      </c>
      <c r="B10793" s="1" t="n">
        <v>44917</v>
      </c>
      <c r="C10793" s="1" t="n">
        <v>45932</v>
      </c>
      <c r="D10793" t="inlineStr">
        <is>
          <t>VÄRMLANDS LÄN</t>
        </is>
      </c>
      <c r="E10793" t="inlineStr">
        <is>
          <t>ARVIKA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42235-2024</t>
        </is>
      </c>
      <c r="B10794" s="1" t="n">
        <v>45562</v>
      </c>
      <c r="C10794" s="1" t="n">
        <v>45932</v>
      </c>
      <c r="D10794" t="inlineStr">
        <is>
          <t>VÄRMLANDS LÄN</t>
        </is>
      </c>
      <c r="E10794" t="inlineStr">
        <is>
          <t>HAGFORS</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31930-2024</t>
        </is>
      </c>
      <c r="B10795" s="1" t="n">
        <v>45510</v>
      </c>
      <c r="C10795" s="1" t="n">
        <v>45932</v>
      </c>
      <c r="D10795" t="inlineStr">
        <is>
          <t>VÄRMLANDS LÄN</t>
        </is>
      </c>
      <c r="E10795" t="inlineStr">
        <is>
          <t>GRUMS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31830-2024</t>
        </is>
      </c>
      <c r="B10796" s="1" t="n">
        <v>45509</v>
      </c>
      <c r="C10796" s="1" t="n">
        <v>45932</v>
      </c>
      <c r="D10796" t="inlineStr">
        <is>
          <t>VÄRMLANDS LÄN</t>
        </is>
      </c>
      <c r="E10796" t="inlineStr">
        <is>
          <t>TORSBY</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15172-2022</t>
        </is>
      </c>
      <c r="B10797" s="1" t="n">
        <v>44658</v>
      </c>
      <c r="C10797" s="1" t="n">
        <v>45932</v>
      </c>
      <c r="D10797" t="inlineStr">
        <is>
          <t>VÄRMLANDS LÄN</t>
        </is>
      </c>
      <c r="E10797" t="inlineStr">
        <is>
          <t>SUNNE</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15327-2022</t>
        </is>
      </c>
      <c r="B10798" s="1" t="n">
        <v>44659</v>
      </c>
      <c r="C10798" s="1" t="n">
        <v>45932</v>
      </c>
      <c r="D10798" t="inlineStr">
        <is>
          <t>VÄRMLANDS LÄN</t>
        </is>
      </c>
      <c r="E10798" t="inlineStr">
        <is>
          <t>ÅRJÄNG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14841-2022</t>
        </is>
      </c>
      <c r="B10799" s="1" t="n">
        <v>44656</v>
      </c>
      <c r="C10799" s="1" t="n">
        <v>45932</v>
      </c>
      <c r="D10799" t="inlineStr">
        <is>
          <t>VÄRMLANDS LÄN</t>
        </is>
      </c>
      <c r="E10799" t="inlineStr">
        <is>
          <t>SUNNE</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32823-2023</t>
        </is>
      </c>
      <c r="B10800" s="1" t="n">
        <v>45109</v>
      </c>
      <c r="C10800" s="1" t="n">
        <v>45932</v>
      </c>
      <c r="D10800" t="inlineStr">
        <is>
          <t>VÄRMLANDS LÄN</t>
        </is>
      </c>
      <c r="E10800" t="inlineStr">
        <is>
          <t>ARVIKA</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57393-2022</t>
        </is>
      </c>
      <c r="B10801" s="1" t="n">
        <v>44896.47630787037</v>
      </c>
      <c r="C10801" s="1" t="n">
        <v>45932</v>
      </c>
      <c r="D10801" t="inlineStr">
        <is>
          <t>VÄRMLANDS LÄN</t>
        </is>
      </c>
      <c r="E10801" t="inlineStr">
        <is>
          <t>TORSBY</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25206-2021</t>
        </is>
      </c>
      <c r="B10802" s="1" t="n">
        <v>44342.36737268518</v>
      </c>
      <c r="C10802" s="1" t="n">
        <v>45932</v>
      </c>
      <c r="D10802" t="inlineStr">
        <is>
          <t>VÄRMLANDS LÄN</t>
        </is>
      </c>
      <c r="E10802" t="inlineStr">
        <is>
          <t>KRISTINEHAMN</t>
        </is>
      </c>
      <c r="F10802" t="inlineStr">
        <is>
          <t>Sveaskog</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25207-2021</t>
        </is>
      </c>
      <c r="B10803" s="1" t="n">
        <v>44342.36854166666</v>
      </c>
      <c r="C10803" s="1" t="n">
        <v>45932</v>
      </c>
      <c r="D10803" t="inlineStr">
        <is>
          <t>VÄRMLANDS LÄN</t>
        </is>
      </c>
      <c r="E10803" t="inlineStr">
        <is>
          <t>KRISTINEHAMN</t>
        </is>
      </c>
      <c r="F10803" t="inlineStr">
        <is>
          <t>Sveaskog</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33525-2022</t>
        </is>
      </c>
      <c r="B10804" s="1" t="n">
        <v>44789.31077546296</v>
      </c>
      <c r="C10804" s="1" t="n">
        <v>45932</v>
      </c>
      <c r="D10804" t="inlineStr">
        <is>
          <t>VÄRMLANDS LÄN</t>
        </is>
      </c>
      <c r="E10804" t="inlineStr">
        <is>
          <t>ÅRJÄNG</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19850-2025</t>
        </is>
      </c>
      <c r="B10805" s="1" t="n">
        <v>45771</v>
      </c>
      <c r="C10805" s="1" t="n">
        <v>45932</v>
      </c>
      <c r="D10805" t="inlineStr">
        <is>
          <t>VÄRMLANDS LÄN</t>
        </is>
      </c>
      <c r="E10805" t="inlineStr">
        <is>
          <t>ÅRJÄNG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49604-2023</t>
        </is>
      </c>
      <c r="B10806" s="1" t="n">
        <v>45207</v>
      </c>
      <c r="C10806" s="1" t="n">
        <v>45932</v>
      </c>
      <c r="D10806" t="inlineStr">
        <is>
          <t>VÄRMLANDS LÄN</t>
        </is>
      </c>
      <c r="E10806" t="inlineStr">
        <is>
          <t>KIL</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62258-2023</t>
        </is>
      </c>
      <c r="B10807" s="1" t="n">
        <v>45266</v>
      </c>
      <c r="C10807" s="1" t="n">
        <v>45932</v>
      </c>
      <c r="D10807" t="inlineStr">
        <is>
          <t>VÄRMLANDS LÄN</t>
        </is>
      </c>
      <c r="E10807" t="inlineStr">
        <is>
          <t>TORSBY</t>
        </is>
      </c>
      <c r="G10807" t="n">
        <v>7.8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45955-2025</t>
        </is>
      </c>
      <c r="B10808" s="1" t="n">
        <v>45924.34481481482</v>
      </c>
      <c r="C10808" s="1" t="n">
        <v>45932</v>
      </c>
      <c r="D10808" t="inlineStr">
        <is>
          <t>VÄRMLANDS LÄN</t>
        </is>
      </c>
      <c r="E10808" t="inlineStr">
        <is>
          <t>EDA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43102-2025</t>
        </is>
      </c>
      <c r="B10809" s="1" t="n">
        <v>45909</v>
      </c>
      <c r="C10809" s="1" t="n">
        <v>45932</v>
      </c>
      <c r="D10809" t="inlineStr">
        <is>
          <t>VÄRMLANDS LÄN</t>
        </is>
      </c>
      <c r="E10809" t="inlineStr">
        <is>
          <t>EDA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19463-2023</t>
        </is>
      </c>
      <c r="B10810" s="1" t="n">
        <v>45050</v>
      </c>
      <c r="C10810" s="1" t="n">
        <v>45932</v>
      </c>
      <c r="D10810" t="inlineStr">
        <is>
          <t>VÄRMLANDS LÄN</t>
        </is>
      </c>
      <c r="E10810" t="inlineStr">
        <is>
          <t>SUNNE</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59005-2024</t>
        </is>
      </c>
      <c r="B10811" s="1" t="n">
        <v>45636.65234953703</v>
      </c>
      <c r="C10811" s="1" t="n">
        <v>45932</v>
      </c>
      <c r="D10811" t="inlineStr">
        <is>
          <t>VÄRMLANDS LÄN</t>
        </is>
      </c>
      <c r="E10811" t="inlineStr">
        <is>
          <t>TORSBY</t>
        </is>
      </c>
      <c r="G10811" t="n">
        <v>9.6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21580-2024</t>
        </is>
      </c>
      <c r="B10812" s="1" t="n">
        <v>45441</v>
      </c>
      <c r="C10812" s="1" t="n">
        <v>45932</v>
      </c>
      <c r="D10812" t="inlineStr">
        <is>
          <t>VÄRMLANDS LÄN</t>
        </is>
      </c>
      <c r="E10812" t="inlineStr">
        <is>
          <t>TORSBY</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71724-2021</t>
        </is>
      </c>
      <c r="B10813" s="1" t="n">
        <v>44543</v>
      </c>
      <c r="C10813" s="1" t="n">
        <v>45932</v>
      </c>
      <c r="D10813" t="inlineStr">
        <is>
          <t>VÄRMLANDS LÄN</t>
        </is>
      </c>
      <c r="E10813" t="inlineStr">
        <is>
          <t>EDA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8918-2025</t>
        </is>
      </c>
      <c r="B10814" s="1" t="n">
        <v>45713.43067129629</v>
      </c>
      <c r="C10814" s="1" t="n">
        <v>45932</v>
      </c>
      <c r="D10814" t="inlineStr">
        <is>
          <t>VÄRMLANDS LÄN</t>
        </is>
      </c>
      <c r="E10814" t="inlineStr">
        <is>
          <t>ÅRJÄNG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59068-2024</t>
        </is>
      </c>
      <c r="B10815" s="1" t="n">
        <v>45636.95376157408</v>
      </c>
      <c r="C10815" s="1" t="n">
        <v>45932</v>
      </c>
      <c r="D10815" t="inlineStr">
        <is>
          <t>VÄRMLANDS LÄN</t>
        </is>
      </c>
      <c r="E10815" t="inlineStr">
        <is>
          <t>ÅRJÄNG</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41804-2023</t>
        </is>
      </c>
      <c r="B10816" s="1" t="n">
        <v>45176</v>
      </c>
      <c r="C10816" s="1" t="n">
        <v>45932</v>
      </c>
      <c r="D10816" t="inlineStr">
        <is>
          <t>VÄRMLANDS LÄN</t>
        </is>
      </c>
      <c r="E10816" t="inlineStr">
        <is>
          <t>SÄFFLE</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59645-2024</t>
        </is>
      </c>
      <c r="B10817" s="1" t="n">
        <v>45639.32872685185</v>
      </c>
      <c r="C10817" s="1" t="n">
        <v>45932</v>
      </c>
      <c r="D10817" t="inlineStr">
        <is>
          <t>VÄRMLANDS LÄN</t>
        </is>
      </c>
      <c r="E10817" t="inlineStr">
        <is>
          <t>EDA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45948-2025</t>
        </is>
      </c>
      <c r="B10818" s="1" t="n">
        <v>45924.33851851852</v>
      </c>
      <c r="C10818" s="1" t="n">
        <v>45932</v>
      </c>
      <c r="D10818" t="inlineStr">
        <is>
          <t>VÄRMLANDS LÄN</t>
        </is>
      </c>
      <c r="E10818" t="inlineStr">
        <is>
          <t>EDA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17584-2023</t>
        </is>
      </c>
      <c r="B10819" s="1" t="n">
        <v>45036</v>
      </c>
      <c r="C10819" s="1" t="n">
        <v>45932</v>
      </c>
      <c r="D10819" t="inlineStr">
        <is>
          <t>VÄRMLANDS LÄN</t>
        </is>
      </c>
      <c r="E10819" t="inlineStr">
        <is>
          <t>HAGFORS</t>
        </is>
      </c>
      <c r="F10819" t="inlineStr">
        <is>
          <t>Kommuner</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46018-2025</t>
        </is>
      </c>
      <c r="B10820" s="1" t="n">
        <v>45924</v>
      </c>
      <c r="C10820" s="1" t="n">
        <v>45932</v>
      </c>
      <c r="D10820" t="inlineStr">
        <is>
          <t>VÄRMLANDS LÄN</t>
        </is>
      </c>
      <c r="E10820" t="inlineStr">
        <is>
          <t>EDA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31980-2023</t>
        </is>
      </c>
      <c r="B10821" s="1" t="n">
        <v>45119</v>
      </c>
      <c r="C10821" s="1" t="n">
        <v>45932</v>
      </c>
      <c r="D10821" t="inlineStr">
        <is>
          <t>VÄRMLANDS LÄN</t>
        </is>
      </c>
      <c r="E10821" t="inlineStr">
        <is>
          <t>FORSHAGA</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28807-2024</t>
        </is>
      </c>
      <c r="B10822" s="1" t="n">
        <v>45478</v>
      </c>
      <c r="C10822" s="1" t="n">
        <v>45932</v>
      </c>
      <c r="D10822" t="inlineStr">
        <is>
          <t>VÄRMLANDS LÄN</t>
        </is>
      </c>
      <c r="E10822" t="inlineStr">
        <is>
          <t>ARVIKA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41982-2025</t>
        </is>
      </c>
      <c r="B10823" s="1" t="n">
        <v>45903</v>
      </c>
      <c r="C10823" s="1" t="n">
        <v>45932</v>
      </c>
      <c r="D10823" t="inlineStr">
        <is>
          <t>VÄRMLANDS LÄN</t>
        </is>
      </c>
      <c r="E10823" t="inlineStr">
        <is>
          <t>EDA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41984-2025</t>
        </is>
      </c>
      <c r="B10824" s="1" t="n">
        <v>45903</v>
      </c>
      <c r="C10824" s="1" t="n">
        <v>45932</v>
      </c>
      <c r="D10824" t="inlineStr">
        <is>
          <t>VÄRMLANDS LÄN</t>
        </is>
      </c>
      <c r="E10824" t="inlineStr">
        <is>
          <t>EDA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19743-2025</t>
        </is>
      </c>
      <c r="B10825" s="1" t="n">
        <v>45771.37554398148</v>
      </c>
      <c r="C10825" s="1" t="n">
        <v>45932</v>
      </c>
      <c r="D10825" t="inlineStr">
        <is>
          <t>VÄRMLANDS LÄN</t>
        </is>
      </c>
      <c r="E10825" t="inlineStr">
        <is>
          <t>TORSBY</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28834-2024</t>
        </is>
      </c>
      <c r="B10826" s="1" t="n">
        <v>45478</v>
      </c>
      <c r="C10826" s="1" t="n">
        <v>45932</v>
      </c>
      <c r="D10826" t="inlineStr">
        <is>
          <t>VÄRMLANDS LÄN</t>
        </is>
      </c>
      <c r="E10826" t="inlineStr">
        <is>
          <t>KRISTINEHAMN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60440-2022</t>
        </is>
      </c>
      <c r="B10827" s="1" t="n">
        <v>44911</v>
      </c>
      <c r="C10827" s="1" t="n">
        <v>45932</v>
      </c>
      <c r="D10827" t="inlineStr">
        <is>
          <t>VÄRMLANDS LÄN</t>
        </is>
      </c>
      <c r="E10827" t="inlineStr">
        <is>
          <t>EDA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23806-2025</t>
        </is>
      </c>
      <c r="B10828" s="1" t="n">
        <v>45793.56376157407</v>
      </c>
      <c r="C10828" s="1" t="n">
        <v>45932</v>
      </c>
      <c r="D10828" t="inlineStr">
        <is>
          <t>VÄRMLANDS LÄN</t>
        </is>
      </c>
      <c r="E10828" t="inlineStr">
        <is>
          <t>ARVIKA</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46535-2024</t>
        </is>
      </c>
      <c r="B10829" s="1" t="n">
        <v>45582</v>
      </c>
      <c r="C10829" s="1" t="n">
        <v>45932</v>
      </c>
      <c r="D10829" t="inlineStr">
        <is>
          <t>VÄRMLANDS LÄN</t>
        </is>
      </c>
      <c r="E10829" t="inlineStr">
        <is>
          <t>EDA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46438-2025</t>
        </is>
      </c>
      <c r="B10830" s="1" t="n">
        <v>45925.64094907408</v>
      </c>
      <c r="C10830" s="1" t="n">
        <v>45932</v>
      </c>
      <c r="D10830" t="inlineStr">
        <is>
          <t>VÄRMLANDS LÄN</t>
        </is>
      </c>
      <c r="E10830" t="inlineStr">
        <is>
          <t>HAGFORS</t>
        </is>
      </c>
      <c r="F10830" t="inlineStr">
        <is>
          <t>Bergvik skog väst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46442-2025</t>
        </is>
      </c>
      <c r="B10831" s="1" t="n">
        <v>45925.64365740741</v>
      </c>
      <c r="C10831" s="1" t="n">
        <v>45932</v>
      </c>
      <c r="D10831" t="inlineStr">
        <is>
          <t>VÄRMLANDS LÄN</t>
        </is>
      </c>
      <c r="E10831" t="inlineStr">
        <is>
          <t>FILIPSTAD</t>
        </is>
      </c>
      <c r="F10831" t="inlineStr">
        <is>
          <t>Bergvik skog väst AB</t>
        </is>
      </c>
      <c r="G10831" t="n">
        <v>7.5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60826-2024</t>
        </is>
      </c>
      <c r="B10832" s="1" t="n">
        <v>45644</v>
      </c>
      <c r="C10832" s="1" t="n">
        <v>45932</v>
      </c>
      <c r="D10832" t="inlineStr">
        <is>
          <t>VÄRMLANDS LÄN</t>
        </is>
      </c>
      <c r="E10832" t="inlineStr">
        <is>
          <t>ARVIKA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37818-2025</t>
        </is>
      </c>
      <c r="B10833" s="1" t="n">
        <v>45881</v>
      </c>
      <c r="C10833" s="1" t="n">
        <v>45932</v>
      </c>
      <c r="D10833" t="inlineStr">
        <is>
          <t>VÄRMLANDS LÄN</t>
        </is>
      </c>
      <c r="E10833" t="inlineStr">
        <is>
          <t>TORSBY</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38165-2025</t>
        </is>
      </c>
      <c r="B10834" s="1" t="n">
        <v>45882.63063657407</v>
      </c>
      <c r="C10834" s="1" t="n">
        <v>45932</v>
      </c>
      <c r="D10834" t="inlineStr">
        <is>
          <t>VÄRMLANDS LÄN</t>
        </is>
      </c>
      <c r="E10834" t="inlineStr">
        <is>
          <t>TORSBY</t>
        </is>
      </c>
      <c r="F10834" t="inlineStr">
        <is>
          <t>Bergvik skog väst AB</t>
        </is>
      </c>
      <c r="G10834" t="n">
        <v>15.2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49761-2024</t>
        </is>
      </c>
      <c r="B10835" s="1" t="n">
        <v>45597</v>
      </c>
      <c r="C10835" s="1" t="n">
        <v>45932</v>
      </c>
      <c r="D10835" t="inlineStr">
        <is>
          <t>VÄRMLANDS LÄN</t>
        </is>
      </c>
      <c r="E10835" t="inlineStr">
        <is>
          <t>FILIPSTAD</t>
        </is>
      </c>
      <c r="F10835" t="inlineStr">
        <is>
          <t>Bergvik skog väst AB</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38257-2025</t>
        </is>
      </c>
      <c r="B10836" s="1" t="n">
        <v>45883</v>
      </c>
      <c r="C10836" s="1" t="n">
        <v>45932</v>
      </c>
      <c r="D10836" t="inlineStr">
        <is>
          <t>VÄRMLANDS LÄN</t>
        </is>
      </c>
      <c r="E10836" t="inlineStr">
        <is>
          <t>FILIPSTAD</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38301-2025</t>
        </is>
      </c>
      <c r="B10837" s="1" t="n">
        <v>45883.46224537037</v>
      </c>
      <c r="C10837" s="1" t="n">
        <v>45932</v>
      </c>
      <c r="D10837" t="inlineStr">
        <is>
          <t>VÄRMLANDS LÄN</t>
        </is>
      </c>
      <c r="E10837" t="inlineStr">
        <is>
          <t>STORFORS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38135-2025</t>
        </is>
      </c>
      <c r="B10838" s="1" t="n">
        <v>45882</v>
      </c>
      <c r="C10838" s="1" t="n">
        <v>45932</v>
      </c>
      <c r="D10838" t="inlineStr">
        <is>
          <t>VÄRMLANDS LÄN</t>
        </is>
      </c>
      <c r="E10838" t="inlineStr">
        <is>
          <t>HAGFORS</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38141-2025</t>
        </is>
      </c>
      <c r="B10839" s="1" t="n">
        <v>45882</v>
      </c>
      <c r="C10839" s="1" t="n">
        <v>45932</v>
      </c>
      <c r="D10839" t="inlineStr">
        <is>
          <t>VÄRMLANDS LÄN</t>
        </is>
      </c>
      <c r="E10839" t="inlineStr">
        <is>
          <t>ARVIKA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37853-2025</t>
        </is>
      </c>
      <c r="B10840" s="1" t="n">
        <v>45881</v>
      </c>
      <c r="C10840" s="1" t="n">
        <v>45932</v>
      </c>
      <c r="D10840" t="inlineStr">
        <is>
          <t>VÄRMLANDS LÄN</t>
        </is>
      </c>
      <c r="E10840" t="inlineStr">
        <is>
          <t>ARVIKA</t>
        </is>
      </c>
      <c r="F10840" t="inlineStr">
        <is>
          <t>Bergvik skog väst AB</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37878-2025</t>
        </is>
      </c>
      <c r="B10841" s="1" t="n">
        <v>45881</v>
      </c>
      <c r="C10841" s="1" t="n">
        <v>45932</v>
      </c>
      <c r="D10841" t="inlineStr">
        <is>
          <t>VÄRMLANDS LÄN</t>
        </is>
      </c>
      <c r="E10841" t="inlineStr">
        <is>
          <t>TORSBY</t>
        </is>
      </c>
      <c r="F10841" t="inlineStr">
        <is>
          <t>Bergvik skog väst AB</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38000-2025</t>
        </is>
      </c>
      <c r="B10842" s="1" t="n">
        <v>45881.88496527778</v>
      </c>
      <c r="C10842" s="1" t="n">
        <v>45932</v>
      </c>
      <c r="D10842" t="inlineStr">
        <is>
          <t>VÄRMLANDS LÄN</t>
        </is>
      </c>
      <c r="E10842" t="inlineStr">
        <is>
          <t>ARVIKA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20928-2024</t>
        </is>
      </c>
      <c r="B10843" s="1" t="n">
        <v>45439.51597222222</v>
      </c>
      <c r="C10843" s="1" t="n">
        <v>45932</v>
      </c>
      <c r="D10843" t="inlineStr">
        <is>
          <t>VÄRMLANDS LÄN</t>
        </is>
      </c>
      <c r="E10843" t="inlineStr">
        <is>
          <t>FORSHAGA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20933-2024</t>
        </is>
      </c>
      <c r="B10844" s="1" t="n">
        <v>45439</v>
      </c>
      <c r="C10844" s="1" t="n">
        <v>45932</v>
      </c>
      <c r="D10844" t="inlineStr">
        <is>
          <t>VÄRMLANDS LÄN</t>
        </is>
      </c>
      <c r="E10844" t="inlineStr">
        <is>
          <t>FORSHAGA</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46231-2025</t>
        </is>
      </c>
      <c r="B10845" s="1" t="n">
        <v>45925.27075231481</v>
      </c>
      <c r="C10845" s="1" t="n">
        <v>45932</v>
      </c>
      <c r="D10845" t="inlineStr">
        <is>
          <t>VÄRMLANDS LÄN</t>
        </is>
      </c>
      <c r="E10845" t="inlineStr">
        <is>
          <t>KARLSTAD</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15009-2025</t>
        </is>
      </c>
      <c r="B10846" s="1" t="n">
        <v>45743.62388888889</v>
      </c>
      <c r="C10846" s="1" t="n">
        <v>45932</v>
      </c>
      <c r="D10846" t="inlineStr">
        <is>
          <t>VÄRMLANDS LÄN</t>
        </is>
      </c>
      <c r="E10846" t="inlineStr">
        <is>
          <t>EDA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49673-2022</t>
        </is>
      </c>
      <c r="B10847" s="1" t="n">
        <v>44862.47881944444</v>
      </c>
      <c r="C10847" s="1" t="n">
        <v>45932</v>
      </c>
      <c r="D10847" t="inlineStr">
        <is>
          <t>VÄRMLANDS LÄN</t>
        </is>
      </c>
      <c r="E10847" t="inlineStr">
        <is>
          <t>ÅRJÄNG</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15022-2025</t>
        </is>
      </c>
      <c r="B10848" s="1" t="n">
        <v>45743</v>
      </c>
      <c r="C10848" s="1" t="n">
        <v>45932</v>
      </c>
      <c r="D10848" t="inlineStr">
        <is>
          <t>VÄRMLANDS LÄN</t>
        </is>
      </c>
      <c r="E10848" t="inlineStr">
        <is>
          <t>TORSBY</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46243-2025</t>
        </is>
      </c>
      <c r="B10849" s="1" t="n">
        <v>45925.32122685185</v>
      </c>
      <c r="C10849" s="1" t="n">
        <v>45932</v>
      </c>
      <c r="D10849" t="inlineStr">
        <is>
          <t>VÄRMLANDS LÄN</t>
        </is>
      </c>
      <c r="E10849" t="inlineStr">
        <is>
          <t>TORSBY</t>
        </is>
      </c>
      <c r="F10849" t="inlineStr">
        <is>
          <t>Bergvik skog väst AB</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46301-2025</t>
        </is>
      </c>
      <c r="B10850" s="1" t="n">
        <v>45925.41553240741</v>
      </c>
      <c r="C10850" s="1" t="n">
        <v>45932</v>
      </c>
      <c r="D10850" t="inlineStr">
        <is>
          <t>VÄRMLANDS LÄN</t>
        </is>
      </c>
      <c r="E10850" t="inlineStr">
        <is>
          <t>ÅRJÄNG</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42428-2024</t>
        </is>
      </c>
      <c r="B10851" s="1" t="n">
        <v>45565</v>
      </c>
      <c r="C10851" s="1" t="n">
        <v>45932</v>
      </c>
      <c r="D10851" t="inlineStr">
        <is>
          <t>VÄRMLANDS LÄN</t>
        </is>
      </c>
      <c r="E10851" t="inlineStr">
        <is>
          <t>TORSBY</t>
        </is>
      </c>
      <c r="F10851" t="inlineStr">
        <is>
          <t>Bergvik skog väst AB</t>
        </is>
      </c>
      <c r="G10851" t="n">
        <v>20.7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43865-2024</t>
        </is>
      </c>
      <c r="B10852" s="1" t="n">
        <v>45572.37413194445</v>
      </c>
      <c r="C10852" s="1" t="n">
        <v>45932</v>
      </c>
      <c r="D10852" t="inlineStr">
        <is>
          <t>VÄRMLANDS LÄN</t>
        </is>
      </c>
      <c r="E10852" t="inlineStr">
        <is>
          <t>SUNNE</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11364-2023</t>
        </is>
      </c>
      <c r="B10853" s="1" t="n">
        <v>44993.43150462963</v>
      </c>
      <c r="C10853" s="1" t="n">
        <v>45932</v>
      </c>
      <c r="D10853" t="inlineStr">
        <is>
          <t>VÄRMLANDS LÄN</t>
        </is>
      </c>
      <c r="E10853" t="inlineStr">
        <is>
          <t>TORSBY</t>
        </is>
      </c>
      <c r="G10853" t="n">
        <v>31.9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56778-2024</t>
        </is>
      </c>
      <c r="B10854" s="1" t="n">
        <v>45628</v>
      </c>
      <c r="C10854" s="1" t="n">
        <v>45932</v>
      </c>
      <c r="D10854" t="inlineStr">
        <is>
          <t>VÄRMLANDS LÄN</t>
        </is>
      </c>
      <c r="E10854" t="inlineStr">
        <is>
          <t>ÅRJÄNG</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46214-2025</t>
        </is>
      </c>
      <c r="B10855" s="1" t="n">
        <v>45924.79767361111</v>
      </c>
      <c r="C10855" s="1" t="n">
        <v>45932</v>
      </c>
      <c r="D10855" t="inlineStr">
        <is>
          <t>VÄRMLANDS LÄN</t>
        </is>
      </c>
      <c r="E10855" t="inlineStr">
        <is>
          <t>SÄFFLE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54929-2024</t>
        </is>
      </c>
      <c r="B10856" s="1" t="n">
        <v>45618</v>
      </c>
      <c r="C10856" s="1" t="n">
        <v>45932</v>
      </c>
      <c r="D10856" t="inlineStr">
        <is>
          <t>VÄRMLANDS LÄN</t>
        </is>
      </c>
      <c r="E10856" t="inlineStr">
        <is>
          <t>HAGFORS</t>
        </is>
      </c>
      <c r="F10856" t="inlineStr">
        <is>
          <t>Bergvik skog väst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8496-2022</t>
        </is>
      </c>
      <c r="B10857" s="1" t="n">
        <v>44613.39621527777</v>
      </c>
      <c r="C10857" s="1" t="n">
        <v>45932</v>
      </c>
      <c r="D10857" t="inlineStr">
        <is>
          <t>VÄRMLANDS LÄN</t>
        </is>
      </c>
      <c r="E10857" t="inlineStr">
        <is>
          <t>HAGFORS</t>
        </is>
      </c>
      <c r="F10857" t="inlineStr">
        <is>
          <t>Bergvik skog väst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7741-2025</t>
        </is>
      </c>
      <c r="B10858" s="1" t="n">
        <v>45706</v>
      </c>
      <c r="C10858" s="1" t="n">
        <v>45932</v>
      </c>
      <c r="D10858" t="inlineStr">
        <is>
          <t>VÄRMLANDS LÄN</t>
        </is>
      </c>
      <c r="E10858" t="inlineStr">
        <is>
          <t>ARVIKA</t>
        </is>
      </c>
      <c r="F10858" t="inlineStr">
        <is>
          <t>Bergvik skog väst AB</t>
        </is>
      </c>
      <c r="G10858" t="n">
        <v>9.199999999999999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46503-2024</t>
        </is>
      </c>
      <c r="B10859" s="1" t="n">
        <v>45582</v>
      </c>
      <c r="C10859" s="1" t="n">
        <v>45932</v>
      </c>
      <c r="D10859" t="inlineStr">
        <is>
          <t>VÄRMLANDS LÄN</t>
        </is>
      </c>
      <c r="E10859" t="inlineStr">
        <is>
          <t>TORSBY</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46230-2025</t>
        </is>
      </c>
      <c r="B10860" s="1" t="n">
        <v>45925.26621527778</v>
      </c>
      <c r="C10860" s="1" t="n">
        <v>45932</v>
      </c>
      <c r="D10860" t="inlineStr">
        <is>
          <t>VÄRMLANDS LÄN</t>
        </is>
      </c>
      <c r="E10860" t="inlineStr">
        <is>
          <t>KARLSTAD</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71706-2021</t>
        </is>
      </c>
      <c r="B10861" s="1" t="n">
        <v>44543.44349537037</v>
      </c>
      <c r="C10861" s="1" t="n">
        <v>45932</v>
      </c>
      <c r="D10861" t="inlineStr">
        <is>
          <t>VÄRMLANDS LÄN</t>
        </is>
      </c>
      <c r="E10861" t="inlineStr">
        <is>
          <t>GRUMS</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44384-2021</t>
        </is>
      </c>
      <c r="B10862" s="1" t="n">
        <v>44435.47295138889</v>
      </c>
      <c r="C10862" s="1" t="n">
        <v>45932</v>
      </c>
      <c r="D10862" t="inlineStr">
        <is>
          <t>VÄRMLANDS LÄN</t>
        </is>
      </c>
      <c r="E10862" t="inlineStr">
        <is>
          <t>FILIPSTAD</t>
        </is>
      </c>
      <c r="G10862" t="n">
        <v>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44417-2021</t>
        </is>
      </c>
      <c r="B10863" s="1" t="n">
        <v>44435.50591435185</v>
      </c>
      <c r="C10863" s="1" t="n">
        <v>45932</v>
      </c>
      <c r="D10863" t="inlineStr">
        <is>
          <t>VÄRMLANDS LÄN</t>
        </is>
      </c>
      <c r="E10863" t="inlineStr">
        <is>
          <t>ÅRJÄNG</t>
        </is>
      </c>
      <c r="G10863" t="n">
        <v>32.2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46204-2025</t>
        </is>
      </c>
      <c r="B10864" s="1" t="n">
        <v>45924.70509259259</v>
      </c>
      <c r="C10864" s="1" t="n">
        <v>45932</v>
      </c>
      <c r="D10864" t="inlineStr">
        <is>
          <t>VÄRMLANDS LÄN</t>
        </is>
      </c>
      <c r="E10864" t="inlineStr">
        <is>
          <t>FILIPSTAD</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46370-2025</t>
        </is>
      </c>
      <c r="B10865" s="1" t="n">
        <v>45925.50527777777</v>
      </c>
      <c r="C10865" s="1" t="n">
        <v>45932</v>
      </c>
      <c r="D10865" t="inlineStr">
        <is>
          <t>VÄRMLANDS LÄN</t>
        </is>
      </c>
      <c r="E10865" t="inlineStr">
        <is>
          <t>SUNNE</t>
        </is>
      </c>
      <c r="F10865" t="inlineStr">
        <is>
          <t>Bergvik skog väst AB</t>
        </is>
      </c>
      <c r="G10865" t="n">
        <v>14.6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38880-2024</t>
        </is>
      </c>
      <c r="B10866" s="1" t="n">
        <v>45547</v>
      </c>
      <c r="C10866" s="1" t="n">
        <v>45932</v>
      </c>
      <c r="D10866" t="inlineStr">
        <is>
          <t>VÄRMLANDS LÄN</t>
        </is>
      </c>
      <c r="E10866" t="inlineStr">
        <is>
          <t>SÄFFLE</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42301-2025</t>
        </is>
      </c>
      <c r="B10867" s="1" t="n">
        <v>45903</v>
      </c>
      <c r="C10867" s="1" t="n">
        <v>45932</v>
      </c>
      <c r="D10867" t="inlineStr">
        <is>
          <t>VÄRMLANDS LÄN</t>
        </is>
      </c>
      <c r="E10867" t="inlineStr">
        <is>
          <t>SÄFFLE</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3664-2021</t>
        </is>
      </c>
      <c r="B10868" s="1" t="n">
        <v>44221</v>
      </c>
      <c r="C10868" s="1" t="n">
        <v>45932</v>
      </c>
      <c r="D10868" t="inlineStr">
        <is>
          <t>VÄRMLANDS LÄN</t>
        </is>
      </c>
      <c r="E10868" t="inlineStr">
        <is>
          <t>ARVIKA</t>
        </is>
      </c>
      <c r="G10868" t="n">
        <v>7.3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38232-2025</t>
        </is>
      </c>
      <c r="B10869" s="1" t="n">
        <v>45883</v>
      </c>
      <c r="C10869" s="1" t="n">
        <v>45932</v>
      </c>
      <c r="D10869" t="inlineStr">
        <is>
          <t>VÄRMLANDS LÄN</t>
        </is>
      </c>
      <c r="E10869" t="inlineStr">
        <is>
          <t>TORSBY</t>
        </is>
      </c>
      <c r="F10869" t="inlineStr">
        <is>
          <t>Bergvik skog väst AB</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56651-2024</t>
        </is>
      </c>
      <c r="B10870" s="1" t="n">
        <v>45625</v>
      </c>
      <c r="C10870" s="1" t="n">
        <v>45932</v>
      </c>
      <c r="D10870" t="inlineStr">
        <is>
          <t>VÄRMLANDS LÄN</t>
        </is>
      </c>
      <c r="E10870" t="inlineStr">
        <is>
          <t>FILIPSTAD</t>
        </is>
      </c>
      <c r="F10870" t="inlineStr">
        <is>
          <t>Bergvik skog väst AB</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56653-2024</t>
        </is>
      </c>
      <c r="B10871" s="1" t="n">
        <v>45625.78412037037</v>
      </c>
      <c r="C10871" s="1" t="n">
        <v>45932</v>
      </c>
      <c r="D10871" t="inlineStr">
        <is>
          <t>VÄRMLANDS LÄN</t>
        </is>
      </c>
      <c r="E10871" t="inlineStr">
        <is>
          <t>FILIPSTAD</t>
        </is>
      </c>
      <c r="F10871" t="inlineStr">
        <is>
          <t>Bergvik skog väst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56656-2024</t>
        </is>
      </c>
      <c r="B10872" s="1" t="n">
        <v>45625</v>
      </c>
      <c r="C10872" s="1" t="n">
        <v>45932</v>
      </c>
      <c r="D10872" t="inlineStr">
        <is>
          <t>VÄRMLANDS LÄN</t>
        </is>
      </c>
      <c r="E10872" t="inlineStr">
        <is>
          <t>KRISTINEHAMN</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32784-2024</t>
        </is>
      </c>
      <c r="B10873" s="1" t="n">
        <v>45516</v>
      </c>
      <c r="C10873" s="1" t="n">
        <v>45932</v>
      </c>
      <c r="D10873" t="inlineStr">
        <is>
          <t>VÄRMLANDS LÄN</t>
        </is>
      </c>
      <c r="E10873" t="inlineStr">
        <is>
          <t>FILIPSTAD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11597-2025</t>
        </is>
      </c>
      <c r="B10874" s="1" t="n">
        <v>45727</v>
      </c>
      <c r="C10874" s="1" t="n">
        <v>45932</v>
      </c>
      <c r="D10874" t="inlineStr">
        <is>
          <t>VÄRMLANDS LÄN</t>
        </is>
      </c>
      <c r="E10874" t="inlineStr">
        <is>
          <t>GRUMS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13869-2025</t>
        </is>
      </c>
      <c r="B10875" s="1" t="n">
        <v>45737.58268518518</v>
      </c>
      <c r="C10875" s="1" t="n">
        <v>45932</v>
      </c>
      <c r="D10875" t="inlineStr">
        <is>
          <t>VÄRMLANDS LÄN</t>
        </is>
      </c>
      <c r="E10875" t="inlineStr">
        <is>
          <t>ÅRJÄNG</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4028-2025</t>
        </is>
      </c>
      <c r="B10876" s="1" t="n">
        <v>45684.59545138889</v>
      </c>
      <c r="C10876" s="1" t="n">
        <v>45932</v>
      </c>
      <c r="D10876" t="inlineStr">
        <is>
          <t>VÄRMLANDS LÄN</t>
        </is>
      </c>
      <c r="E10876" t="inlineStr">
        <is>
          <t>HAGFORS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34616-2021</t>
        </is>
      </c>
      <c r="B10877" s="1" t="n">
        <v>44382</v>
      </c>
      <c r="C10877" s="1" t="n">
        <v>45932</v>
      </c>
      <c r="D10877" t="inlineStr">
        <is>
          <t>VÄRMLANDS LÄN</t>
        </is>
      </c>
      <c r="E10877" t="inlineStr">
        <is>
          <t>EDA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946-2025</t>
        </is>
      </c>
      <c r="B10878" s="1" t="n">
        <v>45666.34496527778</v>
      </c>
      <c r="C10878" s="1" t="n">
        <v>45932</v>
      </c>
      <c r="D10878" t="inlineStr">
        <is>
          <t>VÄRMLANDS LÄN</t>
        </is>
      </c>
      <c r="E10878" t="inlineStr">
        <is>
          <t>SUNNE</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4997-2025</t>
        </is>
      </c>
      <c r="B10879" s="1" t="n">
        <v>45691.35917824074</v>
      </c>
      <c r="C10879" s="1" t="n">
        <v>45932</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5006-2025</t>
        </is>
      </c>
      <c r="B10880" s="1" t="n">
        <v>45691.3705787037</v>
      </c>
      <c r="C10880" s="1" t="n">
        <v>45932</v>
      </c>
      <c r="D10880" t="inlineStr">
        <is>
          <t>VÄRMLANDS LÄN</t>
        </is>
      </c>
      <c r="E10880" t="inlineStr">
        <is>
          <t>SUNNE</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37122-2022</t>
        </is>
      </c>
      <c r="B10881" s="1" t="n">
        <v>44806</v>
      </c>
      <c r="C10881" s="1" t="n">
        <v>45932</v>
      </c>
      <c r="D10881" t="inlineStr">
        <is>
          <t>VÄRMLANDS LÄN</t>
        </is>
      </c>
      <c r="E10881" t="inlineStr">
        <is>
          <t>ÅRJÄNG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45037-2025</t>
        </is>
      </c>
      <c r="B10882" s="1" t="n">
        <v>45918</v>
      </c>
      <c r="C10882" s="1" t="n">
        <v>45932</v>
      </c>
      <c r="D10882" t="inlineStr">
        <is>
          <t>VÄRMLANDS LÄN</t>
        </is>
      </c>
      <c r="E10882" t="inlineStr">
        <is>
          <t>ÅRJÄNG</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38127-2025</t>
        </is>
      </c>
      <c r="B10883" s="1" t="n">
        <v>45882</v>
      </c>
      <c r="C10883" s="1" t="n">
        <v>45932</v>
      </c>
      <c r="D10883" t="inlineStr">
        <is>
          <t>VÄRMLANDS LÄN</t>
        </is>
      </c>
      <c r="E10883" t="inlineStr">
        <is>
          <t>KRISTINEHAMN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46334-2025</t>
        </is>
      </c>
      <c r="B10884" s="1" t="n">
        <v>45925.45925925926</v>
      </c>
      <c r="C10884" s="1" t="n">
        <v>45932</v>
      </c>
      <c r="D10884" t="inlineStr">
        <is>
          <t>VÄRMLANDS LÄN</t>
        </is>
      </c>
      <c r="E10884" t="inlineStr">
        <is>
          <t>TORSBY</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39454-2024</t>
        </is>
      </c>
      <c r="B10885" s="1" t="n">
        <v>45551</v>
      </c>
      <c r="C10885" s="1" t="n">
        <v>45932</v>
      </c>
      <c r="D10885" t="inlineStr">
        <is>
          <t>VÄRMLANDS LÄN</t>
        </is>
      </c>
      <c r="E10885" t="inlineStr">
        <is>
          <t>SUNNE</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50030-2022</t>
        </is>
      </c>
      <c r="B10886" s="1" t="n">
        <v>44865.45554398148</v>
      </c>
      <c r="C10886" s="1" t="n">
        <v>45932</v>
      </c>
      <c r="D10886" t="inlineStr">
        <is>
          <t>VÄRMLANDS LÄN</t>
        </is>
      </c>
      <c r="E10886" t="inlineStr">
        <is>
          <t>EDA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40935-2022</t>
        </is>
      </c>
      <c r="B10887" s="1" t="n">
        <v>44823</v>
      </c>
      <c r="C10887" s="1" t="n">
        <v>45932</v>
      </c>
      <c r="D10887" t="inlineStr">
        <is>
          <t>VÄRMLANDS LÄN</t>
        </is>
      </c>
      <c r="E10887" t="inlineStr">
        <is>
          <t>GRUMS</t>
        </is>
      </c>
      <c r="F10887" t="inlineStr">
        <is>
          <t>Bergvik skog väst AB</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10645-2024</t>
        </is>
      </c>
      <c r="B10888" s="1" t="n">
        <v>45367.71616898148</v>
      </c>
      <c r="C10888" s="1" t="n">
        <v>45932</v>
      </c>
      <c r="D10888" t="inlineStr">
        <is>
          <t>VÄRMLANDS LÄN</t>
        </is>
      </c>
      <c r="E10888" t="inlineStr">
        <is>
          <t>SÄFFLE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8528-2025</t>
        </is>
      </c>
      <c r="B10889" s="1" t="n">
        <v>45709</v>
      </c>
      <c r="C10889" s="1" t="n">
        <v>45932</v>
      </c>
      <c r="D10889" t="inlineStr">
        <is>
          <t>VÄRMLANDS LÄN</t>
        </is>
      </c>
      <c r="E10889" t="inlineStr">
        <is>
          <t>KIL</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8529-2025</t>
        </is>
      </c>
      <c r="B10890" s="1" t="n">
        <v>45709</v>
      </c>
      <c r="C10890" s="1" t="n">
        <v>45932</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14369-2025</t>
        </is>
      </c>
      <c r="B10891" s="1" t="n">
        <v>45741</v>
      </c>
      <c r="C10891" s="1" t="n">
        <v>45932</v>
      </c>
      <c r="D10891" t="inlineStr">
        <is>
          <t>VÄRMLANDS LÄN</t>
        </is>
      </c>
      <c r="E10891" t="inlineStr">
        <is>
          <t>TORSBY</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48712-2021</t>
        </is>
      </c>
      <c r="B10892" s="1" t="n">
        <v>44452</v>
      </c>
      <c r="C10892" s="1" t="n">
        <v>45932</v>
      </c>
      <c r="D10892" t="inlineStr">
        <is>
          <t>VÄRMLANDS LÄN</t>
        </is>
      </c>
      <c r="E10892" t="inlineStr">
        <is>
          <t>SUNNE</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13622-2024</t>
        </is>
      </c>
      <c r="B10893" s="1" t="n">
        <v>45390.38291666667</v>
      </c>
      <c r="C10893" s="1" t="n">
        <v>45932</v>
      </c>
      <c r="D10893" t="inlineStr">
        <is>
          <t>VÄRMLANDS LÄN</t>
        </is>
      </c>
      <c r="E10893" t="inlineStr">
        <is>
          <t>EDA</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36578-2023</t>
        </is>
      </c>
      <c r="B10894" s="1" t="n">
        <v>45153</v>
      </c>
      <c r="C10894" s="1" t="n">
        <v>45932</v>
      </c>
      <c r="D10894" t="inlineStr">
        <is>
          <t>VÄRMLANDS LÄN</t>
        </is>
      </c>
      <c r="E10894" t="inlineStr">
        <is>
          <t>SUNNE</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3452-2025</t>
        </is>
      </c>
      <c r="B10895" s="1" t="n">
        <v>45680.4753125</v>
      </c>
      <c r="C10895" s="1" t="n">
        <v>45932</v>
      </c>
      <c r="D10895" t="inlineStr">
        <is>
          <t>VÄRMLANDS LÄN</t>
        </is>
      </c>
      <c r="E10895" t="inlineStr">
        <is>
          <t>STORFORS</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54822-2023</t>
        </is>
      </c>
      <c r="B10896" s="1" t="n">
        <v>45229</v>
      </c>
      <c r="C10896" s="1" t="n">
        <v>45932</v>
      </c>
      <c r="D10896" t="inlineStr">
        <is>
          <t>VÄRMLANDS LÄN</t>
        </is>
      </c>
      <c r="E10896" t="inlineStr">
        <is>
          <t>TORSBY</t>
        </is>
      </c>
      <c r="F10896" t="inlineStr">
        <is>
          <t>Övriga Aktiebolag</t>
        </is>
      </c>
      <c r="G10896" t="n">
        <v>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61169-2024</t>
        </is>
      </c>
      <c r="B10897" s="1" t="n">
        <v>45645</v>
      </c>
      <c r="C10897" s="1" t="n">
        <v>45932</v>
      </c>
      <c r="D10897" t="inlineStr">
        <is>
          <t>VÄRMLANDS LÄN</t>
        </is>
      </c>
      <c r="E10897" t="inlineStr">
        <is>
          <t>HAGFORS</t>
        </is>
      </c>
      <c r="F10897" t="inlineStr">
        <is>
          <t>Bergvik skog väst AB</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19188-2025</t>
        </is>
      </c>
      <c r="B10898" s="1" t="n">
        <v>45769</v>
      </c>
      <c r="C10898" s="1" t="n">
        <v>45932</v>
      </c>
      <c r="D10898" t="inlineStr">
        <is>
          <t>VÄRMLANDS LÄN</t>
        </is>
      </c>
      <c r="E10898" t="inlineStr">
        <is>
          <t>EDA</t>
        </is>
      </c>
      <c r="F10898" t="inlineStr">
        <is>
          <t>Bergvik skog väst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39781-2023</t>
        </is>
      </c>
      <c r="B10899" s="1" t="n">
        <v>45167.87266203704</v>
      </c>
      <c r="C10899" s="1" t="n">
        <v>45932</v>
      </c>
      <c r="D10899" t="inlineStr">
        <is>
          <t>VÄRMLANDS LÄN</t>
        </is>
      </c>
      <c r="E10899" t="inlineStr">
        <is>
          <t>KRISTINEHAMN</t>
        </is>
      </c>
      <c r="G10899" t="n">
        <v>8.4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9498-2025</t>
        </is>
      </c>
      <c r="B10900" s="1" t="n">
        <v>45714</v>
      </c>
      <c r="C10900" s="1" t="n">
        <v>45932</v>
      </c>
      <c r="D10900" t="inlineStr">
        <is>
          <t>VÄRMLANDS LÄN</t>
        </is>
      </c>
      <c r="E10900" t="inlineStr">
        <is>
          <t>SÄFFLE</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9500-2025</t>
        </is>
      </c>
      <c r="B10901" s="1" t="n">
        <v>45714</v>
      </c>
      <c r="C10901" s="1" t="n">
        <v>45932</v>
      </c>
      <c r="D10901" t="inlineStr">
        <is>
          <t>VÄRMLANDS LÄN</t>
        </is>
      </c>
      <c r="E10901" t="inlineStr">
        <is>
          <t>SÄFFLE</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56329-2024</t>
        </is>
      </c>
      <c r="B10902" s="1" t="n">
        <v>45624.79435185185</v>
      </c>
      <c r="C10902" s="1" t="n">
        <v>45932</v>
      </c>
      <c r="D10902" t="inlineStr">
        <is>
          <t>VÄRMLANDS LÄN</t>
        </is>
      </c>
      <c r="E10902" t="inlineStr">
        <is>
          <t>ÅRJÄNG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36775-2024</t>
        </is>
      </c>
      <c r="B10903" s="1" t="n">
        <v>45538</v>
      </c>
      <c r="C10903" s="1" t="n">
        <v>45932</v>
      </c>
      <c r="D10903" t="inlineStr">
        <is>
          <t>VÄRMLANDS LÄN</t>
        </is>
      </c>
      <c r="E10903" t="inlineStr">
        <is>
          <t>TORSBY</t>
        </is>
      </c>
      <c r="F10903" t="inlineStr">
        <is>
          <t>Kyrkan</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12132-2025</t>
        </is>
      </c>
      <c r="B10904" s="1" t="n">
        <v>45729</v>
      </c>
      <c r="C10904" s="1" t="n">
        <v>45932</v>
      </c>
      <c r="D10904" t="inlineStr">
        <is>
          <t>VÄRMLANDS LÄN</t>
        </is>
      </c>
      <c r="E10904" t="inlineStr">
        <is>
          <t>STORFORS</t>
        </is>
      </c>
      <c r="F10904" t="inlineStr">
        <is>
          <t>Bergvik skog väst AB</t>
        </is>
      </c>
      <c r="G10904" t="n">
        <v>24.9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12170-2025</t>
        </is>
      </c>
      <c r="B10905" s="1" t="n">
        <v>45729.43740740741</v>
      </c>
      <c r="C10905" s="1" t="n">
        <v>45932</v>
      </c>
      <c r="D10905" t="inlineStr">
        <is>
          <t>VÄRMLANDS LÄN</t>
        </is>
      </c>
      <c r="E10905" t="inlineStr">
        <is>
          <t>ARVIKA</t>
        </is>
      </c>
      <c r="F10905" t="inlineStr">
        <is>
          <t>Bergvik skog väst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38377-2024</t>
        </is>
      </c>
      <c r="B10906" s="1" t="n">
        <v>45545</v>
      </c>
      <c r="C10906" s="1" t="n">
        <v>45932</v>
      </c>
      <c r="D10906" t="inlineStr">
        <is>
          <t>VÄRMLANDS LÄN</t>
        </is>
      </c>
      <c r="E10906" t="inlineStr">
        <is>
          <t>SUNNE</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20615-2024</t>
        </is>
      </c>
      <c r="B10907" s="1" t="n">
        <v>45436.45390046296</v>
      </c>
      <c r="C10907" s="1" t="n">
        <v>45932</v>
      </c>
      <c r="D10907" t="inlineStr">
        <is>
          <t>VÄRMLANDS LÄN</t>
        </is>
      </c>
      <c r="E10907" t="inlineStr">
        <is>
          <t>SUNNE</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14042-2025</t>
        </is>
      </c>
      <c r="B10908" s="1" t="n">
        <v>45740.36893518519</v>
      </c>
      <c r="C10908" s="1" t="n">
        <v>45932</v>
      </c>
      <c r="D10908" t="inlineStr">
        <is>
          <t>VÄRMLANDS LÄN</t>
        </is>
      </c>
      <c r="E10908" t="inlineStr">
        <is>
          <t>SUNNE</t>
        </is>
      </c>
      <c r="F10908" t="inlineStr">
        <is>
          <t>Bergvik skog väst AB</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9570-2021</t>
        </is>
      </c>
      <c r="B10909" s="1" t="n">
        <v>44251</v>
      </c>
      <c r="C10909" s="1" t="n">
        <v>45932</v>
      </c>
      <c r="D10909" t="inlineStr">
        <is>
          <t>VÄRMLANDS LÄN</t>
        </is>
      </c>
      <c r="E10909" t="inlineStr">
        <is>
          <t>KIL</t>
        </is>
      </c>
      <c r="F10909" t="inlineStr">
        <is>
          <t>Kommuner</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17033-2024</t>
        </is>
      </c>
      <c r="B10910" s="1" t="n">
        <v>45412.39658564814</v>
      </c>
      <c r="C10910" s="1" t="n">
        <v>45932</v>
      </c>
      <c r="D10910" t="inlineStr">
        <is>
          <t>VÄRMLANDS LÄN</t>
        </is>
      </c>
      <c r="E10910" t="inlineStr">
        <is>
          <t>ARVIKA</t>
        </is>
      </c>
      <c r="F10910" t="inlineStr">
        <is>
          <t>Bergvik skog väst AB</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14060-2025</t>
        </is>
      </c>
      <c r="B10911" s="1" t="n">
        <v>45740.41108796297</v>
      </c>
      <c r="C10911" s="1" t="n">
        <v>45932</v>
      </c>
      <c r="D10911" t="inlineStr">
        <is>
          <t>VÄRMLANDS LÄN</t>
        </is>
      </c>
      <c r="E10911" t="inlineStr">
        <is>
          <t>SUNNE</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46117-2022</t>
        </is>
      </c>
      <c r="B10912" s="1" t="n">
        <v>44847</v>
      </c>
      <c r="C10912" s="1" t="n">
        <v>45932</v>
      </c>
      <c r="D10912" t="inlineStr">
        <is>
          <t>VÄRMLANDS LÄN</t>
        </is>
      </c>
      <c r="E10912" t="inlineStr">
        <is>
          <t>KIL</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14730-2024</t>
        </is>
      </c>
      <c r="B10913" s="1" t="n">
        <v>45397.58518518518</v>
      </c>
      <c r="C10913" s="1" t="n">
        <v>45932</v>
      </c>
      <c r="D10913" t="inlineStr">
        <is>
          <t>VÄRMLANDS LÄN</t>
        </is>
      </c>
      <c r="E10913" t="inlineStr">
        <is>
          <t>TORSBY</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17772-2024</t>
        </is>
      </c>
      <c r="B10914" s="1" t="n">
        <v>45418.65100694444</v>
      </c>
      <c r="C10914" s="1" t="n">
        <v>45932</v>
      </c>
      <c r="D10914" t="inlineStr">
        <is>
          <t>VÄRMLANDS LÄN</t>
        </is>
      </c>
      <c r="E10914" t="inlineStr">
        <is>
          <t>SÄFFLE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36758-2024</t>
        </is>
      </c>
      <c r="B10915" s="1" t="n">
        <v>45538.35525462963</v>
      </c>
      <c r="C10915" s="1" t="n">
        <v>45932</v>
      </c>
      <c r="D10915" t="inlineStr">
        <is>
          <t>VÄRMLANDS LÄN</t>
        </is>
      </c>
      <c r="E10915" t="inlineStr">
        <is>
          <t>TORSBY</t>
        </is>
      </c>
      <c r="F10915" t="inlineStr">
        <is>
          <t>Kyrkan</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47133-2025</t>
        </is>
      </c>
      <c r="B10916" s="1" t="n">
        <v>45929.69681712963</v>
      </c>
      <c r="C10916" s="1" t="n">
        <v>45932</v>
      </c>
      <c r="D10916" t="inlineStr">
        <is>
          <t>VÄRMLANDS LÄN</t>
        </is>
      </c>
      <c r="E10916" t="inlineStr">
        <is>
          <t>SUNNE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17140-2021</t>
        </is>
      </c>
      <c r="B10917" s="1" t="n">
        <v>44298</v>
      </c>
      <c r="C10917" s="1" t="n">
        <v>45932</v>
      </c>
      <c r="D10917" t="inlineStr">
        <is>
          <t>VÄRMLANDS LÄN</t>
        </is>
      </c>
      <c r="E10917" t="inlineStr">
        <is>
          <t>ARVIKA</t>
        </is>
      </c>
      <c r="F10917" t="inlineStr">
        <is>
          <t>Bergvik skog väst AB</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17162-2021</t>
        </is>
      </c>
      <c r="B10918" s="1" t="n">
        <v>44298.45184027778</v>
      </c>
      <c r="C10918" s="1" t="n">
        <v>45932</v>
      </c>
      <c r="D10918" t="inlineStr">
        <is>
          <t>VÄRMLANDS LÄN</t>
        </is>
      </c>
      <c r="E10918" t="inlineStr">
        <is>
          <t>EDA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2390-2025</t>
        </is>
      </c>
      <c r="B10919" s="1" t="n">
        <v>45674.32071759259</v>
      </c>
      <c r="C10919" s="1" t="n">
        <v>45932</v>
      </c>
      <c r="D10919" t="inlineStr">
        <is>
          <t>VÄRMLANDS LÄN</t>
        </is>
      </c>
      <c r="E10919" t="inlineStr">
        <is>
          <t>TORSBY</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29359-2023</t>
        </is>
      </c>
      <c r="B10920" s="1" t="n">
        <v>45106.33273148148</v>
      </c>
      <c r="C10920" s="1" t="n">
        <v>45932</v>
      </c>
      <c r="D10920" t="inlineStr">
        <is>
          <t>VÄRMLANDS LÄN</t>
        </is>
      </c>
      <c r="E10920" t="inlineStr">
        <is>
          <t>KARLSTAD</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48861-2024</t>
        </is>
      </c>
      <c r="B10921" s="1" t="n">
        <v>45593.92333333333</v>
      </c>
      <c r="C10921" s="1" t="n">
        <v>45932</v>
      </c>
      <c r="D10921" t="inlineStr">
        <is>
          <t>VÄRMLANDS LÄN</t>
        </is>
      </c>
      <c r="E10921" t="inlineStr">
        <is>
          <t>SUNNE</t>
        </is>
      </c>
      <c r="F10921" t="inlineStr">
        <is>
          <t>Kyrkan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61279-2022</t>
        </is>
      </c>
      <c r="B10922" s="1" t="n">
        <v>44915.6171875</v>
      </c>
      <c r="C10922" s="1" t="n">
        <v>45932</v>
      </c>
      <c r="D10922" t="inlineStr">
        <is>
          <t>VÄRMLANDS LÄN</t>
        </is>
      </c>
      <c r="E10922" t="inlineStr">
        <is>
          <t>EDA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61282-2022</t>
        </is>
      </c>
      <c r="B10923" s="1" t="n">
        <v>44915.61827546296</v>
      </c>
      <c r="C10923" s="1" t="n">
        <v>45932</v>
      </c>
      <c r="D10923" t="inlineStr">
        <is>
          <t>VÄRMLANDS LÄN</t>
        </is>
      </c>
      <c r="E10923" t="inlineStr">
        <is>
          <t>EDA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5431-2025</t>
        </is>
      </c>
      <c r="B10924" s="1" t="n">
        <v>45692</v>
      </c>
      <c r="C10924" s="1" t="n">
        <v>45932</v>
      </c>
      <c r="D10924" t="inlineStr">
        <is>
          <t>VÄRMLANDS LÄN</t>
        </is>
      </c>
      <c r="E10924" t="inlineStr">
        <is>
          <t>EDA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10752-2023</t>
        </is>
      </c>
      <c r="B10925" s="1" t="n">
        <v>44988.77804398148</v>
      </c>
      <c r="C10925" s="1" t="n">
        <v>45932</v>
      </c>
      <c r="D10925" t="inlineStr">
        <is>
          <t>VÄRMLANDS LÄN</t>
        </is>
      </c>
      <c r="E10925" t="inlineStr">
        <is>
          <t>SÄFFLE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4536-2023</t>
        </is>
      </c>
      <c r="B10926" s="1" t="n">
        <v>44956.63180555555</v>
      </c>
      <c r="C10926" s="1" t="n">
        <v>45932</v>
      </c>
      <c r="D10926" t="inlineStr">
        <is>
          <t>VÄRMLANDS LÄN</t>
        </is>
      </c>
      <c r="E10926" t="inlineStr">
        <is>
          <t>SUNNE</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51698-2024</t>
        </is>
      </c>
      <c r="B10927" s="1" t="n">
        <v>45607.35412037037</v>
      </c>
      <c r="C10927" s="1" t="n">
        <v>45932</v>
      </c>
      <c r="D10927" t="inlineStr">
        <is>
          <t>VÄRMLANDS LÄN</t>
        </is>
      </c>
      <c r="E10927" t="inlineStr">
        <is>
          <t>SUNNE</t>
        </is>
      </c>
      <c r="F10927" t="inlineStr">
        <is>
          <t>Bergvik skog väst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14613-2025</t>
        </is>
      </c>
      <c r="B10928" s="1" t="n">
        <v>45742.39615740741</v>
      </c>
      <c r="C10928" s="1" t="n">
        <v>45932</v>
      </c>
      <c r="D10928" t="inlineStr">
        <is>
          <t>VÄRMLANDS LÄN</t>
        </is>
      </c>
      <c r="E10928" t="inlineStr">
        <is>
          <t>TORSBY</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53348-2023</t>
        </is>
      </c>
      <c r="B10929" s="1" t="n">
        <v>45229.65445601852</v>
      </c>
      <c r="C10929" s="1" t="n">
        <v>45932</v>
      </c>
      <c r="D10929" t="inlineStr">
        <is>
          <t>VÄRMLANDS LÄN</t>
        </is>
      </c>
      <c r="E10929" t="inlineStr">
        <is>
          <t>FILIPSTAD</t>
        </is>
      </c>
      <c r="F10929" t="inlineStr">
        <is>
          <t>Bergvik skog väst AB</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51729-2024</t>
        </is>
      </c>
      <c r="B10930" s="1" t="n">
        <v>45607</v>
      </c>
      <c r="C10930" s="1" t="n">
        <v>45932</v>
      </c>
      <c r="D10930" t="inlineStr">
        <is>
          <t>VÄRMLANDS LÄN</t>
        </is>
      </c>
      <c r="E10930" t="inlineStr">
        <is>
          <t>ARVIKA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58383-2024</t>
        </is>
      </c>
      <c r="B10931" s="1" t="n">
        <v>45632</v>
      </c>
      <c r="C10931" s="1" t="n">
        <v>45932</v>
      </c>
      <c r="D10931" t="inlineStr">
        <is>
          <t>VÄRMLANDS LÄN</t>
        </is>
      </c>
      <c r="E10931" t="inlineStr">
        <is>
          <t>HAMMARÖ</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36800-2021</t>
        </is>
      </c>
      <c r="B10932" s="1" t="n">
        <v>44392</v>
      </c>
      <c r="C10932" s="1" t="n">
        <v>45932</v>
      </c>
      <c r="D10932" t="inlineStr">
        <is>
          <t>VÄRMLANDS LÄN</t>
        </is>
      </c>
      <c r="E10932" t="inlineStr">
        <is>
          <t>SUNNE</t>
        </is>
      </c>
      <c r="F10932" t="inlineStr">
        <is>
          <t>Övriga Aktiebolag</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51189-2024</t>
        </is>
      </c>
      <c r="B10933" s="1" t="n">
        <v>45603.61142361111</v>
      </c>
      <c r="C10933" s="1" t="n">
        <v>45932</v>
      </c>
      <c r="D10933" t="inlineStr">
        <is>
          <t>VÄRMLANDS LÄN</t>
        </is>
      </c>
      <c r="E10933" t="inlineStr">
        <is>
          <t>SÄFFLE</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48451-2024</t>
        </is>
      </c>
      <c r="B10934" s="1" t="n">
        <v>45590</v>
      </c>
      <c r="C10934" s="1" t="n">
        <v>45932</v>
      </c>
      <c r="D10934" t="inlineStr">
        <is>
          <t>VÄRMLANDS LÄN</t>
        </is>
      </c>
      <c r="E10934" t="inlineStr">
        <is>
          <t>ARVIKA</t>
        </is>
      </c>
      <c r="F10934" t="inlineStr">
        <is>
          <t>Bergvik skog väst AB</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24814-2024</t>
        </is>
      </c>
      <c r="B10935" s="1" t="n">
        <v>45461.31162037037</v>
      </c>
      <c r="C10935" s="1" t="n">
        <v>45932</v>
      </c>
      <c r="D10935" t="inlineStr">
        <is>
          <t>VÄRMLANDS LÄN</t>
        </is>
      </c>
      <c r="E10935" t="inlineStr">
        <is>
          <t>HAGFORS</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2037-2023</t>
        </is>
      </c>
      <c r="B10936" s="1" t="n">
        <v>44939.58351851852</v>
      </c>
      <c r="C10936" s="1" t="n">
        <v>45932</v>
      </c>
      <c r="D10936" t="inlineStr">
        <is>
          <t>VÄRMLANDS LÄN</t>
        </is>
      </c>
      <c r="E10936" t="inlineStr">
        <is>
          <t>STORFORS</t>
        </is>
      </c>
      <c r="F10936" t="inlineStr">
        <is>
          <t>Kyrkan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14275-2024</t>
        </is>
      </c>
      <c r="B10937" s="1" t="n">
        <v>45393.588125</v>
      </c>
      <c r="C10937" s="1" t="n">
        <v>45932</v>
      </c>
      <c r="D10937" t="inlineStr">
        <is>
          <t>VÄRMLANDS LÄN</t>
        </is>
      </c>
      <c r="E10937" t="inlineStr">
        <is>
          <t>FILIPSTAD</t>
        </is>
      </c>
      <c r="F10937" t="inlineStr">
        <is>
          <t>Bergvik skog väst AB</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7792-2025</t>
        </is>
      </c>
      <c r="B10938" s="1" t="n">
        <v>45706.59540509259</v>
      </c>
      <c r="C10938" s="1" t="n">
        <v>45932</v>
      </c>
      <c r="D10938" t="inlineStr">
        <is>
          <t>VÄRMLANDS LÄN</t>
        </is>
      </c>
      <c r="E10938" t="inlineStr">
        <is>
          <t>ARVIKA</t>
        </is>
      </c>
      <c r="F10938" t="inlineStr">
        <is>
          <t>Bergvik skog väst AB</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28936-2023</t>
        </is>
      </c>
      <c r="B10939" s="1" t="n">
        <v>45104</v>
      </c>
      <c r="C10939" s="1" t="n">
        <v>45932</v>
      </c>
      <c r="D10939" t="inlineStr">
        <is>
          <t>VÄRMLANDS LÄN</t>
        </is>
      </c>
      <c r="E10939" t="inlineStr">
        <is>
          <t>EDA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5397-2025</t>
        </is>
      </c>
      <c r="B10940" s="1" t="n">
        <v>45692.63806712963</v>
      </c>
      <c r="C10940" s="1" t="n">
        <v>45932</v>
      </c>
      <c r="D10940" t="inlineStr">
        <is>
          <t>VÄRMLANDS LÄN</t>
        </is>
      </c>
      <c r="E10940" t="inlineStr">
        <is>
          <t>ARVIKA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37279-2022</t>
        </is>
      </c>
      <c r="B10941" s="1" t="n">
        <v>44807</v>
      </c>
      <c r="C10941" s="1" t="n">
        <v>45932</v>
      </c>
      <c r="D10941" t="inlineStr">
        <is>
          <t>VÄRMLANDS LÄN</t>
        </is>
      </c>
      <c r="E10941" t="inlineStr">
        <is>
          <t>TORSBY</t>
        </is>
      </c>
      <c r="G10941" t="n">
        <v>18.2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21929-2023</t>
        </is>
      </c>
      <c r="B10942" s="1" t="n">
        <v>45068</v>
      </c>
      <c r="C10942" s="1" t="n">
        <v>45932</v>
      </c>
      <c r="D10942" t="inlineStr">
        <is>
          <t>VÄRMLANDS LÄN</t>
        </is>
      </c>
      <c r="E10942" t="inlineStr">
        <is>
          <t>STORFORS</t>
        </is>
      </c>
      <c r="G10942" t="n">
        <v>6.8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33831-2023</t>
        </is>
      </c>
      <c r="B10943" s="1" t="n">
        <v>45121</v>
      </c>
      <c r="C10943" s="1" t="n">
        <v>45932</v>
      </c>
      <c r="D10943" t="inlineStr">
        <is>
          <t>VÄRMLANDS LÄN</t>
        </is>
      </c>
      <c r="E10943" t="inlineStr">
        <is>
          <t>ÅRJÄNG</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30346-2022</t>
        </is>
      </c>
      <c r="B10944" s="1" t="n">
        <v>44760.55734953703</v>
      </c>
      <c r="C10944" s="1" t="n">
        <v>45932</v>
      </c>
      <c r="D10944" t="inlineStr">
        <is>
          <t>VÄRMLANDS LÄN</t>
        </is>
      </c>
      <c r="E10944" t="inlineStr">
        <is>
          <t>ÅRJÄNG</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33857-2023</t>
        </is>
      </c>
      <c r="B10945" s="1" t="n">
        <v>45133.75327546296</v>
      </c>
      <c r="C10945" s="1" t="n">
        <v>45932</v>
      </c>
      <c r="D10945" t="inlineStr">
        <is>
          <t>VÄRMLANDS LÄN</t>
        </is>
      </c>
      <c r="E10945" t="inlineStr">
        <is>
          <t>SÄFFLE</t>
        </is>
      </c>
      <c r="G10945" t="n">
        <v>29.5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45379-2024</t>
        </is>
      </c>
      <c r="B10946" s="1" t="n">
        <v>45576.52289351852</v>
      </c>
      <c r="C10946" s="1" t="n">
        <v>45932</v>
      </c>
      <c r="D10946" t="inlineStr">
        <is>
          <t>VÄRMLANDS LÄN</t>
        </is>
      </c>
      <c r="E10946" t="inlineStr">
        <is>
          <t>FILIPSTAD</t>
        </is>
      </c>
      <c r="F10946" t="inlineStr">
        <is>
          <t>Bergvik skog väst AB</t>
        </is>
      </c>
      <c r="G10946" t="n">
        <v>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51658-2023</t>
        </is>
      </c>
      <c r="B10947" s="1" t="n">
        <v>45222</v>
      </c>
      <c r="C10947" s="1" t="n">
        <v>45932</v>
      </c>
      <c r="D10947" t="inlineStr">
        <is>
          <t>VÄRMLANDS LÄN</t>
        </is>
      </c>
      <c r="E10947" t="inlineStr">
        <is>
          <t>ARVIKA</t>
        </is>
      </c>
      <c r="F10947" t="inlineStr">
        <is>
          <t>Bergvik skog väst AB</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29578-2022</t>
        </is>
      </c>
      <c r="B10948" s="1" t="n">
        <v>44754</v>
      </c>
      <c r="C10948" s="1" t="n">
        <v>45932</v>
      </c>
      <c r="D10948" t="inlineStr">
        <is>
          <t>VÄRMLANDS LÄN</t>
        </is>
      </c>
      <c r="E10948" t="inlineStr">
        <is>
          <t>ARVIKA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14459-2023</t>
        </is>
      </c>
      <c r="B10949" s="1" t="n">
        <v>45012</v>
      </c>
      <c r="C10949" s="1" t="n">
        <v>45932</v>
      </c>
      <c r="D10949" t="inlineStr">
        <is>
          <t>VÄRMLANDS LÄN</t>
        </is>
      </c>
      <c r="E10949" t="inlineStr">
        <is>
          <t>FILIPSTAD</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37340-2022</t>
        </is>
      </c>
      <c r="B10950" s="1" t="n">
        <v>44809</v>
      </c>
      <c r="C10950" s="1" t="n">
        <v>45932</v>
      </c>
      <c r="D10950" t="inlineStr">
        <is>
          <t>VÄRMLANDS LÄN</t>
        </is>
      </c>
      <c r="E10950" t="inlineStr">
        <is>
          <t>TORSBY</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59449-2022</t>
        </is>
      </c>
      <c r="B10951" s="1" t="n">
        <v>44907.40783564815</v>
      </c>
      <c r="C10951" s="1" t="n">
        <v>45932</v>
      </c>
      <c r="D10951" t="inlineStr">
        <is>
          <t>VÄRMLANDS LÄN</t>
        </is>
      </c>
      <c r="E10951" t="inlineStr">
        <is>
          <t>STORFORS</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15917-2023</t>
        </is>
      </c>
      <c r="B10952" s="1" t="n">
        <v>45022.51802083333</v>
      </c>
      <c r="C10952" s="1" t="n">
        <v>45932</v>
      </c>
      <c r="D10952" t="inlineStr">
        <is>
          <t>VÄRMLANDS LÄN</t>
        </is>
      </c>
      <c r="E10952" t="inlineStr">
        <is>
          <t>ARVIKA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49229-2023</t>
        </is>
      </c>
      <c r="B10953" s="1" t="n">
        <v>45210.63138888889</v>
      </c>
      <c r="C10953" s="1" t="n">
        <v>45932</v>
      </c>
      <c r="D10953" t="inlineStr">
        <is>
          <t>VÄRMLANDS LÄN</t>
        </is>
      </c>
      <c r="E10953" t="inlineStr">
        <is>
          <t>EDA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12630-2025</t>
        </is>
      </c>
      <c r="B10954" s="1" t="n">
        <v>45733</v>
      </c>
      <c r="C10954" s="1" t="n">
        <v>45932</v>
      </c>
      <c r="D10954" t="inlineStr">
        <is>
          <t>VÄRMLANDS LÄN</t>
        </is>
      </c>
      <c r="E10954" t="inlineStr">
        <is>
          <t>SÄFFLE</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12725-2025</t>
        </is>
      </c>
      <c r="B10955" s="1" t="n">
        <v>45733.49400462963</v>
      </c>
      <c r="C10955" s="1" t="n">
        <v>45932</v>
      </c>
      <c r="D10955" t="inlineStr">
        <is>
          <t>VÄRMLANDS LÄN</t>
        </is>
      </c>
      <c r="E10955" t="inlineStr">
        <is>
          <t>EDA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52317-2020</t>
        </is>
      </c>
      <c r="B10956" s="1" t="n">
        <v>44117.84427083333</v>
      </c>
      <c r="C10956" s="1" t="n">
        <v>45932</v>
      </c>
      <c r="D10956" t="inlineStr">
        <is>
          <t>VÄRMLANDS LÄN</t>
        </is>
      </c>
      <c r="E10956" t="inlineStr">
        <is>
          <t>EDA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18471-2022</t>
        </is>
      </c>
      <c r="B10957" s="1" t="n">
        <v>44686.55461805555</v>
      </c>
      <c r="C10957" s="1" t="n">
        <v>45932</v>
      </c>
      <c r="D10957" t="inlineStr">
        <is>
          <t>VÄRMLANDS LÄN</t>
        </is>
      </c>
      <c r="E10957" t="inlineStr">
        <is>
          <t>KARLSTAD</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59236-2023</t>
        </is>
      </c>
      <c r="B10958" s="1" t="n">
        <v>45253</v>
      </c>
      <c r="C10958" s="1" t="n">
        <v>45932</v>
      </c>
      <c r="D10958" t="inlineStr">
        <is>
          <t>VÄRMLANDS LÄN</t>
        </is>
      </c>
      <c r="E10958" t="inlineStr">
        <is>
          <t>TORSBY</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3821-2025</t>
        </is>
      </c>
      <c r="B10959" s="1" t="n">
        <v>45681.71569444444</v>
      </c>
      <c r="C10959" s="1" t="n">
        <v>45932</v>
      </c>
      <c r="D10959" t="inlineStr">
        <is>
          <t>VÄRMLANDS LÄN</t>
        </is>
      </c>
      <c r="E10959" t="inlineStr">
        <is>
          <t>KARLSTAD</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44627-2025</t>
        </is>
      </c>
      <c r="B10960" s="1" t="n">
        <v>45917</v>
      </c>
      <c r="C10960" s="1" t="n">
        <v>45932</v>
      </c>
      <c r="D10960" t="inlineStr">
        <is>
          <t>VÄRMLANDS LÄN</t>
        </is>
      </c>
      <c r="E10960" t="inlineStr">
        <is>
          <t>KRISTINEHAMN</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40667-2021</t>
        </is>
      </c>
      <c r="B10961" s="1" t="n">
        <v>44420.57980324074</v>
      </c>
      <c r="C10961" s="1" t="n">
        <v>45932</v>
      </c>
      <c r="D10961" t="inlineStr">
        <is>
          <t>VÄRMLANDS LÄN</t>
        </is>
      </c>
      <c r="E10961" t="inlineStr">
        <is>
          <t>EDA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8022-2025</t>
        </is>
      </c>
      <c r="B10962" s="1" t="n">
        <v>45707.57733796296</v>
      </c>
      <c r="C10962" s="1" t="n">
        <v>45932</v>
      </c>
      <c r="D10962" t="inlineStr">
        <is>
          <t>VÄRMLANDS LÄN</t>
        </is>
      </c>
      <c r="E10962" t="inlineStr">
        <is>
          <t>TORSBY</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21074-2024</t>
        </is>
      </c>
      <c r="B10963" s="1" t="n">
        <v>45439.89835648148</v>
      </c>
      <c r="C10963" s="1" t="n">
        <v>45932</v>
      </c>
      <c r="D10963" t="inlineStr">
        <is>
          <t>VÄRMLANDS LÄN</t>
        </is>
      </c>
      <c r="E10963" t="inlineStr">
        <is>
          <t>SÄFFLE</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57678-2024</t>
        </is>
      </c>
      <c r="B10964" s="1" t="n">
        <v>45630</v>
      </c>
      <c r="C10964" s="1" t="n">
        <v>45932</v>
      </c>
      <c r="D10964" t="inlineStr">
        <is>
          <t>VÄRMLANDS LÄN</t>
        </is>
      </c>
      <c r="E10964" t="inlineStr">
        <is>
          <t>SUNNE</t>
        </is>
      </c>
      <c r="F10964" t="inlineStr">
        <is>
          <t>Kyrkan</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36118-2024</t>
        </is>
      </c>
      <c r="B10965" s="1" t="n">
        <v>45534.32197916666</v>
      </c>
      <c r="C10965" s="1" t="n">
        <v>45932</v>
      </c>
      <c r="D10965" t="inlineStr">
        <is>
          <t>VÄRMLANDS LÄN</t>
        </is>
      </c>
      <c r="E10965" t="inlineStr">
        <is>
          <t>KARLSTAD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43420-2024</t>
        </is>
      </c>
      <c r="B10966" s="1" t="n">
        <v>45568</v>
      </c>
      <c r="C10966" s="1" t="n">
        <v>45932</v>
      </c>
      <c r="D10966" t="inlineStr">
        <is>
          <t>VÄRMLANDS LÄN</t>
        </is>
      </c>
      <c r="E10966" t="inlineStr">
        <is>
          <t>TORSBY</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22295-2021</t>
        </is>
      </c>
      <c r="B10967" s="1" t="n">
        <v>44326.45363425926</v>
      </c>
      <c r="C10967" s="1" t="n">
        <v>45932</v>
      </c>
      <c r="D10967" t="inlineStr">
        <is>
          <t>VÄRMLANDS LÄN</t>
        </is>
      </c>
      <c r="E10967" t="inlineStr">
        <is>
          <t>FORSHAGA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36184-2024</t>
        </is>
      </c>
      <c r="B10968" s="1" t="n">
        <v>45534.4178125</v>
      </c>
      <c r="C10968" s="1" t="n">
        <v>45932</v>
      </c>
      <c r="D10968" t="inlineStr">
        <is>
          <t>VÄRMLANDS LÄN</t>
        </is>
      </c>
      <c r="E10968" t="inlineStr">
        <is>
          <t>TORSBY</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17387-2024</t>
        </is>
      </c>
      <c r="B10969" s="1" t="n">
        <v>45414.67236111111</v>
      </c>
      <c r="C10969" s="1" t="n">
        <v>45932</v>
      </c>
      <c r="D10969" t="inlineStr">
        <is>
          <t>VÄRMLANDS LÄN</t>
        </is>
      </c>
      <c r="E10969" t="inlineStr">
        <is>
          <t>ARVIKA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11929-2023</t>
        </is>
      </c>
      <c r="B10970" s="1" t="n">
        <v>44995.49393518519</v>
      </c>
      <c r="C10970" s="1" t="n">
        <v>45932</v>
      </c>
      <c r="D10970" t="inlineStr">
        <is>
          <t>VÄRMLANDS LÄN</t>
        </is>
      </c>
      <c r="E10970" t="inlineStr">
        <is>
          <t>KIL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58616-2021</t>
        </is>
      </c>
      <c r="B10971" s="1" t="n">
        <v>44489.32222222222</v>
      </c>
      <c r="C10971" s="1" t="n">
        <v>45932</v>
      </c>
      <c r="D10971" t="inlineStr">
        <is>
          <t>VÄRMLANDS LÄN</t>
        </is>
      </c>
      <c r="E10971" t="inlineStr">
        <is>
          <t>KRISTINEHAMN</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53786-2020</t>
        </is>
      </c>
      <c r="B10972" s="1" t="n">
        <v>44124</v>
      </c>
      <c r="C10972" s="1" t="n">
        <v>45932</v>
      </c>
      <c r="D10972" t="inlineStr">
        <is>
          <t>VÄRMLANDS LÄN</t>
        </is>
      </c>
      <c r="E10972" t="inlineStr">
        <is>
          <t>FILIPSTAD</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16012-2024</t>
        </is>
      </c>
      <c r="B10973" s="1" t="n">
        <v>45405.6524074074</v>
      </c>
      <c r="C10973" s="1" t="n">
        <v>45932</v>
      </c>
      <c r="D10973" t="inlineStr">
        <is>
          <t>VÄRMLANDS LÄN</t>
        </is>
      </c>
      <c r="E10973" t="inlineStr">
        <is>
          <t>ÅRJÄNG</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58392-2022</t>
        </is>
      </c>
      <c r="B10974" s="1" t="n">
        <v>44901</v>
      </c>
      <c r="C10974" s="1" t="n">
        <v>45932</v>
      </c>
      <c r="D10974" t="inlineStr">
        <is>
          <t>VÄRMLANDS LÄN</t>
        </is>
      </c>
      <c r="E10974" t="inlineStr">
        <is>
          <t>EDA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12826-2025</t>
        </is>
      </c>
      <c r="B10975" s="1" t="n">
        <v>45733.62822916666</v>
      </c>
      <c r="C10975" s="1" t="n">
        <v>45932</v>
      </c>
      <c r="D10975" t="inlineStr">
        <is>
          <t>VÄRMLANDS LÄN</t>
        </is>
      </c>
      <c r="E10975" t="inlineStr">
        <is>
          <t>EDA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14801-2025</t>
        </is>
      </c>
      <c r="B10976" s="1" t="n">
        <v>45743</v>
      </c>
      <c r="C10976" s="1" t="n">
        <v>45932</v>
      </c>
      <c r="D10976" t="inlineStr">
        <is>
          <t>VÄRMLANDS LÄN</t>
        </is>
      </c>
      <c r="E10976" t="inlineStr">
        <is>
          <t>TORSBY</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14858-2025</t>
        </is>
      </c>
      <c r="B10977" s="1" t="n">
        <v>45743</v>
      </c>
      <c r="C10977" s="1" t="n">
        <v>45932</v>
      </c>
      <c r="D10977" t="inlineStr">
        <is>
          <t>VÄRMLANDS LÄN</t>
        </is>
      </c>
      <c r="E10977" t="inlineStr">
        <is>
          <t>SÄFFLE</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36293-2023</t>
        </is>
      </c>
      <c r="B10978" s="1" t="n">
        <v>45152</v>
      </c>
      <c r="C10978" s="1" t="n">
        <v>45932</v>
      </c>
      <c r="D10978" t="inlineStr">
        <is>
          <t>VÄRMLANDS LÄN</t>
        </is>
      </c>
      <c r="E10978" t="inlineStr">
        <is>
          <t>HAGFORS</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35337-2022</t>
        </is>
      </c>
      <c r="B10979" s="1" t="n">
        <v>44798</v>
      </c>
      <c r="C10979" s="1" t="n">
        <v>45932</v>
      </c>
      <c r="D10979" t="inlineStr">
        <is>
          <t>VÄRMLANDS LÄN</t>
        </is>
      </c>
      <c r="E10979" t="inlineStr">
        <is>
          <t>SUNNE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37652-2023</t>
        </is>
      </c>
      <c r="B10980" s="1" t="n">
        <v>45159</v>
      </c>
      <c r="C10980" s="1" t="n">
        <v>45932</v>
      </c>
      <c r="D10980" t="inlineStr">
        <is>
          <t>VÄRMLANDS LÄN</t>
        </is>
      </c>
      <c r="E10980" t="inlineStr">
        <is>
          <t>ARVIKA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28530-2023</t>
        </is>
      </c>
      <c r="B10981" s="1" t="n">
        <v>45103</v>
      </c>
      <c r="C10981" s="1" t="n">
        <v>45932</v>
      </c>
      <c r="D10981" t="inlineStr">
        <is>
          <t>VÄRMLANDS LÄN</t>
        </is>
      </c>
      <c r="E10981" t="inlineStr">
        <is>
          <t>KARLSTAD</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10087-2025</t>
        </is>
      </c>
      <c r="B10982" s="1" t="n">
        <v>45719</v>
      </c>
      <c r="C10982" s="1" t="n">
        <v>45932</v>
      </c>
      <c r="D10982" t="inlineStr">
        <is>
          <t>VÄRMLANDS LÄN</t>
        </is>
      </c>
      <c r="E10982" t="inlineStr">
        <is>
          <t>SÄFFLE</t>
        </is>
      </c>
      <c r="G10982" t="n">
        <v>11.9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61643-2023</t>
        </is>
      </c>
      <c r="B10983" s="1" t="n">
        <v>45261</v>
      </c>
      <c r="C10983" s="1" t="n">
        <v>45932</v>
      </c>
      <c r="D10983" t="inlineStr">
        <is>
          <t>VÄRMLANDS LÄN</t>
        </is>
      </c>
      <c r="E10983" t="inlineStr">
        <is>
          <t>SÄFFLE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12740-2025</t>
        </is>
      </c>
      <c r="B10984" s="1" t="n">
        <v>45733</v>
      </c>
      <c r="C10984" s="1" t="n">
        <v>45932</v>
      </c>
      <c r="D10984" t="inlineStr">
        <is>
          <t>VÄRMLANDS LÄN</t>
        </is>
      </c>
      <c r="E10984" t="inlineStr">
        <is>
          <t>ÅRJÄNG</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6938-2024</t>
        </is>
      </c>
      <c r="B10985" s="1" t="n">
        <v>45343</v>
      </c>
      <c r="C10985" s="1" t="n">
        <v>45932</v>
      </c>
      <c r="D10985" t="inlineStr">
        <is>
          <t>VÄRMLANDS LÄN</t>
        </is>
      </c>
      <c r="E10985" t="inlineStr">
        <is>
          <t>GRUMS</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9057-2025</t>
        </is>
      </c>
      <c r="B10986" s="1" t="n">
        <v>45713</v>
      </c>
      <c r="C10986" s="1" t="n">
        <v>45932</v>
      </c>
      <c r="D10986" t="inlineStr">
        <is>
          <t>VÄRMLANDS LÄN</t>
        </is>
      </c>
      <c r="E10986" t="inlineStr">
        <is>
          <t>ARVIKA</t>
        </is>
      </c>
      <c r="G10986" t="n">
        <v>8.199999999999999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9059-2025</t>
        </is>
      </c>
      <c r="B10987" s="1" t="n">
        <v>45713</v>
      </c>
      <c r="C10987" s="1" t="n">
        <v>45932</v>
      </c>
      <c r="D10987" t="inlineStr">
        <is>
          <t>VÄRMLANDS LÄN</t>
        </is>
      </c>
      <c r="E10987" t="inlineStr">
        <is>
          <t>ARVIKA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12215-2021</t>
        </is>
      </c>
      <c r="B10988" s="1" t="n">
        <v>44266</v>
      </c>
      <c r="C10988" s="1" t="n">
        <v>45932</v>
      </c>
      <c r="D10988" t="inlineStr">
        <is>
          <t>VÄRMLANDS LÄN</t>
        </is>
      </c>
      <c r="E10988" t="inlineStr">
        <is>
          <t>KIL</t>
        </is>
      </c>
      <c r="F10988" t="inlineStr">
        <is>
          <t>Kommuner</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46737-2022</t>
        </is>
      </c>
      <c r="B10989" s="1" t="n">
        <v>44851.44445601852</v>
      </c>
      <c r="C10989" s="1" t="n">
        <v>45932</v>
      </c>
      <c r="D10989" t="inlineStr">
        <is>
          <t>VÄRMLANDS LÄN</t>
        </is>
      </c>
      <c r="E10989" t="inlineStr">
        <is>
          <t>EDA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29401-2023</t>
        </is>
      </c>
      <c r="B10990" s="1" t="n">
        <v>45106.45290509259</v>
      </c>
      <c r="C10990" s="1" t="n">
        <v>45932</v>
      </c>
      <c r="D10990" t="inlineStr">
        <is>
          <t>VÄRMLANDS LÄN</t>
        </is>
      </c>
      <c r="E10990" t="inlineStr">
        <is>
          <t>EDA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23818-2022</t>
        </is>
      </c>
      <c r="B10991" s="1" t="n">
        <v>44722</v>
      </c>
      <c r="C10991" s="1" t="n">
        <v>45932</v>
      </c>
      <c r="D10991" t="inlineStr">
        <is>
          <t>VÄRMLANDS LÄN</t>
        </is>
      </c>
      <c r="E10991" t="inlineStr">
        <is>
          <t>TORSBY</t>
        </is>
      </c>
      <c r="G10991" t="n">
        <v>23.5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31901-2022</t>
        </is>
      </c>
      <c r="B10992" s="1" t="n">
        <v>44777.52087962963</v>
      </c>
      <c r="C10992" s="1" t="n">
        <v>45932</v>
      </c>
      <c r="D10992" t="inlineStr">
        <is>
          <t>VÄRMLANDS LÄN</t>
        </is>
      </c>
      <c r="E10992" t="inlineStr">
        <is>
          <t>EDA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31945-2022</t>
        </is>
      </c>
      <c r="B10993" s="1" t="n">
        <v>44777.69274305556</v>
      </c>
      <c r="C10993" s="1" t="n">
        <v>45932</v>
      </c>
      <c r="D10993" t="inlineStr">
        <is>
          <t>VÄRMLANDS LÄN</t>
        </is>
      </c>
      <c r="E10993" t="inlineStr">
        <is>
          <t>SÄFFLE</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32011-2022</t>
        </is>
      </c>
      <c r="B10994" s="1" t="n">
        <v>44778</v>
      </c>
      <c r="C10994" s="1" t="n">
        <v>45932</v>
      </c>
      <c r="D10994" t="inlineStr">
        <is>
          <t>VÄRMLANDS LÄN</t>
        </is>
      </c>
      <c r="E10994" t="inlineStr">
        <is>
          <t>SUNNE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60996-2024</t>
        </is>
      </c>
      <c r="B10995" s="1" t="n">
        <v>45645</v>
      </c>
      <c r="C10995" s="1" t="n">
        <v>45932</v>
      </c>
      <c r="D10995" t="inlineStr">
        <is>
          <t>VÄRMLANDS LÄN</t>
        </is>
      </c>
      <c r="E10995" t="inlineStr">
        <is>
          <t>SUNNE</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19996-2022</t>
        </is>
      </c>
      <c r="B10996" s="1" t="n">
        <v>44697</v>
      </c>
      <c r="C10996" s="1" t="n">
        <v>45932</v>
      </c>
      <c r="D10996" t="inlineStr">
        <is>
          <t>VÄRMLANDS LÄN</t>
        </is>
      </c>
      <c r="E10996" t="inlineStr">
        <is>
          <t>FORSHAGA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61913-2024</t>
        </is>
      </c>
      <c r="B10997" s="1" t="n">
        <v>45653.38708333333</v>
      </c>
      <c r="C10997" s="1" t="n">
        <v>45932</v>
      </c>
      <c r="D10997" t="inlineStr">
        <is>
          <t>VÄRMLANDS LÄN</t>
        </is>
      </c>
      <c r="E10997" t="inlineStr">
        <is>
          <t>ÅRJÄNG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54950-2022</t>
        </is>
      </c>
      <c r="B10998" s="1" t="n">
        <v>44886</v>
      </c>
      <c r="C10998" s="1" t="n">
        <v>45932</v>
      </c>
      <c r="D10998" t="inlineStr">
        <is>
          <t>VÄRMLANDS LÄN</t>
        </is>
      </c>
      <c r="E10998" t="inlineStr">
        <is>
          <t>ÅRJÄNG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14378-2022</t>
        </is>
      </c>
      <c r="B10999" s="1" t="n">
        <v>44652</v>
      </c>
      <c r="C10999" s="1" t="n">
        <v>45932</v>
      </c>
      <c r="D10999" t="inlineStr">
        <is>
          <t>VÄRMLANDS LÄN</t>
        </is>
      </c>
      <c r="E10999" t="inlineStr">
        <is>
          <t>SUNNE</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17548-2023</t>
        </is>
      </c>
      <c r="B11000" s="1" t="n">
        <v>45036</v>
      </c>
      <c r="C11000" s="1" t="n">
        <v>45932</v>
      </c>
      <c r="D11000" t="inlineStr">
        <is>
          <t>VÄRMLANDS LÄN</t>
        </is>
      </c>
      <c r="E11000" t="inlineStr">
        <is>
          <t>TORSBY</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21308-2021</t>
        </is>
      </c>
      <c r="B11001" s="1" t="n">
        <v>44320</v>
      </c>
      <c r="C11001" s="1" t="n">
        <v>45932</v>
      </c>
      <c r="D11001" t="inlineStr">
        <is>
          <t>VÄRMLANDS LÄN</t>
        </is>
      </c>
      <c r="E11001" t="inlineStr">
        <is>
          <t>EDA</t>
        </is>
      </c>
      <c r="G11001" t="n">
        <v>15.1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21381-2021</t>
        </is>
      </c>
      <c r="B11002" s="1" t="n">
        <v>44320</v>
      </c>
      <c r="C11002" s="1" t="n">
        <v>45932</v>
      </c>
      <c r="D11002" t="inlineStr">
        <is>
          <t>VÄRMLANDS LÄN</t>
        </is>
      </c>
      <c r="E11002" t="inlineStr">
        <is>
          <t>ARVIKA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65086-2023</t>
        </is>
      </c>
      <c r="B11003" s="1" t="n">
        <v>45288</v>
      </c>
      <c r="C11003" s="1" t="n">
        <v>45932</v>
      </c>
      <c r="D11003" t="inlineStr">
        <is>
          <t>VÄRMLANDS LÄN</t>
        </is>
      </c>
      <c r="E11003" t="inlineStr">
        <is>
          <t>KARLSTAD</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65134-2023</t>
        </is>
      </c>
      <c r="B11004" s="1" t="n">
        <v>45288.52010416667</v>
      </c>
      <c r="C11004" s="1" t="n">
        <v>45932</v>
      </c>
      <c r="D11004" t="inlineStr">
        <is>
          <t>VÄRMLANDS LÄN</t>
        </is>
      </c>
      <c r="E11004" t="inlineStr">
        <is>
          <t>TORSBY</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45154-2023</t>
        </is>
      </c>
      <c r="B11005" s="1" t="n">
        <v>45191</v>
      </c>
      <c r="C11005" s="1" t="n">
        <v>45932</v>
      </c>
      <c r="D11005" t="inlineStr">
        <is>
          <t>VÄRMLANDS LÄN</t>
        </is>
      </c>
      <c r="E11005" t="inlineStr">
        <is>
          <t>STORFORS</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40573-2024</t>
        </is>
      </c>
      <c r="B11006" s="1" t="n">
        <v>45555.69518518518</v>
      </c>
      <c r="C11006" s="1" t="n">
        <v>45932</v>
      </c>
      <c r="D11006" t="inlineStr">
        <is>
          <t>VÄRMLANDS LÄN</t>
        </is>
      </c>
      <c r="E11006" t="inlineStr">
        <is>
          <t>TORSBY</t>
        </is>
      </c>
      <c r="F11006" t="inlineStr">
        <is>
          <t>Bergvik skog väst AB</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6962-2025</t>
        </is>
      </c>
      <c r="B11007" s="1" t="n">
        <v>45701</v>
      </c>
      <c r="C11007" s="1" t="n">
        <v>45932</v>
      </c>
      <c r="D11007" t="inlineStr">
        <is>
          <t>VÄRMLANDS LÄN</t>
        </is>
      </c>
      <c r="E11007" t="inlineStr">
        <is>
          <t>ÅRJÄNG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17123-2025</t>
        </is>
      </c>
      <c r="B11008" s="1" t="n">
        <v>45755.69649305556</v>
      </c>
      <c r="C11008" s="1" t="n">
        <v>45932</v>
      </c>
      <c r="D11008" t="inlineStr">
        <is>
          <t>VÄRMLANDS LÄN</t>
        </is>
      </c>
      <c r="E11008" t="inlineStr">
        <is>
          <t>ARVIKA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502-2024</t>
        </is>
      </c>
      <c r="B11009" s="1" t="n">
        <v>45299</v>
      </c>
      <c r="C11009" s="1" t="n">
        <v>45932</v>
      </c>
      <c r="D11009" t="inlineStr">
        <is>
          <t>VÄRMLANDS LÄN</t>
        </is>
      </c>
      <c r="E11009" t="inlineStr">
        <is>
          <t>TORSBY</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59871-2024</t>
        </is>
      </c>
      <c r="B11010" s="1" t="n">
        <v>45640</v>
      </c>
      <c r="C11010" s="1" t="n">
        <v>45932</v>
      </c>
      <c r="D11010" t="inlineStr">
        <is>
          <t>VÄRMLANDS LÄN</t>
        </is>
      </c>
      <c r="E11010" t="inlineStr">
        <is>
          <t>KIL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59890-2024</t>
        </is>
      </c>
      <c r="B11011" s="1" t="n">
        <v>45641</v>
      </c>
      <c r="C11011" s="1" t="n">
        <v>45932</v>
      </c>
      <c r="D11011" t="inlineStr">
        <is>
          <t>VÄRMLANDS LÄN</t>
        </is>
      </c>
      <c r="E11011" t="inlineStr">
        <is>
          <t>KARLSTAD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25813-2023</t>
        </is>
      </c>
      <c r="B11012" s="1" t="n">
        <v>45090</v>
      </c>
      <c r="C11012" s="1" t="n">
        <v>45932</v>
      </c>
      <c r="D11012" t="inlineStr">
        <is>
          <t>VÄRMLANDS LÄN</t>
        </is>
      </c>
      <c r="E11012" t="inlineStr">
        <is>
          <t>EDA</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4302-2025</t>
        </is>
      </c>
      <c r="B11013" s="1" t="n">
        <v>45685.67939814815</v>
      </c>
      <c r="C11013" s="1" t="n">
        <v>45932</v>
      </c>
      <c r="D11013" t="inlineStr">
        <is>
          <t>VÄRMLANDS LÄN</t>
        </is>
      </c>
      <c r="E11013" t="inlineStr">
        <is>
          <t>TORSBY</t>
        </is>
      </c>
      <c r="F11013" t="inlineStr">
        <is>
          <t>Kommuner</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19159-2024</t>
        </is>
      </c>
      <c r="B11014" s="1" t="n">
        <v>45428.45182870371</v>
      </c>
      <c r="C11014" s="1" t="n">
        <v>45932</v>
      </c>
      <c r="D11014" t="inlineStr">
        <is>
          <t>VÄRMLANDS LÄN</t>
        </is>
      </c>
      <c r="E11014" t="inlineStr">
        <is>
          <t>FILIPSTAD</t>
        </is>
      </c>
      <c r="F11014" t="inlineStr">
        <is>
          <t>Bergvik skog väst AB</t>
        </is>
      </c>
      <c r="G11014" t="n">
        <v>8.4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19161-2024</t>
        </is>
      </c>
      <c r="B11015" s="1" t="n">
        <v>45428</v>
      </c>
      <c r="C11015" s="1" t="n">
        <v>45932</v>
      </c>
      <c r="D11015" t="inlineStr">
        <is>
          <t>VÄRMLANDS LÄN</t>
        </is>
      </c>
      <c r="E11015" t="inlineStr">
        <is>
          <t>SÄFFLE</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19175-2024</t>
        </is>
      </c>
      <c r="B11016" s="1" t="n">
        <v>45428</v>
      </c>
      <c r="C11016" s="1" t="n">
        <v>45932</v>
      </c>
      <c r="D11016" t="inlineStr">
        <is>
          <t>VÄRMLANDS LÄN</t>
        </is>
      </c>
      <c r="E11016" t="inlineStr">
        <is>
          <t>SUNNE</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54335-2021</t>
        </is>
      </c>
      <c r="B11017" s="1" t="n">
        <v>44472.93063657408</v>
      </c>
      <c r="C11017" s="1" t="n">
        <v>45932</v>
      </c>
      <c r="D11017" t="inlineStr">
        <is>
          <t>VÄRMLANDS LÄN</t>
        </is>
      </c>
      <c r="E11017" t="inlineStr">
        <is>
          <t>ÅRJÄNG</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2314-2022</t>
        </is>
      </c>
      <c r="B11018" s="1" t="n">
        <v>44578.78197916667</v>
      </c>
      <c r="C11018" s="1" t="n">
        <v>45932</v>
      </c>
      <c r="D11018" t="inlineStr">
        <is>
          <t>VÄRMLANDS LÄN</t>
        </is>
      </c>
      <c r="E11018" t="inlineStr">
        <is>
          <t>KIL</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17756-2023</t>
        </is>
      </c>
      <c r="B11019" s="1" t="n">
        <v>45037.4796412037</v>
      </c>
      <c r="C11019" s="1" t="n">
        <v>45932</v>
      </c>
      <c r="D11019" t="inlineStr">
        <is>
          <t>VÄRMLANDS LÄN</t>
        </is>
      </c>
      <c r="E11019" t="inlineStr">
        <is>
          <t>STORFORS</t>
        </is>
      </c>
      <c r="G11019" t="n">
        <v>8.1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49913-2024</t>
        </is>
      </c>
      <c r="B11020" s="1" t="n">
        <v>45597</v>
      </c>
      <c r="C11020" s="1" t="n">
        <v>45932</v>
      </c>
      <c r="D11020" t="inlineStr">
        <is>
          <t>VÄRMLANDS LÄN</t>
        </is>
      </c>
      <c r="E11020" t="inlineStr">
        <is>
          <t>ARVIKA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20145-2025</t>
        </is>
      </c>
      <c r="B11021" s="1" t="n">
        <v>45772.53273148148</v>
      </c>
      <c r="C11021" s="1" t="n">
        <v>45932</v>
      </c>
      <c r="D11021" t="inlineStr">
        <is>
          <t>VÄRMLANDS LÄN</t>
        </is>
      </c>
      <c r="E11021" t="inlineStr">
        <is>
          <t>KRISTINEHAMN</t>
        </is>
      </c>
      <c r="F11021" t="inlineStr">
        <is>
          <t>Sveaskog</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38433-2024</t>
        </is>
      </c>
      <c r="B11022" s="1" t="n">
        <v>45546</v>
      </c>
      <c r="C11022" s="1" t="n">
        <v>45932</v>
      </c>
      <c r="D11022" t="inlineStr">
        <is>
          <t>VÄRMLANDS LÄN</t>
        </is>
      </c>
      <c r="E11022" t="inlineStr">
        <is>
          <t>ÅRJÄNG</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50353-2023</t>
        </is>
      </c>
      <c r="B11023" s="1" t="n">
        <v>45216.58539351852</v>
      </c>
      <c r="C11023" s="1" t="n">
        <v>45932</v>
      </c>
      <c r="D11023" t="inlineStr">
        <is>
          <t>VÄRMLANDS LÄN</t>
        </is>
      </c>
      <c r="E11023" t="inlineStr">
        <is>
          <t>SUNNE</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70127-2021</t>
        </is>
      </c>
      <c r="B11024" s="1" t="n">
        <v>44533.62737268519</v>
      </c>
      <c r="C11024" s="1" t="n">
        <v>45932</v>
      </c>
      <c r="D11024" t="inlineStr">
        <is>
          <t>VÄRMLANDS LÄN</t>
        </is>
      </c>
      <c r="E11024" t="inlineStr">
        <is>
          <t>KARLSTAD</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27507-2023</t>
        </is>
      </c>
      <c r="B11025" s="1" t="n">
        <v>45097</v>
      </c>
      <c r="C11025" s="1" t="n">
        <v>45932</v>
      </c>
      <c r="D11025" t="inlineStr">
        <is>
          <t>VÄRMLANDS LÄN</t>
        </is>
      </c>
      <c r="E11025" t="inlineStr">
        <is>
          <t>KARLSTAD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2797-2025</t>
        </is>
      </c>
      <c r="B11026" s="1" t="n">
        <v>45677</v>
      </c>
      <c r="C11026" s="1" t="n">
        <v>45932</v>
      </c>
      <c r="D11026" t="inlineStr">
        <is>
          <t>VÄRMLANDS LÄN</t>
        </is>
      </c>
      <c r="E11026" t="inlineStr">
        <is>
          <t>TORSBY</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13534-2024</t>
        </is>
      </c>
      <c r="B11027" s="1" t="n">
        <v>45387.89773148148</v>
      </c>
      <c r="C11027" s="1" t="n">
        <v>45932</v>
      </c>
      <c r="D11027" t="inlineStr">
        <is>
          <t>VÄRMLANDS LÄN</t>
        </is>
      </c>
      <c r="E11027" t="inlineStr">
        <is>
          <t>KARLSTAD</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16358-2023</t>
        </is>
      </c>
      <c r="B11028" s="1" t="n">
        <v>45028.71484953703</v>
      </c>
      <c r="C11028" s="1" t="n">
        <v>45932</v>
      </c>
      <c r="D11028" t="inlineStr">
        <is>
          <t>VÄRMLANDS LÄN</t>
        </is>
      </c>
      <c r="E11028" t="inlineStr">
        <is>
          <t>SUNNE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63128-2023</t>
        </is>
      </c>
      <c r="B11029" s="1" t="n">
        <v>45273</v>
      </c>
      <c r="C11029" s="1" t="n">
        <v>45932</v>
      </c>
      <c r="D11029" t="inlineStr">
        <is>
          <t>VÄRMLANDS LÄN</t>
        </is>
      </c>
      <c r="E11029" t="inlineStr">
        <is>
          <t>ARVIKA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3550-2024</t>
        </is>
      </c>
      <c r="B11030" s="1" t="n">
        <v>45320.61056712963</v>
      </c>
      <c r="C11030" s="1" t="n">
        <v>45932</v>
      </c>
      <c r="D11030" t="inlineStr">
        <is>
          <t>VÄRMLANDS LÄN</t>
        </is>
      </c>
      <c r="E11030" t="inlineStr">
        <is>
          <t>KARLSTAD</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63158-2023</t>
        </is>
      </c>
      <c r="B11031" s="1" t="n">
        <v>45273.51715277778</v>
      </c>
      <c r="C11031" s="1" t="n">
        <v>45932</v>
      </c>
      <c r="D11031" t="inlineStr">
        <is>
          <t>VÄRMLANDS LÄN</t>
        </is>
      </c>
      <c r="E11031" t="inlineStr">
        <is>
          <t>TORSBY</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45355-2023</t>
        </is>
      </c>
      <c r="B11032" s="1" t="n">
        <v>45192</v>
      </c>
      <c r="C11032" s="1" t="n">
        <v>45932</v>
      </c>
      <c r="D11032" t="inlineStr">
        <is>
          <t>VÄRMLANDS LÄN</t>
        </is>
      </c>
      <c r="E11032" t="inlineStr">
        <is>
          <t>EDA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34568-2022</t>
        </is>
      </c>
      <c r="B11033" s="1" t="n">
        <v>44795.28277777778</v>
      </c>
      <c r="C11033" s="1" t="n">
        <v>45932</v>
      </c>
      <c r="D11033" t="inlineStr">
        <is>
          <t>VÄRMLANDS LÄN</t>
        </is>
      </c>
      <c r="E11033" t="inlineStr">
        <is>
          <t>TORSBY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20444-2024</t>
        </is>
      </c>
      <c r="B11034" s="1" t="n">
        <v>45435</v>
      </c>
      <c r="C11034" s="1" t="n">
        <v>45932</v>
      </c>
      <c r="D11034" t="inlineStr">
        <is>
          <t>VÄRMLANDS LÄN</t>
        </is>
      </c>
      <c r="E11034" t="inlineStr">
        <is>
          <t>HAGFORS</t>
        </is>
      </c>
      <c r="F11034" t="inlineStr">
        <is>
          <t>Bergvik skog väst AB</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49149-2023</t>
        </is>
      </c>
      <c r="B11035" s="1" t="n">
        <v>45210</v>
      </c>
      <c r="C11035" s="1" t="n">
        <v>45932</v>
      </c>
      <c r="D11035" t="inlineStr">
        <is>
          <t>VÄRMLANDS LÄN</t>
        </is>
      </c>
      <c r="E11035" t="inlineStr">
        <is>
          <t>KRISTINEHAMN</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35879-2023</t>
        </is>
      </c>
      <c r="B11036" s="1" t="n">
        <v>45148.58450231481</v>
      </c>
      <c r="C11036" s="1" t="n">
        <v>45932</v>
      </c>
      <c r="D11036" t="inlineStr">
        <is>
          <t>VÄRMLANDS LÄN</t>
        </is>
      </c>
      <c r="E11036" t="inlineStr">
        <is>
          <t>KARLSTAD</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35886-2023</t>
        </is>
      </c>
      <c r="B11037" s="1" t="n">
        <v>45148.59436342592</v>
      </c>
      <c r="C11037" s="1" t="n">
        <v>45932</v>
      </c>
      <c r="D11037" t="inlineStr">
        <is>
          <t>VÄRMLANDS LÄN</t>
        </is>
      </c>
      <c r="E11037" t="inlineStr">
        <is>
          <t>HAGFORS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9015-2024</t>
        </is>
      </c>
      <c r="B11038" s="1" t="n">
        <v>45356</v>
      </c>
      <c r="C11038" s="1" t="n">
        <v>45932</v>
      </c>
      <c r="D11038" t="inlineStr">
        <is>
          <t>VÄRMLANDS LÄN</t>
        </is>
      </c>
      <c r="E11038" t="inlineStr">
        <is>
          <t>SÄFFLE</t>
        </is>
      </c>
      <c r="F11038" t="inlineStr">
        <is>
          <t>Bergvik skog väst AB</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4516-2025</t>
        </is>
      </c>
      <c r="B11039" s="1" t="n">
        <v>45686.88212962963</v>
      </c>
      <c r="C11039" s="1" t="n">
        <v>45932</v>
      </c>
      <c r="D11039" t="inlineStr">
        <is>
          <t>VÄRMLANDS LÄN</t>
        </is>
      </c>
      <c r="E11039" t="inlineStr">
        <is>
          <t>TORSBY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4517-2025</t>
        </is>
      </c>
      <c r="B11040" s="1" t="n">
        <v>45686</v>
      </c>
      <c r="C11040" s="1" t="n">
        <v>45932</v>
      </c>
      <c r="D11040" t="inlineStr">
        <is>
          <t>VÄRMLANDS LÄN</t>
        </is>
      </c>
      <c r="E11040" t="inlineStr">
        <is>
          <t>TORSBY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25537-2022</t>
        </is>
      </c>
      <c r="B11041" s="1" t="n">
        <v>44732</v>
      </c>
      <c r="C11041" s="1" t="n">
        <v>45932</v>
      </c>
      <c r="D11041" t="inlineStr">
        <is>
          <t>VÄRMLANDS LÄN</t>
        </is>
      </c>
      <c r="E11041" t="inlineStr">
        <is>
          <t>TORSBY</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57642-2023</t>
        </is>
      </c>
      <c r="B11042" s="1" t="n">
        <v>45246.5915625</v>
      </c>
      <c r="C11042" s="1" t="n">
        <v>45932</v>
      </c>
      <c r="D11042" t="inlineStr">
        <is>
          <t>VÄRMLANDS LÄN</t>
        </is>
      </c>
      <c r="E11042" t="inlineStr">
        <is>
          <t>TORSBY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58013-2023</t>
        </is>
      </c>
      <c r="B11043" s="1" t="n">
        <v>45247.62346064814</v>
      </c>
      <c r="C11043" s="1" t="n">
        <v>45932</v>
      </c>
      <c r="D11043" t="inlineStr">
        <is>
          <t>VÄRMLANDS LÄN</t>
        </is>
      </c>
      <c r="E11043" t="inlineStr">
        <is>
          <t>TORSBY</t>
        </is>
      </c>
      <c r="F11043" t="inlineStr">
        <is>
          <t>Bergvik skog väst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36251-2022</t>
        </is>
      </c>
      <c r="B11044" s="1" t="n">
        <v>44803</v>
      </c>
      <c r="C11044" s="1" t="n">
        <v>45932</v>
      </c>
      <c r="D11044" t="inlineStr">
        <is>
          <t>VÄRMLANDS LÄN</t>
        </is>
      </c>
      <c r="E11044" t="inlineStr">
        <is>
          <t>FILIPSTAD</t>
        </is>
      </c>
      <c r="F11044" t="inlineStr">
        <is>
          <t>Bergvik skog väst AB</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36290-2022</t>
        </is>
      </c>
      <c r="B11045" s="1" t="n">
        <v>44803</v>
      </c>
      <c r="C11045" s="1" t="n">
        <v>45932</v>
      </c>
      <c r="D11045" t="inlineStr">
        <is>
          <t>VÄRMLANDS LÄN</t>
        </is>
      </c>
      <c r="E11045" t="inlineStr">
        <is>
          <t>TORSBY</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15773-2021</t>
        </is>
      </c>
      <c r="B11046" s="1" t="n">
        <v>44286.57388888889</v>
      </c>
      <c r="C11046" s="1" t="n">
        <v>45932</v>
      </c>
      <c r="D11046" t="inlineStr">
        <is>
          <t>VÄRMLANDS LÄN</t>
        </is>
      </c>
      <c r="E11046" t="inlineStr">
        <is>
          <t>SUNNE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16359-2023</t>
        </is>
      </c>
      <c r="B11047" s="1" t="n">
        <v>45028.72045138889</v>
      </c>
      <c r="C11047" s="1" t="n">
        <v>45932</v>
      </c>
      <c r="D11047" t="inlineStr">
        <is>
          <t>VÄRMLANDS LÄN</t>
        </is>
      </c>
      <c r="E11047" t="inlineStr">
        <is>
          <t>STORFORS</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39038-2024</t>
        </is>
      </c>
      <c r="B11048" s="1" t="n">
        <v>45548</v>
      </c>
      <c r="C11048" s="1" t="n">
        <v>45932</v>
      </c>
      <c r="D11048" t="inlineStr">
        <is>
          <t>VÄRMLANDS LÄN</t>
        </is>
      </c>
      <c r="E11048" t="inlineStr">
        <is>
          <t>KARLSTAD</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73231-2021</t>
        </is>
      </c>
      <c r="B11049" s="1" t="n">
        <v>44550.65840277778</v>
      </c>
      <c r="C11049" s="1" t="n">
        <v>45932</v>
      </c>
      <c r="D11049" t="inlineStr">
        <is>
          <t>VÄRMLANDS LÄN</t>
        </is>
      </c>
      <c r="E11049" t="inlineStr">
        <is>
          <t>SUNNE</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58050-2024</t>
        </is>
      </c>
      <c r="B11050" s="1" t="n">
        <v>45631</v>
      </c>
      <c r="C11050" s="1" t="n">
        <v>45932</v>
      </c>
      <c r="D11050" t="inlineStr">
        <is>
          <t>VÄRMLANDS LÄN</t>
        </is>
      </c>
      <c r="E11050" t="inlineStr">
        <is>
          <t>MUNKFORS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39075-2024</t>
        </is>
      </c>
      <c r="B11051" s="1" t="n">
        <v>45548</v>
      </c>
      <c r="C11051" s="1" t="n">
        <v>45932</v>
      </c>
      <c r="D11051" t="inlineStr">
        <is>
          <t>VÄRMLANDS LÄN</t>
        </is>
      </c>
      <c r="E11051" t="inlineStr">
        <is>
          <t>TORSBY</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67547-2020</t>
        </is>
      </c>
      <c r="B11052" s="1" t="n">
        <v>44181</v>
      </c>
      <c r="C11052" s="1" t="n">
        <v>45932</v>
      </c>
      <c r="D11052" t="inlineStr">
        <is>
          <t>VÄRMLANDS LÄN</t>
        </is>
      </c>
      <c r="E11052" t="inlineStr">
        <is>
          <t>TORSBY</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15961-2021</t>
        </is>
      </c>
      <c r="B11053" s="1" t="n">
        <v>44287</v>
      </c>
      <c r="C11053" s="1" t="n">
        <v>45932</v>
      </c>
      <c r="D11053" t="inlineStr">
        <is>
          <t>VÄRMLANDS LÄN</t>
        </is>
      </c>
      <c r="E11053" t="inlineStr">
        <is>
          <t>SÄFFLE</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12128-2025</t>
        </is>
      </c>
      <c r="B11054" s="1" t="n">
        <v>45729.38483796296</v>
      </c>
      <c r="C11054" s="1" t="n">
        <v>45932</v>
      </c>
      <c r="D11054" t="inlineStr">
        <is>
          <t>VÄRMLANDS LÄN</t>
        </is>
      </c>
      <c r="E11054" t="inlineStr">
        <is>
          <t>STORFORS</t>
        </is>
      </c>
      <c r="F11054" t="inlineStr">
        <is>
          <t>Bergvik skog väst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10136-2024</t>
        </is>
      </c>
      <c r="B11055" s="1" t="n">
        <v>45364</v>
      </c>
      <c r="C11055" s="1" t="n">
        <v>45932</v>
      </c>
      <c r="D11055" t="inlineStr">
        <is>
          <t>VÄRMLANDS LÄN</t>
        </is>
      </c>
      <c r="E11055" t="inlineStr">
        <is>
          <t>FILIPSTAD</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4299-2022</t>
        </is>
      </c>
      <c r="B11056" s="1" t="n">
        <v>44588.76162037037</v>
      </c>
      <c r="C11056" s="1" t="n">
        <v>45932</v>
      </c>
      <c r="D11056" t="inlineStr">
        <is>
          <t>VÄRMLANDS LÄN</t>
        </is>
      </c>
      <c r="E11056" t="inlineStr">
        <is>
          <t>ARVIKA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40007-2023</t>
        </is>
      </c>
      <c r="B11057" s="1" t="n">
        <v>45168</v>
      </c>
      <c r="C11057" s="1" t="n">
        <v>45932</v>
      </c>
      <c r="D11057" t="inlineStr">
        <is>
          <t>VÄRMLANDS LÄN</t>
        </is>
      </c>
      <c r="E11057" t="inlineStr">
        <is>
          <t>TORSBY</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7745-2023</t>
        </is>
      </c>
      <c r="B11058" s="1" t="n">
        <v>44973.35336805556</v>
      </c>
      <c r="C11058" s="1" t="n">
        <v>45932</v>
      </c>
      <c r="D11058" t="inlineStr">
        <is>
          <t>VÄRMLANDS LÄN</t>
        </is>
      </c>
      <c r="E11058" t="inlineStr">
        <is>
          <t>TORSBY</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15-2025</t>
        </is>
      </c>
      <c r="B11059" s="1" t="n">
        <v>45658.74451388889</v>
      </c>
      <c r="C11059" s="1" t="n">
        <v>45932</v>
      </c>
      <c r="D11059" t="inlineStr">
        <is>
          <t>VÄRMLANDS LÄN</t>
        </is>
      </c>
      <c r="E11059" t="inlineStr">
        <is>
          <t>FILIPSTAD</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23332-2024</t>
        </is>
      </c>
      <c r="B11060" s="1" t="n">
        <v>45453</v>
      </c>
      <c r="C11060" s="1" t="n">
        <v>45932</v>
      </c>
      <c r="D11060" t="inlineStr">
        <is>
          <t>VÄRMLANDS LÄN</t>
        </is>
      </c>
      <c r="E11060" t="inlineStr">
        <is>
          <t>KRISTINEHAMN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58679-2021</t>
        </is>
      </c>
      <c r="B11061" s="1" t="n">
        <v>44489</v>
      </c>
      <c r="C11061" s="1" t="n">
        <v>45932</v>
      </c>
      <c r="D11061" t="inlineStr">
        <is>
          <t>VÄRMLANDS LÄN</t>
        </is>
      </c>
      <c r="E11061" t="inlineStr">
        <is>
          <t>KIL</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16154-2022</t>
        </is>
      </c>
      <c r="B11062" s="1" t="n">
        <v>44666</v>
      </c>
      <c r="C11062" s="1" t="n">
        <v>45932</v>
      </c>
      <c r="D11062" t="inlineStr">
        <is>
          <t>VÄRMLANDS LÄN</t>
        </is>
      </c>
      <c r="E11062" t="inlineStr">
        <is>
          <t>KARLSTAD</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14436-2024</t>
        </is>
      </c>
      <c r="B11063" s="1" t="n">
        <v>45394</v>
      </c>
      <c r="C11063" s="1" t="n">
        <v>45932</v>
      </c>
      <c r="D11063" t="inlineStr">
        <is>
          <t>VÄRMLANDS LÄN</t>
        </is>
      </c>
      <c r="E11063" t="inlineStr">
        <is>
          <t>SÄFFLE</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17198-2025</t>
        </is>
      </c>
      <c r="B11064" s="1" t="n">
        <v>45756.41225694444</v>
      </c>
      <c r="C11064" s="1" t="n">
        <v>45932</v>
      </c>
      <c r="D11064" t="inlineStr">
        <is>
          <t>VÄRMLANDS LÄN</t>
        </is>
      </c>
      <c r="E11064" t="inlineStr">
        <is>
          <t>SÄFFLE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17200-2025</t>
        </is>
      </c>
      <c r="B11065" s="1" t="n">
        <v>45756</v>
      </c>
      <c r="C11065" s="1" t="n">
        <v>45932</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46134-2024</t>
        </is>
      </c>
      <c r="B11066" s="1" t="n">
        <v>45581.44762731482</v>
      </c>
      <c r="C11066" s="1" t="n">
        <v>45932</v>
      </c>
      <c r="D11066" t="inlineStr">
        <is>
          <t>VÄRMLANDS LÄN</t>
        </is>
      </c>
      <c r="E11066" t="inlineStr">
        <is>
          <t>KRISTINEHAMN</t>
        </is>
      </c>
      <c r="F11066" t="inlineStr">
        <is>
          <t>Sveaskog</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53654-2024</t>
        </is>
      </c>
      <c r="B11067" s="1" t="n">
        <v>45615.3053125</v>
      </c>
      <c r="C11067" s="1" t="n">
        <v>45932</v>
      </c>
      <c r="D11067" t="inlineStr">
        <is>
          <t>VÄRMLANDS LÄN</t>
        </is>
      </c>
      <c r="E11067" t="inlineStr">
        <is>
          <t>KARLSTAD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6472-2021</t>
        </is>
      </c>
      <c r="B11068" s="1" t="n">
        <v>44235</v>
      </c>
      <c r="C11068" s="1" t="n">
        <v>45932</v>
      </c>
      <c r="D11068" t="inlineStr">
        <is>
          <t>VÄRMLANDS LÄN</t>
        </is>
      </c>
      <c r="E11068" t="inlineStr">
        <is>
          <t>EDA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22826-2022</t>
        </is>
      </c>
      <c r="B11069" s="1" t="n">
        <v>44714</v>
      </c>
      <c r="C11069" s="1" t="n">
        <v>45932</v>
      </c>
      <c r="D11069" t="inlineStr">
        <is>
          <t>VÄRMLANDS LÄN</t>
        </is>
      </c>
      <c r="E11069" t="inlineStr">
        <is>
          <t>TORSBY</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59048-2022</t>
        </is>
      </c>
      <c r="B11070" s="1" t="n">
        <v>44903</v>
      </c>
      <c r="C11070" s="1" t="n">
        <v>45932</v>
      </c>
      <c r="D11070" t="inlineStr">
        <is>
          <t>VÄRMLANDS LÄN</t>
        </is>
      </c>
      <c r="E11070" t="inlineStr">
        <is>
          <t>HAGFORS</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42060-2021</t>
        </is>
      </c>
      <c r="B11071" s="1" t="n">
        <v>44426</v>
      </c>
      <c r="C11071" s="1" t="n">
        <v>45932</v>
      </c>
      <c r="D11071" t="inlineStr">
        <is>
          <t>VÄRMLANDS LÄN</t>
        </is>
      </c>
      <c r="E11071" t="inlineStr">
        <is>
          <t>KARLSTAD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42064-2021</t>
        </is>
      </c>
      <c r="B11072" s="1" t="n">
        <v>44426</v>
      </c>
      <c r="C11072" s="1" t="n">
        <v>45932</v>
      </c>
      <c r="D11072" t="inlineStr">
        <is>
          <t>VÄRMLANDS LÄN</t>
        </is>
      </c>
      <c r="E11072" t="inlineStr">
        <is>
          <t>ARVIKA</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42079-2021</t>
        </is>
      </c>
      <c r="B11073" s="1" t="n">
        <v>44426.58417824074</v>
      </c>
      <c r="C11073" s="1" t="n">
        <v>45932</v>
      </c>
      <c r="D11073" t="inlineStr">
        <is>
          <t>VÄRMLANDS LÄN</t>
        </is>
      </c>
      <c r="E11073" t="inlineStr">
        <is>
          <t>MUNKFORS</t>
        </is>
      </c>
      <c r="F11073" t="inlineStr">
        <is>
          <t>Kyrkan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3568-2025</t>
        </is>
      </c>
      <c r="B11074" s="1" t="n">
        <v>45680.6977662037</v>
      </c>
      <c r="C11074" s="1" t="n">
        <v>45932</v>
      </c>
      <c r="D11074" t="inlineStr">
        <is>
          <t>VÄRMLANDS LÄN</t>
        </is>
      </c>
      <c r="E11074" t="inlineStr">
        <is>
          <t>EDA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6-2022</t>
        </is>
      </c>
      <c r="B11075" s="1" t="n">
        <v>44563.54627314815</v>
      </c>
      <c r="C11075" s="1" t="n">
        <v>45932</v>
      </c>
      <c r="D11075" t="inlineStr">
        <is>
          <t>VÄRMLANDS LÄN</t>
        </is>
      </c>
      <c r="E11075" t="inlineStr">
        <is>
          <t>SUNNE</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31322-2023</t>
        </is>
      </c>
      <c r="B11076" s="1" t="n">
        <v>45114.46510416667</v>
      </c>
      <c r="C11076" s="1" t="n">
        <v>45932</v>
      </c>
      <c r="D11076" t="inlineStr">
        <is>
          <t>VÄRMLANDS LÄN</t>
        </is>
      </c>
      <c r="E11076" t="inlineStr">
        <is>
          <t>EDA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60930-2021</t>
        </is>
      </c>
      <c r="B11077" s="1" t="n">
        <v>44497.46921296296</v>
      </c>
      <c r="C11077" s="1" t="n">
        <v>45932</v>
      </c>
      <c r="D11077" t="inlineStr">
        <is>
          <t>VÄRMLANDS LÄN</t>
        </is>
      </c>
      <c r="E11077" t="inlineStr">
        <is>
          <t>ÅRJÄNG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34717-2024</t>
        </is>
      </c>
      <c r="B11078" s="1" t="n">
        <v>45526.56409722222</v>
      </c>
      <c r="C11078" s="1" t="n">
        <v>45932</v>
      </c>
      <c r="D11078" t="inlineStr">
        <is>
          <t>VÄRMLANDS LÄN</t>
        </is>
      </c>
      <c r="E11078" t="inlineStr">
        <is>
          <t>TORSBY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18883-2024</t>
        </is>
      </c>
      <c r="B11079" s="1" t="n">
        <v>45426</v>
      </c>
      <c r="C11079" s="1" t="n">
        <v>45932</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14304-2023</t>
        </is>
      </c>
      <c r="B11080" s="1" t="n">
        <v>45011.76541666667</v>
      </c>
      <c r="C11080" s="1" t="n">
        <v>45932</v>
      </c>
      <c r="D11080" t="inlineStr">
        <is>
          <t>VÄRMLANDS LÄN</t>
        </is>
      </c>
      <c r="E11080" t="inlineStr">
        <is>
          <t>TORSBY</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14306-2023</t>
        </is>
      </c>
      <c r="B11081" s="1" t="n">
        <v>45011</v>
      </c>
      <c r="C11081" s="1" t="n">
        <v>45932</v>
      </c>
      <c r="D11081" t="inlineStr">
        <is>
          <t>VÄRMLANDS LÄN</t>
        </is>
      </c>
      <c r="E11081" t="inlineStr">
        <is>
          <t>GRUMS</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33620-2024</t>
        </is>
      </c>
      <c r="B11082" s="1" t="n">
        <v>45520.41530092592</v>
      </c>
      <c r="C11082" s="1" t="n">
        <v>45932</v>
      </c>
      <c r="D11082" t="inlineStr">
        <is>
          <t>VÄRMLANDS LÄN</t>
        </is>
      </c>
      <c r="E11082" t="inlineStr">
        <is>
          <t>TORSBY</t>
        </is>
      </c>
      <c r="F11082" t="inlineStr">
        <is>
          <t>Bergvik skog väst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41510-2023</t>
        </is>
      </c>
      <c r="B11083" s="1" t="n">
        <v>45175</v>
      </c>
      <c r="C11083" s="1" t="n">
        <v>45932</v>
      </c>
      <c r="D11083" t="inlineStr">
        <is>
          <t>VÄRMLANDS LÄN</t>
        </is>
      </c>
      <c r="E11083" t="inlineStr">
        <is>
          <t>KARLSTAD</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60045-2022</t>
        </is>
      </c>
      <c r="B11084" s="1" t="n">
        <v>44902</v>
      </c>
      <c r="C11084" s="1" t="n">
        <v>45932</v>
      </c>
      <c r="D11084" t="inlineStr">
        <is>
          <t>VÄRMLANDS LÄN</t>
        </is>
      </c>
      <c r="E11084" t="inlineStr">
        <is>
          <t>FORSHAGA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11744-2025</t>
        </is>
      </c>
      <c r="B11085" s="1" t="n">
        <v>45727</v>
      </c>
      <c r="C11085" s="1" t="n">
        <v>45932</v>
      </c>
      <c r="D11085" t="inlineStr">
        <is>
          <t>VÄRMLANDS LÄN</t>
        </is>
      </c>
      <c r="E11085" t="inlineStr">
        <is>
          <t>SÄFFLE</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18628-2025</t>
        </is>
      </c>
      <c r="B11086" s="1" t="n">
        <v>45763.53380787037</v>
      </c>
      <c r="C11086" s="1" t="n">
        <v>45932</v>
      </c>
      <c r="D11086" t="inlineStr">
        <is>
          <t>VÄRMLANDS LÄN</t>
        </is>
      </c>
      <c r="E11086" t="inlineStr">
        <is>
          <t>HAGFORS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11695-2025</t>
        </is>
      </c>
      <c r="B11087" s="1" t="n">
        <v>45726</v>
      </c>
      <c r="C11087" s="1" t="n">
        <v>45932</v>
      </c>
      <c r="D11087" t="inlineStr">
        <is>
          <t>VÄRMLANDS LÄN</t>
        </is>
      </c>
      <c r="E11087" t="inlineStr">
        <is>
          <t>SUNNE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15616-2023</t>
        </is>
      </c>
      <c r="B11088" s="1" t="n">
        <v>45020.88847222222</v>
      </c>
      <c r="C11088" s="1" t="n">
        <v>45932</v>
      </c>
      <c r="D11088" t="inlineStr">
        <is>
          <t>VÄRMLANDS LÄN</t>
        </is>
      </c>
      <c r="E11088" t="inlineStr">
        <is>
          <t>ÅRJÄNG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15641-2023</t>
        </is>
      </c>
      <c r="B11089" s="1" t="n">
        <v>45021.35409722223</v>
      </c>
      <c r="C11089" s="1" t="n">
        <v>45932</v>
      </c>
      <c r="D11089" t="inlineStr">
        <is>
          <t>VÄRMLANDS LÄN</t>
        </is>
      </c>
      <c r="E11089" t="inlineStr">
        <is>
          <t>EDA</t>
        </is>
      </c>
      <c r="F11089" t="inlineStr">
        <is>
          <t>Övriga statliga verk och myndigheter</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42480-2023</t>
        </is>
      </c>
      <c r="B11090" s="1" t="n">
        <v>45180.76482638889</v>
      </c>
      <c r="C11090" s="1" t="n">
        <v>45932</v>
      </c>
      <c r="D11090" t="inlineStr">
        <is>
          <t>VÄRMLANDS LÄN</t>
        </is>
      </c>
      <c r="E11090" t="inlineStr">
        <is>
          <t>SUNNE</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46379-2023</t>
        </is>
      </c>
      <c r="B11091" s="1" t="n">
        <v>45197</v>
      </c>
      <c r="C11091" s="1" t="n">
        <v>45932</v>
      </c>
      <c r="D11091" t="inlineStr">
        <is>
          <t>VÄRMLANDS LÄN</t>
        </is>
      </c>
      <c r="E11091" t="inlineStr">
        <is>
          <t>ARVIKA</t>
        </is>
      </c>
      <c r="F11091" t="inlineStr">
        <is>
          <t>Kyrkan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42613-2023</t>
        </is>
      </c>
      <c r="B11092" s="1" t="n">
        <v>45181</v>
      </c>
      <c r="C11092" s="1" t="n">
        <v>45932</v>
      </c>
      <c r="D11092" t="inlineStr">
        <is>
          <t>VÄRMLANDS LÄN</t>
        </is>
      </c>
      <c r="E11092" t="inlineStr">
        <is>
          <t>TORSBY</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51462-2024</t>
        </is>
      </c>
      <c r="B11093" s="1" t="n">
        <v>45604.49644675926</v>
      </c>
      <c r="C11093" s="1" t="n">
        <v>45932</v>
      </c>
      <c r="D11093" t="inlineStr">
        <is>
          <t>VÄRMLANDS LÄN</t>
        </is>
      </c>
      <c r="E11093" t="inlineStr">
        <is>
          <t>KRISTINEHAMN</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40971-2023</t>
        </is>
      </c>
      <c r="B11094" s="1" t="n">
        <v>45173</v>
      </c>
      <c r="C11094" s="1" t="n">
        <v>45932</v>
      </c>
      <c r="D11094" t="inlineStr">
        <is>
          <t>VÄRMLANDS LÄN</t>
        </is>
      </c>
      <c r="E11094" t="inlineStr">
        <is>
          <t>TORSBY</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10383-2023</t>
        </is>
      </c>
      <c r="B11095" s="1" t="n">
        <v>44987</v>
      </c>
      <c r="C11095" s="1" t="n">
        <v>45932</v>
      </c>
      <c r="D11095" t="inlineStr">
        <is>
          <t>VÄRMLANDS LÄN</t>
        </is>
      </c>
      <c r="E11095" t="inlineStr">
        <is>
          <t>FORSHAGA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10910-2023</t>
        </is>
      </c>
      <c r="B11096" s="1" t="n">
        <v>44991</v>
      </c>
      <c r="C11096" s="1" t="n">
        <v>45932</v>
      </c>
      <c r="D11096" t="inlineStr">
        <is>
          <t>VÄRMLANDS LÄN</t>
        </is>
      </c>
      <c r="E11096" t="inlineStr">
        <is>
          <t>KIL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25931-2023</t>
        </is>
      </c>
      <c r="B11097" s="1" t="n">
        <v>45090.67958333333</v>
      </c>
      <c r="C11097" s="1" t="n">
        <v>45932</v>
      </c>
      <c r="D11097" t="inlineStr">
        <is>
          <t>VÄRMLANDS LÄN</t>
        </is>
      </c>
      <c r="E11097" t="inlineStr">
        <is>
          <t>ARVIKA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12613-2024</t>
        </is>
      </c>
      <c r="B11098" s="1" t="n">
        <v>45382</v>
      </c>
      <c r="C11098" s="1" t="n">
        <v>45932</v>
      </c>
      <c r="D11098" t="inlineStr">
        <is>
          <t>VÄRMLANDS LÄN</t>
        </is>
      </c>
      <c r="E11098" t="inlineStr">
        <is>
          <t>KARLSTAD</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12652-2024</t>
        </is>
      </c>
      <c r="B11099" s="1" t="n">
        <v>45384.35752314814</v>
      </c>
      <c r="C11099" s="1" t="n">
        <v>45932</v>
      </c>
      <c r="D11099" t="inlineStr">
        <is>
          <t>VÄRMLANDS LÄN</t>
        </is>
      </c>
      <c r="E11099" t="inlineStr">
        <is>
          <t>KIL</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14739-2025</t>
        </is>
      </c>
      <c r="B11100" s="1" t="n">
        <v>45742.64630787037</v>
      </c>
      <c r="C11100" s="1" t="n">
        <v>45932</v>
      </c>
      <c r="D11100" t="inlineStr">
        <is>
          <t>VÄRMLANDS LÄN</t>
        </is>
      </c>
      <c r="E11100" t="inlineStr">
        <is>
          <t>KIL</t>
        </is>
      </c>
      <c r="G11100" t="n">
        <v>8.300000000000001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8944-2025</t>
        </is>
      </c>
      <c r="B11101" s="1" t="n">
        <v>45713.45155092593</v>
      </c>
      <c r="C11101" s="1" t="n">
        <v>45932</v>
      </c>
      <c r="D11101" t="inlineStr">
        <is>
          <t>VÄRMLANDS LÄN</t>
        </is>
      </c>
      <c r="E11101" t="inlineStr">
        <is>
          <t>KARLSTAD</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18309-2025</t>
        </is>
      </c>
      <c r="B11102" s="1" t="n">
        <v>45762.44186342593</v>
      </c>
      <c r="C11102" s="1" t="n">
        <v>45932</v>
      </c>
      <c r="D11102" t="inlineStr">
        <is>
          <t>VÄRMLANDS LÄN</t>
        </is>
      </c>
      <c r="E11102" t="inlineStr">
        <is>
          <t>ÅRJÄNG</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18312-2025</t>
        </is>
      </c>
      <c r="B11103" s="1" t="n">
        <v>45762.44770833333</v>
      </c>
      <c r="C11103" s="1" t="n">
        <v>45932</v>
      </c>
      <c r="D11103" t="inlineStr">
        <is>
          <t>VÄRMLANDS LÄN</t>
        </is>
      </c>
      <c r="E11103" t="inlineStr">
        <is>
          <t>ARVIKA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18314-2025</t>
        </is>
      </c>
      <c r="B11104" s="1" t="n">
        <v>45762.44986111111</v>
      </c>
      <c r="C11104" s="1" t="n">
        <v>45932</v>
      </c>
      <c r="D11104" t="inlineStr">
        <is>
          <t>VÄRMLANDS LÄN</t>
        </is>
      </c>
      <c r="E11104" t="inlineStr">
        <is>
          <t>TORSBY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25140-2024</t>
        </is>
      </c>
      <c r="B11105" s="1" t="n">
        <v>45462</v>
      </c>
      <c r="C11105" s="1" t="n">
        <v>45932</v>
      </c>
      <c r="D11105" t="inlineStr">
        <is>
          <t>VÄRMLANDS LÄN</t>
        </is>
      </c>
      <c r="E11105" t="inlineStr">
        <is>
          <t>HAGFORS</t>
        </is>
      </c>
      <c r="F11105" t="inlineStr">
        <is>
          <t>Kyrkan</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18321-2025</t>
        </is>
      </c>
      <c r="B11106" s="1" t="n">
        <v>45762</v>
      </c>
      <c r="C11106" s="1" t="n">
        <v>45932</v>
      </c>
      <c r="D11106" t="inlineStr">
        <is>
          <t>VÄRMLANDS LÄN</t>
        </is>
      </c>
      <c r="E11106" t="inlineStr">
        <is>
          <t>GRUMS</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27792-2023</t>
        </is>
      </c>
      <c r="B11107" s="1" t="n">
        <v>45098.45302083333</v>
      </c>
      <c r="C11107" s="1" t="n">
        <v>45932</v>
      </c>
      <c r="D11107" t="inlineStr">
        <is>
          <t>VÄRMLANDS LÄN</t>
        </is>
      </c>
      <c r="E11107" t="inlineStr">
        <is>
          <t>KIL</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34872-2024</t>
        </is>
      </c>
      <c r="B11108" s="1" t="n">
        <v>45527.34743055556</v>
      </c>
      <c r="C11108" s="1" t="n">
        <v>45932</v>
      </c>
      <c r="D11108" t="inlineStr">
        <is>
          <t>VÄRMLANDS LÄN</t>
        </is>
      </c>
      <c r="E11108" t="inlineStr">
        <is>
          <t>EDA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34961-2024</t>
        </is>
      </c>
      <c r="B11109" s="1" t="n">
        <v>45527.48923611111</v>
      </c>
      <c r="C11109" s="1" t="n">
        <v>45932</v>
      </c>
      <c r="D11109" t="inlineStr">
        <is>
          <t>VÄRMLANDS LÄN</t>
        </is>
      </c>
      <c r="E11109" t="inlineStr">
        <is>
          <t>TORSBY</t>
        </is>
      </c>
      <c r="F11109" t="inlineStr">
        <is>
          <t>Bergvik skog väst AB</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74129-2021</t>
        </is>
      </c>
      <c r="B11110" s="1" t="n">
        <v>44557</v>
      </c>
      <c r="C11110" s="1" t="n">
        <v>45932</v>
      </c>
      <c r="D11110" t="inlineStr">
        <is>
          <t>VÄRMLANDS LÄN</t>
        </is>
      </c>
      <c r="E11110" t="inlineStr">
        <is>
          <t>ARVIKA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35353-2023</t>
        </is>
      </c>
      <c r="B11111" s="1" t="n">
        <v>45146.50280092593</v>
      </c>
      <c r="C11111" s="1" t="n">
        <v>45932</v>
      </c>
      <c r="D11111" t="inlineStr">
        <is>
          <t>VÄRMLANDS LÄN</t>
        </is>
      </c>
      <c r="E11111" t="inlineStr">
        <is>
          <t>SÄFFLE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1099-2025</t>
        </is>
      </c>
      <c r="B11112" s="1" t="n">
        <v>45666</v>
      </c>
      <c r="C11112" s="1" t="n">
        <v>45932</v>
      </c>
      <c r="D11112" t="inlineStr">
        <is>
          <t>VÄRMLANDS LÄN</t>
        </is>
      </c>
      <c r="E11112" t="inlineStr">
        <is>
          <t>KRISTINEHAMN</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61642-2024</t>
        </is>
      </c>
      <c r="B11113" s="1" t="n">
        <v>45646</v>
      </c>
      <c r="C11113" s="1" t="n">
        <v>45932</v>
      </c>
      <c r="D11113" t="inlineStr">
        <is>
          <t>VÄRMLANDS LÄN</t>
        </is>
      </c>
      <c r="E11113" t="inlineStr">
        <is>
          <t>FILIPSTAD</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61645-2024</t>
        </is>
      </c>
      <c r="B11114" s="1" t="n">
        <v>45646</v>
      </c>
      <c r="C11114" s="1" t="n">
        <v>45932</v>
      </c>
      <c r="D11114" t="inlineStr">
        <is>
          <t>VÄRMLANDS LÄN</t>
        </is>
      </c>
      <c r="E11114" t="inlineStr">
        <is>
          <t>SUNNE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16368-2021</t>
        </is>
      </c>
      <c r="B11115" s="1" t="n">
        <v>44293</v>
      </c>
      <c r="C11115" s="1" t="n">
        <v>45932</v>
      </c>
      <c r="D11115" t="inlineStr">
        <is>
          <t>VÄRMLANDS LÄN</t>
        </is>
      </c>
      <c r="E11115" t="inlineStr">
        <is>
          <t>ARVIKA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41743-2023</t>
        </is>
      </c>
      <c r="B11116" s="1" t="n">
        <v>45176.42482638889</v>
      </c>
      <c r="C11116" s="1" t="n">
        <v>45932</v>
      </c>
      <c r="D11116" t="inlineStr">
        <is>
          <t>VÄRMLANDS LÄN</t>
        </is>
      </c>
      <c r="E11116" t="inlineStr">
        <is>
          <t>EDA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43978-2024</t>
        </is>
      </c>
      <c r="B11117" s="1" t="n">
        <v>45572</v>
      </c>
      <c r="C11117" s="1" t="n">
        <v>45932</v>
      </c>
      <c r="D11117" t="inlineStr">
        <is>
          <t>VÄRMLANDS LÄN</t>
        </is>
      </c>
      <c r="E11117" t="inlineStr">
        <is>
          <t>ARVIKA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34737-2021</t>
        </is>
      </c>
      <c r="B11118" s="1" t="n">
        <v>44382.6680787037</v>
      </c>
      <c r="C11118" s="1" t="n">
        <v>45932</v>
      </c>
      <c r="D11118" t="inlineStr">
        <is>
          <t>VÄRMLANDS LÄN</t>
        </is>
      </c>
      <c r="E11118" t="inlineStr">
        <is>
          <t>FORSHAGA</t>
        </is>
      </c>
      <c r="F11118" t="inlineStr">
        <is>
          <t>Bergvik skog väst AB</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23358-2023</t>
        </is>
      </c>
      <c r="B11119" s="1" t="n">
        <v>45076</v>
      </c>
      <c r="C11119" s="1" t="n">
        <v>45932</v>
      </c>
      <c r="D11119" t="inlineStr">
        <is>
          <t>VÄRMLANDS LÄN</t>
        </is>
      </c>
      <c r="E11119" t="inlineStr">
        <is>
          <t>ARVIKA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17396-2022</t>
        </is>
      </c>
      <c r="B11120" s="1" t="n">
        <v>44678.68165509259</v>
      </c>
      <c r="C11120" s="1" t="n">
        <v>45932</v>
      </c>
      <c r="D11120" t="inlineStr">
        <is>
          <t>VÄRMLANDS LÄN</t>
        </is>
      </c>
      <c r="E11120" t="inlineStr">
        <is>
          <t>SÄFFLE</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39746-2024</t>
        </is>
      </c>
      <c r="B11121" s="1" t="n">
        <v>45552</v>
      </c>
      <c r="C11121" s="1" t="n">
        <v>45932</v>
      </c>
      <c r="D11121" t="inlineStr">
        <is>
          <t>VÄRMLANDS LÄN</t>
        </is>
      </c>
      <c r="E11121" t="inlineStr">
        <is>
          <t>TORSBY</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38158-2023</t>
        </is>
      </c>
      <c r="B11122" s="1" t="n">
        <v>45161</v>
      </c>
      <c r="C11122" s="1" t="n">
        <v>45932</v>
      </c>
      <c r="D11122" t="inlineStr">
        <is>
          <t>VÄRMLANDS LÄN</t>
        </is>
      </c>
      <c r="E11122" t="inlineStr">
        <is>
          <t>ÅRJÄNG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15460-2022</t>
        </is>
      </c>
      <c r="B11123" s="1" t="n">
        <v>44661</v>
      </c>
      <c r="C11123" s="1" t="n">
        <v>45932</v>
      </c>
      <c r="D11123" t="inlineStr">
        <is>
          <t>VÄRMLANDS LÄN</t>
        </is>
      </c>
      <c r="E11123" t="inlineStr">
        <is>
          <t>TORSBY</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45992-2023</t>
        </is>
      </c>
      <c r="B11124" s="1" t="n">
        <v>45196.32231481482</v>
      </c>
      <c r="C11124" s="1" t="n">
        <v>45932</v>
      </c>
      <c r="D11124" t="inlineStr">
        <is>
          <t>VÄRMLANDS LÄN</t>
        </is>
      </c>
      <c r="E11124" t="inlineStr">
        <is>
          <t>SUNNE</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6364-2021</t>
        </is>
      </c>
      <c r="B11125" s="1" t="n">
        <v>44235</v>
      </c>
      <c r="C11125" s="1" t="n">
        <v>45932</v>
      </c>
      <c r="D11125" t="inlineStr">
        <is>
          <t>VÄRMLANDS LÄN</t>
        </is>
      </c>
      <c r="E11125" t="inlineStr">
        <is>
          <t>SUNNE</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51987-2024</t>
        </is>
      </c>
      <c r="B11126" s="1" t="n">
        <v>45607</v>
      </c>
      <c r="C11126" s="1" t="n">
        <v>45932</v>
      </c>
      <c r="D11126" t="inlineStr">
        <is>
          <t>VÄRMLANDS LÄN</t>
        </is>
      </c>
      <c r="E11126" t="inlineStr">
        <is>
          <t>TORSBY</t>
        </is>
      </c>
      <c r="G11126" t="n">
        <v>17.7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2576-2021</t>
        </is>
      </c>
      <c r="B11127" s="1" t="n">
        <v>44214</v>
      </c>
      <c r="C11127" s="1" t="n">
        <v>45932</v>
      </c>
      <c r="D11127" t="inlineStr">
        <is>
          <t>VÄRMLANDS LÄN</t>
        </is>
      </c>
      <c r="E11127" t="inlineStr">
        <is>
          <t>TORSBY</t>
        </is>
      </c>
      <c r="F11127" t="inlineStr">
        <is>
          <t>Kommuner</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2610-2021</t>
        </is>
      </c>
      <c r="B11128" s="1" t="n">
        <v>44215</v>
      </c>
      <c r="C11128" s="1" t="n">
        <v>45932</v>
      </c>
      <c r="D11128" t="inlineStr">
        <is>
          <t>VÄRMLANDS LÄN</t>
        </is>
      </c>
      <c r="E11128" t="inlineStr">
        <is>
          <t>SUNNE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4231-2021</t>
        </is>
      </c>
      <c r="B11129" s="1" t="n">
        <v>44221</v>
      </c>
      <c r="C11129" s="1" t="n">
        <v>45932</v>
      </c>
      <c r="D11129" t="inlineStr">
        <is>
          <t>VÄRMLANDS LÄN</t>
        </is>
      </c>
      <c r="E11129" t="inlineStr">
        <is>
          <t>SÄFFLE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51266-2024</t>
        </is>
      </c>
      <c r="B11130" s="1" t="n">
        <v>45603.70509259259</v>
      </c>
      <c r="C11130" s="1" t="n">
        <v>45932</v>
      </c>
      <c r="D11130" t="inlineStr">
        <is>
          <t>VÄRMLANDS LÄN</t>
        </is>
      </c>
      <c r="E11130" t="inlineStr">
        <is>
          <t>SÄFFLE</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51300-2024</t>
        </is>
      </c>
      <c r="B11131" s="1" t="n">
        <v>45604</v>
      </c>
      <c r="C11131" s="1" t="n">
        <v>45932</v>
      </c>
      <c r="D11131" t="inlineStr">
        <is>
          <t>VÄRMLANDS LÄN</t>
        </is>
      </c>
      <c r="E11131" t="inlineStr">
        <is>
          <t>ARVIKA</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57726-2022</t>
        </is>
      </c>
      <c r="B11132" s="1" t="n">
        <v>44897.56420138889</v>
      </c>
      <c r="C11132" s="1" t="n">
        <v>45932</v>
      </c>
      <c r="D11132" t="inlineStr">
        <is>
          <t>VÄRMLANDS LÄN</t>
        </is>
      </c>
      <c r="E11132" t="inlineStr">
        <is>
          <t>TORSBY</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57737-2022</t>
        </is>
      </c>
      <c r="B11133" s="1" t="n">
        <v>44897</v>
      </c>
      <c r="C11133" s="1" t="n">
        <v>45932</v>
      </c>
      <c r="D11133" t="inlineStr">
        <is>
          <t>VÄRMLANDS LÄN</t>
        </is>
      </c>
      <c r="E11133" t="inlineStr">
        <is>
          <t>SUNNE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19107-2024</t>
        </is>
      </c>
      <c r="B11134" s="1" t="n">
        <v>45428</v>
      </c>
      <c r="C11134" s="1" t="n">
        <v>45932</v>
      </c>
      <c r="D11134" t="inlineStr">
        <is>
          <t>VÄRMLANDS LÄN</t>
        </is>
      </c>
      <c r="E11134" t="inlineStr">
        <is>
          <t>EDA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65837-2021</t>
        </is>
      </c>
      <c r="B11135" s="1" t="n">
        <v>44517.35402777778</v>
      </c>
      <c r="C11135" s="1" t="n">
        <v>45932</v>
      </c>
      <c r="D11135" t="inlineStr">
        <is>
          <t>VÄRMLANDS LÄN</t>
        </is>
      </c>
      <c r="E11135" t="inlineStr">
        <is>
          <t>ÅRJÄNG</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73623-2021</t>
        </is>
      </c>
      <c r="B11136" s="1" t="n">
        <v>44552</v>
      </c>
      <c r="C11136" s="1" t="n">
        <v>45932</v>
      </c>
      <c r="D11136" t="inlineStr">
        <is>
          <t>VÄRMLANDS LÄN</t>
        </is>
      </c>
      <c r="E11136" t="inlineStr">
        <is>
          <t>ÅRJÄNG</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52194-2024</t>
        </is>
      </c>
      <c r="B11137" s="1" t="n">
        <v>45608</v>
      </c>
      <c r="C11137" s="1" t="n">
        <v>45932</v>
      </c>
      <c r="D11137" t="inlineStr">
        <is>
          <t>VÄRMLANDS LÄN</t>
        </is>
      </c>
      <c r="E11137" t="inlineStr">
        <is>
          <t>SUNNE</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15471-2024</t>
        </is>
      </c>
      <c r="B11138" s="1" t="n">
        <v>45401.48166666667</v>
      </c>
      <c r="C11138" s="1" t="n">
        <v>45932</v>
      </c>
      <c r="D11138" t="inlineStr">
        <is>
          <t>VÄRMLANDS LÄN</t>
        </is>
      </c>
      <c r="E11138" t="inlineStr">
        <is>
          <t>FILIPSTAD</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51096-2021</t>
        </is>
      </c>
      <c r="B11139" s="1" t="n">
        <v>44459</v>
      </c>
      <c r="C11139" s="1" t="n">
        <v>45932</v>
      </c>
      <c r="D11139" t="inlineStr">
        <is>
          <t>VÄRMLANDS LÄN</t>
        </is>
      </c>
      <c r="E11139" t="inlineStr">
        <is>
          <t>KARLSTAD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34580-2023</t>
        </is>
      </c>
      <c r="B11140" s="1" t="n">
        <v>45135</v>
      </c>
      <c r="C11140" s="1" t="n">
        <v>45932</v>
      </c>
      <c r="D11140" t="inlineStr">
        <is>
          <t>VÄRMLANDS LÄN</t>
        </is>
      </c>
      <c r="E11140" t="inlineStr">
        <is>
          <t>ÅRJÄNG</t>
        </is>
      </c>
      <c r="F11140" t="inlineStr">
        <is>
          <t>Övriga Aktiebolag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34585-2023</t>
        </is>
      </c>
      <c r="B11141" s="1" t="n">
        <v>45140.55704861111</v>
      </c>
      <c r="C11141" s="1" t="n">
        <v>45932</v>
      </c>
      <c r="D11141" t="inlineStr">
        <is>
          <t>VÄRMLANDS LÄN</t>
        </is>
      </c>
      <c r="E11141" t="inlineStr">
        <is>
          <t>EDA</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21094-2023</t>
        </is>
      </c>
      <c r="B11142" s="1" t="n">
        <v>45061</v>
      </c>
      <c r="C11142" s="1" t="n">
        <v>45932</v>
      </c>
      <c r="D11142" t="inlineStr">
        <is>
          <t>VÄRMLANDS LÄN</t>
        </is>
      </c>
      <c r="E11142" t="inlineStr">
        <is>
          <t>KARLSTAD</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72772-2021</t>
        </is>
      </c>
      <c r="B11143" s="1" t="n">
        <v>44547.31275462963</v>
      </c>
      <c r="C11143" s="1" t="n">
        <v>45932</v>
      </c>
      <c r="D11143" t="inlineStr">
        <is>
          <t>VÄRMLANDS LÄN</t>
        </is>
      </c>
      <c r="E11143" t="inlineStr">
        <is>
          <t>KARLSTAD</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21155-2023</t>
        </is>
      </c>
      <c r="B11144" s="1" t="n">
        <v>45057</v>
      </c>
      <c r="C11144" s="1" t="n">
        <v>45932</v>
      </c>
      <c r="D11144" t="inlineStr">
        <is>
          <t>VÄRMLANDS LÄN</t>
        </is>
      </c>
      <c r="E11144" t="inlineStr">
        <is>
          <t>HAGFORS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54735-2024</t>
        </is>
      </c>
      <c r="B11145" s="1" t="n">
        <v>45618.44033564815</v>
      </c>
      <c r="C11145" s="1" t="n">
        <v>45932</v>
      </c>
      <c r="D11145" t="inlineStr">
        <is>
          <t>VÄRMLANDS LÄN</t>
        </is>
      </c>
      <c r="E11145" t="inlineStr">
        <is>
          <t>FILIPSTAD</t>
        </is>
      </c>
      <c r="F11145" t="inlineStr">
        <is>
          <t>Bergvik skog väst AB</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20528-2023</t>
        </is>
      </c>
      <c r="B11146" s="1" t="n">
        <v>45057</v>
      </c>
      <c r="C11146" s="1" t="n">
        <v>45932</v>
      </c>
      <c r="D11146" t="inlineStr">
        <is>
          <t>VÄRMLANDS LÄN</t>
        </is>
      </c>
      <c r="E11146" t="inlineStr">
        <is>
          <t>TORSBY</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12837-2024</t>
        </is>
      </c>
      <c r="B11147" s="1" t="n">
        <v>45384</v>
      </c>
      <c r="C11147" s="1" t="n">
        <v>45932</v>
      </c>
      <c r="D11147" t="inlineStr">
        <is>
          <t>VÄRMLANDS LÄN</t>
        </is>
      </c>
      <c r="E11147" t="inlineStr">
        <is>
          <t>FILIPSTAD</t>
        </is>
      </c>
      <c r="F11147" t="inlineStr">
        <is>
          <t>Bergvik skog väst AB</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17884-2025</t>
        </is>
      </c>
      <c r="B11148" s="1" t="n">
        <v>45758.66105324074</v>
      </c>
      <c r="C11148" s="1" t="n">
        <v>45932</v>
      </c>
      <c r="D11148" t="inlineStr">
        <is>
          <t>VÄRMLANDS LÄN</t>
        </is>
      </c>
      <c r="E11148" t="inlineStr">
        <is>
          <t>HAGFORS</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48729-2024</t>
        </is>
      </c>
      <c r="B11149" s="1" t="n">
        <v>45593</v>
      </c>
      <c r="C11149" s="1" t="n">
        <v>45932</v>
      </c>
      <c r="D11149" t="inlineStr">
        <is>
          <t>VÄRMLANDS LÄN</t>
        </is>
      </c>
      <c r="E11149" t="inlineStr">
        <is>
          <t>SUNNE</t>
        </is>
      </c>
      <c r="F11149" t="inlineStr">
        <is>
          <t>Kommuner</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17972-2025</t>
        </is>
      </c>
      <c r="B11150" s="1" t="n">
        <v>45761.36483796296</v>
      </c>
      <c r="C11150" s="1" t="n">
        <v>45932</v>
      </c>
      <c r="D11150" t="inlineStr">
        <is>
          <t>VÄRMLANDS LÄN</t>
        </is>
      </c>
      <c r="E11150" t="inlineStr">
        <is>
          <t>GRUMS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18876-2023</t>
        </is>
      </c>
      <c r="B11151" s="1" t="n">
        <v>45044.50101851852</v>
      </c>
      <c r="C11151" s="1" t="n">
        <v>45932</v>
      </c>
      <c r="D11151" t="inlineStr">
        <is>
          <t>VÄRMLANDS LÄN</t>
        </is>
      </c>
      <c r="E11151" t="inlineStr">
        <is>
          <t>TORSBY</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28624-2024</t>
        </is>
      </c>
      <c r="B11152" s="1" t="n">
        <v>45478.44297453704</v>
      </c>
      <c r="C11152" s="1" t="n">
        <v>45932</v>
      </c>
      <c r="D11152" t="inlineStr">
        <is>
          <t>VÄRMLANDS LÄN</t>
        </is>
      </c>
      <c r="E11152" t="inlineStr">
        <is>
          <t>TORSBY</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19554-2024</t>
        </is>
      </c>
      <c r="B11153" s="1" t="n">
        <v>45429</v>
      </c>
      <c r="C11153" s="1" t="n">
        <v>45932</v>
      </c>
      <c r="D11153" t="inlineStr">
        <is>
          <t>VÄRMLANDS LÄN</t>
        </is>
      </c>
      <c r="E11153" t="inlineStr">
        <is>
          <t>HAGFORS</t>
        </is>
      </c>
      <c r="F11153" t="inlineStr">
        <is>
          <t>Bergvik skog väst AB</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3932-2024</t>
        </is>
      </c>
      <c r="B11154" s="1" t="n">
        <v>45322.60049768518</v>
      </c>
      <c r="C11154" s="1" t="n">
        <v>45932</v>
      </c>
      <c r="D11154" t="inlineStr">
        <is>
          <t>VÄRMLANDS LÄN</t>
        </is>
      </c>
      <c r="E11154" t="inlineStr">
        <is>
          <t>KRISTINEHAMN</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11214-2024</t>
        </is>
      </c>
      <c r="B11155" s="1" t="n">
        <v>45371</v>
      </c>
      <c r="C11155" s="1" t="n">
        <v>45932</v>
      </c>
      <c r="D11155" t="inlineStr">
        <is>
          <t>VÄRMLANDS LÄN</t>
        </is>
      </c>
      <c r="E11155" t="inlineStr">
        <is>
          <t>TORSBY</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27222-2023</t>
        </is>
      </c>
      <c r="B11156" s="1" t="n">
        <v>45096.58590277778</v>
      </c>
      <c r="C11156" s="1" t="n">
        <v>45932</v>
      </c>
      <c r="D11156" t="inlineStr">
        <is>
          <t>VÄRMLANDS LÄN</t>
        </is>
      </c>
      <c r="E11156" t="inlineStr">
        <is>
          <t>GRUMS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26515-2023</t>
        </is>
      </c>
      <c r="B11157" s="1" t="n">
        <v>45092.54097222222</v>
      </c>
      <c r="C11157" s="1" t="n">
        <v>45932</v>
      </c>
      <c r="D11157" t="inlineStr">
        <is>
          <t>VÄRMLANDS LÄN</t>
        </is>
      </c>
      <c r="E11157" t="inlineStr">
        <is>
          <t>KARLSTAD</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18759-2025</t>
        </is>
      </c>
      <c r="B11158" s="1" t="n">
        <v>45763</v>
      </c>
      <c r="C11158" s="1" t="n">
        <v>45932</v>
      </c>
      <c r="D11158" t="inlineStr">
        <is>
          <t>VÄRMLANDS LÄN</t>
        </is>
      </c>
      <c r="E11158" t="inlineStr">
        <is>
          <t>KARLSTAD</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18765-2025</t>
        </is>
      </c>
      <c r="B11159" s="1" t="n">
        <v>45763</v>
      </c>
      <c r="C11159" s="1" t="n">
        <v>45932</v>
      </c>
      <c r="D11159" t="inlineStr">
        <is>
          <t>VÄRMLANDS LÄN</t>
        </is>
      </c>
      <c r="E11159" t="inlineStr">
        <is>
          <t>KRISTINEHAMN</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17916-2024</t>
        </is>
      </c>
      <c r="B11160" s="1" t="n">
        <v>45419</v>
      </c>
      <c r="C11160" s="1" t="n">
        <v>45932</v>
      </c>
      <c r="D11160" t="inlineStr">
        <is>
          <t>VÄRMLANDS LÄN</t>
        </is>
      </c>
      <c r="E11160" t="inlineStr">
        <is>
          <t>SÄFFLE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11704-2025</t>
        </is>
      </c>
      <c r="B11161" s="1" t="n">
        <v>45727.57896990741</v>
      </c>
      <c r="C11161" s="1" t="n">
        <v>45932</v>
      </c>
      <c r="D11161" t="inlineStr">
        <is>
          <t>VÄRMLANDS LÄN</t>
        </is>
      </c>
      <c r="E11161" t="inlineStr">
        <is>
          <t>ÅRJÄNG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62777-2023</t>
        </is>
      </c>
      <c r="B11162" s="1" t="n">
        <v>45268</v>
      </c>
      <c r="C11162" s="1" t="n">
        <v>45932</v>
      </c>
      <c r="D11162" t="inlineStr">
        <is>
          <t>VÄRMLANDS LÄN</t>
        </is>
      </c>
      <c r="E11162" t="inlineStr">
        <is>
          <t>KRISTINEHAMN</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5695-2025</t>
        </is>
      </c>
      <c r="B11163" s="1" t="n">
        <v>45694.39572916667</v>
      </c>
      <c r="C11163" s="1" t="n">
        <v>45932</v>
      </c>
      <c r="D11163" t="inlineStr">
        <is>
          <t>VÄRMLANDS LÄN</t>
        </is>
      </c>
      <c r="E11163" t="inlineStr">
        <is>
          <t>EDA</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60201-2024</t>
        </is>
      </c>
      <c r="B11164" s="1" t="n">
        <v>45642</v>
      </c>
      <c r="C11164" s="1" t="n">
        <v>45932</v>
      </c>
      <c r="D11164" t="inlineStr">
        <is>
          <t>VÄRMLANDS LÄN</t>
        </is>
      </c>
      <c r="E11164" t="inlineStr">
        <is>
          <t>KIL</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32280-2023</t>
        </is>
      </c>
      <c r="B11165" s="1" t="n">
        <v>45120.36809027778</v>
      </c>
      <c r="C11165" s="1" t="n">
        <v>45932</v>
      </c>
      <c r="D11165" t="inlineStr">
        <is>
          <t>VÄRMLANDS LÄN</t>
        </is>
      </c>
      <c r="E11165" t="inlineStr">
        <is>
          <t>ARVIKA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5975-2025</t>
        </is>
      </c>
      <c r="B11166" s="1" t="n">
        <v>45695</v>
      </c>
      <c r="C11166" s="1" t="n">
        <v>45932</v>
      </c>
      <c r="D11166" t="inlineStr">
        <is>
          <t>VÄRMLANDS LÄN</t>
        </is>
      </c>
      <c r="E11166" t="inlineStr">
        <is>
          <t>HAGFORS</t>
        </is>
      </c>
      <c r="G11166" t="n">
        <v>9.5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69354-2021</t>
        </is>
      </c>
      <c r="B11167" s="1" t="n">
        <v>44531</v>
      </c>
      <c r="C11167" s="1" t="n">
        <v>45932</v>
      </c>
      <c r="D11167" t="inlineStr">
        <is>
          <t>VÄRMLANDS LÄN</t>
        </is>
      </c>
      <c r="E11167" t="inlineStr">
        <is>
          <t>ARVIKA</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6237-2025</t>
        </is>
      </c>
      <c r="B11168" s="1" t="n">
        <v>45698</v>
      </c>
      <c r="C11168" s="1" t="n">
        <v>45932</v>
      </c>
      <c r="D11168" t="inlineStr">
        <is>
          <t>VÄRMLANDS LÄN</t>
        </is>
      </c>
      <c r="E11168" t="inlineStr">
        <is>
          <t>ARVIKA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29067-2022</t>
        </is>
      </c>
      <c r="B11169" s="1" t="n">
        <v>44750</v>
      </c>
      <c r="C11169" s="1" t="n">
        <v>45932</v>
      </c>
      <c r="D11169" t="inlineStr">
        <is>
          <t>VÄRMLANDS LÄN</t>
        </is>
      </c>
      <c r="E11169" t="inlineStr">
        <is>
          <t>ARVIKA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29129-2022</t>
        </is>
      </c>
      <c r="B11170" s="1" t="n">
        <v>44750.45641203703</v>
      </c>
      <c r="C11170" s="1" t="n">
        <v>45932</v>
      </c>
      <c r="D11170" t="inlineStr">
        <is>
          <t>VÄRMLANDS LÄN</t>
        </is>
      </c>
      <c r="E11170" t="inlineStr">
        <is>
          <t>SUNNE</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54828-2023</t>
        </is>
      </c>
      <c r="B11171" s="1" t="n">
        <v>45229</v>
      </c>
      <c r="C11171" s="1" t="n">
        <v>45932</v>
      </c>
      <c r="D11171" t="inlineStr">
        <is>
          <t>VÄRMLANDS LÄN</t>
        </is>
      </c>
      <c r="E11171" t="inlineStr">
        <is>
          <t>FILIPSTAD</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65108-2023</t>
        </is>
      </c>
      <c r="B11172" s="1" t="n">
        <v>45288.44891203703</v>
      </c>
      <c r="C11172" s="1" t="n">
        <v>45932</v>
      </c>
      <c r="D11172" t="inlineStr">
        <is>
          <t>VÄRMLANDS LÄN</t>
        </is>
      </c>
      <c r="E11172" t="inlineStr">
        <is>
          <t>SUNNE</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43179-2023</t>
        </is>
      </c>
      <c r="B11173" s="1" t="n">
        <v>45183.37615740741</v>
      </c>
      <c r="C11173" s="1" t="n">
        <v>45932</v>
      </c>
      <c r="D11173" t="inlineStr">
        <is>
          <t>VÄRMLANDS LÄN</t>
        </is>
      </c>
      <c r="E11173" t="inlineStr">
        <is>
          <t>TORSBY</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29474-2024</t>
        </is>
      </c>
      <c r="B11174" s="1" t="n">
        <v>45484</v>
      </c>
      <c r="C11174" s="1" t="n">
        <v>45932</v>
      </c>
      <c r="D11174" t="inlineStr">
        <is>
          <t>VÄRMLANDS LÄN</t>
        </is>
      </c>
      <c r="E11174" t="inlineStr">
        <is>
          <t>FILIPSTAD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4418-2024</t>
        </is>
      </c>
      <c r="B11175" s="1" t="n">
        <v>45327.44349537037</v>
      </c>
      <c r="C11175" s="1" t="n">
        <v>45932</v>
      </c>
      <c r="D11175" t="inlineStr">
        <is>
          <t>VÄRMLANDS LÄN</t>
        </is>
      </c>
      <c r="E11175" t="inlineStr">
        <is>
          <t>FILIPSTAD</t>
        </is>
      </c>
      <c r="F11175" t="inlineStr">
        <is>
          <t>Bergvik skog väst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209-2023</t>
        </is>
      </c>
      <c r="B11176" s="1" t="n">
        <v>44928.61258101852</v>
      </c>
      <c r="C11176" s="1" t="n">
        <v>45932</v>
      </c>
      <c r="D11176" t="inlineStr">
        <is>
          <t>VÄRMLANDS LÄN</t>
        </is>
      </c>
      <c r="E11176" t="inlineStr">
        <is>
          <t>ARVIKA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27091-2022</t>
        </is>
      </c>
      <c r="B11177" s="1" t="n">
        <v>44741.42371527778</v>
      </c>
      <c r="C11177" s="1" t="n">
        <v>45932</v>
      </c>
      <c r="D11177" t="inlineStr">
        <is>
          <t>VÄRMLANDS LÄN</t>
        </is>
      </c>
      <c r="E11177" t="inlineStr">
        <is>
          <t>SUNNE</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30710-2022</t>
        </is>
      </c>
      <c r="B11178" s="1" t="n">
        <v>44763.76623842592</v>
      </c>
      <c r="C11178" s="1" t="n">
        <v>45932</v>
      </c>
      <c r="D11178" t="inlineStr">
        <is>
          <t>VÄRMLANDS LÄN</t>
        </is>
      </c>
      <c r="E11178" t="inlineStr">
        <is>
          <t>HAGFORS</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20471-2024</t>
        </is>
      </c>
      <c r="B11179" s="1" t="n">
        <v>45435.68048611111</v>
      </c>
      <c r="C11179" s="1" t="n">
        <v>45932</v>
      </c>
      <c r="D11179" t="inlineStr">
        <is>
          <t>VÄRMLANDS LÄN</t>
        </is>
      </c>
      <c r="E11179" t="inlineStr">
        <is>
          <t>EDA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20476-2024</t>
        </is>
      </c>
      <c r="B11180" s="1" t="n">
        <v>45435.69123842593</v>
      </c>
      <c r="C11180" s="1" t="n">
        <v>45932</v>
      </c>
      <c r="D11180" t="inlineStr">
        <is>
          <t>VÄRMLANDS LÄN</t>
        </is>
      </c>
      <c r="E11180" t="inlineStr">
        <is>
          <t>KIL</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52830-2023</t>
        </is>
      </c>
      <c r="B11181" s="1" t="n">
        <v>45226</v>
      </c>
      <c r="C11181" s="1" t="n">
        <v>45932</v>
      </c>
      <c r="D11181" t="inlineStr">
        <is>
          <t>VÄRMLANDS LÄN</t>
        </is>
      </c>
      <c r="E11181" t="inlineStr">
        <is>
          <t>HAGFORS</t>
        </is>
      </c>
      <c r="F11181" t="inlineStr">
        <is>
          <t>Bergvik skog väst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21443-2022</t>
        </is>
      </c>
      <c r="B11182" s="1" t="n">
        <v>44706.35293981482</v>
      </c>
      <c r="C11182" s="1" t="n">
        <v>45932</v>
      </c>
      <c r="D11182" t="inlineStr">
        <is>
          <t>VÄRMLANDS LÄN</t>
        </is>
      </c>
      <c r="E11182" t="inlineStr">
        <is>
          <t>ÅRJÄNG</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3636-2023</t>
        </is>
      </c>
      <c r="B11183" s="1" t="n">
        <v>44950</v>
      </c>
      <c r="C11183" s="1" t="n">
        <v>45932</v>
      </c>
      <c r="D11183" t="inlineStr">
        <is>
          <t>VÄRMLANDS LÄN</t>
        </is>
      </c>
      <c r="E11183" t="inlineStr">
        <is>
          <t>ARVIKA</t>
        </is>
      </c>
      <c r="F11183" t="inlineStr">
        <is>
          <t>Bergvik skog väst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57356-2021</t>
        </is>
      </c>
      <c r="B11184" s="1" t="n">
        <v>44483</v>
      </c>
      <c r="C11184" s="1" t="n">
        <v>45932</v>
      </c>
      <c r="D11184" t="inlineStr">
        <is>
          <t>VÄRMLANDS LÄN</t>
        </is>
      </c>
      <c r="E11184" t="inlineStr">
        <is>
          <t>EDA</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50236-2024</t>
        </is>
      </c>
      <c r="B11185" s="1" t="n">
        <v>45600</v>
      </c>
      <c r="C11185" s="1" t="n">
        <v>45932</v>
      </c>
      <c r="D11185" t="inlineStr">
        <is>
          <t>VÄRMLANDS LÄN</t>
        </is>
      </c>
      <c r="E11185" t="inlineStr">
        <is>
          <t>KARLSTAD</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54126-2022</t>
        </is>
      </c>
      <c r="B11186" s="1" t="n">
        <v>44881.5821412037</v>
      </c>
      <c r="C11186" s="1" t="n">
        <v>45932</v>
      </c>
      <c r="D11186" t="inlineStr">
        <is>
          <t>VÄRMLANDS LÄN</t>
        </is>
      </c>
      <c r="E11186" t="inlineStr">
        <is>
          <t>SÄFFLE</t>
        </is>
      </c>
      <c r="F11186" t="inlineStr">
        <is>
          <t>Kyrkan</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2308-2024</t>
        </is>
      </c>
      <c r="B11187" s="1" t="n">
        <v>45310</v>
      </c>
      <c r="C11187" s="1" t="n">
        <v>45932</v>
      </c>
      <c r="D11187" t="inlineStr">
        <is>
          <t>VÄRMLANDS LÄN</t>
        </is>
      </c>
      <c r="E11187" t="inlineStr">
        <is>
          <t>TORSBY</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40986-2022</t>
        </is>
      </c>
      <c r="B11188" s="1" t="n">
        <v>44823</v>
      </c>
      <c r="C11188" s="1" t="n">
        <v>45932</v>
      </c>
      <c r="D11188" t="inlineStr">
        <is>
          <t>VÄRMLANDS LÄN</t>
        </is>
      </c>
      <c r="E11188" t="inlineStr">
        <is>
          <t>SUNNE</t>
        </is>
      </c>
      <c r="F11188" t="inlineStr">
        <is>
          <t>Kyrkan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46147-2023</t>
        </is>
      </c>
      <c r="B11189" s="1" t="n">
        <v>45196.57422453703</v>
      </c>
      <c r="C11189" s="1" t="n">
        <v>45932</v>
      </c>
      <c r="D11189" t="inlineStr">
        <is>
          <t>VÄRMLANDS LÄN</t>
        </is>
      </c>
      <c r="E11189" t="inlineStr">
        <is>
          <t>SUNNE</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46195-2023</t>
        </is>
      </c>
      <c r="B11190" s="1" t="n">
        <v>45196</v>
      </c>
      <c r="C11190" s="1" t="n">
        <v>45932</v>
      </c>
      <c r="D11190" t="inlineStr">
        <is>
          <t>VÄRMLANDS LÄN</t>
        </is>
      </c>
      <c r="E11190" t="inlineStr">
        <is>
          <t>TORSBY</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14123-2025</t>
        </is>
      </c>
      <c r="B11191" s="1" t="n">
        <v>45740</v>
      </c>
      <c r="C11191" s="1" t="n">
        <v>45932</v>
      </c>
      <c r="D11191" t="inlineStr">
        <is>
          <t>VÄRMLANDS LÄN</t>
        </is>
      </c>
      <c r="E11191" t="inlineStr">
        <is>
          <t>ARVIKA</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20106-2022</t>
        </is>
      </c>
      <c r="B11192" s="1" t="n">
        <v>44697</v>
      </c>
      <c r="C11192" s="1" t="n">
        <v>45932</v>
      </c>
      <c r="D11192" t="inlineStr">
        <is>
          <t>VÄRMLANDS LÄN</t>
        </is>
      </c>
      <c r="E11192" t="inlineStr">
        <is>
          <t>ARVIKA</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28087-2024</t>
        </is>
      </c>
      <c r="B11193" s="1" t="n">
        <v>45476</v>
      </c>
      <c r="C11193" s="1" t="n">
        <v>45932</v>
      </c>
      <c r="D11193" t="inlineStr">
        <is>
          <t>VÄRMLANDS LÄN</t>
        </is>
      </c>
      <c r="E11193" t="inlineStr">
        <is>
          <t>HAGFORS</t>
        </is>
      </c>
      <c r="F11193" t="inlineStr">
        <is>
          <t>Bergvik skog väst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43027-2021</t>
        </is>
      </c>
      <c r="B11194" s="1" t="n">
        <v>44431.49119212963</v>
      </c>
      <c r="C11194" s="1" t="n">
        <v>45932</v>
      </c>
      <c r="D11194" t="inlineStr">
        <is>
          <t>VÄRMLANDS LÄN</t>
        </is>
      </c>
      <c r="E11194" t="inlineStr">
        <is>
          <t>ÅRJÄNG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43029-2021</t>
        </is>
      </c>
      <c r="B11195" s="1" t="n">
        <v>44431.49302083333</v>
      </c>
      <c r="C11195" s="1" t="n">
        <v>45932</v>
      </c>
      <c r="D11195" t="inlineStr">
        <is>
          <t>VÄRMLANDS LÄN</t>
        </is>
      </c>
      <c r="E11195" t="inlineStr">
        <is>
          <t>ÅRJÄNG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1912-2024</t>
        </is>
      </c>
      <c r="B11196" s="1" t="n">
        <v>45308</v>
      </c>
      <c r="C11196" s="1" t="n">
        <v>45932</v>
      </c>
      <c r="D11196" t="inlineStr">
        <is>
          <t>VÄRMLANDS LÄN</t>
        </is>
      </c>
      <c r="E11196" t="inlineStr">
        <is>
          <t>ÅRJÄNG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1933-2024</t>
        </is>
      </c>
      <c r="B11197" s="1" t="n">
        <v>45308.46021990741</v>
      </c>
      <c r="C11197" s="1" t="n">
        <v>45932</v>
      </c>
      <c r="D11197" t="inlineStr">
        <is>
          <t>VÄRMLANDS LÄN</t>
        </is>
      </c>
      <c r="E11197" t="inlineStr">
        <is>
          <t>HAGFORS</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53554-2023</t>
        </is>
      </c>
      <c r="B11198" s="1" t="n">
        <v>45230</v>
      </c>
      <c r="C11198" s="1" t="n">
        <v>45932</v>
      </c>
      <c r="D11198" t="inlineStr">
        <is>
          <t>VÄRMLANDS LÄN</t>
        </is>
      </c>
      <c r="E11198" t="inlineStr">
        <is>
          <t>ÅRJÄNG</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18959-2024</t>
        </is>
      </c>
      <c r="B11199" s="1" t="n">
        <v>45427.53032407408</v>
      </c>
      <c r="C11199" s="1" t="n">
        <v>45932</v>
      </c>
      <c r="D11199" t="inlineStr">
        <is>
          <t>VÄRMLANDS LÄN</t>
        </is>
      </c>
      <c r="E11199" t="inlineStr">
        <is>
          <t>TORSBY</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57257-2024</t>
        </is>
      </c>
      <c r="B11200" s="1" t="n">
        <v>45629.56130787037</v>
      </c>
      <c r="C11200" s="1" t="n">
        <v>45932</v>
      </c>
      <c r="D11200" t="inlineStr">
        <is>
          <t>VÄRMLANDS LÄN</t>
        </is>
      </c>
      <c r="E11200" t="inlineStr">
        <is>
          <t>EDA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14436-2025</t>
        </is>
      </c>
      <c r="B11201" s="1" t="n">
        <v>45741.51133101852</v>
      </c>
      <c r="C11201" s="1" t="n">
        <v>45932</v>
      </c>
      <c r="D11201" t="inlineStr">
        <is>
          <t>VÄRMLANDS LÄN</t>
        </is>
      </c>
      <c r="E11201" t="inlineStr">
        <is>
          <t>HAGFORS</t>
        </is>
      </c>
      <c r="F11201" t="inlineStr">
        <is>
          <t>Bergvik skog väst AB</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6254-2024</t>
        </is>
      </c>
      <c r="B11202" s="1" t="n">
        <v>45337</v>
      </c>
      <c r="C11202" s="1" t="n">
        <v>45932</v>
      </c>
      <c r="D11202" t="inlineStr">
        <is>
          <t>VÄRMLANDS LÄN</t>
        </is>
      </c>
      <c r="E11202" t="inlineStr">
        <is>
          <t>SÄFFLE</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24883-2024</t>
        </is>
      </c>
      <c r="B11203" s="1" t="n">
        <v>45461</v>
      </c>
      <c r="C11203" s="1" t="n">
        <v>45932</v>
      </c>
      <c r="D11203" t="inlineStr">
        <is>
          <t>VÄRMLANDS LÄN</t>
        </is>
      </c>
      <c r="E11203" t="inlineStr">
        <is>
          <t>KRISTINEHAMN</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51144-2024</t>
        </is>
      </c>
      <c r="B11204" s="1" t="n">
        <v>45603</v>
      </c>
      <c r="C11204" s="1" t="n">
        <v>45932</v>
      </c>
      <c r="D11204" t="inlineStr">
        <is>
          <t>VÄRMLANDS LÄN</t>
        </is>
      </c>
      <c r="E11204" t="inlineStr">
        <is>
          <t>EDA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19621-2025</t>
        </is>
      </c>
      <c r="B11205" s="1" t="n">
        <v>45770</v>
      </c>
      <c r="C11205" s="1" t="n">
        <v>45932</v>
      </c>
      <c r="D11205" t="inlineStr">
        <is>
          <t>VÄRMLANDS LÄN</t>
        </is>
      </c>
      <c r="E11205" t="inlineStr">
        <is>
          <t>ÅRJÄNG</t>
        </is>
      </c>
      <c r="F11205" t="inlineStr">
        <is>
          <t>Övriga Aktiebolag</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19630-2025</t>
        </is>
      </c>
      <c r="B11206" s="1" t="n">
        <v>45770.64239583333</v>
      </c>
      <c r="C11206" s="1" t="n">
        <v>45932</v>
      </c>
      <c r="D11206" t="inlineStr">
        <is>
          <t>VÄRMLANDS LÄN</t>
        </is>
      </c>
      <c r="E11206" t="inlineStr">
        <is>
          <t>TORSBY</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9721-2025</t>
        </is>
      </c>
      <c r="B11207" s="1" t="n">
        <v>45716.40907407407</v>
      </c>
      <c r="C11207" s="1" t="n">
        <v>45932</v>
      </c>
      <c r="D11207" t="inlineStr">
        <is>
          <t>VÄRMLANDS LÄN</t>
        </is>
      </c>
      <c r="E11207" t="inlineStr">
        <is>
          <t>ARVIKA</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41031-2024</t>
        </is>
      </c>
      <c r="B11208" s="1" t="n">
        <v>45559.35392361111</v>
      </c>
      <c r="C11208" s="1" t="n">
        <v>45932</v>
      </c>
      <c r="D11208" t="inlineStr">
        <is>
          <t>VÄRMLANDS LÄN</t>
        </is>
      </c>
      <c r="E11208" t="inlineStr">
        <is>
          <t>EDA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41036-2024</t>
        </is>
      </c>
      <c r="B11209" s="1" t="n">
        <v>45559.35798611111</v>
      </c>
      <c r="C11209" s="1" t="n">
        <v>45932</v>
      </c>
      <c r="D11209" t="inlineStr">
        <is>
          <t>VÄRMLANDS LÄN</t>
        </is>
      </c>
      <c r="E11209" t="inlineStr">
        <is>
          <t>EDA</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14328-2025</t>
        </is>
      </c>
      <c r="B11210" s="1" t="n">
        <v>45740.83446759259</v>
      </c>
      <c r="C11210" s="1" t="n">
        <v>45932</v>
      </c>
      <c r="D11210" t="inlineStr">
        <is>
          <t>VÄRMLANDS LÄN</t>
        </is>
      </c>
      <c r="E11210" t="inlineStr">
        <is>
          <t>FILIPSTAD</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15170-2025</t>
        </is>
      </c>
      <c r="B11211" s="1" t="n">
        <v>45743</v>
      </c>
      <c r="C11211" s="1" t="n">
        <v>45932</v>
      </c>
      <c r="D11211" t="inlineStr">
        <is>
          <t>VÄRMLANDS LÄN</t>
        </is>
      </c>
      <c r="E11211" t="inlineStr">
        <is>
          <t>TORSBY</t>
        </is>
      </c>
      <c r="G11211" t="n">
        <v>12.5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57865-2022</t>
        </is>
      </c>
      <c r="B11212" s="1" t="n">
        <v>44899.65194444444</v>
      </c>
      <c r="C11212" s="1" t="n">
        <v>45932</v>
      </c>
      <c r="D11212" t="inlineStr">
        <is>
          <t>VÄRMLANDS LÄN</t>
        </is>
      </c>
      <c r="E11212" t="inlineStr">
        <is>
          <t>EDA</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18213-2024</t>
        </is>
      </c>
      <c r="B11213" s="1" t="n">
        <v>45420</v>
      </c>
      <c r="C11213" s="1" t="n">
        <v>45932</v>
      </c>
      <c r="D11213" t="inlineStr">
        <is>
          <t>VÄRMLANDS LÄN</t>
        </is>
      </c>
      <c r="E11213" t="inlineStr">
        <is>
          <t>HAGFORS</t>
        </is>
      </c>
      <c r="G11213" t="n">
        <v>11.5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60018-2023</t>
        </is>
      </c>
      <c r="B11214" s="1" t="n">
        <v>45258.29427083334</v>
      </c>
      <c r="C11214" s="1" t="n">
        <v>45932</v>
      </c>
      <c r="D11214" t="inlineStr">
        <is>
          <t>VÄRMLANDS LÄN</t>
        </is>
      </c>
      <c r="E11214" t="inlineStr">
        <is>
          <t>SÄFFLE</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51842-2023</t>
        </is>
      </c>
      <c r="B11215" s="1" t="n">
        <v>45223.31387731482</v>
      </c>
      <c r="C11215" s="1" t="n">
        <v>45932</v>
      </c>
      <c r="D11215" t="inlineStr">
        <is>
          <t>VÄRMLANDS LÄN</t>
        </is>
      </c>
      <c r="E11215" t="inlineStr">
        <is>
          <t>SUNNE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34141-2023</t>
        </is>
      </c>
      <c r="B11216" s="1" t="n">
        <v>45136.4377662037</v>
      </c>
      <c r="C11216" s="1" t="n">
        <v>45932</v>
      </c>
      <c r="D11216" t="inlineStr">
        <is>
          <t>VÄRMLANDS LÄN</t>
        </is>
      </c>
      <c r="E11216" t="inlineStr">
        <is>
          <t>SUNNE</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36644-2023</t>
        </is>
      </c>
      <c r="B11217" s="1" t="n">
        <v>45153.55092592593</v>
      </c>
      <c r="C11217" s="1" t="n">
        <v>45932</v>
      </c>
      <c r="D11217" t="inlineStr">
        <is>
          <t>VÄRMLANDS LÄN</t>
        </is>
      </c>
      <c r="E11217" t="inlineStr">
        <is>
          <t>GRUMS</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13142-2024</t>
        </is>
      </c>
      <c r="B11218" s="1" t="n">
        <v>45386.34809027778</v>
      </c>
      <c r="C11218" s="1" t="n">
        <v>45932</v>
      </c>
      <c r="D11218" t="inlineStr">
        <is>
          <t>VÄRMLANDS LÄN</t>
        </is>
      </c>
      <c r="E11218" t="inlineStr">
        <is>
          <t>SUNNE</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72072-2021</t>
        </is>
      </c>
      <c r="B11219" s="1" t="n">
        <v>44544</v>
      </c>
      <c r="C11219" s="1" t="n">
        <v>45932</v>
      </c>
      <c r="D11219" t="inlineStr">
        <is>
          <t>VÄRMLANDS LÄN</t>
        </is>
      </c>
      <c r="E11219" t="inlineStr">
        <is>
          <t>KARLSTAD</t>
        </is>
      </c>
      <c r="F11219" t="inlineStr">
        <is>
          <t>Kommuner</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14428-2023</t>
        </is>
      </c>
      <c r="B11220" s="1" t="n">
        <v>45012.5621875</v>
      </c>
      <c r="C11220" s="1" t="n">
        <v>45932</v>
      </c>
      <c r="D11220" t="inlineStr">
        <is>
          <t>VÄRMLANDS LÄN</t>
        </is>
      </c>
      <c r="E11220" t="inlineStr">
        <is>
          <t>SÄFFLE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8255-2025</t>
        </is>
      </c>
      <c r="B11221" s="1" t="n">
        <v>45708.49788194444</v>
      </c>
      <c r="C11221" s="1" t="n">
        <v>45932</v>
      </c>
      <c r="D11221" t="inlineStr">
        <is>
          <t>VÄRMLANDS LÄN</t>
        </is>
      </c>
      <c r="E11221" t="inlineStr">
        <is>
          <t>ÅRJÄNG</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2522-2024</t>
        </is>
      </c>
      <c r="B11222" s="1" t="n">
        <v>45313</v>
      </c>
      <c r="C11222" s="1" t="n">
        <v>45932</v>
      </c>
      <c r="D11222" t="inlineStr">
        <is>
          <t>VÄRMLANDS LÄN</t>
        </is>
      </c>
      <c r="E11222" t="inlineStr">
        <is>
          <t>KRISTINEHAMN</t>
        </is>
      </c>
      <c r="G11222" t="n">
        <v>11.2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30895-2024</t>
        </is>
      </c>
      <c r="B11223" s="1" t="n">
        <v>45498.45238425926</v>
      </c>
      <c r="C11223" s="1" t="n">
        <v>45932</v>
      </c>
      <c r="D11223" t="inlineStr">
        <is>
          <t>VÄRMLANDS LÄN</t>
        </is>
      </c>
      <c r="E11223" t="inlineStr">
        <is>
          <t>EDA</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18256-2024</t>
        </is>
      </c>
      <c r="B11224" s="1" t="n">
        <v>45421.52498842592</v>
      </c>
      <c r="C11224" s="1" t="n">
        <v>45932</v>
      </c>
      <c r="D11224" t="inlineStr">
        <is>
          <t>VÄRMLANDS LÄN</t>
        </is>
      </c>
      <c r="E11224" t="inlineStr">
        <is>
          <t>ÅRJÄNG</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9489-2023</t>
        </is>
      </c>
      <c r="B11225" s="1" t="n">
        <v>44981</v>
      </c>
      <c r="C11225" s="1" t="n">
        <v>45932</v>
      </c>
      <c r="D11225" t="inlineStr">
        <is>
          <t>VÄRMLANDS LÄN</t>
        </is>
      </c>
      <c r="E11225" t="inlineStr">
        <is>
          <t>ÅRJÄNG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21071-2021</t>
        </is>
      </c>
      <c r="B11226" s="1" t="n">
        <v>44319</v>
      </c>
      <c r="C11226" s="1" t="n">
        <v>45932</v>
      </c>
      <c r="D11226" t="inlineStr">
        <is>
          <t>VÄRMLANDS LÄN</t>
        </is>
      </c>
      <c r="E11226" t="inlineStr">
        <is>
          <t>SUNNE</t>
        </is>
      </c>
      <c r="F11226" t="inlineStr">
        <is>
          <t>Övriga Aktiebolag</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59291-2024</t>
        </is>
      </c>
      <c r="B11227" s="1" t="n">
        <v>45636</v>
      </c>
      <c r="C11227" s="1" t="n">
        <v>45932</v>
      </c>
      <c r="D11227" t="inlineStr">
        <is>
          <t>VÄRMLANDS LÄN</t>
        </is>
      </c>
      <c r="E11227" t="inlineStr">
        <is>
          <t>SUNNE</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61412-2022</t>
        </is>
      </c>
      <c r="B11228" s="1" t="n">
        <v>44916.33868055556</v>
      </c>
      <c r="C11228" s="1" t="n">
        <v>45932</v>
      </c>
      <c r="D11228" t="inlineStr">
        <is>
          <t>VÄRMLANDS LÄN</t>
        </is>
      </c>
      <c r="E11228" t="inlineStr">
        <is>
          <t>EDA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1309-2025</t>
        </is>
      </c>
      <c r="B11229" s="1" t="n">
        <v>45667</v>
      </c>
      <c r="C11229" s="1" t="n">
        <v>45932</v>
      </c>
      <c r="D11229" t="inlineStr">
        <is>
          <t>VÄRMLANDS LÄN</t>
        </is>
      </c>
      <c r="E11229" t="inlineStr">
        <is>
          <t>ARVIKA</t>
        </is>
      </c>
      <c r="F11229" t="inlineStr">
        <is>
          <t>Bergvik skog väst AB</t>
        </is>
      </c>
      <c r="G11229" t="n">
        <v>14.5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12594-2025</t>
        </is>
      </c>
      <c r="B11230" s="1" t="n">
        <v>45732.87565972222</v>
      </c>
      <c r="C11230" s="1" t="n">
        <v>45932</v>
      </c>
      <c r="D11230" t="inlineStr">
        <is>
          <t>VÄRMLANDS LÄN</t>
        </is>
      </c>
      <c r="E11230" t="inlineStr">
        <is>
          <t>FILIPSTAD</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13188-2023</t>
        </is>
      </c>
      <c r="B11231" s="1" t="n">
        <v>45002</v>
      </c>
      <c r="C11231" s="1" t="n">
        <v>45932</v>
      </c>
      <c r="D11231" t="inlineStr">
        <is>
          <t>VÄRMLANDS LÄN</t>
        </is>
      </c>
      <c r="E11231" t="inlineStr">
        <is>
          <t>ARVIKA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51260-2024</t>
        </is>
      </c>
      <c r="B11232" s="1" t="n">
        <v>45602</v>
      </c>
      <c r="C11232" s="1" t="n">
        <v>45932</v>
      </c>
      <c r="D11232" t="inlineStr">
        <is>
          <t>VÄRMLANDS LÄN</t>
        </is>
      </c>
      <c r="E11232" t="inlineStr">
        <is>
          <t>ÅRJÄNG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26175-2024</t>
        </is>
      </c>
      <c r="B11233" s="1" t="n">
        <v>45468</v>
      </c>
      <c r="C11233" s="1" t="n">
        <v>45932</v>
      </c>
      <c r="D11233" t="inlineStr">
        <is>
          <t>VÄRMLANDS LÄN</t>
        </is>
      </c>
      <c r="E11233" t="inlineStr">
        <is>
          <t>ARVIKA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53239-2021</t>
        </is>
      </c>
      <c r="B11234" s="1" t="n">
        <v>44468.44650462963</v>
      </c>
      <c r="C11234" s="1" t="n">
        <v>45932</v>
      </c>
      <c r="D11234" t="inlineStr">
        <is>
          <t>VÄRMLANDS LÄN</t>
        </is>
      </c>
      <c r="E11234" t="inlineStr">
        <is>
          <t>SÄFFLE</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41311-2021</t>
        </is>
      </c>
      <c r="B11235" s="1" t="n">
        <v>44424</v>
      </c>
      <c r="C11235" s="1" t="n">
        <v>45932</v>
      </c>
      <c r="D11235" t="inlineStr">
        <is>
          <t>VÄRMLANDS LÄN</t>
        </is>
      </c>
      <c r="E11235" t="inlineStr">
        <is>
          <t>ARVIKA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56644-2024</t>
        </is>
      </c>
      <c r="B11236" s="1" t="n">
        <v>45625</v>
      </c>
      <c r="C11236" s="1" t="n">
        <v>45932</v>
      </c>
      <c r="D11236" t="inlineStr">
        <is>
          <t>VÄRMLANDS LÄN</t>
        </is>
      </c>
      <c r="E11236" t="inlineStr">
        <is>
          <t>ÅRJÄNG</t>
        </is>
      </c>
      <c r="G11236" t="n">
        <v>12.6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36851-2024</t>
        </is>
      </c>
      <c r="B11237" s="1" t="n">
        <v>45538.55824074074</v>
      </c>
      <c r="C11237" s="1" t="n">
        <v>45932</v>
      </c>
      <c r="D11237" t="inlineStr">
        <is>
          <t>VÄRMLANDS LÄN</t>
        </is>
      </c>
      <c r="E11237" t="inlineStr">
        <is>
          <t>SUNNE</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5505-2022</t>
        </is>
      </c>
      <c r="B11238" s="1" t="n">
        <v>44595</v>
      </c>
      <c r="C11238" s="1" t="n">
        <v>45932</v>
      </c>
      <c r="D11238" t="inlineStr">
        <is>
          <t>VÄRMLANDS LÄN</t>
        </is>
      </c>
      <c r="E11238" t="inlineStr">
        <is>
          <t>KRISTINEHAMN</t>
        </is>
      </c>
      <c r="F11238" t="inlineStr">
        <is>
          <t>Kommuner</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5507-2022</t>
        </is>
      </c>
      <c r="B11239" s="1" t="n">
        <v>44595</v>
      </c>
      <c r="C11239" s="1" t="n">
        <v>45932</v>
      </c>
      <c r="D11239" t="inlineStr">
        <is>
          <t>VÄRMLANDS LÄN</t>
        </is>
      </c>
      <c r="E11239" t="inlineStr">
        <is>
          <t>KRISTINEHAMN</t>
        </is>
      </c>
      <c r="F11239" t="inlineStr">
        <is>
          <t>Kommuner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17082-2025</t>
        </is>
      </c>
      <c r="B11240" s="1" t="n">
        <v>45755.63755787037</v>
      </c>
      <c r="C11240" s="1" t="n">
        <v>45932</v>
      </c>
      <c r="D11240" t="inlineStr">
        <is>
          <t>VÄRMLANDS LÄN</t>
        </is>
      </c>
      <c r="E11240" t="inlineStr">
        <is>
          <t>KARLSTAD</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17094-2025</t>
        </is>
      </c>
      <c r="B11241" s="1" t="n">
        <v>45755.65569444445</v>
      </c>
      <c r="C11241" s="1" t="n">
        <v>45932</v>
      </c>
      <c r="D11241" t="inlineStr">
        <is>
          <t>VÄRMLANDS LÄN</t>
        </is>
      </c>
      <c r="E11241" t="inlineStr">
        <is>
          <t>SUNNE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18169-2025</t>
        </is>
      </c>
      <c r="B11242" s="1" t="n">
        <v>45761.64418981481</v>
      </c>
      <c r="C11242" s="1" t="n">
        <v>45932</v>
      </c>
      <c r="D11242" t="inlineStr">
        <is>
          <t>VÄRMLANDS LÄN</t>
        </is>
      </c>
      <c r="E11242" t="inlineStr">
        <is>
          <t>KARLSTAD</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18171-2025</t>
        </is>
      </c>
      <c r="B11243" s="1" t="n">
        <v>45761</v>
      </c>
      <c r="C11243" s="1" t="n">
        <v>45932</v>
      </c>
      <c r="D11243" t="inlineStr">
        <is>
          <t>VÄRMLANDS LÄN</t>
        </is>
      </c>
      <c r="E11243" t="inlineStr">
        <is>
          <t>SUNNE</t>
        </is>
      </c>
      <c r="F11243" t="inlineStr">
        <is>
          <t>Bergvik skog väst AB</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32839-2023</t>
        </is>
      </c>
      <c r="B11244" s="1" t="n">
        <v>45109</v>
      </c>
      <c r="C11244" s="1" t="n">
        <v>45932</v>
      </c>
      <c r="D11244" t="inlineStr">
        <is>
          <t>VÄRMLANDS LÄN</t>
        </is>
      </c>
      <c r="E11244" t="inlineStr">
        <is>
          <t>KIL</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54382-2024</t>
        </is>
      </c>
      <c r="B11245" s="1" t="n">
        <v>45617.44510416667</v>
      </c>
      <c r="C11245" s="1" t="n">
        <v>45932</v>
      </c>
      <c r="D11245" t="inlineStr">
        <is>
          <t>VÄRMLANDS LÄN</t>
        </is>
      </c>
      <c r="E11245" t="inlineStr">
        <is>
          <t>ÅRJÄNG</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53202-2023</t>
        </is>
      </c>
      <c r="B11246" s="1" t="n">
        <v>45229</v>
      </c>
      <c r="C11246" s="1" t="n">
        <v>45932</v>
      </c>
      <c r="D11246" t="inlineStr">
        <is>
          <t>VÄRMLANDS LÄN</t>
        </is>
      </c>
      <c r="E11246" t="inlineStr">
        <is>
          <t>STORFORS</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53210-2023</t>
        </is>
      </c>
      <c r="B11247" s="1" t="n">
        <v>45222</v>
      </c>
      <c r="C11247" s="1" t="n">
        <v>45932</v>
      </c>
      <c r="D11247" t="inlineStr">
        <is>
          <t>VÄRMLANDS LÄN</t>
        </is>
      </c>
      <c r="E11247" t="inlineStr">
        <is>
          <t>FILIPSTAD</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11179-2022</t>
        </is>
      </c>
      <c r="B11248" s="1" t="n">
        <v>44629</v>
      </c>
      <c r="C11248" s="1" t="n">
        <v>45932</v>
      </c>
      <c r="D11248" t="inlineStr">
        <is>
          <t>VÄRMLANDS LÄN</t>
        </is>
      </c>
      <c r="E11248" t="inlineStr">
        <is>
          <t>KARLSTAD</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11370-2023</t>
        </is>
      </c>
      <c r="B11249" s="1" t="n">
        <v>44985</v>
      </c>
      <c r="C11249" s="1" t="n">
        <v>45932</v>
      </c>
      <c r="D11249" t="inlineStr">
        <is>
          <t>VÄRMLANDS LÄN</t>
        </is>
      </c>
      <c r="E11249" t="inlineStr">
        <is>
          <t>KARLSTAD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29852-2022</t>
        </is>
      </c>
      <c r="B11250" s="1" t="n">
        <v>44756.37423611111</v>
      </c>
      <c r="C11250" s="1" t="n">
        <v>45932</v>
      </c>
      <c r="D11250" t="inlineStr">
        <is>
          <t>VÄRMLANDS LÄN</t>
        </is>
      </c>
      <c r="E11250" t="inlineStr">
        <is>
          <t>FORSHAGA</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29921-2022</t>
        </is>
      </c>
      <c r="B11251" s="1" t="n">
        <v>44756</v>
      </c>
      <c r="C11251" s="1" t="n">
        <v>45932</v>
      </c>
      <c r="D11251" t="inlineStr">
        <is>
          <t>VÄRMLANDS LÄN</t>
        </is>
      </c>
      <c r="E11251" t="inlineStr">
        <is>
          <t>TORSBY</t>
        </is>
      </c>
      <c r="F11251" t="inlineStr">
        <is>
          <t>Kommuner</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17259-2025</t>
        </is>
      </c>
      <c r="B11252" s="1" t="n">
        <v>45756</v>
      </c>
      <c r="C11252" s="1" t="n">
        <v>45932</v>
      </c>
      <c r="D11252" t="inlineStr">
        <is>
          <t>VÄRMLANDS LÄN</t>
        </is>
      </c>
      <c r="E11252" t="inlineStr">
        <is>
          <t>EDA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17262-2025</t>
        </is>
      </c>
      <c r="B11253" s="1" t="n">
        <v>45756</v>
      </c>
      <c r="C11253" s="1" t="n">
        <v>45932</v>
      </c>
      <c r="D11253" t="inlineStr">
        <is>
          <t>VÄRMLANDS LÄN</t>
        </is>
      </c>
      <c r="E11253" t="inlineStr">
        <is>
          <t>EDA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53416-2024</t>
        </is>
      </c>
      <c r="B11254" s="1" t="n">
        <v>45614.50980324074</v>
      </c>
      <c r="C11254" s="1" t="n">
        <v>45932</v>
      </c>
      <c r="D11254" t="inlineStr">
        <is>
          <t>VÄRMLANDS LÄN</t>
        </is>
      </c>
      <c r="E11254" t="inlineStr">
        <is>
          <t>EDA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53533-2024</t>
        </is>
      </c>
      <c r="B11255" s="1" t="n">
        <v>45611</v>
      </c>
      <c r="C11255" s="1" t="n">
        <v>45932</v>
      </c>
      <c r="D11255" t="inlineStr">
        <is>
          <t>VÄRMLANDS LÄN</t>
        </is>
      </c>
      <c r="E11255" t="inlineStr">
        <is>
          <t>SÄFFLE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52411-2020</t>
        </is>
      </c>
      <c r="B11256" s="1" t="n">
        <v>44118</v>
      </c>
      <c r="C11256" s="1" t="n">
        <v>45932</v>
      </c>
      <c r="D11256" t="inlineStr">
        <is>
          <t>VÄRMLANDS LÄN</t>
        </is>
      </c>
      <c r="E11256" t="inlineStr">
        <is>
          <t>KIL</t>
        </is>
      </c>
      <c r="G11256" t="n">
        <v>17.4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48814-2023</t>
        </is>
      </c>
      <c r="B11257" s="1" t="n">
        <v>45209.33628472222</v>
      </c>
      <c r="C11257" s="1" t="n">
        <v>45932</v>
      </c>
      <c r="D11257" t="inlineStr">
        <is>
          <t>VÄRMLANDS LÄN</t>
        </is>
      </c>
      <c r="E11257" t="inlineStr">
        <is>
          <t>SUNNE</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63787-2021</t>
        </is>
      </c>
      <c r="B11258" s="1" t="n">
        <v>44509</v>
      </c>
      <c r="C11258" s="1" t="n">
        <v>45932</v>
      </c>
      <c r="D11258" t="inlineStr">
        <is>
          <t>VÄRMLANDS LÄN</t>
        </is>
      </c>
      <c r="E11258" t="inlineStr">
        <is>
          <t>SÄFFLE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64641-2023</t>
        </is>
      </c>
      <c r="B11259" s="1" t="n">
        <v>45281.55908564815</v>
      </c>
      <c r="C11259" s="1" t="n">
        <v>45932</v>
      </c>
      <c r="D11259" t="inlineStr">
        <is>
          <t>VÄRMLANDS LÄN</t>
        </is>
      </c>
      <c r="E11259" t="inlineStr">
        <is>
          <t>TORSBY</t>
        </is>
      </c>
      <c r="F11259" t="inlineStr">
        <is>
          <t>Bergvik skog väst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64705-2023</t>
        </is>
      </c>
      <c r="B11260" s="1" t="n">
        <v>45281</v>
      </c>
      <c r="C11260" s="1" t="n">
        <v>45932</v>
      </c>
      <c r="D11260" t="inlineStr">
        <is>
          <t>VÄRMLANDS LÄN</t>
        </is>
      </c>
      <c r="E11260" t="inlineStr">
        <is>
          <t>EDA</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45556-2024</t>
        </is>
      </c>
      <c r="B11261" s="1" t="n">
        <v>45579</v>
      </c>
      <c r="C11261" s="1" t="n">
        <v>45932</v>
      </c>
      <c r="D11261" t="inlineStr">
        <is>
          <t>VÄRMLANDS LÄN</t>
        </is>
      </c>
      <c r="E11261" t="inlineStr">
        <is>
          <t>EDA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40898-2024</t>
        </is>
      </c>
      <c r="B11262" s="1" t="n">
        <v>45558</v>
      </c>
      <c r="C11262" s="1" t="n">
        <v>45932</v>
      </c>
      <c r="D11262" t="inlineStr">
        <is>
          <t>VÄRMLANDS LÄN</t>
        </is>
      </c>
      <c r="E11262" t="inlineStr">
        <is>
          <t>FORSHAGA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10382-2025</t>
        </is>
      </c>
      <c r="B11263" s="1" t="n">
        <v>45720</v>
      </c>
      <c r="C11263" s="1" t="n">
        <v>45932</v>
      </c>
      <c r="D11263" t="inlineStr">
        <is>
          <t>VÄRMLANDS LÄN</t>
        </is>
      </c>
      <c r="E11263" t="inlineStr">
        <is>
          <t>HAGFORS</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1982-2024</t>
        </is>
      </c>
      <c r="B11264" s="1" t="n">
        <v>45308</v>
      </c>
      <c r="C11264" s="1" t="n">
        <v>45932</v>
      </c>
      <c r="D11264" t="inlineStr">
        <is>
          <t>VÄRMLANDS LÄN</t>
        </is>
      </c>
      <c r="E11264" t="inlineStr">
        <is>
          <t>KARLSTAD</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58769-2024</t>
        </is>
      </c>
      <c r="B11265" s="1" t="n">
        <v>45635.75688657408</v>
      </c>
      <c r="C11265" s="1" t="n">
        <v>45932</v>
      </c>
      <c r="D11265" t="inlineStr">
        <is>
          <t>VÄRMLANDS LÄN</t>
        </is>
      </c>
      <c r="E11265" t="inlineStr">
        <is>
          <t>ÅRJÄNG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58815-2024</t>
        </is>
      </c>
      <c r="B11266" s="1" t="n">
        <v>45636</v>
      </c>
      <c r="C11266" s="1" t="n">
        <v>45932</v>
      </c>
      <c r="D11266" t="inlineStr">
        <is>
          <t>VÄRMLANDS LÄN</t>
        </is>
      </c>
      <c r="E11266" t="inlineStr">
        <is>
          <t>EDA</t>
        </is>
      </c>
      <c r="F11266" t="inlineStr">
        <is>
          <t>Bergvik skog väst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62965-2021</t>
        </is>
      </c>
      <c r="B11267" s="1" t="n">
        <v>44505</v>
      </c>
      <c r="C11267" s="1" t="n">
        <v>45932</v>
      </c>
      <c r="D11267" t="inlineStr">
        <is>
          <t>VÄRMLANDS LÄN</t>
        </is>
      </c>
      <c r="E11267" t="inlineStr">
        <is>
          <t>SUNNE</t>
        </is>
      </c>
      <c r="G11267" t="n">
        <v>16.3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51895-2022</t>
        </is>
      </c>
      <c r="B11268" s="1" t="n">
        <v>44872.61237268519</v>
      </c>
      <c r="C11268" s="1" t="n">
        <v>45932</v>
      </c>
      <c r="D11268" t="inlineStr">
        <is>
          <t>VÄRMLANDS LÄN</t>
        </is>
      </c>
      <c r="E11268" t="inlineStr">
        <is>
          <t>ÅRJÄNG</t>
        </is>
      </c>
      <c r="F11268" t="inlineStr">
        <is>
          <t>Kyrkan</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23620-2023</t>
        </is>
      </c>
      <c r="B11269" s="1" t="n">
        <v>45077.48210648148</v>
      </c>
      <c r="C11269" s="1" t="n">
        <v>45932</v>
      </c>
      <c r="D11269" t="inlineStr">
        <is>
          <t>VÄRMLANDS LÄN</t>
        </is>
      </c>
      <c r="E11269" t="inlineStr">
        <is>
          <t>FILIPSTAD</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19024-2025</t>
        </is>
      </c>
      <c r="B11270" s="1" t="n">
        <v>45764.62608796296</v>
      </c>
      <c r="C11270" s="1" t="n">
        <v>45932</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8788-2024</t>
        </is>
      </c>
      <c r="B11271" s="1" t="n">
        <v>45356</v>
      </c>
      <c r="C11271" s="1" t="n">
        <v>45932</v>
      </c>
      <c r="D11271" t="inlineStr">
        <is>
          <t>VÄRMLANDS LÄN</t>
        </is>
      </c>
      <c r="E11271" t="inlineStr">
        <is>
          <t>GRUMS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11569-2025</t>
        </is>
      </c>
      <c r="B11272" s="1" t="n">
        <v>45727.37971064815</v>
      </c>
      <c r="C11272" s="1" t="n">
        <v>45932</v>
      </c>
      <c r="D11272" t="inlineStr">
        <is>
          <t>VÄRMLANDS LÄN</t>
        </is>
      </c>
      <c r="E11272" t="inlineStr">
        <is>
          <t>TORSBY</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16338-2025</t>
        </is>
      </c>
      <c r="B11273" s="1" t="n">
        <v>45751.36587962963</v>
      </c>
      <c r="C11273" s="1" t="n">
        <v>45932</v>
      </c>
      <c r="D11273" t="inlineStr">
        <is>
          <t>VÄRMLANDS LÄN</t>
        </is>
      </c>
      <c r="E11273" t="inlineStr">
        <is>
          <t>ARVIKA</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16397-2025</t>
        </is>
      </c>
      <c r="B11274" s="1" t="n">
        <v>45751.44196759259</v>
      </c>
      <c r="C11274" s="1" t="n">
        <v>45932</v>
      </c>
      <c r="D11274" t="inlineStr">
        <is>
          <t>VÄRMLANDS LÄN</t>
        </is>
      </c>
      <c r="E11274" t="inlineStr">
        <is>
          <t>KARLSTAD</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34408-2024</t>
        </is>
      </c>
      <c r="B11275" s="1" t="n">
        <v>45525</v>
      </c>
      <c r="C11275" s="1" t="n">
        <v>45932</v>
      </c>
      <c r="D11275" t="inlineStr">
        <is>
          <t>VÄRMLANDS LÄN</t>
        </is>
      </c>
      <c r="E11275" t="inlineStr">
        <is>
          <t>KIL</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42165-2023</t>
        </is>
      </c>
      <c r="B11276" s="1" t="n">
        <v>45178</v>
      </c>
      <c r="C11276" s="1" t="n">
        <v>45932</v>
      </c>
      <c r="D11276" t="inlineStr">
        <is>
          <t>VÄRMLANDS LÄN</t>
        </is>
      </c>
      <c r="E11276" t="inlineStr">
        <is>
          <t>EDA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2769-2023</t>
        </is>
      </c>
      <c r="B11277" s="1" t="n">
        <v>44944</v>
      </c>
      <c r="C11277" s="1" t="n">
        <v>45932</v>
      </c>
      <c r="D11277" t="inlineStr">
        <is>
          <t>VÄRMLANDS LÄN</t>
        </is>
      </c>
      <c r="E11277" t="inlineStr">
        <is>
          <t>HAMMARÖ</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8390-2025</t>
        </is>
      </c>
      <c r="B11278" s="1" t="n">
        <v>45709.365</v>
      </c>
      <c r="C11278" s="1" t="n">
        <v>45932</v>
      </c>
      <c r="D11278" t="inlineStr">
        <is>
          <t>VÄRMLANDS LÄN</t>
        </is>
      </c>
      <c r="E11278" t="inlineStr">
        <is>
          <t>SUNNE</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2688-2023</t>
        </is>
      </c>
      <c r="B11279" s="1" t="n">
        <v>44942</v>
      </c>
      <c r="C11279" s="1" t="n">
        <v>45932</v>
      </c>
      <c r="D11279" t="inlineStr">
        <is>
          <t>VÄRMLANDS LÄN</t>
        </is>
      </c>
      <c r="E11279" t="inlineStr">
        <is>
          <t>KIL</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51454-2024</t>
        </is>
      </c>
      <c r="B11280" s="1" t="n">
        <v>45604</v>
      </c>
      <c r="C11280" s="1" t="n">
        <v>45932</v>
      </c>
      <c r="D11280" t="inlineStr">
        <is>
          <t>VÄRMLANDS LÄN</t>
        </is>
      </c>
      <c r="E11280" t="inlineStr">
        <is>
          <t>SUNNE</t>
        </is>
      </c>
      <c r="F11280" t="inlineStr">
        <is>
          <t>Bergvik skog väst AB</t>
        </is>
      </c>
      <c r="G11280" t="n">
        <v>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7931-2025</t>
        </is>
      </c>
      <c r="B11281" s="1" t="n">
        <v>45706</v>
      </c>
      <c r="C11281" s="1" t="n">
        <v>45932</v>
      </c>
      <c r="D11281" t="inlineStr">
        <is>
          <t>VÄRMLANDS LÄN</t>
        </is>
      </c>
      <c r="E11281" t="inlineStr">
        <is>
          <t>GRUMS</t>
        </is>
      </c>
      <c r="F11281" t="inlineStr">
        <is>
          <t>Bergvik skog väst AB</t>
        </is>
      </c>
      <c r="G11281" t="n">
        <v>13.8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7966-2025</t>
        </is>
      </c>
      <c r="B11282" s="1" t="n">
        <v>45707.45273148148</v>
      </c>
      <c r="C11282" s="1" t="n">
        <v>45932</v>
      </c>
      <c r="D11282" t="inlineStr">
        <is>
          <t>VÄRMLANDS LÄN</t>
        </is>
      </c>
      <c r="E11282" t="inlineStr">
        <is>
          <t>SÄFFLE</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17296-2025</t>
        </is>
      </c>
      <c r="B11283" s="1" t="n">
        <v>45756</v>
      </c>
      <c r="C11283" s="1" t="n">
        <v>45932</v>
      </c>
      <c r="D11283" t="inlineStr">
        <is>
          <t>VÄRMLANDS LÄN</t>
        </is>
      </c>
      <c r="E11283" t="inlineStr">
        <is>
          <t>KRISTINEHAMN</t>
        </is>
      </c>
      <c r="F11283" t="inlineStr">
        <is>
          <t>Sveaskog</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16427-2023</t>
        </is>
      </c>
      <c r="B11284" s="1" t="n">
        <v>45022</v>
      </c>
      <c r="C11284" s="1" t="n">
        <v>45932</v>
      </c>
      <c r="D11284" t="inlineStr">
        <is>
          <t>VÄRMLANDS LÄN</t>
        </is>
      </c>
      <c r="E11284" t="inlineStr">
        <is>
          <t>TORSBY</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34434-2022</t>
        </is>
      </c>
      <c r="B11285" s="1" t="n">
        <v>44792</v>
      </c>
      <c r="C11285" s="1" t="n">
        <v>45932</v>
      </c>
      <c r="D11285" t="inlineStr">
        <is>
          <t>VÄRMLANDS LÄN</t>
        </is>
      </c>
      <c r="E11285" t="inlineStr">
        <is>
          <t>TORSBY</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56342-2024</t>
        </is>
      </c>
      <c r="B11286" s="1" t="n">
        <v>45624</v>
      </c>
      <c r="C11286" s="1" t="n">
        <v>45932</v>
      </c>
      <c r="D11286" t="inlineStr">
        <is>
          <t>VÄRMLANDS LÄN</t>
        </is>
      </c>
      <c r="E11286" t="inlineStr">
        <is>
          <t>ÅRJÄNG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16496-2023</t>
        </is>
      </c>
      <c r="B11287" s="1" t="n">
        <v>45029</v>
      </c>
      <c r="C11287" s="1" t="n">
        <v>45932</v>
      </c>
      <c r="D11287" t="inlineStr">
        <is>
          <t>VÄRMLANDS LÄN</t>
        </is>
      </c>
      <c r="E11287" t="inlineStr">
        <is>
          <t>ARVIKA</t>
        </is>
      </c>
      <c r="F11287" t="inlineStr">
        <is>
          <t>Bergvik skog väst AB</t>
        </is>
      </c>
      <c r="G11287" t="n">
        <v>5.4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56347-2024</t>
        </is>
      </c>
      <c r="B11288" s="1" t="n">
        <v>45624</v>
      </c>
      <c r="C11288" s="1" t="n">
        <v>45932</v>
      </c>
      <c r="D11288" t="inlineStr">
        <is>
          <t>VÄRMLANDS LÄN</t>
        </is>
      </c>
      <c r="E11288" t="inlineStr">
        <is>
          <t>ÅRJÄNG</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16514-2023</t>
        </is>
      </c>
      <c r="B11289" s="1" t="n">
        <v>45029</v>
      </c>
      <c r="C11289" s="1" t="n">
        <v>45932</v>
      </c>
      <c r="D11289" t="inlineStr">
        <is>
          <t>VÄRMLANDS LÄN</t>
        </is>
      </c>
      <c r="E11289" t="inlineStr">
        <is>
          <t>EDA</t>
        </is>
      </c>
      <c r="F11289" t="inlineStr">
        <is>
          <t>Övriga Aktiebolag</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16518-2023</t>
        </is>
      </c>
      <c r="B11290" s="1" t="n">
        <v>45029.66005787037</v>
      </c>
      <c r="C11290" s="1" t="n">
        <v>45932</v>
      </c>
      <c r="D11290" t="inlineStr">
        <is>
          <t>VÄRMLANDS LÄN</t>
        </is>
      </c>
      <c r="E11290" t="inlineStr">
        <is>
          <t>SUNNE</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62554-2022</t>
        </is>
      </c>
      <c r="B11291" s="1" t="n">
        <v>44924</v>
      </c>
      <c r="C11291" s="1" t="n">
        <v>45932</v>
      </c>
      <c r="D11291" t="inlineStr">
        <is>
          <t>VÄRMLANDS LÄN</t>
        </is>
      </c>
      <c r="E11291" t="inlineStr">
        <is>
          <t>GRUMS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1265-2024</t>
        </is>
      </c>
      <c r="B11292" s="1" t="n">
        <v>45302.8869675926</v>
      </c>
      <c r="C11292" s="1" t="n">
        <v>45932</v>
      </c>
      <c r="D11292" t="inlineStr">
        <is>
          <t>VÄRMLANDS LÄN</t>
        </is>
      </c>
      <c r="E11292" t="inlineStr">
        <is>
          <t>KRISTINEHAMN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2321-2021</t>
        </is>
      </c>
      <c r="B11293" s="1" t="n">
        <v>44214</v>
      </c>
      <c r="C11293" s="1" t="n">
        <v>45932</v>
      </c>
      <c r="D11293" t="inlineStr">
        <is>
          <t>VÄRMLANDS LÄN</t>
        </is>
      </c>
      <c r="E11293" t="inlineStr">
        <is>
          <t>TORSBY</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49306-2024</t>
        </is>
      </c>
      <c r="B11294" s="1" t="n">
        <v>45595</v>
      </c>
      <c r="C11294" s="1" t="n">
        <v>45932</v>
      </c>
      <c r="D11294" t="inlineStr">
        <is>
          <t>VÄRMLANDS LÄN</t>
        </is>
      </c>
      <c r="E11294" t="inlineStr">
        <is>
          <t>STORFORS</t>
        </is>
      </c>
      <c r="F11294" t="inlineStr">
        <is>
          <t>Bergvik skog väst AB</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53428-2024</t>
        </is>
      </c>
      <c r="B11295" s="1" t="n">
        <v>45614.51670138889</v>
      </c>
      <c r="C11295" s="1" t="n">
        <v>45932</v>
      </c>
      <c r="D11295" t="inlineStr">
        <is>
          <t>VÄRMLANDS LÄN</t>
        </is>
      </c>
      <c r="E11295" t="inlineStr">
        <is>
          <t>SUNNE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6437-2024</t>
        </is>
      </c>
      <c r="B11296" s="1" t="n">
        <v>45338</v>
      </c>
      <c r="C11296" s="1" t="n">
        <v>45932</v>
      </c>
      <c r="D11296" t="inlineStr">
        <is>
          <t>VÄRMLANDS LÄN</t>
        </is>
      </c>
      <c r="E11296" t="inlineStr">
        <is>
          <t>HAGFORS</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9795-2023</t>
        </is>
      </c>
      <c r="B11297" s="1" t="n">
        <v>44984</v>
      </c>
      <c r="C11297" s="1" t="n">
        <v>45932</v>
      </c>
      <c r="D11297" t="inlineStr">
        <is>
          <t>VÄRMLANDS LÄN</t>
        </is>
      </c>
      <c r="E11297" t="inlineStr">
        <is>
          <t>HAGFORS</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7636-2024</t>
        </is>
      </c>
      <c r="B11298" s="1" t="n">
        <v>45348</v>
      </c>
      <c r="C11298" s="1" t="n">
        <v>45932</v>
      </c>
      <c r="D11298" t="inlineStr">
        <is>
          <t>VÄRMLANDS LÄN</t>
        </is>
      </c>
      <c r="E11298" t="inlineStr">
        <is>
          <t>TORSBY</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3160-2021</t>
        </is>
      </c>
      <c r="B11299" s="1" t="n">
        <v>44217</v>
      </c>
      <c r="C11299" s="1" t="n">
        <v>45932</v>
      </c>
      <c r="D11299" t="inlineStr">
        <is>
          <t>VÄRMLANDS LÄN</t>
        </is>
      </c>
      <c r="E11299" t="inlineStr">
        <is>
          <t>TORSBY</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41235-2024</t>
        </is>
      </c>
      <c r="B11300" s="1" t="n">
        <v>45559.5674074074</v>
      </c>
      <c r="C11300" s="1" t="n">
        <v>45932</v>
      </c>
      <c r="D11300" t="inlineStr">
        <is>
          <t>VÄRMLANDS LÄN</t>
        </is>
      </c>
      <c r="E11300" t="inlineStr">
        <is>
          <t>ARVIKA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61265-2022</t>
        </is>
      </c>
      <c r="B11301" s="1" t="n">
        <v>44915</v>
      </c>
      <c r="C11301" s="1" t="n">
        <v>45932</v>
      </c>
      <c r="D11301" t="inlineStr">
        <is>
          <t>VÄRMLANDS LÄN</t>
        </is>
      </c>
      <c r="E11301" t="inlineStr">
        <is>
          <t>HAGFORS</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21528-2024</t>
        </is>
      </c>
      <c r="B11302" s="1" t="n">
        <v>45441.59262731481</v>
      </c>
      <c r="C11302" s="1" t="n">
        <v>45932</v>
      </c>
      <c r="D11302" t="inlineStr">
        <is>
          <t>VÄRMLANDS LÄN</t>
        </is>
      </c>
      <c r="E11302" t="inlineStr">
        <is>
          <t>GRUMS</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3590-2024</t>
        </is>
      </c>
      <c r="B11303" s="1" t="n">
        <v>45320</v>
      </c>
      <c r="C11303" s="1" t="n">
        <v>45932</v>
      </c>
      <c r="D11303" t="inlineStr">
        <is>
          <t>VÄRMLANDS LÄN</t>
        </is>
      </c>
      <c r="E11303" t="inlineStr">
        <is>
          <t>TORSBY</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34540-2024</t>
        </is>
      </c>
      <c r="B11304" s="1" t="n">
        <v>45525.73809027778</v>
      </c>
      <c r="C11304" s="1" t="n">
        <v>45932</v>
      </c>
      <c r="D11304" t="inlineStr">
        <is>
          <t>VÄRMLANDS LÄN</t>
        </is>
      </c>
      <c r="E11304" t="inlineStr">
        <is>
          <t>HAGFORS</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34548-2024</t>
        </is>
      </c>
      <c r="B11305" s="1" t="n">
        <v>45525.82263888889</v>
      </c>
      <c r="C11305" s="1" t="n">
        <v>45932</v>
      </c>
      <c r="D11305" t="inlineStr">
        <is>
          <t>VÄRMLANDS LÄN</t>
        </is>
      </c>
      <c r="E11305" t="inlineStr">
        <is>
          <t>SÄFFLE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50387-2021</t>
        </is>
      </c>
      <c r="B11306" s="1" t="n">
        <v>44459</v>
      </c>
      <c r="C11306" s="1" t="n">
        <v>45932</v>
      </c>
      <c r="D11306" t="inlineStr">
        <is>
          <t>VÄRMLANDS LÄN</t>
        </is>
      </c>
      <c r="E11306" t="inlineStr">
        <is>
          <t>ARVIKA</t>
        </is>
      </c>
      <c r="F11306" t="inlineStr">
        <is>
          <t>Bergvik skog väst AB</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20922-2023</t>
        </is>
      </c>
      <c r="B11307" s="1" t="n">
        <v>45061.33076388889</v>
      </c>
      <c r="C11307" s="1" t="n">
        <v>45932</v>
      </c>
      <c r="D11307" t="inlineStr">
        <is>
          <t>VÄRMLANDS LÄN</t>
        </is>
      </c>
      <c r="E11307" t="inlineStr">
        <is>
          <t>EDA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20954-2023</t>
        </is>
      </c>
      <c r="B11308" s="1" t="n">
        <v>45061</v>
      </c>
      <c r="C11308" s="1" t="n">
        <v>45932</v>
      </c>
      <c r="D11308" t="inlineStr">
        <is>
          <t>VÄRMLANDS LÄN</t>
        </is>
      </c>
      <c r="E11308" t="inlineStr">
        <is>
          <t>GRUMS</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20978-2023</t>
        </is>
      </c>
      <c r="B11309" s="1" t="n">
        <v>45061</v>
      </c>
      <c r="C11309" s="1" t="n">
        <v>45932</v>
      </c>
      <c r="D11309" t="inlineStr">
        <is>
          <t>VÄRMLANDS LÄN</t>
        </is>
      </c>
      <c r="E11309" t="inlineStr">
        <is>
          <t>SUNNE</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6430-2025</t>
        </is>
      </c>
      <c r="B11310" s="1" t="n">
        <v>45699.50086805555</v>
      </c>
      <c r="C11310" s="1" t="n">
        <v>45932</v>
      </c>
      <c r="D11310" t="inlineStr">
        <is>
          <t>VÄRMLANDS LÄN</t>
        </is>
      </c>
      <c r="E11310" t="inlineStr">
        <is>
          <t>KRISTINEHAMN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18224-2025</t>
        </is>
      </c>
      <c r="B11311" s="1" t="n">
        <v>45761</v>
      </c>
      <c r="C11311" s="1" t="n">
        <v>45932</v>
      </c>
      <c r="D11311" t="inlineStr">
        <is>
          <t>VÄRMLANDS LÄN</t>
        </is>
      </c>
      <c r="E11311" t="inlineStr">
        <is>
          <t>HAGFORS</t>
        </is>
      </c>
      <c r="F11311" t="inlineStr">
        <is>
          <t>Bergvik skog väst AB</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18258-2025</t>
        </is>
      </c>
      <c r="B11312" s="1" t="n">
        <v>45762.35762731481</v>
      </c>
      <c r="C11312" s="1" t="n">
        <v>45932</v>
      </c>
      <c r="D11312" t="inlineStr">
        <is>
          <t>VÄRMLANDS LÄN</t>
        </is>
      </c>
      <c r="E11312" t="inlineStr">
        <is>
          <t>TORSBY</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37822-2023</t>
        </is>
      </c>
      <c r="B11313" s="1" t="n">
        <v>45160.30215277777</v>
      </c>
      <c r="C11313" s="1" t="n">
        <v>45932</v>
      </c>
      <c r="D11313" t="inlineStr">
        <is>
          <t>VÄRMLANDS LÄN</t>
        </is>
      </c>
      <c r="E11313" t="inlineStr">
        <is>
          <t>TORSBY</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54865-2021</t>
        </is>
      </c>
      <c r="B11314" s="1" t="n">
        <v>44474</v>
      </c>
      <c r="C11314" s="1" t="n">
        <v>45932</v>
      </c>
      <c r="D11314" t="inlineStr">
        <is>
          <t>VÄRMLANDS LÄN</t>
        </is>
      </c>
      <c r="E11314" t="inlineStr">
        <is>
          <t>SUNNE</t>
        </is>
      </c>
      <c r="G11314" t="n">
        <v>15.2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33505-2023</t>
        </is>
      </c>
      <c r="B11315" s="1" t="n">
        <v>45118</v>
      </c>
      <c r="C11315" s="1" t="n">
        <v>45932</v>
      </c>
      <c r="D11315" t="inlineStr">
        <is>
          <t>VÄRMLANDS LÄN</t>
        </is>
      </c>
      <c r="E11315" t="inlineStr">
        <is>
          <t>SUNNE</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43040-2023</t>
        </is>
      </c>
      <c r="B11316" s="1" t="n">
        <v>45182.68716435185</v>
      </c>
      <c r="C11316" s="1" t="n">
        <v>45932</v>
      </c>
      <c r="D11316" t="inlineStr">
        <is>
          <t>VÄRMLANDS LÄN</t>
        </is>
      </c>
      <c r="E11316" t="inlineStr">
        <is>
          <t>ÅRJÄNG</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30500-2023</t>
        </is>
      </c>
      <c r="B11317" s="1" t="n">
        <v>45111.62513888889</v>
      </c>
      <c r="C11317" s="1" t="n">
        <v>45932</v>
      </c>
      <c r="D11317" t="inlineStr">
        <is>
          <t>VÄRMLANDS LÄN</t>
        </is>
      </c>
      <c r="E11317" t="inlineStr">
        <is>
          <t>EDA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30533-2023</t>
        </is>
      </c>
      <c r="B11318" s="1" t="n">
        <v>45111.69322916667</v>
      </c>
      <c r="C11318" s="1" t="n">
        <v>45932</v>
      </c>
      <c r="D11318" t="inlineStr">
        <is>
          <t>VÄRMLANDS LÄN</t>
        </is>
      </c>
      <c r="E11318" t="inlineStr">
        <is>
          <t>KARLSTAD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10102-2025</t>
        </is>
      </c>
      <c r="B11319" s="1" t="n">
        <v>45719</v>
      </c>
      <c r="C11319" s="1" t="n">
        <v>45932</v>
      </c>
      <c r="D11319" t="inlineStr">
        <is>
          <t>VÄRMLANDS LÄN</t>
        </is>
      </c>
      <c r="E11319" t="inlineStr">
        <is>
          <t>SÄFFLE</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60724-2022</t>
        </is>
      </c>
      <c r="B11320" s="1" t="n">
        <v>44913</v>
      </c>
      <c r="C11320" s="1" t="n">
        <v>45932</v>
      </c>
      <c r="D11320" t="inlineStr">
        <is>
          <t>VÄRMLANDS LÄN</t>
        </is>
      </c>
      <c r="E11320" t="inlineStr">
        <is>
          <t>KARLSTAD</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47796-2023</t>
        </is>
      </c>
      <c r="B11321" s="1" t="n">
        <v>45204.29884259259</v>
      </c>
      <c r="C11321" s="1" t="n">
        <v>45932</v>
      </c>
      <c r="D11321" t="inlineStr">
        <is>
          <t>VÄRMLANDS LÄN</t>
        </is>
      </c>
      <c r="E11321" t="inlineStr">
        <is>
          <t>EDA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59143-2024</t>
        </is>
      </c>
      <c r="B11322" s="1" t="n">
        <v>45637</v>
      </c>
      <c r="C11322" s="1" t="n">
        <v>45932</v>
      </c>
      <c r="D11322" t="inlineStr">
        <is>
          <t>VÄRMLANDS LÄN</t>
        </is>
      </c>
      <c r="E11322" t="inlineStr">
        <is>
          <t>SUNNE</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13160-2022</t>
        </is>
      </c>
      <c r="B11323" s="1" t="n">
        <v>44644.43545138889</v>
      </c>
      <c r="C11323" s="1" t="n">
        <v>45932</v>
      </c>
      <c r="D11323" t="inlineStr">
        <is>
          <t>VÄRMLANDS LÄN</t>
        </is>
      </c>
      <c r="E11323" t="inlineStr">
        <is>
          <t>ÅRJÄNG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24331-2024</t>
        </is>
      </c>
      <c r="B11324" s="1" t="n">
        <v>45457.54918981482</v>
      </c>
      <c r="C11324" s="1" t="n">
        <v>45932</v>
      </c>
      <c r="D11324" t="inlineStr">
        <is>
          <t>VÄRMLANDS LÄN</t>
        </is>
      </c>
      <c r="E11324" t="inlineStr">
        <is>
          <t>SUNNE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47915-2022</t>
        </is>
      </c>
      <c r="B11325" s="1" t="n">
        <v>44855.48866898148</v>
      </c>
      <c r="C11325" s="1" t="n">
        <v>45932</v>
      </c>
      <c r="D11325" t="inlineStr">
        <is>
          <t>VÄRMLANDS LÄN</t>
        </is>
      </c>
      <c r="E11325" t="inlineStr">
        <is>
          <t>KRISTINEHAMN</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7054-2023</t>
        </is>
      </c>
      <c r="B11326" s="1" t="n">
        <v>44969</v>
      </c>
      <c r="C11326" s="1" t="n">
        <v>45932</v>
      </c>
      <c r="D11326" t="inlineStr">
        <is>
          <t>VÄRMLANDS LÄN</t>
        </is>
      </c>
      <c r="E11326" t="inlineStr">
        <is>
          <t>SUNNE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7055-2023</t>
        </is>
      </c>
      <c r="B11327" s="1" t="n">
        <v>44969</v>
      </c>
      <c r="C11327" s="1" t="n">
        <v>45932</v>
      </c>
      <c r="D11327" t="inlineStr">
        <is>
          <t>VÄRMLANDS LÄN</t>
        </is>
      </c>
      <c r="E11327" t="inlineStr">
        <is>
          <t>SUNNE</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21188-2023</t>
        </is>
      </c>
      <c r="B11328" s="1" t="n">
        <v>45057</v>
      </c>
      <c r="C11328" s="1" t="n">
        <v>45932</v>
      </c>
      <c r="D11328" t="inlineStr">
        <is>
          <t>VÄRMLANDS LÄN</t>
        </is>
      </c>
      <c r="E11328" t="inlineStr">
        <is>
          <t>ARVIKA</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53706-2022</t>
        </is>
      </c>
      <c r="B11329" s="1" t="n">
        <v>44880</v>
      </c>
      <c r="C11329" s="1" t="n">
        <v>45932</v>
      </c>
      <c r="D11329" t="inlineStr">
        <is>
          <t>VÄRMLANDS LÄN</t>
        </is>
      </c>
      <c r="E11329" t="inlineStr">
        <is>
          <t>FORSHAGA</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65751-2020</t>
        </is>
      </c>
      <c r="B11330" s="1" t="n">
        <v>44174</v>
      </c>
      <c r="C11330" s="1" t="n">
        <v>45932</v>
      </c>
      <c r="D11330" t="inlineStr">
        <is>
          <t>VÄRMLANDS LÄN</t>
        </is>
      </c>
      <c r="E11330" t="inlineStr">
        <is>
          <t>ÅRJÄNG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8966-2023</t>
        </is>
      </c>
      <c r="B11331" s="1" t="n">
        <v>44979</v>
      </c>
      <c r="C11331" s="1" t="n">
        <v>45932</v>
      </c>
      <c r="D11331" t="inlineStr">
        <is>
          <t>VÄRMLANDS LÄN</t>
        </is>
      </c>
      <c r="E11331" t="inlineStr">
        <is>
          <t>EDA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57002-2024</t>
        </is>
      </c>
      <c r="B11332" s="1" t="n">
        <v>45628.72998842593</v>
      </c>
      <c r="C11332" s="1" t="n">
        <v>45932</v>
      </c>
      <c r="D11332" t="inlineStr">
        <is>
          <t>VÄRMLANDS LÄN</t>
        </is>
      </c>
      <c r="E11332" t="inlineStr">
        <is>
          <t>KRISTINEHAMN</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48449-2024</t>
        </is>
      </c>
      <c r="B11333" s="1" t="n">
        <v>45590</v>
      </c>
      <c r="C11333" s="1" t="n">
        <v>45932</v>
      </c>
      <c r="D11333" t="inlineStr">
        <is>
          <t>VÄRMLANDS LÄN</t>
        </is>
      </c>
      <c r="E11333" t="inlineStr">
        <is>
          <t>ARVIKA</t>
        </is>
      </c>
      <c r="F11333" t="inlineStr">
        <is>
          <t>Bergvik skog väst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20372-2025</t>
        </is>
      </c>
      <c r="B11334" s="1" t="n">
        <v>45775.42027777778</v>
      </c>
      <c r="C11334" s="1" t="n">
        <v>45932</v>
      </c>
      <c r="D11334" t="inlineStr">
        <is>
          <t>VÄRMLANDS LÄN</t>
        </is>
      </c>
      <c r="E11334" t="inlineStr">
        <is>
          <t>ÅRJÄNG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33475-2024</t>
        </is>
      </c>
      <c r="B11335" s="1" t="n">
        <v>45519</v>
      </c>
      <c r="C11335" s="1" t="n">
        <v>45932</v>
      </c>
      <c r="D11335" t="inlineStr">
        <is>
          <t>VÄRMLANDS LÄN</t>
        </is>
      </c>
      <c r="E11335" t="inlineStr">
        <is>
          <t>KIL</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14794-2024</t>
        </is>
      </c>
      <c r="B11336" s="1" t="n">
        <v>45397.84950231481</v>
      </c>
      <c r="C11336" s="1" t="n">
        <v>45932</v>
      </c>
      <c r="D11336" t="inlineStr">
        <is>
          <t>VÄRMLANDS LÄN</t>
        </is>
      </c>
      <c r="E11336" t="inlineStr">
        <is>
          <t>EDA</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41205-2024</t>
        </is>
      </c>
      <c r="B11337" s="1" t="n">
        <v>45559</v>
      </c>
      <c r="C11337" s="1" t="n">
        <v>45932</v>
      </c>
      <c r="D11337" t="inlineStr">
        <is>
          <t>VÄRMLANDS LÄN</t>
        </is>
      </c>
      <c r="E11337" t="inlineStr">
        <is>
          <t>ÅRJÄNG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60182-2022</t>
        </is>
      </c>
      <c r="B11338" s="1" t="n">
        <v>44910</v>
      </c>
      <c r="C11338" s="1" t="n">
        <v>45932</v>
      </c>
      <c r="D11338" t="inlineStr">
        <is>
          <t>VÄRMLANDS LÄN</t>
        </is>
      </c>
      <c r="E11338" t="inlineStr">
        <is>
          <t>SUNNE</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21825-2024</t>
        </is>
      </c>
      <c r="B11339" s="1" t="n">
        <v>45442</v>
      </c>
      <c r="C11339" s="1" t="n">
        <v>45932</v>
      </c>
      <c r="D11339" t="inlineStr">
        <is>
          <t>VÄRMLANDS LÄN</t>
        </is>
      </c>
      <c r="E11339" t="inlineStr">
        <is>
          <t>TORSBY</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21942-2024</t>
        </is>
      </c>
      <c r="B11340" s="1" t="n">
        <v>45443</v>
      </c>
      <c r="C11340" s="1" t="n">
        <v>45932</v>
      </c>
      <c r="D11340" t="inlineStr">
        <is>
          <t>VÄRMLANDS LÄN</t>
        </is>
      </c>
      <c r="E11340" t="inlineStr">
        <is>
          <t>STORFORS</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20721-2023</t>
        </is>
      </c>
      <c r="B11341" s="1" t="n">
        <v>45058</v>
      </c>
      <c r="C11341" s="1" t="n">
        <v>45932</v>
      </c>
      <c r="D11341" t="inlineStr">
        <is>
          <t>VÄRMLANDS LÄN</t>
        </is>
      </c>
      <c r="E11341" t="inlineStr">
        <is>
          <t>TORSBY</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46138-2024</t>
        </is>
      </c>
      <c r="B11342" s="1" t="n">
        <v>45581.44998842593</v>
      </c>
      <c r="C11342" s="1" t="n">
        <v>45932</v>
      </c>
      <c r="D11342" t="inlineStr">
        <is>
          <t>VÄRMLANDS LÄN</t>
        </is>
      </c>
      <c r="E11342" t="inlineStr">
        <is>
          <t>KRISTINEHAMN</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8601-2022</t>
        </is>
      </c>
      <c r="B11343" s="1" t="n">
        <v>44613.57193287037</v>
      </c>
      <c r="C11343" s="1" t="n">
        <v>45932</v>
      </c>
      <c r="D11343" t="inlineStr">
        <is>
          <t>VÄRMLANDS LÄN</t>
        </is>
      </c>
      <c r="E11343" t="inlineStr">
        <is>
          <t>ÅRJÄNG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14467-2023</t>
        </is>
      </c>
      <c r="B11344" s="1" t="n">
        <v>45012</v>
      </c>
      <c r="C11344" s="1" t="n">
        <v>45932</v>
      </c>
      <c r="D11344" t="inlineStr">
        <is>
          <t>VÄRMLANDS LÄN</t>
        </is>
      </c>
      <c r="E11344" t="inlineStr">
        <is>
          <t>ARVIKA</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11091-2023</t>
        </is>
      </c>
      <c r="B11345" s="1" t="n">
        <v>44992</v>
      </c>
      <c r="C11345" s="1" t="n">
        <v>45932</v>
      </c>
      <c r="D11345" t="inlineStr">
        <is>
          <t>VÄRMLANDS LÄN</t>
        </is>
      </c>
      <c r="E11345" t="inlineStr">
        <is>
          <t>ARVIKA</t>
        </is>
      </c>
      <c r="G11345" t="n">
        <v>9.800000000000001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16369-2024</t>
        </is>
      </c>
      <c r="B11346" s="1" t="n">
        <v>45407</v>
      </c>
      <c r="C11346" s="1" t="n">
        <v>45932</v>
      </c>
      <c r="D11346" t="inlineStr">
        <is>
          <t>VÄRMLANDS LÄN</t>
        </is>
      </c>
      <c r="E11346" t="inlineStr">
        <is>
          <t>TORSBY</t>
        </is>
      </c>
      <c r="F11346" t="inlineStr">
        <is>
          <t>Kommuner</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56748-2022</t>
        </is>
      </c>
      <c r="B11347" s="1" t="n">
        <v>44894</v>
      </c>
      <c r="C11347" s="1" t="n">
        <v>45932</v>
      </c>
      <c r="D11347" t="inlineStr">
        <is>
          <t>VÄRMLANDS LÄN</t>
        </is>
      </c>
      <c r="E11347" t="inlineStr">
        <is>
          <t>FORSHAGA</t>
        </is>
      </c>
      <c r="F11347" t="inlineStr">
        <is>
          <t>Bergvik skog väst AB</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16560-2022</t>
        </is>
      </c>
      <c r="B11348" s="1" t="n">
        <v>44672.44399305555</v>
      </c>
      <c r="C11348" s="1" t="n">
        <v>45932</v>
      </c>
      <c r="D11348" t="inlineStr">
        <is>
          <t>VÄRMLANDS LÄN</t>
        </is>
      </c>
      <c r="E11348" t="inlineStr">
        <is>
          <t>KARLSTAD</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18313-2023</t>
        </is>
      </c>
      <c r="B11349" s="1" t="n">
        <v>45041</v>
      </c>
      <c r="C11349" s="1" t="n">
        <v>45932</v>
      </c>
      <c r="D11349" t="inlineStr">
        <is>
          <t>VÄRMLANDS LÄN</t>
        </is>
      </c>
      <c r="E11349" t="inlineStr">
        <is>
          <t>MUNKFORS</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50526-2023</t>
        </is>
      </c>
      <c r="B11350" s="1" t="n">
        <v>45217</v>
      </c>
      <c r="C11350" s="1" t="n">
        <v>45932</v>
      </c>
      <c r="D11350" t="inlineStr">
        <is>
          <t>VÄRMLANDS LÄN</t>
        </is>
      </c>
      <c r="E11350" t="inlineStr">
        <is>
          <t>KARLSTAD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50748-2024</t>
        </is>
      </c>
      <c r="B11351" s="1" t="n">
        <v>45602.42335648148</v>
      </c>
      <c r="C11351" s="1" t="n">
        <v>45932</v>
      </c>
      <c r="D11351" t="inlineStr">
        <is>
          <t>VÄRMLANDS LÄN</t>
        </is>
      </c>
      <c r="E11351" t="inlineStr">
        <is>
          <t>SUNNE</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50786-2024</t>
        </is>
      </c>
      <c r="B11352" s="1" t="n">
        <v>45602</v>
      </c>
      <c r="C11352" s="1" t="n">
        <v>45932</v>
      </c>
      <c r="D11352" t="inlineStr">
        <is>
          <t>VÄRMLANDS LÄN</t>
        </is>
      </c>
      <c r="E11352" t="inlineStr">
        <is>
          <t>FILIPSTAD</t>
        </is>
      </c>
      <c r="F11352" t="inlineStr">
        <is>
          <t>Bergvik skog väst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1580-2025</t>
        </is>
      </c>
      <c r="B11353" s="1" t="n">
        <v>45670</v>
      </c>
      <c r="C11353" s="1" t="n">
        <v>45932</v>
      </c>
      <c r="D11353" t="inlineStr">
        <is>
          <t>VÄRMLANDS LÄN</t>
        </is>
      </c>
      <c r="E11353" t="inlineStr">
        <is>
          <t>ÅRJÄNG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17122-2025</t>
        </is>
      </c>
      <c r="B11354" s="1" t="n">
        <v>45755.69629629629</v>
      </c>
      <c r="C11354" s="1" t="n">
        <v>45932</v>
      </c>
      <c r="D11354" t="inlineStr">
        <is>
          <t>VÄRMLANDS LÄN</t>
        </is>
      </c>
      <c r="E11354" t="inlineStr">
        <is>
          <t>ARVIKA</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58586-2024</t>
        </is>
      </c>
      <c r="B11355" s="1" t="n">
        <v>45635.50215277778</v>
      </c>
      <c r="C11355" s="1" t="n">
        <v>45932</v>
      </c>
      <c r="D11355" t="inlineStr">
        <is>
          <t>VÄRMLANDS LÄN</t>
        </is>
      </c>
      <c r="E11355" t="inlineStr">
        <is>
          <t>STORFORS</t>
        </is>
      </c>
      <c r="F11355" t="inlineStr">
        <is>
          <t>Bergvik skog väst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59203-2024</t>
        </is>
      </c>
      <c r="B11356" s="1" t="n">
        <v>45636</v>
      </c>
      <c r="C11356" s="1" t="n">
        <v>45932</v>
      </c>
      <c r="D11356" t="inlineStr">
        <is>
          <t>VÄRMLANDS LÄN</t>
        </is>
      </c>
      <c r="E11356" t="inlineStr">
        <is>
          <t>KRISTINEHAMN</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18179-2023</t>
        </is>
      </c>
      <c r="B11357" s="1" t="n">
        <v>45041.34971064814</v>
      </c>
      <c r="C11357" s="1" t="n">
        <v>45932</v>
      </c>
      <c r="D11357" t="inlineStr">
        <is>
          <t>VÄRMLANDS LÄN</t>
        </is>
      </c>
      <c r="E11357" t="inlineStr">
        <is>
          <t>SUNNE</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35994-2024</t>
        </is>
      </c>
      <c r="B11358" s="1" t="n">
        <v>45533.54149305556</v>
      </c>
      <c r="C11358" s="1" t="n">
        <v>45932</v>
      </c>
      <c r="D11358" t="inlineStr">
        <is>
          <t>VÄRMLANDS LÄN</t>
        </is>
      </c>
      <c r="E11358" t="inlineStr">
        <is>
          <t>HAGFORS</t>
        </is>
      </c>
      <c r="F11358" t="inlineStr">
        <is>
          <t>Bergvik skog väst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25069-2024</t>
        </is>
      </c>
      <c r="B11359" s="1" t="n">
        <v>45462.36731481482</v>
      </c>
      <c r="C11359" s="1" t="n">
        <v>45932</v>
      </c>
      <c r="D11359" t="inlineStr">
        <is>
          <t>VÄRMLANDS LÄN</t>
        </is>
      </c>
      <c r="E11359" t="inlineStr">
        <is>
          <t>HAGFORS</t>
        </is>
      </c>
      <c r="F11359" t="inlineStr">
        <is>
          <t>Kyrkan</t>
        </is>
      </c>
      <c r="G11359" t="n">
        <v>28.3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65053-2023</t>
        </is>
      </c>
      <c r="B11360" s="1" t="n">
        <v>45282</v>
      </c>
      <c r="C11360" s="1" t="n">
        <v>45932</v>
      </c>
      <c r="D11360" t="inlineStr">
        <is>
          <t>VÄRMLANDS LÄN</t>
        </is>
      </c>
      <c r="E11360" t="inlineStr">
        <is>
          <t>KRISTINEHAMN</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65065-2023</t>
        </is>
      </c>
      <c r="B11361" s="1" t="n">
        <v>45287</v>
      </c>
      <c r="C11361" s="1" t="n">
        <v>45932</v>
      </c>
      <c r="D11361" t="inlineStr">
        <is>
          <t>VÄRMLANDS LÄN</t>
        </is>
      </c>
      <c r="E11361" t="inlineStr">
        <is>
          <t>HAGFORS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42593-2021</t>
        </is>
      </c>
      <c r="B11362" s="1" t="n">
        <v>44428.3752662037</v>
      </c>
      <c r="C11362" s="1" t="n">
        <v>45932</v>
      </c>
      <c r="D11362" t="inlineStr">
        <is>
          <t>VÄRMLANDS LÄN</t>
        </is>
      </c>
      <c r="E11362" t="inlineStr">
        <is>
          <t>HAGFORS</t>
        </is>
      </c>
      <c r="F11362" t="inlineStr">
        <is>
          <t>Bergvik skog väst AB</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42615-2021</t>
        </is>
      </c>
      <c r="B11363" s="1" t="n">
        <v>44428</v>
      </c>
      <c r="C11363" s="1" t="n">
        <v>45932</v>
      </c>
      <c r="D11363" t="inlineStr">
        <is>
          <t>VÄRMLANDS LÄN</t>
        </is>
      </c>
      <c r="E11363" t="inlineStr">
        <is>
          <t>TORSBY</t>
        </is>
      </c>
      <c r="F11363" t="inlineStr">
        <is>
          <t>Bergvik skog väst AB</t>
        </is>
      </c>
      <c r="G11363" t="n">
        <v>37.2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20349-2025</t>
        </is>
      </c>
      <c r="B11364" s="1" t="n">
        <v>45775</v>
      </c>
      <c r="C11364" s="1" t="n">
        <v>45932</v>
      </c>
      <c r="D11364" t="inlineStr">
        <is>
          <t>VÄRMLANDS LÄN</t>
        </is>
      </c>
      <c r="E11364" t="inlineStr">
        <is>
          <t>ARVIKA</t>
        </is>
      </c>
      <c r="F11364" t="inlineStr">
        <is>
          <t>Bergvik skog väst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18337-2024</t>
        </is>
      </c>
      <c r="B11365" s="1" t="n">
        <v>45422</v>
      </c>
      <c r="C11365" s="1" t="n">
        <v>45932</v>
      </c>
      <c r="D11365" t="inlineStr">
        <is>
          <t>VÄRMLANDS LÄN</t>
        </is>
      </c>
      <c r="E11365" t="inlineStr">
        <is>
          <t>TORSBY</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18344-2024</t>
        </is>
      </c>
      <c r="B11366" s="1" t="n">
        <v>45422.60321759259</v>
      </c>
      <c r="C11366" s="1" t="n">
        <v>45932</v>
      </c>
      <c r="D11366" t="inlineStr">
        <is>
          <t>VÄRMLANDS LÄN</t>
        </is>
      </c>
      <c r="E11366" t="inlineStr">
        <is>
          <t>ARVIKA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43083-2022</t>
        </is>
      </c>
      <c r="B11367" s="1" t="n">
        <v>44833</v>
      </c>
      <c r="C11367" s="1" t="n">
        <v>45932</v>
      </c>
      <c r="D11367" t="inlineStr">
        <is>
          <t>VÄRMLANDS LÄN</t>
        </is>
      </c>
      <c r="E11367" t="inlineStr">
        <is>
          <t>SUNNE</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43111-2022</t>
        </is>
      </c>
      <c r="B11368" s="1" t="n">
        <v>44833</v>
      </c>
      <c r="C11368" s="1" t="n">
        <v>45932</v>
      </c>
      <c r="D11368" t="inlineStr">
        <is>
          <t>VÄRMLANDS LÄN</t>
        </is>
      </c>
      <c r="E11368" t="inlineStr">
        <is>
          <t>TORSBY</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18424-2024</t>
        </is>
      </c>
      <c r="B11369" s="1" t="n">
        <v>45425.41623842593</v>
      </c>
      <c r="C11369" s="1" t="n">
        <v>45932</v>
      </c>
      <c r="D11369" t="inlineStr">
        <is>
          <t>VÄRMLANDS LÄN</t>
        </is>
      </c>
      <c r="E11369" t="inlineStr">
        <is>
          <t>SÄFFLE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1496-2022</t>
        </is>
      </c>
      <c r="B11370" s="1" t="n">
        <v>44573.54010416667</v>
      </c>
      <c r="C11370" s="1" t="n">
        <v>45932</v>
      </c>
      <c r="D11370" t="inlineStr">
        <is>
          <t>VÄRMLANDS LÄN</t>
        </is>
      </c>
      <c r="E11370" t="inlineStr">
        <is>
          <t>KARLSTAD</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47951-2021</t>
        </is>
      </c>
      <c r="B11371" s="1" t="n">
        <v>44448</v>
      </c>
      <c r="C11371" s="1" t="n">
        <v>45932</v>
      </c>
      <c r="D11371" t="inlineStr">
        <is>
          <t>VÄRMLANDS LÄN</t>
        </is>
      </c>
      <c r="E11371" t="inlineStr">
        <is>
          <t>KRISTINEHAMN</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14788-2025</t>
        </is>
      </c>
      <c r="B11372" s="1" t="n">
        <v>45742.78112268518</v>
      </c>
      <c r="C11372" s="1" t="n">
        <v>45932</v>
      </c>
      <c r="D11372" t="inlineStr">
        <is>
          <t>VÄRMLANDS LÄN</t>
        </is>
      </c>
      <c r="E11372" t="inlineStr">
        <is>
          <t>ÅRJÄNG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15546-2025</t>
        </is>
      </c>
      <c r="B11373" s="1" t="n">
        <v>45747</v>
      </c>
      <c r="C11373" s="1" t="n">
        <v>45932</v>
      </c>
      <c r="D11373" t="inlineStr">
        <is>
          <t>VÄRMLANDS LÄN</t>
        </is>
      </c>
      <c r="E11373" t="inlineStr">
        <is>
          <t>ÅRJÄNG</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48858-2024</t>
        </is>
      </c>
      <c r="B11374" s="1" t="n">
        <v>45593</v>
      </c>
      <c r="C11374" s="1" t="n">
        <v>45932</v>
      </c>
      <c r="D11374" t="inlineStr">
        <is>
          <t>VÄRMLANDS LÄN</t>
        </is>
      </c>
      <c r="E11374" t="inlineStr">
        <is>
          <t>ARVIKA</t>
        </is>
      </c>
      <c r="F11374" t="inlineStr">
        <is>
          <t>Kommuner</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60541-2023</t>
        </is>
      </c>
      <c r="B11375" s="1" t="n">
        <v>45259</v>
      </c>
      <c r="C11375" s="1" t="n">
        <v>45932</v>
      </c>
      <c r="D11375" t="inlineStr">
        <is>
          <t>VÄRMLANDS LÄN</t>
        </is>
      </c>
      <c r="E11375" t="inlineStr">
        <is>
          <t>SUNNE</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68000-2021</t>
        </is>
      </c>
      <c r="B11376" s="1" t="n">
        <v>44525.76622685185</v>
      </c>
      <c r="C11376" s="1" t="n">
        <v>45932</v>
      </c>
      <c r="D11376" t="inlineStr">
        <is>
          <t>VÄRMLANDS LÄN</t>
        </is>
      </c>
      <c r="E11376" t="inlineStr">
        <is>
          <t>SUNNE</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392-2025</t>
        </is>
      </c>
      <c r="B11377" s="1" t="n">
        <v>45663.35111111111</v>
      </c>
      <c r="C11377" s="1" t="n">
        <v>45932</v>
      </c>
      <c r="D11377" t="inlineStr">
        <is>
          <t>VÄRMLANDS LÄN</t>
        </is>
      </c>
      <c r="E11377" t="inlineStr">
        <is>
          <t>TORSBY</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51203-2024</t>
        </is>
      </c>
      <c r="B11378" s="1" t="n">
        <v>45603.62186342593</v>
      </c>
      <c r="C11378" s="1" t="n">
        <v>45932</v>
      </c>
      <c r="D11378" t="inlineStr">
        <is>
          <t>VÄRMLANDS LÄN</t>
        </is>
      </c>
      <c r="E11378" t="inlineStr">
        <is>
          <t>SÄFFLE</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28827-2024</t>
        </is>
      </c>
      <c r="B11379" s="1" t="n">
        <v>45478</v>
      </c>
      <c r="C11379" s="1" t="n">
        <v>45932</v>
      </c>
      <c r="D11379" t="inlineStr">
        <is>
          <t>VÄRMLANDS LÄN</t>
        </is>
      </c>
      <c r="E11379" t="inlineStr">
        <is>
          <t>KRISTINEHAMN</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28836-2024</t>
        </is>
      </c>
      <c r="B11380" s="1" t="n">
        <v>45478</v>
      </c>
      <c r="C11380" s="1" t="n">
        <v>45932</v>
      </c>
      <c r="D11380" t="inlineStr">
        <is>
          <t>VÄRMLANDS LÄN</t>
        </is>
      </c>
      <c r="E11380" t="inlineStr">
        <is>
          <t>KRISTINEHAMN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19964-2025</t>
        </is>
      </c>
      <c r="B11381" s="1" t="n">
        <v>45771.67315972222</v>
      </c>
      <c r="C11381" s="1" t="n">
        <v>45932</v>
      </c>
      <c r="D11381" t="inlineStr">
        <is>
          <t>VÄRMLANDS LÄN</t>
        </is>
      </c>
      <c r="E11381" t="inlineStr">
        <is>
          <t>TORSBY</t>
        </is>
      </c>
      <c r="F11381" t="inlineStr">
        <is>
          <t>Bergvik skog väst AB</t>
        </is>
      </c>
      <c r="G11381" t="n">
        <v>23.8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19052-2024</t>
        </is>
      </c>
      <c r="B11382" s="1" t="n">
        <v>45427.76670138889</v>
      </c>
      <c r="C11382" s="1" t="n">
        <v>45932</v>
      </c>
      <c r="D11382" t="inlineStr">
        <is>
          <t>VÄRMLANDS LÄN</t>
        </is>
      </c>
      <c r="E11382" t="inlineStr">
        <is>
          <t>GRUMS</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15721-2024</t>
        </is>
      </c>
      <c r="B11383" s="1" t="n">
        <v>45404.50292824074</v>
      </c>
      <c r="C11383" s="1" t="n">
        <v>45932</v>
      </c>
      <c r="D11383" t="inlineStr">
        <is>
          <t>VÄRMLANDS LÄN</t>
        </is>
      </c>
      <c r="E11383" t="inlineStr">
        <is>
          <t>KIL</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64772-2023</t>
        </is>
      </c>
      <c r="B11384" s="1" t="n">
        <v>45282</v>
      </c>
      <c r="C11384" s="1" t="n">
        <v>45932</v>
      </c>
      <c r="D11384" t="inlineStr">
        <is>
          <t>VÄRMLANDS LÄN</t>
        </is>
      </c>
      <c r="E11384" t="inlineStr">
        <is>
          <t>MUNKFORS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27273-2024</t>
        </is>
      </c>
      <c r="B11385" s="1" t="n">
        <v>45471.84013888889</v>
      </c>
      <c r="C11385" s="1" t="n">
        <v>45932</v>
      </c>
      <c r="D11385" t="inlineStr">
        <is>
          <t>VÄRMLANDS LÄN</t>
        </is>
      </c>
      <c r="E11385" t="inlineStr">
        <is>
          <t>TORSBY</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27275-2024</t>
        </is>
      </c>
      <c r="B11386" s="1" t="n">
        <v>45471.85645833334</v>
      </c>
      <c r="C11386" s="1" t="n">
        <v>45932</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53443-2024</t>
        </is>
      </c>
      <c r="B11387" s="1" t="n">
        <v>45614.53978009259</v>
      </c>
      <c r="C11387" s="1" t="n">
        <v>45932</v>
      </c>
      <c r="D11387" t="inlineStr">
        <is>
          <t>VÄRMLANDS LÄN</t>
        </is>
      </c>
      <c r="E11387" t="inlineStr">
        <is>
          <t>HAGFORS</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39090-2023</t>
        </is>
      </c>
      <c r="B11388" s="1" t="n">
        <v>45164.43252314815</v>
      </c>
      <c r="C11388" s="1" t="n">
        <v>45932</v>
      </c>
      <c r="D11388" t="inlineStr">
        <is>
          <t>VÄRMLANDS LÄN</t>
        </is>
      </c>
      <c r="E11388" t="inlineStr">
        <is>
          <t>SÄFFLE</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1947-2023</t>
        </is>
      </c>
      <c r="B11389" s="1" t="n">
        <v>44939</v>
      </c>
      <c r="C11389" s="1" t="n">
        <v>45932</v>
      </c>
      <c r="D11389" t="inlineStr">
        <is>
          <t>VÄRMLANDS LÄN</t>
        </is>
      </c>
      <c r="E11389" t="inlineStr">
        <is>
          <t>TORSBY</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52923-2023</t>
        </is>
      </c>
      <c r="B11390" s="1" t="n">
        <v>45226</v>
      </c>
      <c r="C11390" s="1" t="n">
        <v>45932</v>
      </c>
      <c r="D11390" t="inlineStr">
        <is>
          <t>VÄRMLANDS LÄN</t>
        </is>
      </c>
      <c r="E11390" t="inlineStr">
        <is>
          <t>HAGFORS</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c r="A11391" t="inlineStr">
        <is>
          <t>A 56940-2024</t>
        </is>
      </c>
      <c r="B11391" s="1" t="n">
        <v>45628.61755787037</v>
      </c>
      <c r="C11391" s="1" t="n">
        <v>45932</v>
      </c>
      <c r="D11391" t="inlineStr">
        <is>
          <t>VÄRMLANDS LÄN</t>
        </is>
      </c>
      <c r="E11391" t="inlineStr">
        <is>
          <t>ÅRJÄNG</t>
        </is>
      </c>
      <c r="G11391" t="n">
        <v>3.1</v>
      </c>
      <c r="H11391" t="n">
        <v>0</v>
      </c>
      <c r="I11391" t="n">
        <v>0</v>
      </c>
      <c r="J11391" t="n">
        <v>0</v>
      </c>
      <c r="K11391" t="n">
        <v>0</v>
      </c>
      <c r="L11391" t="n">
        <v>0</v>
      </c>
      <c r="M11391" t="n">
        <v>0</v>
      </c>
      <c r="N11391" t="n">
        <v>0</v>
      </c>
      <c r="O11391" t="n">
        <v>0</v>
      </c>
      <c r="P11391" t="n">
        <v>0</v>
      </c>
      <c r="Q11391" t="n">
        <v>0</v>
      </c>
      <c r="R1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2025-10-02T12:45:08Z</dcterms:created>
  <dcterms:modified xmlns:dcterms="http://purl.org/dc/terms/" xmlns:xsi="http://www.w3.org/2001/XMLSchema-instance" xsi:type="dcterms:W3CDTF">2025-10-02T12:45:18Z</dcterms:modified>
</cp:coreProperties>
</file>